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L:\Assembly Planning\Adient - CMA\Shortage\2026\WK 17\"/>
    </mc:Choice>
  </mc:AlternateContent>
  <xr:revisionPtr revIDLastSave="0" documentId="13_ncr:1_{C1756D6D-144B-4B38-9022-0E8D740BDE59}" xr6:coauthVersionLast="47" xr6:coauthVersionMax="47" xr10:uidLastSave="{00000000-0000-0000-0000-000000000000}"/>
  <bookViews>
    <workbookView xWindow="-120" yWindow="-120" windowWidth="29040" windowHeight="15720" tabRatio="751" activeTab="1" xr2:uid="{00000000-000D-0000-FFFF-FFFF00000000}"/>
  </bookViews>
  <sheets>
    <sheet name="Adient Shortage report" sheetId="1" r:id="rId1"/>
    <sheet name="Sheet2" sheetId="16" r:id="rId2"/>
    <sheet name="Sheet1" sheetId="15" r:id="rId3"/>
    <sheet name="Adient Assende (Belgium) WK.17" sheetId="12" r:id="rId4"/>
    <sheet name="Adient Arendal (Malzia) WK.12" sheetId="6" r:id="rId5"/>
    <sheet name="Adient Taizhou (China) WK.16" sheetId="2" r:id="rId6"/>
    <sheet name="O.S Alba WK.17" sheetId="7" r:id="rId7"/>
    <sheet name="Shipment Follow-up " sheetId="14" r:id="rId8"/>
    <sheet name="List of parts" sheetId="11" r:id="rId9"/>
  </sheets>
  <definedNames>
    <definedName name="_xlnm._FilterDatabase" localSheetId="0" hidden="1">'Adient Shortage report'!$A$9:$UK$81</definedName>
    <definedName name="_xlnm._FilterDatabase" localSheetId="6" hidden="1">'O.S Alba WK.17'!$A$1:$B$94</definedName>
    <definedName name="_xlnm._FilterDatabase" localSheetId="7" hidden="1">'Shipment Follow-up '!$A$1:$K$26</definedName>
  </definedNames>
  <calcPr calcId="191029"/>
  <pivotCaches>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D79" i="1" l="1"/>
  <c r="LD77" i="1"/>
  <c r="LD76" i="1"/>
  <c r="LD75" i="1"/>
  <c r="LD74" i="1"/>
  <c r="LD73" i="1"/>
  <c r="LD72" i="1"/>
  <c r="LD70" i="1"/>
  <c r="LD69" i="1"/>
  <c r="LD68" i="1"/>
  <c r="LD67" i="1"/>
  <c r="LD66" i="1"/>
  <c r="LD65" i="1"/>
  <c r="LD64" i="1"/>
  <c r="LD63" i="1"/>
  <c r="LD62" i="1"/>
  <c r="LD61" i="1"/>
  <c r="LD60" i="1"/>
  <c r="LD59" i="1"/>
  <c r="LD58" i="1"/>
  <c r="LD57" i="1"/>
  <c r="LD56" i="1"/>
  <c r="LD55" i="1"/>
  <c r="LD54" i="1"/>
  <c r="LD53" i="1"/>
  <c r="LD52" i="1"/>
  <c r="LD51" i="1"/>
  <c r="LD50" i="1"/>
  <c r="LD49" i="1"/>
  <c r="LD48" i="1"/>
  <c r="LD47" i="1"/>
  <c r="LD46" i="1"/>
  <c r="LD45" i="1"/>
  <c r="LD44" i="1"/>
  <c r="LD43" i="1"/>
  <c r="LD42" i="1"/>
  <c r="LD41" i="1"/>
  <c r="LD40" i="1"/>
  <c r="LD38" i="1"/>
  <c r="LD37" i="1"/>
  <c r="LD36" i="1"/>
  <c r="LD35" i="1"/>
  <c r="LD34" i="1"/>
  <c r="LD33" i="1"/>
  <c r="LD32" i="1"/>
  <c r="LD31" i="1"/>
  <c r="LD30" i="1"/>
  <c r="LD29" i="1"/>
  <c r="LD28" i="1"/>
  <c r="LD27" i="1"/>
  <c r="LD26" i="1"/>
  <c r="LD25" i="1"/>
  <c r="LD24" i="1"/>
  <c r="LD23" i="1"/>
  <c r="LD22" i="1"/>
  <c r="LD21" i="1"/>
  <c r="LD20" i="1"/>
  <c r="LD19" i="1"/>
  <c r="LD18" i="1"/>
  <c r="LD17" i="1"/>
  <c r="LD16" i="1"/>
  <c r="LD15" i="1"/>
  <c r="LD14" i="1"/>
  <c r="LD13" i="1"/>
  <c r="LD12" i="1"/>
  <c r="LD11" i="1"/>
  <c r="LD10" i="1"/>
  <c r="BR109" i="12"/>
  <c r="AO109" i="12"/>
  <c r="AP109" i="12" s="1"/>
  <c r="AQ109" i="12" l="1"/>
  <c r="BR108" i="12" l="1"/>
  <c r="AR109" i="12"/>
  <c r="LD8" i="1"/>
  <c r="LJ80" i="1"/>
  <c r="LJ78" i="1"/>
  <c r="LJ71" i="1"/>
  <c r="LJ39" i="1"/>
  <c r="AS109" i="12" l="1"/>
  <c r="LJ81" i="1"/>
  <c r="AT109" i="12" l="1"/>
  <c r="BI35" i="2"/>
  <c r="BJ35" i="2"/>
  <c r="BK35" i="2"/>
  <c r="BI36" i="2"/>
  <c r="BJ36" i="2"/>
  <c r="BK36" i="2"/>
  <c r="LC80" i="1"/>
  <c r="LB80" i="1"/>
  <c r="LC78" i="1"/>
  <c r="LB78" i="1"/>
  <c r="LC71" i="1"/>
  <c r="LB71" i="1"/>
  <c r="LC39" i="1"/>
  <c r="LB39" i="1"/>
  <c r="KU80" i="1"/>
  <c r="KT80" i="1"/>
  <c r="KS80" i="1"/>
  <c r="KU78" i="1"/>
  <c r="KT78" i="1"/>
  <c r="KS78" i="1"/>
  <c r="KU71" i="1"/>
  <c r="KT71" i="1"/>
  <c r="KS71" i="1"/>
  <c r="KU39" i="1"/>
  <c r="KT39" i="1"/>
  <c r="KS39" i="1"/>
  <c r="KK80" i="1"/>
  <c r="KK78" i="1"/>
  <c r="KK71" i="1"/>
  <c r="KK39" i="1"/>
  <c r="KL39" i="1"/>
  <c r="VP80" i="1"/>
  <c r="VO80" i="1"/>
  <c r="VH80" i="1"/>
  <c r="VG80" i="1"/>
  <c r="UZ80" i="1"/>
  <c r="UY80" i="1"/>
  <c r="UR80" i="1"/>
  <c r="UQ80" i="1"/>
  <c r="VN79" i="1"/>
  <c r="VN80" i="1" s="1"/>
  <c r="VM79" i="1"/>
  <c r="VM80" i="1" s="1"/>
  <c r="VF79" i="1"/>
  <c r="VF80" i="1" s="1"/>
  <c r="VE79" i="1"/>
  <c r="VE80" i="1" s="1"/>
  <c r="UX79" i="1"/>
  <c r="UX80" i="1" s="1"/>
  <c r="UW79" i="1"/>
  <c r="UW80" i="1" s="1"/>
  <c r="UP79" i="1"/>
  <c r="UP80" i="1" s="1"/>
  <c r="UO79" i="1"/>
  <c r="UO80" i="1" s="1"/>
  <c r="VP78" i="1"/>
  <c r="VO78" i="1"/>
  <c r="VH78" i="1"/>
  <c r="VG78" i="1"/>
  <c r="UZ78" i="1"/>
  <c r="UY78" i="1"/>
  <c r="UR78" i="1"/>
  <c r="UQ78" i="1"/>
  <c r="VN77" i="1"/>
  <c r="VM77" i="1"/>
  <c r="VF77" i="1"/>
  <c r="VE77" i="1"/>
  <c r="UX77" i="1"/>
  <c r="UW77" i="1"/>
  <c r="UP77" i="1"/>
  <c r="UO77" i="1"/>
  <c r="VN76" i="1"/>
  <c r="VM76" i="1"/>
  <c r="VF76" i="1"/>
  <c r="VE76" i="1"/>
  <c r="UX76" i="1"/>
  <c r="UW76" i="1"/>
  <c r="UP76" i="1"/>
  <c r="UO76" i="1"/>
  <c r="VN75" i="1"/>
  <c r="VF75" i="1"/>
  <c r="UX75" i="1"/>
  <c r="UP75" i="1"/>
  <c r="VN74" i="1"/>
  <c r="VF74" i="1"/>
  <c r="UX74" i="1"/>
  <c r="UP74" i="1"/>
  <c r="VN73" i="1"/>
  <c r="VM73" i="1"/>
  <c r="VF73" i="1"/>
  <c r="VE73" i="1"/>
  <c r="UX73" i="1"/>
  <c r="UW73" i="1"/>
  <c r="UP73" i="1"/>
  <c r="UO73" i="1"/>
  <c r="VN72" i="1"/>
  <c r="VM72" i="1"/>
  <c r="VF72" i="1"/>
  <c r="VE72" i="1"/>
  <c r="UX72" i="1"/>
  <c r="UW72" i="1"/>
  <c r="UP72" i="1"/>
  <c r="UO72" i="1"/>
  <c r="VP71" i="1"/>
  <c r="VO71" i="1"/>
  <c r="VH71" i="1"/>
  <c r="VG71" i="1"/>
  <c r="UZ71" i="1"/>
  <c r="UY71" i="1"/>
  <c r="UR71" i="1"/>
  <c r="UQ71" i="1"/>
  <c r="VM70" i="1"/>
  <c r="VE70" i="1"/>
  <c r="UW70" i="1"/>
  <c r="UO70" i="1"/>
  <c r="VN68" i="1"/>
  <c r="VF68" i="1"/>
  <c r="UX68" i="1"/>
  <c r="UP68" i="1"/>
  <c r="VN66" i="1"/>
  <c r="VM66" i="1"/>
  <c r="VF66" i="1"/>
  <c r="VE66" i="1"/>
  <c r="UX66" i="1"/>
  <c r="UW66" i="1"/>
  <c r="UP66" i="1"/>
  <c r="UO66" i="1"/>
  <c r="VN65" i="1"/>
  <c r="VM65" i="1"/>
  <c r="VF65" i="1"/>
  <c r="VE65" i="1"/>
  <c r="UX65" i="1"/>
  <c r="UW65" i="1"/>
  <c r="UP65" i="1"/>
  <c r="UO65" i="1"/>
  <c r="VN64" i="1"/>
  <c r="VM64" i="1"/>
  <c r="VF64" i="1"/>
  <c r="VE64" i="1"/>
  <c r="UX64" i="1"/>
  <c r="UW64" i="1"/>
  <c r="UP64" i="1"/>
  <c r="UO64" i="1"/>
  <c r="VN63" i="1"/>
  <c r="VM63" i="1"/>
  <c r="VF63" i="1"/>
  <c r="VE63" i="1"/>
  <c r="UX63" i="1"/>
  <c r="UW63" i="1"/>
  <c r="UP63" i="1"/>
  <c r="UO63" i="1"/>
  <c r="VN62" i="1"/>
  <c r="VM62" i="1"/>
  <c r="VF62" i="1"/>
  <c r="VE62" i="1"/>
  <c r="UX62" i="1"/>
  <c r="UW62" i="1"/>
  <c r="UP62" i="1"/>
  <c r="UO62" i="1"/>
  <c r="VN61" i="1"/>
  <c r="VM61" i="1"/>
  <c r="VF61" i="1"/>
  <c r="VE61" i="1"/>
  <c r="UX61" i="1"/>
  <c r="UW61" i="1"/>
  <c r="UP61" i="1"/>
  <c r="UO61" i="1"/>
  <c r="VN60" i="1"/>
  <c r="VM60" i="1"/>
  <c r="VF60" i="1"/>
  <c r="VE60" i="1"/>
  <c r="UX60" i="1"/>
  <c r="UW60" i="1"/>
  <c r="UP60" i="1"/>
  <c r="UO60" i="1"/>
  <c r="VN59" i="1"/>
  <c r="VM59" i="1"/>
  <c r="VF59" i="1"/>
  <c r="VE59" i="1"/>
  <c r="UX59" i="1"/>
  <c r="UW59" i="1"/>
  <c r="UP59" i="1"/>
  <c r="UO59" i="1"/>
  <c r="VN58" i="1"/>
  <c r="VM58" i="1"/>
  <c r="VF58" i="1"/>
  <c r="VE58" i="1"/>
  <c r="UX58" i="1"/>
  <c r="UW58" i="1"/>
  <c r="UP58" i="1"/>
  <c r="UO58" i="1"/>
  <c r="VM57" i="1"/>
  <c r="VE57" i="1"/>
  <c r="UW57" i="1"/>
  <c r="UO57" i="1"/>
  <c r="VN56" i="1"/>
  <c r="VM56" i="1"/>
  <c r="VF56" i="1"/>
  <c r="VE56" i="1"/>
  <c r="UX56" i="1"/>
  <c r="UW56" i="1"/>
  <c r="UP56" i="1"/>
  <c r="UO56" i="1"/>
  <c r="VM55" i="1"/>
  <c r="VE55" i="1"/>
  <c r="UW55" i="1"/>
  <c r="UO55" i="1"/>
  <c r="VN54" i="1"/>
  <c r="VM54" i="1"/>
  <c r="VF54" i="1"/>
  <c r="VE54" i="1"/>
  <c r="UX54" i="1"/>
  <c r="UW54" i="1"/>
  <c r="UP54" i="1"/>
  <c r="UO54" i="1"/>
  <c r="VM53" i="1"/>
  <c r="VE53" i="1"/>
  <c r="UW53" i="1"/>
  <c r="UO53" i="1"/>
  <c r="VM52" i="1"/>
  <c r="VE52" i="1"/>
  <c r="UW52" i="1"/>
  <c r="UO52" i="1"/>
  <c r="VN51" i="1"/>
  <c r="VM51" i="1"/>
  <c r="VF51" i="1"/>
  <c r="VE51" i="1"/>
  <c r="UX51" i="1"/>
  <c r="UW51" i="1"/>
  <c r="UP51" i="1"/>
  <c r="UO51" i="1"/>
  <c r="VN50" i="1"/>
  <c r="VM50" i="1"/>
  <c r="VF50" i="1"/>
  <c r="VE50" i="1"/>
  <c r="UX50" i="1"/>
  <c r="UW50" i="1"/>
  <c r="UP50" i="1"/>
  <c r="UO50" i="1"/>
  <c r="VN49" i="1"/>
  <c r="VM49" i="1"/>
  <c r="VF49" i="1"/>
  <c r="VE49" i="1"/>
  <c r="UX49" i="1"/>
  <c r="UW49" i="1"/>
  <c r="UP49" i="1"/>
  <c r="UO49" i="1"/>
  <c r="VN48" i="1"/>
  <c r="VM48" i="1"/>
  <c r="VF48" i="1"/>
  <c r="VE48" i="1"/>
  <c r="UX48" i="1"/>
  <c r="UW48" i="1"/>
  <c r="UP48" i="1"/>
  <c r="UO48" i="1"/>
  <c r="VN47" i="1"/>
  <c r="VM47" i="1"/>
  <c r="VF47" i="1"/>
  <c r="VE47" i="1"/>
  <c r="UX47" i="1"/>
  <c r="UW47" i="1"/>
  <c r="UP47" i="1"/>
  <c r="UO47" i="1"/>
  <c r="VM46" i="1"/>
  <c r="VE46" i="1"/>
  <c r="UW46" i="1"/>
  <c r="UO46" i="1"/>
  <c r="VM45" i="1"/>
  <c r="VE45" i="1"/>
  <c r="UW45" i="1"/>
  <c r="UO45" i="1"/>
  <c r="VM44" i="1"/>
  <c r="VE44" i="1"/>
  <c r="UW44" i="1"/>
  <c r="UO44" i="1"/>
  <c r="VN43" i="1"/>
  <c r="VM43" i="1"/>
  <c r="VF43" i="1"/>
  <c r="VE43" i="1"/>
  <c r="UX43" i="1"/>
  <c r="UW43" i="1"/>
  <c r="UP43" i="1"/>
  <c r="UO43" i="1"/>
  <c r="VM42" i="1"/>
  <c r="VE42" i="1"/>
  <c r="UW42" i="1"/>
  <c r="UO42" i="1"/>
  <c r="VN41" i="1"/>
  <c r="VM41" i="1"/>
  <c r="VF41" i="1"/>
  <c r="VE41" i="1"/>
  <c r="UX41" i="1"/>
  <c r="UW41" i="1"/>
  <c r="UP41" i="1"/>
  <c r="UO41" i="1"/>
  <c r="VM40" i="1"/>
  <c r="VE40" i="1"/>
  <c r="UW40" i="1"/>
  <c r="UO40" i="1"/>
  <c r="VP39" i="1"/>
  <c r="VO39" i="1"/>
  <c r="VH39" i="1"/>
  <c r="VG39" i="1"/>
  <c r="UZ39" i="1"/>
  <c r="UY39" i="1"/>
  <c r="UR39" i="1"/>
  <c r="UQ39" i="1"/>
  <c r="VN37" i="1"/>
  <c r="VF37" i="1"/>
  <c r="UX37" i="1"/>
  <c r="UP37" i="1"/>
  <c r="VN35" i="1"/>
  <c r="VF35" i="1"/>
  <c r="UX35" i="1"/>
  <c r="UP35" i="1"/>
  <c r="VN34" i="1"/>
  <c r="VM34" i="1"/>
  <c r="VF34" i="1"/>
  <c r="VE34" i="1"/>
  <c r="UX34" i="1"/>
  <c r="UW34" i="1"/>
  <c r="UP34" i="1"/>
  <c r="UO34" i="1"/>
  <c r="VN33" i="1"/>
  <c r="VM33" i="1"/>
  <c r="VF33" i="1"/>
  <c r="VE33" i="1"/>
  <c r="UX33" i="1"/>
  <c r="UW33" i="1"/>
  <c r="UP33" i="1"/>
  <c r="UO33" i="1"/>
  <c r="VN32" i="1"/>
  <c r="VM32" i="1"/>
  <c r="VF32" i="1"/>
  <c r="VE32" i="1"/>
  <c r="UX32" i="1"/>
  <c r="UW32" i="1"/>
  <c r="UP32" i="1"/>
  <c r="UO32" i="1"/>
  <c r="VN31" i="1"/>
  <c r="VM31" i="1"/>
  <c r="VF31" i="1"/>
  <c r="VE31" i="1"/>
  <c r="UX31" i="1"/>
  <c r="UW31" i="1"/>
  <c r="UP31" i="1"/>
  <c r="UO31" i="1"/>
  <c r="VN30" i="1"/>
  <c r="VM30" i="1"/>
  <c r="VF30" i="1"/>
  <c r="VE30" i="1"/>
  <c r="UX30" i="1"/>
  <c r="UW30" i="1"/>
  <c r="UP30" i="1"/>
  <c r="UO30" i="1"/>
  <c r="VM29" i="1"/>
  <c r="VE29" i="1"/>
  <c r="UW29" i="1"/>
  <c r="UO29" i="1"/>
  <c r="VM28" i="1"/>
  <c r="VE28" i="1"/>
  <c r="UW28" i="1"/>
  <c r="UO28" i="1"/>
  <c r="VN27" i="1"/>
  <c r="VM27" i="1"/>
  <c r="VF27" i="1"/>
  <c r="VE27" i="1"/>
  <c r="UX27" i="1"/>
  <c r="UW27" i="1"/>
  <c r="UP27" i="1"/>
  <c r="UO27" i="1"/>
  <c r="VM26" i="1"/>
  <c r="VE26" i="1"/>
  <c r="UW26" i="1"/>
  <c r="UO26" i="1"/>
  <c r="VN25" i="1"/>
  <c r="VM25" i="1"/>
  <c r="VF25" i="1"/>
  <c r="VE25" i="1"/>
  <c r="UX25" i="1"/>
  <c r="UW25" i="1"/>
  <c r="UP25" i="1"/>
  <c r="UO25" i="1"/>
  <c r="VN24" i="1"/>
  <c r="VM24" i="1"/>
  <c r="VF24" i="1"/>
  <c r="VE24" i="1"/>
  <c r="UX24" i="1"/>
  <c r="UW24" i="1"/>
  <c r="UP24" i="1"/>
  <c r="UO24" i="1"/>
  <c r="VN23" i="1"/>
  <c r="VM23" i="1"/>
  <c r="VF23" i="1"/>
  <c r="VE23" i="1"/>
  <c r="UX23" i="1"/>
  <c r="UW23" i="1"/>
  <c r="UP23" i="1"/>
  <c r="UO23" i="1"/>
  <c r="VN22" i="1"/>
  <c r="VM22" i="1"/>
  <c r="VF22" i="1"/>
  <c r="VE22" i="1"/>
  <c r="UX22" i="1"/>
  <c r="UW22" i="1"/>
  <c r="UP22" i="1"/>
  <c r="UO22" i="1"/>
  <c r="VN21" i="1"/>
  <c r="VM21" i="1"/>
  <c r="VF21" i="1"/>
  <c r="VE21" i="1"/>
  <c r="UX21" i="1"/>
  <c r="UW21" i="1"/>
  <c r="UP21" i="1"/>
  <c r="UO21" i="1"/>
  <c r="VN20" i="1"/>
  <c r="VM20" i="1"/>
  <c r="VF20" i="1"/>
  <c r="VE20" i="1"/>
  <c r="UX20" i="1"/>
  <c r="UW20" i="1"/>
  <c r="UP20" i="1"/>
  <c r="UO20" i="1"/>
  <c r="VN19" i="1"/>
  <c r="VM19" i="1"/>
  <c r="VF19" i="1"/>
  <c r="VE19" i="1"/>
  <c r="UX19" i="1"/>
  <c r="UW19" i="1"/>
  <c r="UP19" i="1"/>
  <c r="UO19" i="1"/>
  <c r="VM18" i="1"/>
  <c r="VE18" i="1"/>
  <c r="UW18" i="1"/>
  <c r="UO18" i="1"/>
  <c r="VM17" i="1"/>
  <c r="VE17" i="1"/>
  <c r="UW17" i="1"/>
  <c r="UO17" i="1"/>
  <c r="VN16" i="1"/>
  <c r="VM16" i="1"/>
  <c r="VF16" i="1"/>
  <c r="VE16" i="1"/>
  <c r="UX16" i="1"/>
  <c r="UW16" i="1"/>
  <c r="UP16" i="1"/>
  <c r="UO16" i="1"/>
  <c r="VM15" i="1"/>
  <c r="VE15" i="1"/>
  <c r="UW15" i="1"/>
  <c r="UO15" i="1"/>
  <c r="VN14" i="1"/>
  <c r="VM14" i="1"/>
  <c r="VF14" i="1"/>
  <c r="VE14" i="1"/>
  <c r="UX14" i="1"/>
  <c r="UW14" i="1"/>
  <c r="UP14" i="1"/>
  <c r="UO14" i="1"/>
  <c r="VM13" i="1"/>
  <c r="VE13" i="1"/>
  <c r="UW13" i="1"/>
  <c r="UO13" i="1"/>
  <c r="VM12" i="1"/>
  <c r="VE12" i="1"/>
  <c r="UW12" i="1"/>
  <c r="UO12" i="1"/>
  <c r="VN11" i="1"/>
  <c r="VM11" i="1"/>
  <c r="VF11" i="1"/>
  <c r="VE11" i="1"/>
  <c r="UX11" i="1"/>
  <c r="UW11" i="1"/>
  <c r="UP11" i="1"/>
  <c r="UO11" i="1"/>
  <c r="VM10" i="1"/>
  <c r="VE10" i="1"/>
  <c r="UW10" i="1"/>
  <c r="UO10" i="1"/>
  <c r="VO8" i="1"/>
  <c r="KL80" i="1"/>
  <c r="KJ80" i="1"/>
  <c r="KL78" i="1"/>
  <c r="KJ78" i="1"/>
  <c r="KL71" i="1"/>
  <c r="KJ71" i="1"/>
  <c r="KJ39" i="1"/>
  <c r="AU109" i="12" l="1"/>
  <c r="KT81" i="1"/>
  <c r="KS81" i="1"/>
  <c r="KU81" i="1"/>
  <c r="LB81" i="1"/>
  <c r="LC81" i="1"/>
  <c r="KJ81" i="1"/>
  <c r="UX78" i="1"/>
  <c r="VP81" i="1"/>
  <c r="VF78" i="1"/>
  <c r="VG81" i="1"/>
  <c r="KL81" i="1"/>
  <c r="UZ81" i="1"/>
  <c r="UP78" i="1"/>
  <c r="VH81" i="1"/>
  <c r="VO81" i="1"/>
  <c r="VO82" i="1" s="1"/>
  <c r="VN78" i="1"/>
  <c r="UQ81" i="1"/>
  <c r="UR81" i="1"/>
  <c r="UY81" i="1"/>
  <c r="KK81" i="1"/>
  <c r="BH35" i="2"/>
  <c r="KC80" i="1"/>
  <c r="KB80" i="1"/>
  <c r="KC78" i="1"/>
  <c r="KB78" i="1"/>
  <c r="KC71" i="1"/>
  <c r="KB71" i="1"/>
  <c r="KC39" i="1"/>
  <c r="KB39" i="1"/>
  <c r="JU80" i="1"/>
  <c r="JT80" i="1"/>
  <c r="JU78" i="1"/>
  <c r="JT78" i="1"/>
  <c r="JU71" i="1"/>
  <c r="JT71" i="1"/>
  <c r="JU39" i="1"/>
  <c r="JT39" i="1"/>
  <c r="AV109" i="12" l="1"/>
  <c r="KB81" i="1"/>
  <c r="KC81" i="1"/>
  <c r="JU81" i="1"/>
  <c r="JT81" i="1"/>
  <c r="UH34" i="1"/>
  <c r="UG34" i="1"/>
  <c r="TZ34" i="1"/>
  <c r="TY34" i="1"/>
  <c r="TR34" i="1"/>
  <c r="TQ34" i="1"/>
  <c r="TJ34" i="1"/>
  <c r="TI34" i="1"/>
  <c r="TB34" i="1"/>
  <c r="TA34" i="1"/>
  <c r="ST34" i="1"/>
  <c r="SS34" i="1"/>
  <c r="SL34" i="1"/>
  <c r="SK34" i="1"/>
  <c r="SD34" i="1"/>
  <c r="SC34" i="1"/>
  <c r="RV34" i="1"/>
  <c r="RU34" i="1"/>
  <c r="RN34" i="1"/>
  <c r="RM34" i="1"/>
  <c r="RF34" i="1"/>
  <c r="RE34" i="1"/>
  <c r="QX34" i="1"/>
  <c r="QW34" i="1"/>
  <c r="QP34" i="1"/>
  <c r="QO34" i="1"/>
  <c r="QH34" i="1"/>
  <c r="QG34" i="1"/>
  <c r="PZ34" i="1"/>
  <c r="PY34" i="1"/>
  <c r="PR34" i="1"/>
  <c r="PQ34" i="1"/>
  <c r="PJ34" i="1"/>
  <c r="PI34" i="1"/>
  <c r="PB34" i="1"/>
  <c r="PA34" i="1"/>
  <c r="OT34" i="1"/>
  <c r="OS34" i="1"/>
  <c r="OL34" i="1"/>
  <c r="OK34" i="1"/>
  <c r="OD34" i="1"/>
  <c r="OC34" i="1"/>
  <c r="NV34" i="1"/>
  <c r="NU34" i="1"/>
  <c r="NN34" i="1"/>
  <c r="NM34" i="1"/>
  <c r="NF34" i="1"/>
  <c r="NE34" i="1"/>
  <c r="MX34" i="1"/>
  <c r="MW34" i="1"/>
  <c r="MP34" i="1"/>
  <c r="MO34" i="1"/>
  <c r="MH34" i="1"/>
  <c r="MG34" i="1"/>
  <c r="LZ34" i="1"/>
  <c r="LY34" i="1"/>
  <c r="LR34" i="1"/>
  <c r="LQ34" i="1"/>
  <c r="LI34" i="1"/>
  <c r="LH34" i="1"/>
  <c r="LA34" i="1"/>
  <c r="KZ34" i="1"/>
  <c r="KR34" i="1"/>
  <c r="KQ34" i="1"/>
  <c r="KI34" i="1"/>
  <c r="KH34" i="1"/>
  <c r="KA34" i="1"/>
  <c r="JZ34" i="1"/>
  <c r="JS34" i="1"/>
  <c r="JR34" i="1"/>
  <c r="JJ34" i="1"/>
  <c r="JI34" i="1"/>
  <c r="JB34" i="1"/>
  <c r="JA34" i="1"/>
  <c r="IS34" i="1"/>
  <c r="IR34" i="1"/>
  <c r="IK34" i="1"/>
  <c r="IJ34" i="1"/>
  <c r="IB34" i="1"/>
  <c r="IA34" i="1"/>
  <c r="HS34" i="1"/>
  <c r="HR34" i="1"/>
  <c r="HJ34" i="1"/>
  <c r="HI34" i="1"/>
  <c r="HA34" i="1"/>
  <c r="GZ34" i="1"/>
  <c r="GR34" i="1"/>
  <c r="GQ34" i="1"/>
  <c r="GI34" i="1"/>
  <c r="GH34" i="1"/>
  <c r="FV34" i="1"/>
  <c r="FU34" i="1"/>
  <c r="FN34" i="1"/>
  <c r="FM34" i="1"/>
  <c r="FF34" i="1"/>
  <c r="FE34" i="1"/>
  <c r="EX34" i="1"/>
  <c r="EW34" i="1"/>
  <c r="EP34" i="1"/>
  <c r="EO34" i="1"/>
  <c r="EG34" i="1"/>
  <c r="EF34" i="1"/>
  <c r="DW34" i="1"/>
  <c r="DV34" i="1"/>
  <c r="DO34" i="1"/>
  <c r="DN34" i="1"/>
  <c r="DF34" i="1"/>
  <c r="DE34" i="1"/>
  <c r="CV34" i="1"/>
  <c r="CU34" i="1"/>
  <c r="CM34" i="1"/>
  <c r="CL34" i="1"/>
  <c r="CC34" i="1"/>
  <c r="CB34" i="1"/>
  <c r="BR34" i="1"/>
  <c r="BQ34" i="1"/>
  <c r="BH34" i="1"/>
  <c r="BG34" i="1"/>
  <c r="AZ34" i="1"/>
  <c r="AY34" i="1"/>
  <c r="AQ34" i="1"/>
  <c r="AP34" i="1"/>
  <c r="AI34" i="1"/>
  <c r="AH34" i="1"/>
  <c r="AA34" i="1"/>
  <c r="Z34" i="1"/>
  <c r="S34" i="1"/>
  <c r="R34" i="1"/>
  <c r="K34" i="1"/>
  <c r="J34" i="1"/>
  <c r="I34" i="1"/>
  <c r="UH66" i="1"/>
  <c r="UG66" i="1"/>
  <c r="TZ66" i="1"/>
  <c r="TY66" i="1"/>
  <c r="TR66" i="1"/>
  <c r="TQ66" i="1"/>
  <c r="TJ66" i="1"/>
  <c r="TI66" i="1"/>
  <c r="TB66" i="1"/>
  <c r="TA66" i="1"/>
  <c r="ST66" i="1"/>
  <c r="SS66" i="1"/>
  <c r="SL66" i="1"/>
  <c r="SK66" i="1"/>
  <c r="SD66" i="1"/>
  <c r="SC66" i="1"/>
  <c r="RV66" i="1"/>
  <c r="RU66" i="1"/>
  <c r="RN66" i="1"/>
  <c r="RM66" i="1"/>
  <c r="RF66" i="1"/>
  <c r="RE66" i="1"/>
  <c r="QX66" i="1"/>
  <c r="QW66" i="1"/>
  <c r="QP66" i="1"/>
  <c r="QO66" i="1"/>
  <c r="QH66" i="1"/>
  <c r="QG66" i="1"/>
  <c r="PZ66" i="1"/>
  <c r="PY66" i="1"/>
  <c r="PR66" i="1"/>
  <c r="PQ66" i="1"/>
  <c r="PJ66" i="1"/>
  <c r="PI66" i="1"/>
  <c r="PB66" i="1"/>
  <c r="PA66" i="1"/>
  <c r="OT66" i="1"/>
  <c r="OS66" i="1"/>
  <c r="OL66" i="1"/>
  <c r="OK66" i="1"/>
  <c r="OD66" i="1"/>
  <c r="OC66" i="1"/>
  <c r="NV66" i="1"/>
  <c r="NU66" i="1"/>
  <c r="NN66" i="1"/>
  <c r="NM66" i="1"/>
  <c r="NF66" i="1"/>
  <c r="NE66" i="1"/>
  <c r="MX66" i="1"/>
  <c r="MW66" i="1"/>
  <c r="MP66" i="1"/>
  <c r="MO66" i="1"/>
  <c r="MH66" i="1"/>
  <c r="MG66" i="1"/>
  <c r="LZ66" i="1"/>
  <c r="LY66" i="1"/>
  <c r="LR66" i="1"/>
  <c r="LQ66" i="1"/>
  <c r="LI66" i="1"/>
  <c r="LH66" i="1"/>
  <c r="LA66" i="1"/>
  <c r="KZ66" i="1"/>
  <c r="KR66" i="1"/>
  <c r="KQ66" i="1"/>
  <c r="KI66" i="1"/>
  <c r="KH66" i="1"/>
  <c r="KA66" i="1"/>
  <c r="JZ66" i="1"/>
  <c r="JS66" i="1"/>
  <c r="JR66" i="1"/>
  <c r="JJ66" i="1"/>
  <c r="JI66" i="1"/>
  <c r="JB66" i="1"/>
  <c r="JA66" i="1"/>
  <c r="IS66" i="1"/>
  <c r="IR66" i="1"/>
  <c r="IK66" i="1"/>
  <c r="IJ66" i="1"/>
  <c r="IB66" i="1"/>
  <c r="IA66" i="1"/>
  <c r="HS66" i="1"/>
  <c r="HR66" i="1"/>
  <c r="HJ66" i="1"/>
  <c r="HI66" i="1"/>
  <c r="HA66" i="1"/>
  <c r="GZ66" i="1"/>
  <c r="GR66" i="1"/>
  <c r="GQ66" i="1"/>
  <c r="GI66" i="1"/>
  <c r="GH66" i="1"/>
  <c r="FV66" i="1"/>
  <c r="FU66" i="1"/>
  <c r="FN66" i="1"/>
  <c r="FM66" i="1"/>
  <c r="FF66" i="1"/>
  <c r="FE66" i="1"/>
  <c r="EX66" i="1"/>
  <c r="EW66" i="1"/>
  <c r="EP66" i="1"/>
  <c r="EO66" i="1"/>
  <c r="EG66" i="1"/>
  <c r="EF66" i="1"/>
  <c r="DW66" i="1"/>
  <c r="DV66" i="1"/>
  <c r="DO66" i="1"/>
  <c r="DN66" i="1"/>
  <c r="DF66" i="1"/>
  <c r="DE66" i="1"/>
  <c r="CV66" i="1"/>
  <c r="CU66" i="1"/>
  <c r="CM66" i="1"/>
  <c r="CL66" i="1"/>
  <c r="CC66" i="1"/>
  <c r="CB66" i="1"/>
  <c r="BR66" i="1"/>
  <c r="BQ66" i="1"/>
  <c r="BH66" i="1"/>
  <c r="BG66" i="1"/>
  <c r="AZ66" i="1"/>
  <c r="AY66" i="1"/>
  <c r="AQ66" i="1"/>
  <c r="AP66" i="1"/>
  <c r="AI66" i="1"/>
  <c r="AH66" i="1"/>
  <c r="AA66" i="1"/>
  <c r="Z66" i="1"/>
  <c r="S66" i="1"/>
  <c r="R66" i="1"/>
  <c r="K66" i="1"/>
  <c r="J66" i="1"/>
  <c r="I66" i="1"/>
  <c r="UH65" i="1"/>
  <c r="UG65" i="1"/>
  <c r="TZ65" i="1"/>
  <c r="TY65" i="1"/>
  <c r="TR65" i="1"/>
  <c r="TQ65" i="1"/>
  <c r="TJ65" i="1"/>
  <c r="TI65" i="1"/>
  <c r="TB65" i="1"/>
  <c r="TA65" i="1"/>
  <c r="ST65" i="1"/>
  <c r="SS65" i="1"/>
  <c r="SL65" i="1"/>
  <c r="SK65" i="1"/>
  <c r="SD65" i="1"/>
  <c r="SC65" i="1"/>
  <c r="RV65" i="1"/>
  <c r="RU65" i="1"/>
  <c r="RN65" i="1"/>
  <c r="RM65" i="1"/>
  <c r="RF65" i="1"/>
  <c r="RE65" i="1"/>
  <c r="QX65" i="1"/>
  <c r="QW65" i="1"/>
  <c r="QP65" i="1"/>
  <c r="QO65" i="1"/>
  <c r="QH65" i="1"/>
  <c r="QG65" i="1"/>
  <c r="PZ65" i="1"/>
  <c r="PY65" i="1"/>
  <c r="PR65" i="1"/>
  <c r="PQ65" i="1"/>
  <c r="PJ65" i="1"/>
  <c r="PI65" i="1"/>
  <c r="PB65" i="1"/>
  <c r="PA65" i="1"/>
  <c r="OT65" i="1"/>
  <c r="OS65" i="1"/>
  <c r="OL65" i="1"/>
  <c r="OK65" i="1"/>
  <c r="OD65" i="1"/>
  <c r="OC65" i="1"/>
  <c r="NV65" i="1"/>
  <c r="NU65" i="1"/>
  <c r="NN65" i="1"/>
  <c r="NM65" i="1"/>
  <c r="NF65" i="1"/>
  <c r="NE65" i="1"/>
  <c r="MX65" i="1"/>
  <c r="MW65" i="1"/>
  <c r="MP65" i="1"/>
  <c r="MO65" i="1"/>
  <c r="MH65" i="1"/>
  <c r="MG65" i="1"/>
  <c r="LZ65" i="1"/>
  <c r="LY65" i="1"/>
  <c r="LR65" i="1"/>
  <c r="LQ65" i="1"/>
  <c r="LI65" i="1"/>
  <c r="LH65" i="1"/>
  <c r="LA65" i="1"/>
  <c r="KZ65" i="1"/>
  <c r="KR65" i="1"/>
  <c r="KQ65" i="1"/>
  <c r="KI65" i="1"/>
  <c r="KH65" i="1"/>
  <c r="KA65" i="1"/>
  <c r="JZ65" i="1"/>
  <c r="JS65" i="1"/>
  <c r="JR65" i="1"/>
  <c r="JJ65" i="1"/>
  <c r="JI65" i="1"/>
  <c r="JB65" i="1"/>
  <c r="JA65" i="1"/>
  <c r="IS65" i="1"/>
  <c r="IR65" i="1"/>
  <c r="IK65" i="1"/>
  <c r="IJ65" i="1"/>
  <c r="IB65" i="1"/>
  <c r="IA65" i="1"/>
  <c r="HS65" i="1"/>
  <c r="HR65" i="1"/>
  <c r="HJ65" i="1"/>
  <c r="HI65" i="1"/>
  <c r="HA65" i="1"/>
  <c r="GZ65" i="1"/>
  <c r="GR65" i="1"/>
  <c r="GQ65" i="1"/>
  <c r="GI65" i="1"/>
  <c r="GH65" i="1"/>
  <c r="FV65" i="1"/>
  <c r="FU65" i="1"/>
  <c r="FN65" i="1"/>
  <c r="FM65" i="1"/>
  <c r="FF65" i="1"/>
  <c r="FE65" i="1"/>
  <c r="EX65" i="1"/>
  <c r="EW65" i="1"/>
  <c r="EP65" i="1"/>
  <c r="EO65" i="1"/>
  <c r="EG65" i="1"/>
  <c r="EF65" i="1"/>
  <c r="DW65" i="1"/>
  <c r="DV65" i="1"/>
  <c r="DO65" i="1"/>
  <c r="DN65" i="1"/>
  <c r="DF65" i="1"/>
  <c r="DE65" i="1"/>
  <c r="CV65" i="1"/>
  <c r="CU65" i="1"/>
  <c r="CM65" i="1"/>
  <c r="CL65" i="1"/>
  <c r="CC65" i="1"/>
  <c r="CB65" i="1"/>
  <c r="BR65" i="1"/>
  <c r="BQ65" i="1"/>
  <c r="BH65" i="1"/>
  <c r="BG65" i="1"/>
  <c r="AZ65" i="1"/>
  <c r="AY65" i="1"/>
  <c r="AQ65" i="1"/>
  <c r="AP65" i="1"/>
  <c r="AI65" i="1"/>
  <c r="AH65" i="1"/>
  <c r="AA65" i="1"/>
  <c r="Z65" i="1"/>
  <c r="S65" i="1"/>
  <c r="R65" i="1"/>
  <c r="K65" i="1"/>
  <c r="J65" i="1"/>
  <c r="I65" i="1"/>
  <c r="UH64" i="1"/>
  <c r="UG64" i="1"/>
  <c r="TZ64" i="1"/>
  <c r="TY64" i="1"/>
  <c r="TR64" i="1"/>
  <c r="TQ64" i="1"/>
  <c r="TJ64" i="1"/>
  <c r="TI64" i="1"/>
  <c r="TB64" i="1"/>
  <c r="TA64" i="1"/>
  <c r="ST64" i="1"/>
  <c r="SS64" i="1"/>
  <c r="SL64" i="1"/>
  <c r="SK64" i="1"/>
  <c r="SD64" i="1"/>
  <c r="SC64" i="1"/>
  <c r="RV64" i="1"/>
  <c r="RU64" i="1"/>
  <c r="RN64" i="1"/>
  <c r="RM64" i="1"/>
  <c r="RF64" i="1"/>
  <c r="RE64" i="1"/>
  <c r="QX64" i="1"/>
  <c r="QW64" i="1"/>
  <c r="QP64" i="1"/>
  <c r="QO64" i="1"/>
  <c r="QH64" i="1"/>
  <c r="QG64" i="1"/>
  <c r="PZ64" i="1"/>
  <c r="PY64" i="1"/>
  <c r="PR64" i="1"/>
  <c r="PQ64" i="1"/>
  <c r="PJ64" i="1"/>
  <c r="PI64" i="1"/>
  <c r="PB64" i="1"/>
  <c r="PA64" i="1"/>
  <c r="OT64" i="1"/>
  <c r="OS64" i="1"/>
  <c r="OL64" i="1"/>
  <c r="OK64" i="1"/>
  <c r="OD64" i="1"/>
  <c r="OC64" i="1"/>
  <c r="NV64" i="1"/>
  <c r="NU64" i="1"/>
  <c r="NN64" i="1"/>
  <c r="NM64" i="1"/>
  <c r="NF64" i="1"/>
  <c r="NE64" i="1"/>
  <c r="MX64" i="1"/>
  <c r="MW64" i="1"/>
  <c r="MP64" i="1"/>
  <c r="MO64" i="1"/>
  <c r="MH64" i="1"/>
  <c r="MG64" i="1"/>
  <c r="LZ64" i="1"/>
  <c r="LY64" i="1"/>
  <c r="LR64" i="1"/>
  <c r="LQ64" i="1"/>
  <c r="LI64" i="1"/>
  <c r="LH64" i="1"/>
  <c r="LA64" i="1"/>
  <c r="KZ64" i="1"/>
  <c r="KR64" i="1"/>
  <c r="KQ64" i="1"/>
  <c r="KI64" i="1"/>
  <c r="KH64" i="1"/>
  <c r="KA64" i="1"/>
  <c r="JZ64" i="1"/>
  <c r="JS64" i="1"/>
  <c r="JR64" i="1"/>
  <c r="JJ64" i="1"/>
  <c r="JI64" i="1"/>
  <c r="JB64" i="1"/>
  <c r="JA64" i="1"/>
  <c r="IS64" i="1"/>
  <c r="IR64" i="1"/>
  <c r="IK64" i="1"/>
  <c r="IJ64" i="1"/>
  <c r="IB64" i="1"/>
  <c r="IA64" i="1"/>
  <c r="HS64" i="1"/>
  <c r="HR64" i="1"/>
  <c r="HJ64" i="1"/>
  <c r="HI64" i="1"/>
  <c r="HA64" i="1"/>
  <c r="GZ64" i="1"/>
  <c r="GR64" i="1"/>
  <c r="GQ64" i="1"/>
  <c r="GI64" i="1"/>
  <c r="GH64" i="1"/>
  <c r="FV64" i="1"/>
  <c r="FU64" i="1"/>
  <c r="FN64" i="1"/>
  <c r="FM64" i="1"/>
  <c r="FF64" i="1"/>
  <c r="FE64" i="1"/>
  <c r="EX64" i="1"/>
  <c r="EW64" i="1"/>
  <c r="EP64" i="1"/>
  <c r="EO64" i="1"/>
  <c r="EG64" i="1"/>
  <c r="EF64" i="1"/>
  <c r="DW64" i="1"/>
  <c r="DV64" i="1"/>
  <c r="DO64" i="1"/>
  <c r="DN64" i="1"/>
  <c r="DF64" i="1"/>
  <c r="DE64" i="1"/>
  <c r="CV64" i="1"/>
  <c r="CU64" i="1"/>
  <c r="CM64" i="1"/>
  <c r="CL64" i="1"/>
  <c r="CC64" i="1"/>
  <c r="CB64" i="1"/>
  <c r="BR64" i="1"/>
  <c r="BQ64" i="1"/>
  <c r="BH64" i="1"/>
  <c r="BG64" i="1"/>
  <c r="AZ64" i="1"/>
  <c r="AY64" i="1"/>
  <c r="AQ64" i="1"/>
  <c r="AP64" i="1"/>
  <c r="AI64" i="1"/>
  <c r="AH64" i="1"/>
  <c r="AA64" i="1"/>
  <c r="Z64" i="1"/>
  <c r="S64" i="1"/>
  <c r="R64" i="1"/>
  <c r="K64" i="1"/>
  <c r="J64" i="1"/>
  <c r="I64" i="1"/>
  <c r="UH63" i="1"/>
  <c r="UG63" i="1"/>
  <c r="TZ63" i="1"/>
  <c r="TY63" i="1"/>
  <c r="TR63" i="1"/>
  <c r="TQ63" i="1"/>
  <c r="TJ63" i="1"/>
  <c r="TI63" i="1"/>
  <c r="TB63" i="1"/>
  <c r="TA63" i="1"/>
  <c r="ST63" i="1"/>
  <c r="SS63" i="1"/>
  <c r="SL63" i="1"/>
  <c r="SK63" i="1"/>
  <c r="SD63" i="1"/>
  <c r="SC63" i="1"/>
  <c r="RV63" i="1"/>
  <c r="RU63" i="1"/>
  <c r="RN63" i="1"/>
  <c r="RM63" i="1"/>
  <c r="RF63" i="1"/>
  <c r="RE63" i="1"/>
  <c r="QX63" i="1"/>
  <c r="QW63" i="1"/>
  <c r="QP63" i="1"/>
  <c r="QO63" i="1"/>
  <c r="QH63" i="1"/>
  <c r="QG63" i="1"/>
  <c r="PZ63" i="1"/>
  <c r="PY63" i="1"/>
  <c r="PR63" i="1"/>
  <c r="PQ63" i="1"/>
  <c r="PJ63" i="1"/>
  <c r="PI63" i="1"/>
  <c r="PB63" i="1"/>
  <c r="PA63" i="1"/>
  <c r="OT63" i="1"/>
  <c r="OS63" i="1"/>
  <c r="OL63" i="1"/>
  <c r="OK63" i="1"/>
  <c r="OD63" i="1"/>
  <c r="OC63" i="1"/>
  <c r="NV63" i="1"/>
  <c r="NU63" i="1"/>
  <c r="NN63" i="1"/>
  <c r="NM63" i="1"/>
  <c r="NF63" i="1"/>
  <c r="NE63" i="1"/>
  <c r="MX63" i="1"/>
  <c r="MW63" i="1"/>
  <c r="MP63" i="1"/>
  <c r="MO63" i="1"/>
  <c r="MH63" i="1"/>
  <c r="MG63" i="1"/>
  <c r="LZ63" i="1"/>
  <c r="LY63" i="1"/>
  <c r="LR63" i="1"/>
  <c r="LQ63" i="1"/>
  <c r="LI63" i="1"/>
  <c r="LH63" i="1"/>
  <c r="LA63" i="1"/>
  <c r="KZ63" i="1"/>
  <c r="KR63" i="1"/>
  <c r="KQ63" i="1"/>
  <c r="KI63" i="1"/>
  <c r="KH63" i="1"/>
  <c r="KA63" i="1"/>
  <c r="JZ63" i="1"/>
  <c r="JS63" i="1"/>
  <c r="JR63" i="1"/>
  <c r="JJ63" i="1"/>
  <c r="JI63" i="1"/>
  <c r="JB63" i="1"/>
  <c r="JA63" i="1"/>
  <c r="IS63" i="1"/>
  <c r="IR63" i="1"/>
  <c r="IK63" i="1"/>
  <c r="IJ63" i="1"/>
  <c r="IB63" i="1"/>
  <c r="IA63" i="1"/>
  <c r="HS63" i="1"/>
  <c r="HR63" i="1"/>
  <c r="HJ63" i="1"/>
  <c r="HI63" i="1"/>
  <c r="HA63" i="1"/>
  <c r="GZ63" i="1"/>
  <c r="GR63" i="1"/>
  <c r="GQ63" i="1"/>
  <c r="GI63" i="1"/>
  <c r="GH63" i="1"/>
  <c r="FV63" i="1"/>
  <c r="FU63" i="1"/>
  <c r="FN63" i="1"/>
  <c r="FM63" i="1"/>
  <c r="FF63" i="1"/>
  <c r="FE63" i="1"/>
  <c r="EX63" i="1"/>
  <c r="EW63" i="1"/>
  <c r="EP63" i="1"/>
  <c r="EO63" i="1"/>
  <c r="EG63" i="1"/>
  <c r="EF63" i="1"/>
  <c r="DW63" i="1"/>
  <c r="DV63" i="1"/>
  <c r="DO63" i="1"/>
  <c r="DN63" i="1"/>
  <c r="DF63" i="1"/>
  <c r="DE63" i="1"/>
  <c r="CV63" i="1"/>
  <c r="CU63" i="1"/>
  <c r="CM63" i="1"/>
  <c r="CL63" i="1"/>
  <c r="CC63" i="1"/>
  <c r="CB63" i="1"/>
  <c r="BR63" i="1"/>
  <c r="BQ63" i="1"/>
  <c r="BH63" i="1"/>
  <c r="BG63" i="1"/>
  <c r="AZ63" i="1"/>
  <c r="AY63" i="1"/>
  <c r="AQ63" i="1"/>
  <c r="AP63" i="1"/>
  <c r="AI63" i="1"/>
  <c r="AH63" i="1"/>
  <c r="AA63" i="1"/>
  <c r="Z63" i="1"/>
  <c r="S63" i="1"/>
  <c r="R63" i="1"/>
  <c r="K63" i="1"/>
  <c r="J63" i="1"/>
  <c r="I63" i="1"/>
  <c r="UH62" i="1"/>
  <c r="UG62" i="1"/>
  <c r="TZ62" i="1"/>
  <c r="TY62" i="1"/>
  <c r="TR62" i="1"/>
  <c r="TQ62" i="1"/>
  <c r="TJ62" i="1"/>
  <c r="TI62" i="1"/>
  <c r="TB62" i="1"/>
  <c r="TA62" i="1"/>
  <c r="ST62" i="1"/>
  <c r="SS62" i="1"/>
  <c r="SL62" i="1"/>
  <c r="SK62" i="1"/>
  <c r="SD62" i="1"/>
  <c r="SC62" i="1"/>
  <c r="RV62" i="1"/>
  <c r="RU62" i="1"/>
  <c r="RN62" i="1"/>
  <c r="RM62" i="1"/>
  <c r="RF62" i="1"/>
  <c r="RE62" i="1"/>
  <c r="QX62" i="1"/>
  <c r="QW62" i="1"/>
  <c r="QP62" i="1"/>
  <c r="QO62" i="1"/>
  <c r="QH62" i="1"/>
  <c r="QG62" i="1"/>
  <c r="PZ62" i="1"/>
  <c r="PY62" i="1"/>
  <c r="PR62" i="1"/>
  <c r="PQ62" i="1"/>
  <c r="PJ62" i="1"/>
  <c r="PI62" i="1"/>
  <c r="PB62" i="1"/>
  <c r="PA62" i="1"/>
  <c r="OT62" i="1"/>
  <c r="OS62" i="1"/>
  <c r="OL62" i="1"/>
  <c r="OK62" i="1"/>
  <c r="OD62" i="1"/>
  <c r="OC62" i="1"/>
  <c r="NV62" i="1"/>
  <c r="NU62" i="1"/>
  <c r="NN62" i="1"/>
  <c r="NM62" i="1"/>
  <c r="NF62" i="1"/>
  <c r="NE62" i="1"/>
  <c r="MX62" i="1"/>
  <c r="MW62" i="1"/>
  <c r="MP62" i="1"/>
  <c r="MO62" i="1"/>
  <c r="MH62" i="1"/>
  <c r="MG62" i="1"/>
  <c r="LZ62" i="1"/>
  <c r="LY62" i="1"/>
  <c r="LR62" i="1"/>
  <c r="LQ62" i="1"/>
  <c r="LI62" i="1"/>
  <c r="LH62" i="1"/>
  <c r="LA62" i="1"/>
  <c r="KZ62" i="1"/>
  <c r="KR62" i="1"/>
  <c r="KQ62" i="1"/>
  <c r="KI62" i="1"/>
  <c r="KH62" i="1"/>
  <c r="KA62" i="1"/>
  <c r="JZ62" i="1"/>
  <c r="JS62" i="1"/>
  <c r="JR62" i="1"/>
  <c r="JJ62" i="1"/>
  <c r="JI62" i="1"/>
  <c r="JB62" i="1"/>
  <c r="JA62" i="1"/>
  <c r="IS62" i="1"/>
  <c r="IR62" i="1"/>
  <c r="IK62" i="1"/>
  <c r="IJ62" i="1"/>
  <c r="IB62" i="1"/>
  <c r="IA62" i="1"/>
  <c r="HS62" i="1"/>
  <c r="HR62" i="1"/>
  <c r="HJ62" i="1"/>
  <c r="HI62" i="1"/>
  <c r="HA62" i="1"/>
  <c r="GZ62" i="1"/>
  <c r="GR62" i="1"/>
  <c r="GQ62" i="1"/>
  <c r="GI62" i="1"/>
  <c r="GH62" i="1"/>
  <c r="FV62" i="1"/>
  <c r="FU62" i="1"/>
  <c r="FN62" i="1"/>
  <c r="FM62" i="1"/>
  <c r="FF62" i="1"/>
  <c r="FE62" i="1"/>
  <c r="EX62" i="1"/>
  <c r="EW62" i="1"/>
  <c r="EP62" i="1"/>
  <c r="EO62" i="1"/>
  <c r="EG62" i="1"/>
  <c r="EF62" i="1"/>
  <c r="DW62" i="1"/>
  <c r="DV62" i="1"/>
  <c r="DO62" i="1"/>
  <c r="DN62" i="1"/>
  <c r="DF62" i="1"/>
  <c r="DE62" i="1"/>
  <c r="CV62" i="1"/>
  <c r="CU62" i="1"/>
  <c r="CM62" i="1"/>
  <c r="CL62" i="1"/>
  <c r="CC62" i="1"/>
  <c r="CB62" i="1"/>
  <c r="BR62" i="1"/>
  <c r="BQ62" i="1"/>
  <c r="BH62" i="1"/>
  <c r="BG62" i="1"/>
  <c r="AZ62" i="1"/>
  <c r="AY62" i="1"/>
  <c r="AQ62" i="1"/>
  <c r="AP62" i="1"/>
  <c r="AI62" i="1"/>
  <c r="AH62" i="1"/>
  <c r="AA62" i="1"/>
  <c r="Z62" i="1"/>
  <c r="S62" i="1"/>
  <c r="R62" i="1"/>
  <c r="K62" i="1"/>
  <c r="J62" i="1"/>
  <c r="I62" i="1"/>
  <c r="AW109" i="12" l="1"/>
  <c r="N64" i="1"/>
  <c r="P64" i="1" s="1"/>
  <c r="V64" i="1" s="1"/>
  <c r="X64" i="1" s="1"/>
  <c r="AD64" i="1" s="1"/>
  <c r="AF64" i="1" s="1"/>
  <c r="AL64" i="1" s="1"/>
  <c r="AN64" i="1" s="1"/>
  <c r="AU64" i="1" s="1"/>
  <c r="AW64" i="1" s="1"/>
  <c r="BC64" i="1" s="1"/>
  <c r="BE64" i="1" s="1"/>
  <c r="BM64" i="1" s="1"/>
  <c r="BO64" i="1" s="1"/>
  <c r="BX64" i="1" s="1"/>
  <c r="BZ64" i="1" s="1"/>
  <c r="CH64" i="1" s="1"/>
  <c r="CJ64" i="1" s="1"/>
  <c r="CQ64" i="1" s="1"/>
  <c r="CS64" i="1" s="1"/>
  <c r="DA64" i="1" s="1"/>
  <c r="DC64" i="1" s="1"/>
  <c r="DJ64" i="1" s="1"/>
  <c r="DL64" i="1" s="1"/>
  <c r="DR64" i="1" s="1"/>
  <c r="DT64" i="1" s="1"/>
  <c r="EB64" i="1" s="1"/>
  <c r="ED64" i="1" s="1"/>
  <c r="EK64" i="1" s="1"/>
  <c r="EM64" i="1" s="1"/>
  <c r="ES64" i="1" s="1"/>
  <c r="EU64" i="1" s="1"/>
  <c r="FA64" i="1" s="1"/>
  <c r="FC64" i="1" s="1"/>
  <c r="FI64" i="1" s="1"/>
  <c r="FK64" i="1" s="1"/>
  <c r="FQ64" i="1" s="1"/>
  <c r="FS64" i="1" s="1"/>
  <c r="GD64" i="1" s="1"/>
  <c r="GF64" i="1" s="1"/>
  <c r="GM64" i="1" s="1"/>
  <c r="GO64" i="1" s="1"/>
  <c r="GV64" i="1" s="1"/>
  <c r="GX64" i="1" s="1"/>
  <c r="HE64" i="1" s="1"/>
  <c r="HG64" i="1" s="1"/>
  <c r="HN64" i="1" s="1"/>
  <c r="HP64" i="1" s="1"/>
  <c r="HW64" i="1" s="1"/>
  <c r="HY64" i="1" s="1"/>
  <c r="IF64" i="1" s="1"/>
  <c r="IH64" i="1" s="1"/>
  <c r="IN64" i="1" s="1"/>
  <c r="IP64" i="1" s="1"/>
  <c r="IW64" i="1" s="1"/>
  <c r="IY64" i="1" s="1"/>
  <c r="JE64" i="1" s="1"/>
  <c r="JG64" i="1" s="1"/>
  <c r="JN64" i="1" s="1"/>
  <c r="JP64" i="1" s="1"/>
  <c r="JV64" i="1" s="1"/>
  <c r="JX64" i="1" s="1"/>
  <c r="KD64" i="1" s="1"/>
  <c r="N65" i="1"/>
  <c r="P65" i="1" s="1"/>
  <c r="V65" i="1" s="1"/>
  <c r="X65" i="1" s="1"/>
  <c r="AD65" i="1" s="1"/>
  <c r="AF65" i="1" s="1"/>
  <c r="AL65" i="1" s="1"/>
  <c r="AN65" i="1" s="1"/>
  <c r="AU65" i="1" s="1"/>
  <c r="AW65" i="1" s="1"/>
  <c r="BC65" i="1" s="1"/>
  <c r="BE65" i="1" s="1"/>
  <c r="BM65" i="1" s="1"/>
  <c r="BO65" i="1" s="1"/>
  <c r="BX65" i="1" s="1"/>
  <c r="BZ65" i="1" s="1"/>
  <c r="CH65" i="1" s="1"/>
  <c r="CJ65" i="1" s="1"/>
  <c r="CQ65" i="1" s="1"/>
  <c r="CS65" i="1" s="1"/>
  <c r="DA65" i="1" s="1"/>
  <c r="DC65" i="1" s="1"/>
  <c r="DJ65" i="1" s="1"/>
  <c r="DL65" i="1" s="1"/>
  <c r="DR65" i="1" s="1"/>
  <c r="DT65" i="1" s="1"/>
  <c r="EB65" i="1" s="1"/>
  <c r="ED65" i="1" s="1"/>
  <c r="EK65" i="1" s="1"/>
  <c r="EM65" i="1" s="1"/>
  <c r="ES65" i="1" s="1"/>
  <c r="EU65" i="1" s="1"/>
  <c r="FA65" i="1" s="1"/>
  <c r="FC65" i="1" s="1"/>
  <c r="FI65" i="1" s="1"/>
  <c r="FK65" i="1" s="1"/>
  <c r="FQ65" i="1" s="1"/>
  <c r="FS65" i="1" s="1"/>
  <c r="GD65" i="1" s="1"/>
  <c r="GF65" i="1" s="1"/>
  <c r="GM65" i="1" s="1"/>
  <c r="GO65" i="1" s="1"/>
  <c r="GV65" i="1" s="1"/>
  <c r="GX65" i="1" s="1"/>
  <c r="HE65" i="1" s="1"/>
  <c r="HG65" i="1" s="1"/>
  <c r="HN65" i="1" s="1"/>
  <c r="HP65" i="1" s="1"/>
  <c r="HW65" i="1" s="1"/>
  <c r="HY65" i="1" s="1"/>
  <c r="IF65" i="1" s="1"/>
  <c r="IH65" i="1" s="1"/>
  <c r="IN65" i="1" s="1"/>
  <c r="IP65" i="1" s="1"/>
  <c r="IW65" i="1" s="1"/>
  <c r="IY65" i="1" s="1"/>
  <c r="JE65" i="1" s="1"/>
  <c r="JG65" i="1" s="1"/>
  <c r="JN65" i="1" s="1"/>
  <c r="JP65" i="1" s="1"/>
  <c r="JV65" i="1" s="1"/>
  <c r="JX65" i="1" s="1"/>
  <c r="KD65" i="1" s="1"/>
  <c r="N63" i="1"/>
  <c r="P63" i="1" s="1"/>
  <c r="V63" i="1" s="1"/>
  <c r="X63" i="1" s="1"/>
  <c r="AD63" i="1" s="1"/>
  <c r="AF63" i="1" s="1"/>
  <c r="AL63" i="1" s="1"/>
  <c r="AN63" i="1" s="1"/>
  <c r="AU63" i="1" s="1"/>
  <c r="AW63" i="1" s="1"/>
  <c r="BC63" i="1" s="1"/>
  <c r="BE63" i="1" s="1"/>
  <c r="BM63" i="1" s="1"/>
  <c r="BO63" i="1" s="1"/>
  <c r="BX63" i="1" s="1"/>
  <c r="BZ63" i="1" s="1"/>
  <c r="CH63" i="1" s="1"/>
  <c r="CJ63" i="1" s="1"/>
  <c r="CQ63" i="1" s="1"/>
  <c r="CS63" i="1" s="1"/>
  <c r="DA63" i="1" s="1"/>
  <c r="DC63" i="1" s="1"/>
  <c r="DJ63" i="1" s="1"/>
  <c r="DL63" i="1" s="1"/>
  <c r="DR63" i="1" s="1"/>
  <c r="DT63" i="1" s="1"/>
  <c r="EB63" i="1" s="1"/>
  <c r="ED63" i="1" s="1"/>
  <c r="EK63" i="1" s="1"/>
  <c r="EM63" i="1" s="1"/>
  <c r="ES63" i="1" s="1"/>
  <c r="EU63" i="1" s="1"/>
  <c r="FA63" i="1" s="1"/>
  <c r="FC63" i="1" s="1"/>
  <c r="FI63" i="1" s="1"/>
  <c r="FK63" i="1" s="1"/>
  <c r="FQ63" i="1" s="1"/>
  <c r="FS63" i="1" s="1"/>
  <c r="GD63" i="1" s="1"/>
  <c r="GF63" i="1" s="1"/>
  <c r="GM63" i="1" s="1"/>
  <c r="GO63" i="1" s="1"/>
  <c r="GV63" i="1" s="1"/>
  <c r="GX63" i="1" s="1"/>
  <c r="HE63" i="1" s="1"/>
  <c r="HG63" i="1" s="1"/>
  <c r="HN63" i="1" s="1"/>
  <c r="HP63" i="1" s="1"/>
  <c r="HW63" i="1" s="1"/>
  <c r="HY63" i="1" s="1"/>
  <c r="IF63" i="1" s="1"/>
  <c r="IH63" i="1" s="1"/>
  <c r="IN63" i="1" s="1"/>
  <c r="IP63" i="1" s="1"/>
  <c r="IW63" i="1" s="1"/>
  <c r="IY63" i="1" s="1"/>
  <c r="JE63" i="1" s="1"/>
  <c r="JG63" i="1" s="1"/>
  <c r="JN63" i="1" s="1"/>
  <c r="JP63" i="1" s="1"/>
  <c r="JV63" i="1" s="1"/>
  <c r="JX63" i="1" s="1"/>
  <c r="KD63" i="1" s="1"/>
  <c r="N62" i="1"/>
  <c r="P62" i="1" s="1"/>
  <c r="V62" i="1" s="1"/>
  <c r="X62" i="1" s="1"/>
  <c r="AD62" i="1" s="1"/>
  <c r="AF62" i="1" s="1"/>
  <c r="AL62" i="1" s="1"/>
  <c r="AN62" i="1" s="1"/>
  <c r="AU62" i="1" s="1"/>
  <c r="AW62" i="1" s="1"/>
  <c r="BC62" i="1" s="1"/>
  <c r="BE62" i="1" s="1"/>
  <c r="BM62" i="1" s="1"/>
  <c r="BO62" i="1" s="1"/>
  <c r="BX62" i="1" s="1"/>
  <c r="BZ62" i="1" s="1"/>
  <c r="CH62" i="1" s="1"/>
  <c r="CJ62" i="1" s="1"/>
  <c r="CQ62" i="1" s="1"/>
  <c r="CS62" i="1" s="1"/>
  <c r="DA62" i="1" s="1"/>
  <c r="DC62" i="1" s="1"/>
  <c r="DJ62" i="1" s="1"/>
  <c r="DL62" i="1" s="1"/>
  <c r="DR62" i="1" s="1"/>
  <c r="DT62" i="1" s="1"/>
  <c r="EB62" i="1" s="1"/>
  <c r="ED62" i="1" s="1"/>
  <c r="EK62" i="1" s="1"/>
  <c r="EM62" i="1" s="1"/>
  <c r="ES62" i="1" s="1"/>
  <c r="EU62" i="1" s="1"/>
  <c r="FA62" i="1" s="1"/>
  <c r="FC62" i="1" s="1"/>
  <c r="FI62" i="1" s="1"/>
  <c r="FK62" i="1" s="1"/>
  <c r="FQ62" i="1" s="1"/>
  <c r="FS62" i="1" s="1"/>
  <c r="GD62" i="1" s="1"/>
  <c r="GF62" i="1" s="1"/>
  <c r="GM62" i="1" s="1"/>
  <c r="GO62" i="1" s="1"/>
  <c r="GV62" i="1" s="1"/>
  <c r="GX62" i="1" s="1"/>
  <c r="HE62" i="1" s="1"/>
  <c r="HG62" i="1" s="1"/>
  <c r="HN62" i="1" s="1"/>
  <c r="HP62" i="1" s="1"/>
  <c r="HW62" i="1" s="1"/>
  <c r="HY62" i="1" s="1"/>
  <c r="IF62" i="1" s="1"/>
  <c r="IH62" i="1" s="1"/>
  <c r="IN62" i="1" s="1"/>
  <c r="IP62" i="1" s="1"/>
  <c r="IW62" i="1" s="1"/>
  <c r="IY62" i="1" s="1"/>
  <c r="JE62" i="1" s="1"/>
  <c r="JG62" i="1" s="1"/>
  <c r="JN62" i="1" s="1"/>
  <c r="JP62" i="1" s="1"/>
  <c r="JV62" i="1" s="1"/>
  <c r="JX62" i="1" s="1"/>
  <c r="KD62" i="1" s="1"/>
  <c r="N34" i="1"/>
  <c r="P34" i="1" s="1"/>
  <c r="V34" i="1" s="1"/>
  <c r="X34" i="1" s="1"/>
  <c r="AD34" i="1" s="1"/>
  <c r="AF34" i="1" s="1"/>
  <c r="AL34" i="1" s="1"/>
  <c r="AN34" i="1" s="1"/>
  <c r="AU34" i="1" s="1"/>
  <c r="AW34" i="1" s="1"/>
  <c r="BC34" i="1" s="1"/>
  <c r="BE34" i="1" s="1"/>
  <c r="BM34" i="1" s="1"/>
  <c r="BO34" i="1" s="1"/>
  <c r="BX34" i="1" s="1"/>
  <c r="BZ34" i="1" s="1"/>
  <c r="CH34" i="1" s="1"/>
  <c r="CJ34" i="1" s="1"/>
  <c r="CQ34" i="1" s="1"/>
  <c r="CS34" i="1" s="1"/>
  <c r="DA34" i="1" s="1"/>
  <c r="DC34" i="1" s="1"/>
  <c r="DJ34" i="1" s="1"/>
  <c r="DL34" i="1" s="1"/>
  <c r="DR34" i="1" s="1"/>
  <c r="DT34" i="1" s="1"/>
  <c r="EB34" i="1" s="1"/>
  <c r="ED34" i="1" s="1"/>
  <c r="EK34" i="1" s="1"/>
  <c r="EM34" i="1" s="1"/>
  <c r="ES34" i="1" s="1"/>
  <c r="EU34" i="1" s="1"/>
  <c r="FA34" i="1" s="1"/>
  <c r="FC34" i="1" s="1"/>
  <c r="FI34" i="1" s="1"/>
  <c r="FK34" i="1" s="1"/>
  <c r="FQ34" i="1" s="1"/>
  <c r="FS34" i="1" s="1"/>
  <c r="GD34" i="1" s="1"/>
  <c r="GF34" i="1" s="1"/>
  <c r="GM34" i="1" s="1"/>
  <c r="GO34" i="1" s="1"/>
  <c r="GV34" i="1" s="1"/>
  <c r="GX34" i="1" s="1"/>
  <c r="HE34" i="1" s="1"/>
  <c r="HG34" i="1" s="1"/>
  <c r="HN34" i="1" s="1"/>
  <c r="HP34" i="1" s="1"/>
  <c r="HW34" i="1" s="1"/>
  <c r="HY34" i="1" s="1"/>
  <c r="IF34" i="1" s="1"/>
  <c r="IH34" i="1" s="1"/>
  <c r="IN34" i="1" s="1"/>
  <c r="IP34" i="1" s="1"/>
  <c r="IW34" i="1" s="1"/>
  <c r="IY34" i="1" s="1"/>
  <c r="JE34" i="1" s="1"/>
  <c r="JG34" i="1" s="1"/>
  <c r="JN34" i="1" s="1"/>
  <c r="JP34" i="1" s="1"/>
  <c r="JV34" i="1" s="1"/>
  <c r="JX34" i="1" s="1"/>
  <c r="KD34" i="1" s="1"/>
  <c r="N66" i="1"/>
  <c r="P66" i="1" s="1"/>
  <c r="V66" i="1" s="1"/>
  <c r="X66" i="1" s="1"/>
  <c r="AD66" i="1" s="1"/>
  <c r="AF66" i="1" s="1"/>
  <c r="AL66" i="1" s="1"/>
  <c r="AN66" i="1" s="1"/>
  <c r="AU66" i="1" s="1"/>
  <c r="AW66" i="1" s="1"/>
  <c r="BC66" i="1" s="1"/>
  <c r="BE66" i="1" s="1"/>
  <c r="BM66" i="1" s="1"/>
  <c r="BO66" i="1" s="1"/>
  <c r="BX66" i="1" s="1"/>
  <c r="BZ66" i="1" s="1"/>
  <c r="CH66" i="1" s="1"/>
  <c r="CJ66" i="1" s="1"/>
  <c r="CQ66" i="1" s="1"/>
  <c r="CS66" i="1" s="1"/>
  <c r="DA66" i="1" s="1"/>
  <c r="DC66" i="1" s="1"/>
  <c r="DJ66" i="1" s="1"/>
  <c r="DL66" i="1" s="1"/>
  <c r="DR66" i="1" s="1"/>
  <c r="DT66" i="1" s="1"/>
  <c r="EB66" i="1" s="1"/>
  <c r="ED66" i="1" s="1"/>
  <c r="EK66" i="1" s="1"/>
  <c r="EM66" i="1" s="1"/>
  <c r="ES66" i="1" s="1"/>
  <c r="EU66" i="1" s="1"/>
  <c r="FA66" i="1" s="1"/>
  <c r="FC66" i="1" s="1"/>
  <c r="FI66" i="1" s="1"/>
  <c r="FK66" i="1" s="1"/>
  <c r="FQ66" i="1" s="1"/>
  <c r="FS66" i="1" s="1"/>
  <c r="GD66" i="1" s="1"/>
  <c r="GF66" i="1" s="1"/>
  <c r="GM66" i="1" s="1"/>
  <c r="GO66" i="1" s="1"/>
  <c r="GV66" i="1" s="1"/>
  <c r="GX66" i="1" s="1"/>
  <c r="HE66" i="1" s="1"/>
  <c r="HG66" i="1" s="1"/>
  <c r="HN66" i="1" s="1"/>
  <c r="HP66" i="1" s="1"/>
  <c r="HW66" i="1" s="1"/>
  <c r="HY66" i="1" s="1"/>
  <c r="IF66" i="1" s="1"/>
  <c r="IH66" i="1" s="1"/>
  <c r="IN66" i="1" s="1"/>
  <c r="IP66" i="1" s="1"/>
  <c r="IW66" i="1" s="1"/>
  <c r="IY66" i="1" s="1"/>
  <c r="JE66" i="1" s="1"/>
  <c r="JG66" i="1" s="1"/>
  <c r="JN66" i="1" s="1"/>
  <c r="JP66" i="1" s="1"/>
  <c r="AX109" i="12" l="1"/>
  <c r="KF64" i="1"/>
  <c r="KF34" i="1"/>
  <c r="KF62" i="1"/>
  <c r="KF63" i="1"/>
  <c r="KF65" i="1"/>
  <c r="JV66" i="1"/>
  <c r="JX66" i="1" s="1"/>
  <c r="KD66" i="1" s="1"/>
  <c r="AY109" i="12" l="1"/>
  <c r="KM65" i="1"/>
  <c r="KO65" i="1" s="1"/>
  <c r="KV65" i="1" s="1"/>
  <c r="KM63" i="1"/>
  <c r="KO63" i="1" s="1"/>
  <c r="KV63" i="1" s="1"/>
  <c r="KM62" i="1"/>
  <c r="KO62" i="1" s="1"/>
  <c r="KV62" i="1" s="1"/>
  <c r="KM34" i="1"/>
  <c r="KO34" i="1" s="1"/>
  <c r="KV34" i="1" s="1"/>
  <c r="KM64" i="1"/>
  <c r="KO64" i="1" s="1"/>
  <c r="KV64" i="1" s="1"/>
  <c r="KF66" i="1"/>
  <c r="AY108" i="12" l="1"/>
  <c r="AZ109" i="12"/>
  <c r="KM66" i="1"/>
  <c r="KO66" i="1" s="1"/>
  <c r="KV66" i="1" s="1"/>
  <c r="JL80" i="1"/>
  <c r="JL78" i="1"/>
  <c r="JL71" i="1"/>
  <c r="JL39" i="1"/>
  <c r="AR35" i="2"/>
  <c r="BF35" i="2"/>
  <c r="BE35" i="2"/>
  <c r="BG35" i="2"/>
  <c r="JM80" i="1"/>
  <c r="JM78" i="1"/>
  <c r="JM71" i="1"/>
  <c r="JM39" i="1"/>
  <c r="JK80" i="1"/>
  <c r="JK78" i="1"/>
  <c r="JK71" i="1"/>
  <c r="JK39" i="1"/>
  <c r="UJ80" i="1"/>
  <c r="UI80" i="1"/>
  <c r="UH79" i="1"/>
  <c r="UH80" i="1" s="1"/>
  <c r="UG79" i="1"/>
  <c r="UG80" i="1" s="1"/>
  <c r="UJ78" i="1"/>
  <c r="UI78" i="1"/>
  <c r="UH77" i="1"/>
  <c r="UG77" i="1"/>
  <c r="UH76" i="1"/>
  <c r="UG76" i="1"/>
  <c r="UH75" i="1"/>
  <c r="UH74" i="1"/>
  <c r="UH73" i="1"/>
  <c r="UG73" i="1"/>
  <c r="UH72" i="1"/>
  <c r="UG72" i="1"/>
  <c r="UJ71" i="1"/>
  <c r="UI71" i="1"/>
  <c r="UG70" i="1"/>
  <c r="UH68" i="1"/>
  <c r="UH61" i="1"/>
  <c r="UG61" i="1"/>
  <c r="UH60" i="1"/>
  <c r="UG60" i="1"/>
  <c r="UH59" i="1"/>
  <c r="UG59" i="1"/>
  <c r="UH58" i="1"/>
  <c r="UG58" i="1"/>
  <c r="UG57" i="1"/>
  <c r="UH56" i="1"/>
  <c r="UG56" i="1"/>
  <c r="UG55" i="1"/>
  <c r="UH54" i="1"/>
  <c r="UG54" i="1"/>
  <c r="UG53" i="1"/>
  <c r="UG52" i="1"/>
  <c r="UH51" i="1"/>
  <c r="UG51" i="1"/>
  <c r="UH50" i="1"/>
  <c r="UG50" i="1"/>
  <c r="UH49" i="1"/>
  <c r="UG49" i="1"/>
  <c r="UH48" i="1"/>
  <c r="UG48" i="1"/>
  <c r="UH47" i="1"/>
  <c r="UG47" i="1"/>
  <c r="UG46" i="1"/>
  <c r="UG45" i="1"/>
  <c r="UG44" i="1"/>
  <c r="UH43" i="1"/>
  <c r="UG43" i="1"/>
  <c r="UG42" i="1"/>
  <c r="UH41" i="1"/>
  <c r="UG41" i="1"/>
  <c r="UG40" i="1"/>
  <c r="UJ39" i="1"/>
  <c r="UI39" i="1"/>
  <c r="UH37" i="1"/>
  <c r="UH35" i="1"/>
  <c r="UH33" i="1"/>
  <c r="UG33" i="1"/>
  <c r="UH32" i="1"/>
  <c r="UG32" i="1"/>
  <c r="UH31" i="1"/>
  <c r="UG31" i="1"/>
  <c r="UH30" i="1"/>
  <c r="UG30" i="1"/>
  <c r="UG29" i="1"/>
  <c r="UG28" i="1"/>
  <c r="UH27" i="1"/>
  <c r="UG27" i="1"/>
  <c r="UG26" i="1"/>
  <c r="UH25" i="1"/>
  <c r="UG25" i="1"/>
  <c r="UH24" i="1"/>
  <c r="UG24" i="1"/>
  <c r="UH23" i="1"/>
  <c r="UG23" i="1"/>
  <c r="UH22" i="1"/>
  <c r="UG22" i="1"/>
  <c r="UH21" i="1"/>
  <c r="UG21" i="1"/>
  <c r="UH20" i="1"/>
  <c r="UG20" i="1"/>
  <c r="UH19" i="1"/>
  <c r="UG19" i="1"/>
  <c r="UG18" i="1"/>
  <c r="UG17" i="1"/>
  <c r="UH16" i="1"/>
  <c r="UG16" i="1"/>
  <c r="UG15" i="1"/>
  <c r="UH14" i="1"/>
  <c r="UG14" i="1"/>
  <c r="UG13" i="1"/>
  <c r="UG12" i="1"/>
  <c r="UH11" i="1"/>
  <c r="UG11" i="1"/>
  <c r="UG10" i="1"/>
  <c r="UB80" i="1"/>
  <c r="UA80" i="1"/>
  <c r="TT80" i="1"/>
  <c r="TS80" i="1"/>
  <c r="TL80" i="1"/>
  <c r="TK80" i="1"/>
  <c r="TZ79" i="1"/>
  <c r="TZ80" i="1" s="1"/>
  <c r="TY79" i="1"/>
  <c r="TY80" i="1" s="1"/>
  <c r="TR79" i="1"/>
  <c r="TR80" i="1" s="1"/>
  <c r="TQ79" i="1"/>
  <c r="TQ80" i="1" s="1"/>
  <c r="TJ79" i="1"/>
  <c r="TJ80" i="1" s="1"/>
  <c r="TI79" i="1"/>
  <c r="TI80" i="1" s="1"/>
  <c r="UB78" i="1"/>
  <c r="UA78" i="1"/>
  <c r="TT78" i="1"/>
  <c r="TS78" i="1"/>
  <c r="TL78" i="1"/>
  <c r="TK78" i="1"/>
  <c r="TZ77" i="1"/>
  <c r="TY77" i="1"/>
  <c r="TR77" i="1"/>
  <c r="TQ77" i="1"/>
  <c r="TJ77" i="1"/>
  <c r="TI77" i="1"/>
  <c r="TZ76" i="1"/>
  <c r="TY76" i="1"/>
  <c r="TR76" i="1"/>
  <c r="TQ76" i="1"/>
  <c r="TJ76" i="1"/>
  <c r="TI76" i="1"/>
  <c r="TZ75" i="1"/>
  <c r="TR75" i="1"/>
  <c r="TJ75" i="1"/>
  <c r="TZ74" i="1"/>
  <c r="TR74" i="1"/>
  <c r="TJ74" i="1"/>
  <c r="TZ73" i="1"/>
  <c r="TY73" i="1"/>
  <c r="TR73" i="1"/>
  <c r="TQ73" i="1"/>
  <c r="TJ73" i="1"/>
  <c r="TI73" i="1"/>
  <c r="TZ72" i="1"/>
  <c r="TY72" i="1"/>
  <c r="TR72" i="1"/>
  <c r="TQ72" i="1"/>
  <c r="TJ72" i="1"/>
  <c r="TI72" i="1"/>
  <c r="UB71" i="1"/>
  <c r="UA71" i="1"/>
  <c r="TT71" i="1"/>
  <c r="TS71" i="1"/>
  <c r="TL71" i="1"/>
  <c r="TK71" i="1"/>
  <c r="TY70" i="1"/>
  <c r="TQ70" i="1"/>
  <c r="TI70" i="1"/>
  <c r="TZ68" i="1"/>
  <c r="TR68" i="1"/>
  <c r="TJ68" i="1"/>
  <c r="TZ61" i="1"/>
  <c r="TY61" i="1"/>
  <c r="TR61" i="1"/>
  <c r="TQ61" i="1"/>
  <c r="TJ61" i="1"/>
  <c r="TI61" i="1"/>
  <c r="TZ60" i="1"/>
  <c r="TY60" i="1"/>
  <c r="TR60" i="1"/>
  <c r="TQ60" i="1"/>
  <c r="TJ60" i="1"/>
  <c r="TI60" i="1"/>
  <c r="TZ59" i="1"/>
  <c r="TY59" i="1"/>
  <c r="TR59" i="1"/>
  <c r="TQ59" i="1"/>
  <c r="TJ59" i="1"/>
  <c r="TI59" i="1"/>
  <c r="TZ58" i="1"/>
  <c r="TY58" i="1"/>
  <c r="TR58" i="1"/>
  <c r="TQ58" i="1"/>
  <c r="TJ58" i="1"/>
  <c r="TI58" i="1"/>
  <c r="TY57" i="1"/>
  <c r="TQ57" i="1"/>
  <c r="TI57" i="1"/>
  <c r="TZ56" i="1"/>
  <c r="TY56" i="1"/>
  <c r="TR56" i="1"/>
  <c r="TQ56" i="1"/>
  <c r="TJ56" i="1"/>
  <c r="TI56" i="1"/>
  <c r="TY55" i="1"/>
  <c r="TQ55" i="1"/>
  <c r="TI55" i="1"/>
  <c r="TZ54" i="1"/>
  <c r="TY54" i="1"/>
  <c r="TR54" i="1"/>
  <c r="TQ54" i="1"/>
  <c r="TJ54" i="1"/>
  <c r="TI54" i="1"/>
  <c r="TY53" i="1"/>
  <c r="TQ53" i="1"/>
  <c r="TI53" i="1"/>
  <c r="TY52" i="1"/>
  <c r="TQ52" i="1"/>
  <c r="TI52" i="1"/>
  <c r="TZ51" i="1"/>
  <c r="TY51" i="1"/>
  <c r="TR51" i="1"/>
  <c r="TQ51" i="1"/>
  <c r="TJ51" i="1"/>
  <c r="TI51" i="1"/>
  <c r="TZ50" i="1"/>
  <c r="TY50" i="1"/>
  <c r="TR50" i="1"/>
  <c r="TQ50" i="1"/>
  <c r="TJ50" i="1"/>
  <c r="TI50" i="1"/>
  <c r="TZ49" i="1"/>
  <c r="TY49" i="1"/>
  <c r="TR49" i="1"/>
  <c r="TQ49" i="1"/>
  <c r="TJ49" i="1"/>
  <c r="TI49" i="1"/>
  <c r="TZ48" i="1"/>
  <c r="TY48" i="1"/>
  <c r="TR48" i="1"/>
  <c r="TQ48" i="1"/>
  <c r="TJ48" i="1"/>
  <c r="TI48" i="1"/>
  <c r="TZ47" i="1"/>
  <c r="TY47" i="1"/>
  <c r="TR47" i="1"/>
  <c r="TQ47" i="1"/>
  <c r="TJ47" i="1"/>
  <c r="TI47" i="1"/>
  <c r="TY46" i="1"/>
  <c r="TQ46" i="1"/>
  <c r="TI46" i="1"/>
  <c r="TY45" i="1"/>
  <c r="TQ45" i="1"/>
  <c r="TI45" i="1"/>
  <c r="TY44" i="1"/>
  <c r="TQ44" i="1"/>
  <c r="TI44" i="1"/>
  <c r="TZ43" i="1"/>
  <c r="TY43" i="1"/>
  <c r="TR43" i="1"/>
  <c r="TQ43" i="1"/>
  <c r="TJ43" i="1"/>
  <c r="TI43" i="1"/>
  <c r="TY42" i="1"/>
  <c r="TQ42" i="1"/>
  <c r="TI42" i="1"/>
  <c r="TZ41" i="1"/>
  <c r="TY41" i="1"/>
  <c r="TR41" i="1"/>
  <c r="TQ41" i="1"/>
  <c r="TJ41" i="1"/>
  <c r="TI41" i="1"/>
  <c r="TY40" i="1"/>
  <c r="TQ40" i="1"/>
  <c r="TI40" i="1"/>
  <c r="UB39" i="1"/>
  <c r="UA39" i="1"/>
  <c r="TT39" i="1"/>
  <c r="TS39" i="1"/>
  <c r="TL39" i="1"/>
  <c r="TK39" i="1"/>
  <c r="TZ37" i="1"/>
  <c r="TR37" i="1"/>
  <c r="TJ37" i="1"/>
  <c r="TZ35" i="1"/>
  <c r="TR35" i="1"/>
  <c r="TJ35" i="1"/>
  <c r="TZ33" i="1"/>
  <c r="TY33" i="1"/>
  <c r="TR33" i="1"/>
  <c r="TQ33" i="1"/>
  <c r="TJ33" i="1"/>
  <c r="TI33" i="1"/>
  <c r="TZ32" i="1"/>
  <c r="TY32" i="1"/>
  <c r="TR32" i="1"/>
  <c r="TQ32" i="1"/>
  <c r="TJ32" i="1"/>
  <c r="TI32" i="1"/>
  <c r="TZ31" i="1"/>
  <c r="TY31" i="1"/>
  <c r="TR31" i="1"/>
  <c r="TQ31" i="1"/>
  <c r="TJ31" i="1"/>
  <c r="TI31" i="1"/>
  <c r="TZ30" i="1"/>
  <c r="TY30" i="1"/>
  <c r="TR30" i="1"/>
  <c r="TQ30" i="1"/>
  <c r="TJ30" i="1"/>
  <c r="TI30" i="1"/>
  <c r="TY29" i="1"/>
  <c r="TQ29" i="1"/>
  <c r="TI29" i="1"/>
  <c r="TY28" i="1"/>
  <c r="TQ28" i="1"/>
  <c r="TI28" i="1"/>
  <c r="TZ27" i="1"/>
  <c r="TY27" i="1"/>
  <c r="TR27" i="1"/>
  <c r="TQ27" i="1"/>
  <c r="TJ27" i="1"/>
  <c r="TI27" i="1"/>
  <c r="TY26" i="1"/>
  <c r="TQ26" i="1"/>
  <c r="TI26" i="1"/>
  <c r="TZ25" i="1"/>
  <c r="TY25" i="1"/>
  <c r="TR25" i="1"/>
  <c r="TQ25" i="1"/>
  <c r="TJ25" i="1"/>
  <c r="TI25" i="1"/>
  <c r="TZ24" i="1"/>
  <c r="TY24" i="1"/>
  <c r="TR24" i="1"/>
  <c r="TQ24" i="1"/>
  <c r="TJ24" i="1"/>
  <c r="TI24" i="1"/>
  <c r="TZ23" i="1"/>
  <c r="TY23" i="1"/>
  <c r="TR23" i="1"/>
  <c r="TQ23" i="1"/>
  <c r="TJ23" i="1"/>
  <c r="TI23" i="1"/>
  <c r="TZ22" i="1"/>
  <c r="TY22" i="1"/>
  <c r="TR22" i="1"/>
  <c r="TQ22" i="1"/>
  <c r="TJ22" i="1"/>
  <c r="TI22" i="1"/>
  <c r="TZ21" i="1"/>
  <c r="TY21" i="1"/>
  <c r="TR21" i="1"/>
  <c r="TQ21" i="1"/>
  <c r="TJ21" i="1"/>
  <c r="TI21" i="1"/>
  <c r="TZ20" i="1"/>
  <c r="TY20" i="1"/>
  <c r="TR20" i="1"/>
  <c r="TQ20" i="1"/>
  <c r="TJ20" i="1"/>
  <c r="TI20" i="1"/>
  <c r="TZ19" i="1"/>
  <c r="TY19" i="1"/>
  <c r="TR19" i="1"/>
  <c r="TQ19" i="1"/>
  <c r="TJ19" i="1"/>
  <c r="TI19" i="1"/>
  <c r="TY18" i="1"/>
  <c r="TQ18" i="1"/>
  <c r="TI18" i="1"/>
  <c r="TY17" i="1"/>
  <c r="TQ17" i="1"/>
  <c r="TI17" i="1"/>
  <c r="TZ16" i="1"/>
  <c r="TY16" i="1"/>
  <c r="TR16" i="1"/>
  <c r="TQ16" i="1"/>
  <c r="TJ16" i="1"/>
  <c r="TI16" i="1"/>
  <c r="TY15" i="1"/>
  <c r="TQ15" i="1"/>
  <c r="TI15" i="1"/>
  <c r="TZ14" i="1"/>
  <c r="TY14" i="1"/>
  <c r="TR14" i="1"/>
  <c r="TQ14" i="1"/>
  <c r="TJ14" i="1"/>
  <c r="TI14" i="1"/>
  <c r="TY13" i="1"/>
  <c r="TQ13" i="1"/>
  <c r="TI13" i="1"/>
  <c r="TY12" i="1"/>
  <c r="TQ12" i="1"/>
  <c r="TI12" i="1"/>
  <c r="TZ11" i="1"/>
  <c r="TY11" i="1"/>
  <c r="TR11" i="1"/>
  <c r="TQ11" i="1"/>
  <c r="TJ11" i="1"/>
  <c r="TI11" i="1"/>
  <c r="TY10" i="1"/>
  <c r="TQ10" i="1"/>
  <c r="TI10" i="1"/>
  <c r="JD80" i="1"/>
  <c r="JC80" i="1"/>
  <c r="JD78" i="1"/>
  <c r="JC78" i="1"/>
  <c r="JD71" i="1"/>
  <c r="JC71" i="1"/>
  <c r="JD39" i="1"/>
  <c r="JC39" i="1"/>
  <c r="AX108" i="12"/>
  <c r="AW108" i="12"/>
  <c r="AV108" i="12"/>
  <c r="AU108" i="12"/>
  <c r="AT108" i="12"/>
  <c r="AS108" i="12"/>
  <c r="AR108" i="12"/>
  <c r="AQ108" i="12"/>
  <c r="AP108" i="12"/>
  <c r="AO108" i="12"/>
  <c r="AN108" i="12"/>
  <c r="AM108" i="12"/>
  <c r="AL108" i="12"/>
  <c r="AK108" i="12"/>
  <c r="AJ108" i="12"/>
  <c r="AI108" i="12"/>
  <c r="AH108" i="12"/>
  <c r="AG108" i="12"/>
  <c r="AF108" i="12"/>
  <c r="BA109" i="12" l="1"/>
  <c r="JL81" i="1"/>
  <c r="JK81" i="1"/>
  <c r="JM81" i="1"/>
  <c r="UH78" i="1"/>
  <c r="TS81" i="1"/>
  <c r="JC81" i="1"/>
  <c r="JD81" i="1"/>
  <c r="TL81" i="1"/>
  <c r="UI81" i="1"/>
  <c r="TT81" i="1"/>
  <c r="TJ78" i="1"/>
  <c r="UB81" i="1"/>
  <c r="TR78" i="1"/>
  <c r="UJ81" i="1"/>
  <c r="TK81" i="1"/>
  <c r="UA81" i="1"/>
  <c r="TZ78" i="1"/>
  <c r="IV80" i="1"/>
  <c r="IU80" i="1"/>
  <c r="IT80" i="1"/>
  <c r="IV78" i="1"/>
  <c r="IU78" i="1"/>
  <c r="IT78" i="1"/>
  <c r="IV71" i="1"/>
  <c r="IU71" i="1"/>
  <c r="IT71" i="1"/>
  <c r="IV39" i="1"/>
  <c r="IU39" i="1"/>
  <c r="IT39" i="1"/>
  <c r="AZ108" i="12" l="1"/>
  <c r="BB109" i="12"/>
  <c r="IT81" i="1"/>
  <c r="IU81" i="1"/>
  <c r="IV81" i="1"/>
  <c r="BA108" i="12" l="1"/>
  <c r="BC109" i="12"/>
  <c r="GU80" i="1"/>
  <c r="GT80" i="1"/>
  <c r="GS80" i="1"/>
  <c r="GU78" i="1"/>
  <c r="GT78" i="1"/>
  <c r="GS78" i="1"/>
  <c r="GU71" i="1"/>
  <c r="GT71" i="1"/>
  <c r="GS71" i="1"/>
  <c r="GU39" i="1"/>
  <c r="GT39" i="1"/>
  <c r="GS39" i="1"/>
  <c r="IC80" i="1"/>
  <c r="IC78" i="1"/>
  <c r="IC71" i="1"/>
  <c r="IC39" i="1"/>
  <c r="HT80" i="1"/>
  <c r="HT78" i="1"/>
  <c r="HT71" i="1"/>
  <c r="HT39" i="1"/>
  <c r="HK80" i="1"/>
  <c r="HK78" i="1"/>
  <c r="HK71" i="1"/>
  <c r="HK39" i="1"/>
  <c r="HB80" i="1"/>
  <c r="HB78" i="1"/>
  <c r="HB71" i="1"/>
  <c r="HB39" i="1"/>
  <c r="GL80" i="1"/>
  <c r="GK80" i="1"/>
  <c r="GJ80" i="1"/>
  <c r="GL78" i="1"/>
  <c r="GK78" i="1"/>
  <c r="GJ78" i="1"/>
  <c r="GL71" i="1"/>
  <c r="GK71" i="1"/>
  <c r="GJ71" i="1"/>
  <c r="GL39" i="1"/>
  <c r="GK39" i="1"/>
  <c r="GJ39" i="1"/>
  <c r="GC80" i="1"/>
  <c r="GB80" i="1"/>
  <c r="GA80" i="1"/>
  <c r="FZ80" i="1"/>
  <c r="FY80" i="1"/>
  <c r="FX80" i="1"/>
  <c r="FW80" i="1"/>
  <c r="GC78" i="1"/>
  <c r="GB78" i="1"/>
  <c r="GA78" i="1"/>
  <c r="FZ78" i="1"/>
  <c r="FY78" i="1"/>
  <c r="FX78" i="1"/>
  <c r="FW78" i="1"/>
  <c r="GC71" i="1"/>
  <c r="GB71" i="1"/>
  <c r="GA71" i="1"/>
  <c r="FZ71" i="1"/>
  <c r="FY71" i="1"/>
  <c r="FX71" i="1"/>
  <c r="FW71" i="1"/>
  <c r="GC39" i="1"/>
  <c r="GB39" i="1"/>
  <c r="GA39" i="1"/>
  <c r="FZ39" i="1"/>
  <c r="FY39" i="1"/>
  <c r="FX39" i="1"/>
  <c r="FW39" i="1"/>
  <c r="EJ80" i="1"/>
  <c r="EI80" i="1"/>
  <c r="EH80" i="1"/>
  <c r="EJ78" i="1"/>
  <c r="EI78" i="1"/>
  <c r="EH78" i="1"/>
  <c r="EJ71" i="1"/>
  <c r="EI71" i="1"/>
  <c r="EH71" i="1"/>
  <c r="EJ39" i="1"/>
  <c r="EI39" i="1"/>
  <c r="EH39" i="1"/>
  <c r="EA80" i="1"/>
  <c r="DZ80" i="1"/>
  <c r="DY80" i="1"/>
  <c r="DX80" i="1"/>
  <c r="EA78" i="1"/>
  <c r="DZ78" i="1"/>
  <c r="DY78" i="1"/>
  <c r="DX78" i="1"/>
  <c r="EA71" i="1"/>
  <c r="DZ71" i="1"/>
  <c r="DY71" i="1"/>
  <c r="DX71" i="1"/>
  <c r="EA39" i="1"/>
  <c r="DZ39" i="1"/>
  <c r="DY39" i="1"/>
  <c r="DX39" i="1"/>
  <c r="DG80" i="1"/>
  <c r="DG78" i="1"/>
  <c r="DG71" i="1"/>
  <c r="DG39" i="1"/>
  <c r="CZ80" i="1"/>
  <c r="CY80" i="1"/>
  <c r="CX80" i="1"/>
  <c r="CW80" i="1"/>
  <c r="CZ78" i="1"/>
  <c r="CY78" i="1"/>
  <c r="CX78" i="1"/>
  <c r="CW78" i="1"/>
  <c r="CZ71" i="1"/>
  <c r="CY71" i="1"/>
  <c r="CX71" i="1"/>
  <c r="CW71" i="1"/>
  <c r="CZ39" i="1"/>
  <c r="CY39" i="1"/>
  <c r="CX39" i="1"/>
  <c r="CW39" i="1"/>
  <c r="CP80" i="1"/>
  <c r="CO80" i="1"/>
  <c r="CN80" i="1"/>
  <c r="CP78" i="1"/>
  <c r="CO78" i="1"/>
  <c r="CN78" i="1"/>
  <c r="CP71" i="1"/>
  <c r="CO71" i="1"/>
  <c r="CN71" i="1"/>
  <c r="CP39" i="1"/>
  <c r="CO39" i="1"/>
  <c r="CN39" i="1"/>
  <c r="CE80" i="1"/>
  <c r="CD80" i="1"/>
  <c r="CE78" i="1"/>
  <c r="CD78" i="1"/>
  <c r="CE71" i="1"/>
  <c r="CD71" i="1"/>
  <c r="CE39" i="1"/>
  <c r="CD39" i="1"/>
  <c r="BW80" i="1"/>
  <c r="BV80" i="1"/>
  <c r="BU80" i="1"/>
  <c r="BT80" i="1"/>
  <c r="BS80" i="1"/>
  <c r="BW78" i="1"/>
  <c r="BV78" i="1"/>
  <c r="BU78" i="1"/>
  <c r="BT78" i="1"/>
  <c r="BS78" i="1"/>
  <c r="BW71" i="1"/>
  <c r="BV71" i="1"/>
  <c r="BU71" i="1"/>
  <c r="BT71" i="1"/>
  <c r="BS71" i="1"/>
  <c r="BW39" i="1"/>
  <c r="BV39" i="1"/>
  <c r="BU39" i="1"/>
  <c r="BT39" i="1"/>
  <c r="BS39" i="1"/>
  <c r="BL80" i="1"/>
  <c r="BK80" i="1"/>
  <c r="BJ80" i="1"/>
  <c r="BI80" i="1"/>
  <c r="BL78" i="1"/>
  <c r="BK78" i="1"/>
  <c r="BJ78" i="1"/>
  <c r="BI78" i="1"/>
  <c r="BL71" i="1"/>
  <c r="BK71" i="1"/>
  <c r="BJ71" i="1"/>
  <c r="BI71" i="1"/>
  <c r="BL39" i="1"/>
  <c r="BK39" i="1"/>
  <c r="BJ39" i="1"/>
  <c r="BI39" i="1"/>
  <c r="AT80" i="1"/>
  <c r="AS80" i="1"/>
  <c r="AR80" i="1"/>
  <c r="AT78" i="1"/>
  <c r="AS78" i="1"/>
  <c r="AR78" i="1"/>
  <c r="AT71" i="1"/>
  <c r="AS71" i="1"/>
  <c r="AR71" i="1"/>
  <c r="AT39" i="1"/>
  <c r="AS39" i="1"/>
  <c r="AR39" i="1"/>
  <c r="BB108" i="12" l="1"/>
  <c r="BD109" i="12"/>
  <c r="GS81" i="1"/>
  <c r="GT81" i="1"/>
  <c r="GU81" i="1"/>
  <c r="IC81" i="1"/>
  <c r="HK81" i="1"/>
  <c r="HT81" i="1"/>
  <c r="HB81" i="1"/>
  <c r="FW81" i="1"/>
  <c r="GB81" i="1"/>
  <c r="FX81" i="1"/>
  <c r="GL81" i="1"/>
  <c r="GJ81" i="1"/>
  <c r="FZ81" i="1"/>
  <c r="GA81" i="1"/>
  <c r="FY81" i="1"/>
  <c r="GC81" i="1"/>
  <c r="GK81" i="1"/>
  <c r="EJ81" i="1"/>
  <c r="DX81" i="1"/>
  <c r="DY81" i="1"/>
  <c r="EA81" i="1"/>
  <c r="EH81" i="1"/>
  <c r="DZ81" i="1"/>
  <c r="EI81" i="1"/>
  <c r="DG81" i="1"/>
  <c r="CO81" i="1"/>
  <c r="CN81" i="1"/>
  <c r="CX81" i="1"/>
  <c r="CY81" i="1"/>
  <c r="CZ81" i="1"/>
  <c r="CP81" i="1"/>
  <c r="CW81" i="1"/>
  <c r="CD81" i="1"/>
  <c r="CE81" i="1"/>
  <c r="BU81" i="1"/>
  <c r="BS81" i="1"/>
  <c r="BV81" i="1"/>
  <c r="BT81" i="1"/>
  <c r="BW81" i="1"/>
  <c r="BL81" i="1"/>
  <c r="BI81" i="1"/>
  <c r="BJ81" i="1"/>
  <c r="BK81" i="1"/>
  <c r="AR81" i="1"/>
  <c r="AS81" i="1"/>
  <c r="AT81" i="1"/>
  <c r="BE109" i="12" l="1"/>
  <c r="BC108" i="12"/>
  <c r="IL80" i="1"/>
  <c r="IL78" i="1"/>
  <c r="IL71" i="1"/>
  <c r="IL39" i="1"/>
  <c r="BD108" i="12" l="1"/>
  <c r="BF109" i="12"/>
  <c r="IL81" i="1"/>
  <c r="AB13" i="6"/>
  <c r="AC13" i="6"/>
  <c r="AD13" i="6"/>
  <c r="AE13" i="6"/>
  <c r="AF13" i="6"/>
  <c r="IE80" i="1"/>
  <c r="ID80" i="1"/>
  <c r="IE78" i="1"/>
  <c r="ID78" i="1"/>
  <c r="IE71" i="1"/>
  <c r="ID71" i="1"/>
  <c r="IE39" i="1"/>
  <c r="ID39" i="1"/>
  <c r="BG109" i="12" l="1"/>
  <c r="BE108" i="12"/>
  <c r="AF36" i="2"/>
  <c r="ID81" i="1"/>
  <c r="IE81" i="1"/>
  <c r="BH109" i="12" l="1"/>
  <c r="BF108" i="12"/>
  <c r="IM80" i="1"/>
  <c r="IM78" i="1"/>
  <c r="IM71" i="1"/>
  <c r="IM39" i="1"/>
  <c r="HU80" i="1"/>
  <c r="HU78" i="1"/>
  <c r="HU71" i="1"/>
  <c r="HU39" i="1"/>
  <c r="TD80" i="1"/>
  <c r="TC80" i="1"/>
  <c r="TB79" i="1"/>
  <c r="TB80" i="1" s="1"/>
  <c r="TA79" i="1"/>
  <c r="TA80" i="1" s="1"/>
  <c r="TD78" i="1"/>
  <c r="TC78" i="1"/>
  <c r="TB77" i="1"/>
  <c r="TA77" i="1"/>
  <c r="TB76" i="1"/>
  <c r="TA76" i="1"/>
  <c r="TB75" i="1"/>
  <c r="TB74" i="1"/>
  <c r="TB73" i="1"/>
  <c r="TA73" i="1"/>
  <c r="TB72" i="1"/>
  <c r="TA72" i="1"/>
  <c r="TD71" i="1"/>
  <c r="TC71" i="1"/>
  <c r="TA70" i="1"/>
  <c r="TB68" i="1"/>
  <c r="TB61" i="1"/>
  <c r="TA61" i="1"/>
  <c r="TB60" i="1"/>
  <c r="TA60" i="1"/>
  <c r="TB59" i="1"/>
  <c r="TA59" i="1"/>
  <c r="TB58" i="1"/>
  <c r="TA58" i="1"/>
  <c r="TA57" i="1"/>
  <c r="TB56" i="1"/>
  <c r="TA56" i="1"/>
  <c r="TA55" i="1"/>
  <c r="TB54" i="1"/>
  <c r="TA54" i="1"/>
  <c r="TA53" i="1"/>
  <c r="TA52" i="1"/>
  <c r="TB51" i="1"/>
  <c r="TA51" i="1"/>
  <c r="TB50" i="1"/>
  <c r="TA50" i="1"/>
  <c r="TB49" i="1"/>
  <c r="TA49" i="1"/>
  <c r="TB48" i="1"/>
  <c r="TA48" i="1"/>
  <c r="TB47" i="1"/>
  <c r="TA47" i="1"/>
  <c r="TA46" i="1"/>
  <c r="TA45" i="1"/>
  <c r="TA44" i="1"/>
  <c r="TB43" i="1"/>
  <c r="TA43" i="1"/>
  <c r="TA42" i="1"/>
  <c r="TB41" i="1"/>
  <c r="TA41" i="1"/>
  <c r="TA40" i="1"/>
  <c r="TD39" i="1"/>
  <c r="TC39" i="1"/>
  <c r="TB37" i="1"/>
  <c r="TB35" i="1"/>
  <c r="TB33" i="1"/>
  <c r="TA33" i="1"/>
  <c r="TB32" i="1"/>
  <c r="TA32" i="1"/>
  <c r="TB31" i="1"/>
  <c r="TA31" i="1"/>
  <c r="TB30" i="1"/>
  <c r="TA30" i="1"/>
  <c r="TA29" i="1"/>
  <c r="TA28" i="1"/>
  <c r="TB27" i="1"/>
  <c r="TA27" i="1"/>
  <c r="TA26" i="1"/>
  <c r="TB25" i="1"/>
  <c r="TA25" i="1"/>
  <c r="TB24" i="1"/>
  <c r="TA24" i="1"/>
  <c r="TB23" i="1"/>
  <c r="TA23" i="1"/>
  <c r="TB22" i="1"/>
  <c r="TA22" i="1"/>
  <c r="TB21" i="1"/>
  <c r="TA21" i="1"/>
  <c r="TB20" i="1"/>
  <c r="TA20" i="1"/>
  <c r="TB19" i="1"/>
  <c r="TA19" i="1"/>
  <c r="TA18" i="1"/>
  <c r="TA17" i="1"/>
  <c r="TB16" i="1"/>
  <c r="TA16" i="1"/>
  <c r="TA15" i="1"/>
  <c r="TB14" i="1"/>
  <c r="TA14" i="1"/>
  <c r="TA13" i="1"/>
  <c r="TA12" i="1"/>
  <c r="TB11" i="1"/>
  <c r="TA11" i="1"/>
  <c r="TA10" i="1"/>
  <c r="SV80" i="1"/>
  <c r="SU80" i="1"/>
  <c r="SN80" i="1"/>
  <c r="SM80" i="1"/>
  <c r="SF80" i="1"/>
  <c r="SE80" i="1"/>
  <c r="RX80" i="1"/>
  <c r="RW80" i="1"/>
  <c r="ST79" i="1"/>
  <c r="ST80" i="1" s="1"/>
  <c r="SS79" i="1"/>
  <c r="SS80" i="1" s="1"/>
  <c r="SL79" i="1"/>
  <c r="SL80" i="1" s="1"/>
  <c r="SK79" i="1"/>
  <c r="SK80" i="1" s="1"/>
  <c r="SD79" i="1"/>
  <c r="SD80" i="1" s="1"/>
  <c r="SC79" i="1"/>
  <c r="SC80" i="1" s="1"/>
  <c r="RV79" i="1"/>
  <c r="RV80" i="1" s="1"/>
  <c r="RU79" i="1"/>
  <c r="RU80" i="1" s="1"/>
  <c r="SV78" i="1"/>
  <c r="SU78" i="1"/>
  <c r="SN78" i="1"/>
  <c r="SM78" i="1"/>
  <c r="SF78" i="1"/>
  <c r="SE78" i="1"/>
  <c r="RX78" i="1"/>
  <c r="RW78" i="1"/>
  <c r="ST77" i="1"/>
  <c r="SS77" i="1"/>
  <c r="SL77" i="1"/>
  <c r="SK77" i="1"/>
  <c r="SD77" i="1"/>
  <c r="SC77" i="1"/>
  <c r="RV77" i="1"/>
  <c r="RU77" i="1"/>
  <c r="ST76" i="1"/>
  <c r="SS76" i="1"/>
  <c r="SL76" i="1"/>
  <c r="SK76" i="1"/>
  <c r="SD76" i="1"/>
  <c r="SC76" i="1"/>
  <c r="RV76" i="1"/>
  <c r="RU76" i="1"/>
  <c r="ST75" i="1"/>
  <c r="SL75" i="1"/>
  <c r="SD75" i="1"/>
  <c r="RV75" i="1"/>
  <c r="ST74" i="1"/>
  <c r="SL74" i="1"/>
  <c r="SD74" i="1"/>
  <c r="RV74" i="1"/>
  <c r="ST73" i="1"/>
  <c r="SS73" i="1"/>
  <c r="SL73" i="1"/>
  <c r="SK73" i="1"/>
  <c r="SD73" i="1"/>
  <c r="SC73" i="1"/>
  <c r="RV73" i="1"/>
  <c r="RU73" i="1"/>
  <c r="ST72" i="1"/>
  <c r="SS72" i="1"/>
  <c r="SL72" i="1"/>
  <c r="SK72" i="1"/>
  <c r="SD72" i="1"/>
  <c r="SC72" i="1"/>
  <c r="RV72" i="1"/>
  <c r="RU72" i="1"/>
  <c r="SV71" i="1"/>
  <c r="SU71" i="1"/>
  <c r="SN71" i="1"/>
  <c r="SM71" i="1"/>
  <c r="SF71" i="1"/>
  <c r="SE71" i="1"/>
  <c r="RX71" i="1"/>
  <c r="RW71" i="1"/>
  <c r="SS70" i="1"/>
  <c r="SK70" i="1"/>
  <c r="SC70" i="1"/>
  <c r="RU70" i="1"/>
  <c r="ST68" i="1"/>
  <c r="SL68" i="1"/>
  <c r="SD68" i="1"/>
  <c r="RV68" i="1"/>
  <c r="ST61" i="1"/>
  <c r="SS61" i="1"/>
  <c r="SL61" i="1"/>
  <c r="SK61" i="1"/>
  <c r="SD61" i="1"/>
  <c r="SC61" i="1"/>
  <c r="RV61" i="1"/>
  <c r="RU61" i="1"/>
  <c r="ST60" i="1"/>
  <c r="SS60" i="1"/>
  <c r="SL60" i="1"/>
  <c r="SK60" i="1"/>
  <c r="SD60" i="1"/>
  <c r="SC60" i="1"/>
  <c r="RV60" i="1"/>
  <c r="RU60" i="1"/>
  <c r="ST59" i="1"/>
  <c r="SS59" i="1"/>
  <c r="SL59" i="1"/>
  <c r="SK59" i="1"/>
  <c r="SD59" i="1"/>
  <c r="SC59" i="1"/>
  <c r="RV59" i="1"/>
  <c r="RU59" i="1"/>
  <c r="ST58" i="1"/>
  <c r="SS58" i="1"/>
  <c r="SL58" i="1"/>
  <c r="SK58" i="1"/>
  <c r="SD58" i="1"/>
  <c r="SC58" i="1"/>
  <c r="RV58" i="1"/>
  <c r="RU58" i="1"/>
  <c r="SS57" i="1"/>
  <c r="SK57" i="1"/>
  <c r="SC57" i="1"/>
  <c r="RU57" i="1"/>
  <c r="ST56" i="1"/>
  <c r="SS56" i="1"/>
  <c r="SL56" i="1"/>
  <c r="SK56" i="1"/>
  <c r="SD56" i="1"/>
  <c r="SC56" i="1"/>
  <c r="RV56" i="1"/>
  <c r="RU56" i="1"/>
  <c r="SS55" i="1"/>
  <c r="SK55" i="1"/>
  <c r="SC55" i="1"/>
  <c r="RU55" i="1"/>
  <c r="ST54" i="1"/>
  <c r="SS54" i="1"/>
  <c r="SL54" i="1"/>
  <c r="SK54" i="1"/>
  <c r="SD54" i="1"/>
  <c r="SC54" i="1"/>
  <c r="RV54" i="1"/>
  <c r="RU54" i="1"/>
  <c r="SS53" i="1"/>
  <c r="SK53" i="1"/>
  <c r="SC53" i="1"/>
  <c r="RU53" i="1"/>
  <c r="SS52" i="1"/>
  <c r="SK52" i="1"/>
  <c r="SC52" i="1"/>
  <c r="RU52" i="1"/>
  <c r="ST51" i="1"/>
  <c r="SS51" i="1"/>
  <c r="SL51" i="1"/>
  <c r="SK51" i="1"/>
  <c r="SD51" i="1"/>
  <c r="SC51" i="1"/>
  <c r="RV51" i="1"/>
  <c r="RU51" i="1"/>
  <c r="ST50" i="1"/>
  <c r="SS50" i="1"/>
  <c r="SL50" i="1"/>
  <c r="SK50" i="1"/>
  <c r="SD50" i="1"/>
  <c r="SC50" i="1"/>
  <c r="RV50" i="1"/>
  <c r="RU50" i="1"/>
  <c r="ST49" i="1"/>
  <c r="SS49" i="1"/>
  <c r="SL49" i="1"/>
  <c r="SK49" i="1"/>
  <c r="SD49" i="1"/>
  <c r="SC49" i="1"/>
  <c r="RV49" i="1"/>
  <c r="RU49" i="1"/>
  <c r="ST48" i="1"/>
  <c r="SS48" i="1"/>
  <c r="SL48" i="1"/>
  <c r="SK48" i="1"/>
  <c r="SD48" i="1"/>
  <c r="SC48" i="1"/>
  <c r="RV48" i="1"/>
  <c r="RU48" i="1"/>
  <c r="ST47" i="1"/>
  <c r="SS47" i="1"/>
  <c r="SL47" i="1"/>
  <c r="SK47" i="1"/>
  <c r="SD47" i="1"/>
  <c r="SC47" i="1"/>
  <c r="RV47" i="1"/>
  <c r="RU47" i="1"/>
  <c r="SS46" i="1"/>
  <c r="SK46" i="1"/>
  <c r="SC46" i="1"/>
  <c r="RU46" i="1"/>
  <c r="SS45" i="1"/>
  <c r="SK45" i="1"/>
  <c r="SC45" i="1"/>
  <c r="RU45" i="1"/>
  <c r="SS44" i="1"/>
  <c r="SK44" i="1"/>
  <c r="SC44" i="1"/>
  <c r="RU44" i="1"/>
  <c r="ST43" i="1"/>
  <c r="SS43" i="1"/>
  <c r="SL43" i="1"/>
  <c r="SK43" i="1"/>
  <c r="SD43" i="1"/>
  <c r="SC43" i="1"/>
  <c r="RV43" i="1"/>
  <c r="RU43" i="1"/>
  <c r="SS42" i="1"/>
  <c r="SK42" i="1"/>
  <c r="SC42" i="1"/>
  <c r="RU42" i="1"/>
  <c r="ST41" i="1"/>
  <c r="SS41" i="1"/>
  <c r="SL41" i="1"/>
  <c r="SK41" i="1"/>
  <c r="SD41" i="1"/>
  <c r="SC41" i="1"/>
  <c r="RV41" i="1"/>
  <c r="RU41" i="1"/>
  <c r="SS40" i="1"/>
  <c r="SK40" i="1"/>
  <c r="SC40" i="1"/>
  <c r="RU40" i="1"/>
  <c r="SV39" i="1"/>
  <c r="SU39" i="1"/>
  <c r="SN39" i="1"/>
  <c r="SM39" i="1"/>
  <c r="SF39" i="1"/>
  <c r="SE39" i="1"/>
  <c r="RX39" i="1"/>
  <c r="RW39" i="1"/>
  <c r="ST37" i="1"/>
  <c r="SL37" i="1"/>
  <c r="SD37" i="1"/>
  <c r="RV37" i="1"/>
  <c r="ST35" i="1"/>
  <c r="SL35" i="1"/>
  <c r="SD35" i="1"/>
  <c r="RV35" i="1"/>
  <c r="ST33" i="1"/>
  <c r="SS33" i="1"/>
  <c r="SL33" i="1"/>
  <c r="SK33" i="1"/>
  <c r="SD33" i="1"/>
  <c r="SC33" i="1"/>
  <c r="RV33" i="1"/>
  <c r="RU33" i="1"/>
  <c r="ST32" i="1"/>
  <c r="SS32" i="1"/>
  <c r="SL32" i="1"/>
  <c r="SK32" i="1"/>
  <c r="SD32" i="1"/>
  <c r="SC32" i="1"/>
  <c r="RV32" i="1"/>
  <c r="RU32" i="1"/>
  <c r="ST31" i="1"/>
  <c r="SS31" i="1"/>
  <c r="SL31" i="1"/>
  <c r="SK31" i="1"/>
  <c r="SD31" i="1"/>
  <c r="SC31" i="1"/>
  <c r="RV31" i="1"/>
  <c r="RU31" i="1"/>
  <c r="ST30" i="1"/>
  <c r="SS30" i="1"/>
  <c r="SL30" i="1"/>
  <c r="SK30" i="1"/>
  <c r="SD30" i="1"/>
  <c r="SC30" i="1"/>
  <c r="RV30" i="1"/>
  <c r="RU30" i="1"/>
  <c r="SS29" i="1"/>
  <c r="SK29" i="1"/>
  <c r="SC29" i="1"/>
  <c r="RU29" i="1"/>
  <c r="SS28" i="1"/>
  <c r="SK28" i="1"/>
  <c r="SC28" i="1"/>
  <c r="RU28" i="1"/>
  <c r="ST27" i="1"/>
  <c r="SS27" i="1"/>
  <c r="SL27" i="1"/>
  <c r="SK27" i="1"/>
  <c r="SD27" i="1"/>
  <c r="SC27" i="1"/>
  <c r="RV27" i="1"/>
  <c r="RU27" i="1"/>
  <c r="SS26" i="1"/>
  <c r="SK26" i="1"/>
  <c r="SC26" i="1"/>
  <c r="RU26" i="1"/>
  <c r="ST25" i="1"/>
  <c r="SS25" i="1"/>
  <c r="SL25" i="1"/>
  <c r="SK25" i="1"/>
  <c r="SD25" i="1"/>
  <c r="SC25" i="1"/>
  <c r="RV25" i="1"/>
  <c r="RU25" i="1"/>
  <c r="ST24" i="1"/>
  <c r="SS24" i="1"/>
  <c r="SL24" i="1"/>
  <c r="SK24" i="1"/>
  <c r="SD24" i="1"/>
  <c r="SC24" i="1"/>
  <c r="RV24" i="1"/>
  <c r="RU24" i="1"/>
  <c r="ST23" i="1"/>
  <c r="SS23" i="1"/>
  <c r="SL23" i="1"/>
  <c r="SK23" i="1"/>
  <c r="SD23" i="1"/>
  <c r="SC23" i="1"/>
  <c r="RV23" i="1"/>
  <c r="RU23" i="1"/>
  <c r="ST22" i="1"/>
  <c r="SS22" i="1"/>
  <c r="SL22" i="1"/>
  <c r="SK22" i="1"/>
  <c r="SD22" i="1"/>
  <c r="SC22" i="1"/>
  <c r="RV22" i="1"/>
  <c r="RU22" i="1"/>
  <c r="ST21" i="1"/>
  <c r="SS21" i="1"/>
  <c r="SL21" i="1"/>
  <c r="SK21" i="1"/>
  <c r="SD21" i="1"/>
  <c r="SC21" i="1"/>
  <c r="RV21" i="1"/>
  <c r="RU21" i="1"/>
  <c r="ST20" i="1"/>
  <c r="SS20" i="1"/>
  <c r="SL20" i="1"/>
  <c r="SK20" i="1"/>
  <c r="SD20" i="1"/>
  <c r="SC20" i="1"/>
  <c r="RV20" i="1"/>
  <c r="RU20" i="1"/>
  <c r="ST19" i="1"/>
  <c r="SS19" i="1"/>
  <c r="SL19" i="1"/>
  <c r="SK19" i="1"/>
  <c r="SD19" i="1"/>
  <c r="SC19" i="1"/>
  <c r="RV19" i="1"/>
  <c r="RU19" i="1"/>
  <c r="SS18" i="1"/>
  <c r="SK18" i="1"/>
  <c r="SC18" i="1"/>
  <c r="RU18" i="1"/>
  <c r="SS17" i="1"/>
  <c r="SK17" i="1"/>
  <c r="SC17" i="1"/>
  <c r="RU17" i="1"/>
  <c r="ST16" i="1"/>
  <c r="SS16" i="1"/>
  <c r="SL16" i="1"/>
  <c r="SK16" i="1"/>
  <c r="SD16" i="1"/>
  <c r="SC16" i="1"/>
  <c r="RV16" i="1"/>
  <c r="RU16" i="1"/>
  <c r="SS15" i="1"/>
  <c r="SK15" i="1"/>
  <c r="SC15" i="1"/>
  <c r="RU15" i="1"/>
  <c r="ST14" i="1"/>
  <c r="SS14" i="1"/>
  <c r="SL14" i="1"/>
  <c r="SK14" i="1"/>
  <c r="SD14" i="1"/>
  <c r="SC14" i="1"/>
  <c r="RV14" i="1"/>
  <c r="RU14" i="1"/>
  <c r="SS13" i="1"/>
  <c r="SK13" i="1"/>
  <c r="SC13" i="1"/>
  <c r="RU13" i="1"/>
  <c r="SS12" i="1"/>
  <c r="SK12" i="1"/>
  <c r="SC12" i="1"/>
  <c r="RU12" i="1"/>
  <c r="ST11" i="1"/>
  <c r="SS11" i="1"/>
  <c r="SL11" i="1"/>
  <c r="SK11" i="1"/>
  <c r="SD11" i="1"/>
  <c r="SC11" i="1"/>
  <c r="RV11" i="1"/>
  <c r="RU11" i="1"/>
  <c r="SS10" i="1"/>
  <c r="SK10" i="1"/>
  <c r="SC10" i="1"/>
  <c r="RU10" i="1"/>
  <c r="RP80" i="1"/>
  <c r="RO80" i="1"/>
  <c r="RH80" i="1"/>
  <c r="RG80" i="1"/>
  <c r="QZ80" i="1"/>
  <c r="QY80" i="1"/>
  <c r="QR80" i="1"/>
  <c r="QQ80" i="1"/>
  <c r="RN79" i="1"/>
  <c r="RN80" i="1" s="1"/>
  <c r="RM79" i="1"/>
  <c r="RM80" i="1" s="1"/>
  <c r="RF79" i="1"/>
  <c r="RF80" i="1" s="1"/>
  <c r="RE79" i="1"/>
  <c r="RE80" i="1" s="1"/>
  <c r="QX79" i="1"/>
  <c r="QX80" i="1" s="1"/>
  <c r="QW79" i="1"/>
  <c r="QW80" i="1" s="1"/>
  <c r="QP79" i="1"/>
  <c r="QP80" i="1" s="1"/>
  <c r="QO79" i="1"/>
  <c r="QO80" i="1" s="1"/>
  <c r="RP78" i="1"/>
  <c r="RO78" i="1"/>
  <c r="RH78" i="1"/>
  <c r="RG78" i="1"/>
  <c r="QZ78" i="1"/>
  <c r="QY78" i="1"/>
  <c r="QR78" i="1"/>
  <c r="QQ78" i="1"/>
  <c r="RN77" i="1"/>
  <c r="RM77" i="1"/>
  <c r="RF77" i="1"/>
  <c r="RE77" i="1"/>
  <c r="QX77" i="1"/>
  <c r="QW77" i="1"/>
  <c r="QP77" i="1"/>
  <c r="QO77" i="1"/>
  <c r="RN76" i="1"/>
  <c r="RM76" i="1"/>
  <c r="RF76" i="1"/>
  <c r="RE76" i="1"/>
  <c r="QX76" i="1"/>
  <c r="QW76" i="1"/>
  <c r="QP76" i="1"/>
  <c r="QO76" i="1"/>
  <c r="RN75" i="1"/>
  <c r="RF75" i="1"/>
  <c r="QX75" i="1"/>
  <c r="QP75" i="1"/>
  <c r="RN74" i="1"/>
  <c r="RF74" i="1"/>
  <c r="QX74" i="1"/>
  <c r="QP74" i="1"/>
  <c r="RN73" i="1"/>
  <c r="RM73" i="1"/>
  <c r="RF73" i="1"/>
  <c r="RE73" i="1"/>
  <c r="QX73" i="1"/>
  <c r="QW73" i="1"/>
  <c r="QP73" i="1"/>
  <c r="QO73" i="1"/>
  <c r="RN72" i="1"/>
  <c r="RM72" i="1"/>
  <c r="RF72" i="1"/>
  <c r="RE72" i="1"/>
  <c r="QX72" i="1"/>
  <c r="QW72" i="1"/>
  <c r="QP72" i="1"/>
  <c r="QO72" i="1"/>
  <c r="RP71" i="1"/>
  <c r="RO71" i="1"/>
  <c r="RH71" i="1"/>
  <c r="RG71" i="1"/>
  <c r="QZ71" i="1"/>
  <c r="QY71" i="1"/>
  <c r="QR71" i="1"/>
  <c r="QQ71" i="1"/>
  <c r="RM70" i="1"/>
  <c r="RE70" i="1"/>
  <c r="QW70" i="1"/>
  <c r="QO70" i="1"/>
  <c r="RN68" i="1"/>
  <c r="RF68" i="1"/>
  <c r="QX68" i="1"/>
  <c r="QP68" i="1"/>
  <c r="RN61" i="1"/>
  <c r="RM61" i="1"/>
  <c r="RF61" i="1"/>
  <c r="RE61" i="1"/>
  <c r="QX61" i="1"/>
  <c r="QW61" i="1"/>
  <c r="QP61" i="1"/>
  <c r="QO61" i="1"/>
  <c r="RN60" i="1"/>
  <c r="RM60" i="1"/>
  <c r="RF60" i="1"/>
  <c r="RE60" i="1"/>
  <c r="QX60" i="1"/>
  <c r="QW60" i="1"/>
  <c r="QP60" i="1"/>
  <c r="QO60" i="1"/>
  <c r="RN59" i="1"/>
  <c r="RM59" i="1"/>
  <c r="RF59" i="1"/>
  <c r="RE59" i="1"/>
  <c r="QX59" i="1"/>
  <c r="QW59" i="1"/>
  <c r="QP59" i="1"/>
  <c r="QO59" i="1"/>
  <c r="RN58" i="1"/>
  <c r="RM58" i="1"/>
  <c r="RF58" i="1"/>
  <c r="RE58" i="1"/>
  <c r="QX58" i="1"/>
  <c r="QW58" i="1"/>
  <c r="QP58" i="1"/>
  <c r="QO58" i="1"/>
  <c r="RM57" i="1"/>
  <c r="RE57" i="1"/>
  <c r="QW57" i="1"/>
  <c r="QO57" i="1"/>
  <c r="RN56" i="1"/>
  <c r="RM56" i="1"/>
  <c r="RF56" i="1"/>
  <c r="RE56" i="1"/>
  <c r="QX56" i="1"/>
  <c r="QW56" i="1"/>
  <c r="QP56" i="1"/>
  <c r="QO56" i="1"/>
  <c r="RM55" i="1"/>
  <c r="RE55" i="1"/>
  <c r="QW55" i="1"/>
  <c r="QO55" i="1"/>
  <c r="RN54" i="1"/>
  <c r="RM54" i="1"/>
  <c r="RF54" i="1"/>
  <c r="RE54" i="1"/>
  <c r="QX54" i="1"/>
  <c r="QW54" i="1"/>
  <c r="QP54" i="1"/>
  <c r="QO54" i="1"/>
  <c r="RM53" i="1"/>
  <c r="RE53" i="1"/>
  <c r="QW53" i="1"/>
  <c r="QO53" i="1"/>
  <c r="RM52" i="1"/>
  <c r="RE52" i="1"/>
  <c r="QW52" i="1"/>
  <c r="QO52" i="1"/>
  <c r="RN51" i="1"/>
  <c r="RM51" i="1"/>
  <c r="RF51" i="1"/>
  <c r="RE51" i="1"/>
  <c r="QX51" i="1"/>
  <c r="QW51" i="1"/>
  <c r="QP51" i="1"/>
  <c r="QO51" i="1"/>
  <c r="RN50" i="1"/>
  <c r="RM50" i="1"/>
  <c r="RF50" i="1"/>
  <c r="RE50" i="1"/>
  <c r="QX50" i="1"/>
  <c r="QW50" i="1"/>
  <c r="QP50" i="1"/>
  <c r="QO50" i="1"/>
  <c r="RN49" i="1"/>
  <c r="RM49" i="1"/>
  <c r="RF49" i="1"/>
  <c r="RE49" i="1"/>
  <c r="QX49" i="1"/>
  <c r="QW49" i="1"/>
  <c r="QP49" i="1"/>
  <c r="QO49" i="1"/>
  <c r="RN48" i="1"/>
  <c r="RM48" i="1"/>
  <c r="RF48" i="1"/>
  <c r="RE48" i="1"/>
  <c r="QX48" i="1"/>
  <c r="QW48" i="1"/>
  <c r="QP48" i="1"/>
  <c r="QO48" i="1"/>
  <c r="RN47" i="1"/>
  <c r="RM47" i="1"/>
  <c r="RF47" i="1"/>
  <c r="RE47" i="1"/>
  <c r="QX47" i="1"/>
  <c r="QW47" i="1"/>
  <c r="QP47" i="1"/>
  <c r="QO47" i="1"/>
  <c r="RM46" i="1"/>
  <c r="RE46" i="1"/>
  <c r="QW46" i="1"/>
  <c r="QO46" i="1"/>
  <c r="RM45" i="1"/>
  <c r="RE45" i="1"/>
  <c r="QW45" i="1"/>
  <c r="QO45" i="1"/>
  <c r="RM44" i="1"/>
  <c r="RE44" i="1"/>
  <c r="QW44" i="1"/>
  <c r="QO44" i="1"/>
  <c r="RN43" i="1"/>
  <c r="RM43" i="1"/>
  <c r="RF43" i="1"/>
  <c r="RE43" i="1"/>
  <c r="QX43" i="1"/>
  <c r="QW43" i="1"/>
  <c r="QP43" i="1"/>
  <c r="QO43" i="1"/>
  <c r="RM42" i="1"/>
  <c r="RE42" i="1"/>
  <c r="QW42" i="1"/>
  <c r="QO42" i="1"/>
  <c r="RN41" i="1"/>
  <c r="RM41" i="1"/>
  <c r="RF41" i="1"/>
  <c r="RE41" i="1"/>
  <c r="QX41" i="1"/>
  <c r="QW41" i="1"/>
  <c r="QP41" i="1"/>
  <c r="QO41" i="1"/>
  <c r="RM40" i="1"/>
  <c r="RE40" i="1"/>
  <c r="QW40" i="1"/>
  <c r="QO40" i="1"/>
  <c r="RP39" i="1"/>
  <c r="RO39" i="1"/>
  <c r="RH39" i="1"/>
  <c r="RG39" i="1"/>
  <c r="QZ39" i="1"/>
  <c r="QY39" i="1"/>
  <c r="QR39" i="1"/>
  <c r="QQ39" i="1"/>
  <c r="RN37" i="1"/>
  <c r="RF37" i="1"/>
  <c r="QX37" i="1"/>
  <c r="QP37" i="1"/>
  <c r="RN35" i="1"/>
  <c r="RF35" i="1"/>
  <c r="QX35" i="1"/>
  <c r="QP35" i="1"/>
  <c r="RN33" i="1"/>
  <c r="RM33" i="1"/>
  <c r="RF33" i="1"/>
  <c r="RE33" i="1"/>
  <c r="QX33" i="1"/>
  <c r="QW33" i="1"/>
  <c r="QP33" i="1"/>
  <c r="QO33" i="1"/>
  <c r="RN32" i="1"/>
  <c r="RM32" i="1"/>
  <c r="RF32" i="1"/>
  <c r="RE32" i="1"/>
  <c r="QX32" i="1"/>
  <c r="QW32" i="1"/>
  <c r="QP32" i="1"/>
  <c r="QO32" i="1"/>
  <c r="RN31" i="1"/>
  <c r="RM31" i="1"/>
  <c r="RF31" i="1"/>
  <c r="RE31" i="1"/>
  <c r="QX31" i="1"/>
  <c r="QW31" i="1"/>
  <c r="QP31" i="1"/>
  <c r="QO31" i="1"/>
  <c r="RN30" i="1"/>
  <c r="RM30" i="1"/>
  <c r="RF30" i="1"/>
  <c r="RE30" i="1"/>
  <c r="QX30" i="1"/>
  <c r="QW30" i="1"/>
  <c r="QP30" i="1"/>
  <c r="QO30" i="1"/>
  <c r="RM29" i="1"/>
  <c r="RE29" i="1"/>
  <c r="QW29" i="1"/>
  <c r="QO29" i="1"/>
  <c r="RM28" i="1"/>
  <c r="RE28" i="1"/>
  <c r="QW28" i="1"/>
  <c r="QO28" i="1"/>
  <c r="RN27" i="1"/>
  <c r="RM27" i="1"/>
  <c r="RF27" i="1"/>
  <c r="RE27" i="1"/>
  <c r="QX27" i="1"/>
  <c r="QW27" i="1"/>
  <c r="QP27" i="1"/>
  <c r="QO27" i="1"/>
  <c r="RM26" i="1"/>
  <c r="RE26" i="1"/>
  <c r="QW26" i="1"/>
  <c r="QO26" i="1"/>
  <c r="RN25" i="1"/>
  <c r="RM25" i="1"/>
  <c r="RF25" i="1"/>
  <c r="RE25" i="1"/>
  <c r="QX25" i="1"/>
  <c r="QW25" i="1"/>
  <c r="QP25" i="1"/>
  <c r="QO25" i="1"/>
  <c r="RN24" i="1"/>
  <c r="RM24" i="1"/>
  <c r="RF24" i="1"/>
  <c r="RE24" i="1"/>
  <c r="QX24" i="1"/>
  <c r="QW24" i="1"/>
  <c r="QP24" i="1"/>
  <c r="QO24" i="1"/>
  <c r="RN23" i="1"/>
  <c r="RM23" i="1"/>
  <c r="RF23" i="1"/>
  <c r="RE23" i="1"/>
  <c r="QX23" i="1"/>
  <c r="QW23" i="1"/>
  <c r="QP23" i="1"/>
  <c r="QO23" i="1"/>
  <c r="RN22" i="1"/>
  <c r="RM22" i="1"/>
  <c r="RF22" i="1"/>
  <c r="RE22" i="1"/>
  <c r="QX22" i="1"/>
  <c r="QW22" i="1"/>
  <c r="QP22" i="1"/>
  <c r="QO22" i="1"/>
  <c r="RN21" i="1"/>
  <c r="RM21" i="1"/>
  <c r="RF21" i="1"/>
  <c r="RE21" i="1"/>
  <c r="QX21" i="1"/>
  <c r="QW21" i="1"/>
  <c r="QP21" i="1"/>
  <c r="QO21" i="1"/>
  <c r="RN20" i="1"/>
  <c r="RM20" i="1"/>
  <c r="RF20" i="1"/>
  <c r="RE20" i="1"/>
  <c r="QX20" i="1"/>
  <c r="QW20" i="1"/>
  <c r="QP20" i="1"/>
  <c r="QO20" i="1"/>
  <c r="RN19" i="1"/>
  <c r="RM19" i="1"/>
  <c r="RF19" i="1"/>
  <c r="RE19" i="1"/>
  <c r="QX19" i="1"/>
  <c r="QW19" i="1"/>
  <c r="QP19" i="1"/>
  <c r="QO19" i="1"/>
  <c r="RM18" i="1"/>
  <c r="RE18" i="1"/>
  <c r="QW18" i="1"/>
  <c r="QO18" i="1"/>
  <c r="RM17" i="1"/>
  <c r="RE17" i="1"/>
  <c r="QW17" i="1"/>
  <c r="QO17" i="1"/>
  <c r="RN16" i="1"/>
  <c r="RM16" i="1"/>
  <c r="RF16" i="1"/>
  <c r="RE16" i="1"/>
  <c r="QX16" i="1"/>
  <c r="QW16" i="1"/>
  <c r="QP16" i="1"/>
  <c r="QO16" i="1"/>
  <c r="RM15" i="1"/>
  <c r="RE15" i="1"/>
  <c r="QW15" i="1"/>
  <c r="QO15" i="1"/>
  <c r="RN14" i="1"/>
  <c r="RM14" i="1"/>
  <c r="RF14" i="1"/>
  <c r="RE14" i="1"/>
  <c r="QX14" i="1"/>
  <c r="QW14" i="1"/>
  <c r="QP14" i="1"/>
  <c r="QO14" i="1"/>
  <c r="RM13" i="1"/>
  <c r="RE13" i="1"/>
  <c r="QW13" i="1"/>
  <c r="QO13" i="1"/>
  <c r="RM12" i="1"/>
  <c r="RE12" i="1"/>
  <c r="QW12" i="1"/>
  <c r="QO12" i="1"/>
  <c r="RN11" i="1"/>
  <c r="RM11" i="1"/>
  <c r="RF11" i="1"/>
  <c r="RE11" i="1"/>
  <c r="QX11" i="1"/>
  <c r="QW11" i="1"/>
  <c r="QP11" i="1"/>
  <c r="QO11" i="1"/>
  <c r="RM10" i="1"/>
  <c r="RE10" i="1"/>
  <c r="QW10" i="1"/>
  <c r="QO10" i="1"/>
  <c r="HV80" i="1"/>
  <c r="HV78" i="1"/>
  <c r="HV71" i="1"/>
  <c r="HV39" i="1"/>
  <c r="HM80" i="1"/>
  <c r="HL80" i="1"/>
  <c r="HM78" i="1"/>
  <c r="HL78" i="1"/>
  <c r="HM71" i="1"/>
  <c r="HL71" i="1"/>
  <c r="HM39" i="1"/>
  <c r="HL39" i="1"/>
  <c r="BG108" i="12" l="1"/>
  <c r="BI109" i="12"/>
  <c r="AH36" i="2"/>
  <c r="IM81" i="1"/>
  <c r="HU81" i="1"/>
  <c r="TB78" i="1"/>
  <c r="QZ81" i="1"/>
  <c r="ST78" i="1"/>
  <c r="SN81" i="1"/>
  <c r="SE81" i="1"/>
  <c r="QY81" i="1"/>
  <c r="SV81" i="1"/>
  <c r="SF81" i="1"/>
  <c r="QP78" i="1"/>
  <c r="RG81" i="1"/>
  <c r="RH81" i="1"/>
  <c r="RV78" i="1"/>
  <c r="TC81" i="1"/>
  <c r="TD81" i="1"/>
  <c r="QX78" i="1"/>
  <c r="QR81" i="1"/>
  <c r="RF78" i="1"/>
  <c r="RO81" i="1"/>
  <c r="SL78" i="1"/>
  <c r="SM81" i="1"/>
  <c r="SU81" i="1"/>
  <c r="SD78" i="1"/>
  <c r="RW81" i="1"/>
  <c r="RX81" i="1"/>
  <c r="QQ81" i="1"/>
  <c r="RP81" i="1"/>
  <c r="RN78" i="1"/>
  <c r="HV81" i="1"/>
  <c r="HL81" i="1"/>
  <c r="HM81" i="1"/>
  <c r="AE108" i="12"/>
  <c r="AD108" i="12"/>
  <c r="AC108" i="12"/>
  <c r="AB108" i="12"/>
  <c r="HD80" i="1"/>
  <c r="HC80" i="1"/>
  <c r="HD78" i="1"/>
  <c r="HC78" i="1"/>
  <c r="HD71" i="1"/>
  <c r="HC71" i="1"/>
  <c r="HD39" i="1"/>
  <c r="HC39" i="1"/>
  <c r="BJ109" i="12" l="1"/>
  <c r="BI108" i="12"/>
  <c r="BH108" i="12"/>
  <c r="HC81" i="1"/>
  <c r="HD81" i="1"/>
  <c r="BK109" i="12" l="1"/>
  <c r="AJ36" i="2"/>
  <c r="BJ108" i="12" l="1"/>
  <c r="BL109" i="12"/>
  <c r="AK36" i="2"/>
  <c r="BM109" i="12" l="1"/>
  <c r="BK108" i="12"/>
  <c r="AL36" i="2"/>
  <c r="FP80" i="1"/>
  <c r="FO80" i="1"/>
  <c r="FP78" i="1"/>
  <c r="FO78" i="1"/>
  <c r="FP71" i="1"/>
  <c r="FO71" i="1"/>
  <c r="FP39" i="1"/>
  <c r="FO39" i="1"/>
  <c r="BL108" i="12" l="1"/>
  <c r="BN109" i="12"/>
  <c r="AM36" i="2"/>
  <c r="FP81" i="1"/>
  <c r="FO81" i="1"/>
  <c r="BM108" i="12" l="1"/>
  <c r="BO109" i="12"/>
  <c r="AN36" i="2"/>
  <c r="Z13" i="6"/>
  <c r="AA13" i="6" s="1"/>
  <c r="W13" i="6"/>
  <c r="BP109" i="12" l="1"/>
  <c r="BN108" i="12"/>
  <c r="AO36" i="2"/>
  <c r="FU55" i="1"/>
  <c r="FU56" i="1"/>
  <c r="FU57" i="1"/>
  <c r="QJ80" i="1"/>
  <c r="QI80" i="1"/>
  <c r="QB80" i="1"/>
  <c r="QA80" i="1"/>
  <c r="QH79" i="1"/>
  <c r="QH80" i="1" s="1"/>
  <c r="QG79" i="1"/>
  <c r="QG80" i="1" s="1"/>
  <c r="PZ79" i="1"/>
  <c r="PZ80" i="1" s="1"/>
  <c r="PY79" i="1"/>
  <c r="PY80" i="1" s="1"/>
  <c r="QJ78" i="1"/>
  <c r="QI78" i="1"/>
  <c r="QB78" i="1"/>
  <c r="QA78" i="1"/>
  <c r="QH77" i="1"/>
  <c r="QG77" i="1"/>
  <c r="PZ77" i="1"/>
  <c r="PY77" i="1"/>
  <c r="QH76" i="1"/>
  <c r="QG76" i="1"/>
  <c r="PZ76" i="1"/>
  <c r="PY76" i="1"/>
  <c r="QH75" i="1"/>
  <c r="PZ75" i="1"/>
  <c r="QH74" i="1"/>
  <c r="PZ74" i="1"/>
  <c r="QH73" i="1"/>
  <c r="QG73" i="1"/>
  <c r="PZ73" i="1"/>
  <c r="PY73" i="1"/>
  <c r="QH72" i="1"/>
  <c r="QG72" i="1"/>
  <c r="PZ72" i="1"/>
  <c r="PY72" i="1"/>
  <c r="QJ71" i="1"/>
  <c r="QI71" i="1"/>
  <c r="QB71" i="1"/>
  <c r="QA71" i="1"/>
  <c r="QG70" i="1"/>
  <c r="PY70" i="1"/>
  <c r="QH68" i="1"/>
  <c r="PZ68" i="1"/>
  <c r="QH61" i="1"/>
  <c r="QG61" i="1"/>
  <c r="PZ61" i="1"/>
  <c r="PY61" i="1"/>
  <c r="QH60" i="1"/>
  <c r="QG60" i="1"/>
  <c r="PZ60" i="1"/>
  <c r="PY60" i="1"/>
  <c r="QH59" i="1"/>
  <c r="QG59" i="1"/>
  <c r="PZ59" i="1"/>
  <c r="PY59" i="1"/>
  <c r="QH58" i="1"/>
  <c r="QG58" i="1"/>
  <c r="PZ58" i="1"/>
  <c r="PY58" i="1"/>
  <c r="QG57" i="1"/>
  <c r="PY57" i="1"/>
  <c r="QH56" i="1"/>
  <c r="QG56" i="1"/>
  <c r="PZ56" i="1"/>
  <c r="PY56" i="1"/>
  <c r="QG55" i="1"/>
  <c r="PY55" i="1"/>
  <c r="QH54" i="1"/>
  <c r="QG54" i="1"/>
  <c r="PZ54" i="1"/>
  <c r="PY54" i="1"/>
  <c r="QG53" i="1"/>
  <c r="PY53" i="1"/>
  <c r="QG52" i="1"/>
  <c r="PY52" i="1"/>
  <c r="QH51" i="1"/>
  <c r="QG51" i="1"/>
  <c r="PZ51" i="1"/>
  <c r="PY51" i="1"/>
  <c r="QH50" i="1"/>
  <c r="QG50" i="1"/>
  <c r="PZ50" i="1"/>
  <c r="PY50" i="1"/>
  <c r="QH49" i="1"/>
  <c r="QG49" i="1"/>
  <c r="PZ49" i="1"/>
  <c r="PY49" i="1"/>
  <c r="QH48" i="1"/>
  <c r="QG48" i="1"/>
  <c r="PZ48" i="1"/>
  <c r="PY48" i="1"/>
  <c r="QH47" i="1"/>
  <c r="QG47" i="1"/>
  <c r="PZ47" i="1"/>
  <c r="PY47" i="1"/>
  <c r="QG46" i="1"/>
  <c r="PY46" i="1"/>
  <c r="QG45" i="1"/>
  <c r="PY45" i="1"/>
  <c r="QG44" i="1"/>
  <c r="PY44" i="1"/>
  <c r="QH43" i="1"/>
  <c r="QG43" i="1"/>
  <c r="PZ43" i="1"/>
  <c r="PY43" i="1"/>
  <c r="QG42" i="1"/>
  <c r="PY42" i="1"/>
  <c r="QH41" i="1"/>
  <c r="QG41" i="1"/>
  <c r="PZ41" i="1"/>
  <c r="PY41" i="1"/>
  <c r="QG40" i="1"/>
  <c r="PY40" i="1"/>
  <c r="QJ39" i="1"/>
  <c r="QI39" i="1"/>
  <c r="QB39" i="1"/>
  <c r="QA39" i="1"/>
  <c r="QH37" i="1"/>
  <c r="PZ37" i="1"/>
  <c r="QH35" i="1"/>
  <c r="PZ35" i="1"/>
  <c r="QH33" i="1"/>
  <c r="QG33" i="1"/>
  <c r="PZ33" i="1"/>
  <c r="PY33" i="1"/>
  <c r="QH32" i="1"/>
  <c r="QG32" i="1"/>
  <c r="PZ32" i="1"/>
  <c r="PY32" i="1"/>
  <c r="QH31" i="1"/>
  <c r="QG31" i="1"/>
  <c r="PZ31" i="1"/>
  <c r="PY31" i="1"/>
  <c r="QH30" i="1"/>
  <c r="QG30" i="1"/>
  <c r="PZ30" i="1"/>
  <c r="PY30" i="1"/>
  <c r="QG29" i="1"/>
  <c r="PY29" i="1"/>
  <c r="QG28" i="1"/>
  <c r="PY28" i="1"/>
  <c r="QH27" i="1"/>
  <c r="QG27" i="1"/>
  <c r="PZ27" i="1"/>
  <c r="PY27" i="1"/>
  <c r="QG26" i="1"/>
  <c r="PY26" i="1"/>
  <c r="QH25" i="1"/>
  <c r="QG25" i="1"/>
  <c r="PZ25" i="1"/>
  <c r="PY25" i="1"/>
  <c r="QH24" i="1"/>
  <c r="QG24" i="1"/>
  <c r="PZ24" i="1"/>
  <c r="PY24" i="1"/>
  <c r="QH23" i="1"/>
  <c r="QG23" i="1"/>
  <c r="PZ23" i="1"/>
  <c r="PY23" i="1"/>
  <c r="QH22" i="1"/>
  <c r="QG22" i="1"/>
  <c r="PZ22" i="1"/>
  <c r="PY22" i="1"/>
  <c r="QH21" i="1"/>
  <c r="QG21" i="1"/>
  <c r="PZ21" i="1"/>
  <c r="PY21" i="1"/>
  <c r="QH20" i="1"/>
  <c r="QG20" i="1"/>
  <c r="PZ20" i="1"/>
  <c r="PY20" i="1"/>
  <c r="QH19" i="1"/>
  <c r="QG19" i="1"/>
  <c r="PZ19" i="1"/>
  <c r="PY19" i="1"/>
  <c r="QG18" i="1"/>
  <c r="PY18" i="1"/>
  <c r="QG17" i="1"/>
  <c r="PY17" i="1"/>
  <c r="QH16" i="1"/>
  <c r="QG16" i="1"/>
  <c r="PZ16" i="1"/>
  <c r="PY16" i="1"/>
  <c r="QG15" i="1"/>
  <c r="PY15" i="1"/>
  <c r="QH14" i="1"/>
  <c r="QG14" i="1"/>
  <c r="PZ14" i="1"/>
  <c r="PY14" i="1"/>
  <c r="QG13" i="1"/>
  <c r="PY13" i="1"/>
  <c r="QG12" i="1"/>
  <c r="PY12" i="1"/>
  <c r="QH11" i="1"/>
  <c r="QG11" i="1"/>
  <c r="PZ11" i="1"/>
  <c r="PY11" i="1"/>
  <c r="QG10" i="1"/>
  <c r="PY10" i="1"/>
  <c r="PT80" i="1"/>
  <c r="PS80" i="1"/>
  <c r="PR79" i="1"/>
  <c r="PR80" i="1" s="1"/>
  <c r="PQ79" i="1"/>
  <c r="PQ80" i="1" s="1"/>
  <c r="PT78" i="1"/>
  <c r="PS78" i="1"/>
  <c r="PR77" i="1"/>
  <c r="PQ77" i="1"/>
  <c r="PR76" i="1"/>
  <c r="PQ76" i="1"/>
  <c r="PR75" i="1"/>
  <c r="PR74" i="1"/>
  <c r="PR73" i="1"/>
  <c r="PQ73" i="1"/>
  <c r="PR72" i="1"/>
  <c r="PQ72" i="1"/>
  <c r="PT71" i="1"/>
  <c r="PS71" i="1"/>
  <c r="PQ70" i="1"/>
  <c r="PR68" i="1"/>
  <c r="PR61" i="1"/>
  <c r="PQ61" i="1"/>
  <c r="PR60" i="1"/>
  <c r="PQ60" i="1"/>
  <c r="PR59" i="1"/>
  <c r="PQ59" i="1"/>
  <c r="PR58" i="1"/>
  <c r="PQ58" i="1"/>
  <c r="PQ57" i="1"/>
  <c r="PR56" i="1"/>
  <c r="PQ56" i="1"/>
  <c r="PQ55" i="1"/>
  <c r="PR54" i="1"/>
  <c r="PQ54" i="1"/>
  <c r="PQ53" i="1"/>
  <c r="PQ52" i="1"/>
  <c r="PR51" i="1"/>
  <c r="PQ51" i="1"/>
  <c r="PR50" i="1"/>
  <c r="PQ50" i="1"/>
  <c r="PR49" i="1"/>
  <c r="PQ49" i="1"/>
  <c r="PR48" i="1"/>
  <c r="PQ48" i="1"/>
  <c r="PR47" i="1"/>
  <c r="PQ47" i="1"/>
  <c r="PQ46" i="1"/>
  <c r="PQ45" i="1"/>
  <c r="PQ44" i="1"/>
  <c r="PR43" i="1"/>
  <c r="PQ43" i="1"/>
  <c r="PQ42" i="1"/>
  <c r="PR41" i="1"/>
  <c r="PQ41" i="1"/>
  <c r="PQ40" i="1"/>
  <c r="PT39" i="1"/>
  <c r="PS39" i="1"/>
  <c r="PR37" i="1"/>
  <c r="PR35" i="1"/>
  <c r="PR33" i="1"/>
  <c r="PQ33" i="1"/>
  <c r="PR32" i="1"/>
  <c r="PQ32" i="1"/>
  <c r="PR31" i="1"/>
  <c r="PQ31" i="1"/>
  <c r="PR30" i="1"/>
  <c r="PQ30" i="1"/>
  <c r="PQ29" i="1"/>
  <c r="PQ28" i="1"/>
  <c r="PR27" i="1"/>
  <c r="PQ27" i="1"/>
  <c r="PQ26" i="1"/>
  <c r="PR25" i="1"/>
  <c r="PQ25" i="1"/>
  <c r="PR24" i="1"/>
  <c r="PQ24" i="1"/>
  <c r="PR23" i="1"/>
  <c r="PQ23" i="1"/>
  <c r="PR22" i="1"/>
  <c r="PQ22" i="1"/>
  <c r="PR21" i="1"/>
  <c r="PQ21" i="1"/>
  <c r="PR20" i="1"/>
  <c r="PQ20" i="1"/>
  <c r="PR19" i="1"/>
  <c r="PQ19" i="1"/>
  <c r="PQ18" i="1"/>
  <c r="PQ17" i="1"/>
  <c r="PR16" i="1"/>
  <c r="PQ16" i="1"/>
  <c r="PQ15" i="1"/>
  <c r="PR14" i="1"/>
  <c r="PQ14" i="1"/>
  <c r="PQ13" i="1"/>
  <c r="PQ12" i="1"/>
  <c r="PR11" i="1"/>
  <c r="PQ11" i="1"/>
  <c r="PQ10" i="1"/>
  <c r="PL80" i="1"/>
  <c r="PK80" i="1"/>
  <c r="PJ79" i="1"/>
  <c r="PJ80" i="1" s="1"/>
  <c r="PI79" i="1"/>
  <c r="PI80" i="1" s="1"/>
  <c r="PL78" i="1"/>
  <c r="PK78" i="1"/>
  <c r="PJ77" i="1"/>
  <c r="PI77" i="1"/>
  <c r="PJ76" i="1"/>
  <c r="PI76" i="1"/>
  <c r="PJ75" i="1"/>
  <c r="PJ74" i="1"/>
  <c r="PJ73" i="1"/>
  <c r="PI73" i="1"/>
  <c r="PJ72" i="1"/>
  <c r="PI72" i="1"/>
  <c r="PL71" i="1"/>
  <c r="PK71" i="1"/>
  <c r="PI70" i="1"/>
  <c r="PJ68" i="1"/>
  <c r="PJ61" i="1"/>
  <c r="PI61" i="1"/>
  <c r="PJ60" i="1"/>
  <c r="PI60" i="1"/>
  <c r="PJ59" i="1"/>
  <c r="PI59" i="1"/>
  <c r="PJ58" i="1"/>
  <c r="PI58" i="1"/>
  <c r="PI57" i="1"/>
  <c r="PJ56" i="1"/>
  <c r="PI56" i="1"/>
  <c r="PI55" i="1"/>
  <c r="PJ54" i="1"/>
  <c r="PI54" i="1"/>
  <c r="PI53" i="1"/>
  <c r="PI52" i="1"/>
  <c r="PJ51" i="1"/>
  <c r="PI51" i="1"/>
  <c r="PJ50" i="1"/>
  <c r="PI50" i="1"/>
  <c r="PJ49" i="1"/>
  <c r="PI49" i="1"/>
  <c r="PJ48" i="1"/>
  <c r="PI48" i="1"/>
  <c r="PJ47" i="1"/>
  <c r="PI47" i="1"/>
  <c r="PI46" i="1"/>
  <c r="PI45" i="1"/>
  <c r="PI44" i="1"/>
  <c r="PJ43" i="1"/>
  <c r="PI43" i="1"/>
  <c r="PI42" i="1"/>
  <c r="PJ41" i="1"/>
  <c r="PI41" i="1"/>
  <c r="PI40" i="1"/>
  <c r="PL39" i="1"/>
  <c r="PK39" i="1"/>
  <c r="PJ37" i="1"/>
  <c r="PJ35" i="1"/>
  <c r="PJ33" i="1"/>
  <c r="PI33" i="1"/>
  <c r="PJ32" i="1"/>
  <c r="PI32" i="1"/>
  <c r="PJ31" i="1"/>
  <c r="PI31" i="1"/>
  <c r="PJ30" i="1"/>
  <c r="PI30" i="1"/>
  <c r="PI29" i="1"/>
  <c r="PI28" i="1"/>
  <c r="PJ27" i="1"/>
  <c r="PI27" i="1"/>
  <c r="PI26" i="1"/>
  <c r="PJ25" i="1"/>
  <c r="PI25" i="1"/>
  <c r="PJ24" i="1"/>
  <c r="PI24" i="1"/>
  <c r="PJ23" i="1"/>
  <c r="PI23" i="1"/>
  <c r="PJ22" i="1"/>
  <c r="PI22" i="1"/>
  <c r="PJ21" i="1"/>
  <c r="PI21" i="1"/>
  <c r="PJ20" i="1"/>
  <c r="PI20" i="1"/>
  <c r="PJ19" i="1"/>
  <c r="PI19" i="1"/>
  <c r="PI18" i="1"/>
  <c r="PI17" i="1"/>
  <c r="PJ16" i="1"/>
  <c r="PI16" i="1"/>
  <c r="PI15" i="1"/>
  <c r="PJ14" i="1"/>
  <c r="PI14" i="1"/>
  <c r="PI13" i="1"/>
  <c r="PI12" i="1"/>
  <c r="PJ11" i="1"/>
  <c r="PI11" i="1"/>
  <c r="PI10" i="1"/>
  <c r="PD80" i="1"/>
  <c r="PC80" i="1"/>
  <c r="PB79" i="1"/>
  <c r="PB80" i="1" s="1"/>
  <c r="PA79" i="1"/>
  <c r="PA80" i="1" s="1"/>
  <c r="PD78" i="1"/>
  <c r="PC78" i="1"/>
  <c r="PB77" i="1"/>
  <c r="PA77" i="1"/>
  <c r="PB76" i="1"/>
  <c r="PA76" i="1"/>
  <c r="PB75" i="1"/>
  <c r="PB74" i="1"/>
  <c r="PB73" i="1"/>
  <c r="PA73" i="1"/>
  <c r="PB72" i="1"/>
  <c r="PA72" i="1"/>
  <c r="PD71" i="1"/>
  <c r="PC71" i="1"/>
  <c r="PA70" i="1"/>
  <c r="PB68" i="1"/>
  <c r="PB61" i="1"/>
  <c r="PA61" i="1"/>
  <c r="PB60" i="1"/>
  <c r="PA60" i="1"/>
  <c r="PB59" i="1"/>
  <c r="PA59" i="1"/>
  <c r="PB58" i="1"/>
  <c r="PA58" i="1"/>
  <c r="PA57" i="1"/>
  <c r="PB56" i="1"/>
  <c r="PA56" i="1"/>
  <c r="PA55" i="1"/>
  <c r="PB54" i="1"/>
  <c r="PA54" i="1"/>
  <c r="PA53" i="1"/>
  <c r="PA52" i="1"/>
  <c r="PB51" i="1"/>
  <c r="PA51" i="1"/>
  <c r="PB50" i="1"/>
  <c r="PA50" i="1"/>
  <c r="PB49" i="1"/>
  <c r="PA49" i="1"/>
  <c r="PB48" i="1"/>
  <c r="PA48" i="1"/>
  <c r="PB47" i="1"/>
  <c r="PA47" i="1"/>
  <c r="PA46" i="1"/>
  <c r="PA45" i="1"/>
  <c r="PA44" i="1"/>
  <c r="PB43" i="1"/>
  <c r="PA43" i="1"/>
  <c r="PA42" i="1"/>
  <c r="PB41" i="1"/>
  <c r="PA41" i="1"/>
  <c r="PA40" i="1"/>
  <c r="PD39" i="1"/>
  <c r="PC39" i="1"/>
  <c r="PB37" i="1"/>
  <c r="PB35" i="1"/>
  <c r="PB33" i="1"/>
  <c r="PA33" i="1"/>
  <c r="PB32" i="1"/>
  <c r="PA32" i="1"/>
  <c r="PB31" i="1"/>
  <c r="PA31" i="1"/>
  <c r="PB30" i="1"/>
  <c r="PA30" i="1"/>
  <c r="PA29" i="1"/>
  <c r="PA28" i="1"/>
  <c r="PB27" i="1"/>
  <c r="PA27" i="1"/>
  <c r="PA26" i="1"/>
  <c r="PB25" i="1"/>
  <c r="PA25" i="1"/>
  <c r="PB24" i="1"/>
  <c r="PA24" i="1"/>
  <c r="PB23" i="1"/>
  <c r="PA23" i="1"/>
  <c r="PB22" i="1"/>
  <c r="PA22" i="1"/>
  <c r="PB21" i="1"/>
  <c r="PA21" i="1"/>
  <c r="PB20" i="1"/>
  <c r="PA20" i="1"/>
  <c r="PB19" i="1"/>
  <c r="PA19" i="1"/>
  <c r="PA18" i="1"/>
  <c r="PA17" i="1"/>
  <c r="PB16" i="1"/>
  <c r="PA16" i="1"/>
  <c r="PA15" i="1"/>
  <c r="PB14" i="1"/>
  <c r="PA14" i="1"/>
  <c r="PA13" i="1"/>
  <c r="PA12" i="1"/>
  <c r="PB11" i="1"/>
  <c r="PA11" i="1"/>
  <c r="PA10" i="1"/>
  <c r="FH80" i="1"/>
  <c r="FG80" i="1"/>
  <c r="FH78" i="1"/>
  <c r="FG78" i="1"/>
  <c r="FH71" i="1"/>
  <c r="FG71" i="1"/>
  <c r="FH39" i="1"/>
  <c r="FG39" i="1"/>
  <c r="EZ80" i="1"/>
  <c r="EY80" i="1"/>
  <c r="EZ78" i="1"/>
  <c r="EY78" i="1"/>
  <c r="EZ71" i="1"/>
  <c r="EY71" i="1"/>
  <c r="EZ39" i="1"/>
  <c r="EY39" i="1"/>
  <c r="ER80" i="1"/>
  <c r="EQ80" i="1"/>
  <c r="ER78" i="1"/>
  <c r="EQ78" i="1"/>
  <c r="ER71" i="1"/>
  <c r="EQ71" i="1"/>
  <c r="ER39" i="1"/>
  <c r="EQ39" i="1"/>
  <c r="AA108" i="12"/>
  <c r="Z108" i="12"/>
  <c r="Y108" i="12"/>
  <c r="X108" i="12"/>
  <c r="W108" i="12"/>
  <c r="V108" i="12"/>
  <c r="I61" i="1"/>
  <c r="I60" i="1"/>
  <c r="OT61" i="1"/>
  <c r="OS61" i="1"/>
  <c r="OL61" i="1"/>
  <c r="OK61" i="1"/>
  <c r="OD61" i="1"/>
  <c r="OC61" i="1"/>
  <c r="NV61" i="1"/>
  <c r="NU61" i="1"/>
  <c r="NN61" i="1"/>
  <c r="NM61" i="1"/>
  <c r="NF61" i="1"/>
  <c r="NE61" i="1"/>
  <c r="MX61" i="1"/>
  <c r="MW61" i="1"/>
  <c r="MP61" i="1"/>
  <c r="MO61" i="1"/>
  <c r="MH61" i="1"/>
  <c r="MG61" i="1"/>
  <c r="LZ61" i="1"/>
  <c r="LY61" i="1"/>
  <c r="LR61" i="1"/>
  <c r="LQ61" i="1"/>
  <c r="LI61" i="1"/>
  <c r="LH61" i="1"/>
  <c r="LA61" i="1"/>
  <c r="KZ61" i="1"/>
  <c r="KR61" i="1"/>
  <c r="KQ61" i="1"/>
  <c r="KI61" i="1"/>
  <c r="KH61" i="1"/>
  <c r="KA61" i="1"/>
  <c r="JZ61" i="1"/>
  <c r="JS61" i="1"/>
  <c r="JR61" i="1"/>
  <c r="JJ61" i="1"/>
  <c r="JI61" i="1"/>
  <c r="JB61" i="1"/>
  <c r="JA61" i="1"/>
  <c r="IS61" i="1"/>
  <c r="IR61" i="1"/>
  <c r="IK61" i="1"/>
  <c r="IJ61" i="1"/>
  <c r="IB61" i="1"/>
  <c r="IA61" i="1"/>
  <c r="HS61" i="1"/>
  <c r="HR61" i="1"/>
  <c r="HJ61" i="1"/>
  <c r="HI61" i="1"/>
  <c r="HA61" i="1"/>
  <c r="GZ61" i="1"/>
  <c r="GR61" i="1"/>
  <c r="GQ61" i="1"/>
  <c r="GI61" i="1"/>
  <c r="GH61" i="1"/>
  <c r="FV61" i="1"/>
  <c r="FU61" i="1"/>
  <c r="FN61" i="1"/>
  <c r="FM61" i="1"/>
  <c r="FF61" i="1"/>
  <c r="FE61" i="1"/>
  <c r="EX61" i="1"/>
  <c r="EW61" i="1"/>
  <c r="EP61" i="1"/>
  <c r="EO61" i="1"/>
  <c r="EG61" i="1"/>
  <c r="EF61" i="1"/>
  <c r="DW61" i="1"/>
  <c r="DV61" i="1"/>
  <c r="DO61" i="1"/>
  <c r="DN61" i="1"/>
  <c r="DF61" i="1"/>
  <c r="DE61" i="1"/>
  <c r="CV61" i="1"/>
  <c r="CU61" i="1"/>
  <c r="CM61" i="1"/>
  <c r="CL61" i="1"/>
  <c r="CC61" i="1"/>
  <c r="CB61" i="1"/>
  <c r="BR61" i="1"/>
  <c r="BQ61" i="1"/>
  <c r="BH61" i="1"/>
  <c r="BG61" i="1"/>
  <c r="AZ61" i="1"/>
  <c r="AY61" i="1"/>
  <c r="AQ61" i="1"/>
  <c r="AP61" i="1"/>
  <c r="AI61" i="1"/>
  <c r="AH61" i="1"/>
  <c r="AA61" i="1"/>
  <c r="Z61" i="1"/>
  <c r="S61" i="1"/>
  <c r="R61" i="1"/>
  <c r="K61" i="1"/>
  <c r="J61" i="1"/>
  <c r="OT60" i="1"/>
  <c r="OS60" i="1"/>
  <c r="OL60" i="1"/>
  <c r="OK60" i="1"/>
  <c r="OD60" i="1"/>
  <c r="OC60" i="1"/>
  <c r="NV60" i="1"/>
  <c r="NU60" i="1"/>
  <c r="NN60" i="1"/>
  <c r="NM60" i="1"/>
  <c r="NF60" i="1"/>
  <c r="NE60" i="1"/>
  <c r="MX60" i="1"/>
  <c r="MW60" i="1"/>
  <c r="MP60" i="1"/>
  <c r="MO60" i="1"/>
  <c r="MH60" i="1"/>
  <c r="MG60" i="1"/>
  <c r="LZ60" i="1"/>
  <c r="LY60" i="1"/>
  <c r="LR60" i="1"/>
  <c r="LQ60" i="1"/>
  <c r="LI60" i="1"/>
  <c r="LH60" i="1"/>
  <c r="LA60" i="1"/>
  <c r="KZ60" i="1"/>
  <c r="KR60" i="1"/>
  <c r="KQ60" i="1"/>
  <c r="KI60" i="1"/>
  <c r="KH60" i="1"/>
  <c r="KA60" i="1"/>
  <c r="JZ60" i="1"/>
  <c r="JS60" i="1"/>
  <c r="JR60" i="1"/>
  <c r="JJ60" i="1"/>
  <c r="JI60" i="1"/>
  <c r="JB60" i="1"/>
  <c r="JA60" i="1"/>
  <c r="IS60" i="1"/>
  <c r="IR60" i="1"/>
  <c r="IK60" i="1"/>
  <c r="IJ60" i="1"/>
  <c r="IB60" i="1"/>
  <c r="IA60" i="1"/>
  <c r="HS60" i="1"/>
  <c r="HR60" i="1"/>
  <c r="HJ60" i="1"/>
  <c r="HI60" i="1"/>
  <c r="HA60" i="1"/>
  <c r="GZ60" i="1"/>
  <c r="GR60" i="1"/>
  <c r="GQ60" i="1"/>
  <c r="GI60" i="1"/>
  <c r="GH60" i="1"/>
  <c r="FV60" i="1"/>
  <c r="FU60" i="1"/>
  <c r="FN60" i="1"/>
  <c r="FM60" i="1"/>
  <c r="FF60" i="1"/>
  <c r="FE60" i="1"/>
  <c r="EX60" i="1"/>
  <c r="EW60" i="1"/>
  <c r="EP60" i="1"/>
  <c r="EO60" i="1"/>
  <c r="EG60" i="1"/>
  <c r="EF60" i="1"/>
  <c r="DW60" i="1"/>
  <c r="DV60" i="1"/>
  <c r="DO60" i="1"/>
  <c r="DN60" i="1"/>
  <c r="DF60" i="1"/>
  <c r="DE60" i="1"/>
  <c r="CV60" i="1"/>
  <c r="CU60" i="1"/>
  <c r="CM60" i="1"/>
  <c r="CL60" i="1"/>
  <c r="CC60" i="1"/>
  <c r="CB60" i="1"/>
  <c r="BR60" i="1"/>
  <c r="BQ60" i="1"/>
  <c r="BH60" i="1"/>
  <c r="BG60" i="1"/>
  <c r="AZ60" i="1"/>
  <c r="AY60" i="1"/>
  <c r="AQ60" i="1"/>
  <c r="AP60" i="1"/>
  <c r="AI60" i="1"/>
  <c r="AH60" i="1"/>
  <c r="AA60" i="1"/>
  <c r="Z60" i="1"/>
  <c r="S60" i="1"/>
  <c r="R60" i="1"/>
  <c r="K60" i="1"/>
  <c r="J60" i="1"/>
  <c r="OT33" i="1"/>
  <c r="OS33" i="1"/>
  <c r="OL33" i="1"/>
  <c r="OK33" i="1"/>
  <c r="OD33" i="1"/>
  <c r="OC33" i="1"/>
  <c r="NV33" i="1"/>
  <c r="NU33" i="1"/>
  <c r="NN33" i="1"/>
  <c r="NM33" i="1"/>
  <c r="NF33" i="1"/>
  <c r="NE33" i="1"/>
  <c r="MX33" i="1"/>
  <c r="MW33" i="1"/>
  <c r="MP33" i="1"/>
  <c r="MO33" i="1"/>
  <c r="MH33" i="1"/>
  <c r="MG33" i="1"/>
  <c r="LZ33" i="1"/>
  <c r="LY33" i="1"/>
  <c r="LR33" i="1"/>
  <c r="LQ33" i="1"/>
  <c r="LI33" i="1"/>
  <c r="LH33" i="1"/>
  <c r="LA33" i="1"/>
  <c r="KZ33" i="1"/>
  <c r="KR33" i="1"/>
  <c r="KQ33" i="1"/>
  <c r="KI33" i="1"/>
  <c r="KH33" i="1"/>
  <c r="KA33" i="1"/>
  <c r="JZ33" i="1"/>
  <c r="JS33" i="1"/>
  <c r="JR33" i="1"/>
  <c r="JJ33" i="1"/>
  <c r="JI33" i="1"/>
  <c r="JB33" i="1"/>
  <c r="JA33" i="1"/>
  <c r="IS33" i="1"/>
  <c r="IR33" i="1"/>
  <c r="IK33" i="1"/>
  <c r="IJ33" i="1"/>
  <c r="IB33" i="1"/>
  <c r="IA33" i="1"/>
  <c r="HS33" i="1"/>
  <c r="HR33" i="1"/>
  <c r="HJ33" i="1"/>
  <c r="HI33" i="1"/>
  <c r="HA33" i="1"/>
  <c r="GZ33" i="1"/>
  <c r="GR33" i="1"/>
  <c r="GQ33" i="1"/>
  <c r="GI33" i="1"/>
  <c r="GH33" i="1"/>
  <c r="FV33" i="1"/>
  <c r="FU33" i="1"/>
  <c r="FN33" i="1"/>
  <c r="FM33" i="1"/>
  <c r="FF33" i="1"/>
  <c r="FE33" i="1"/>
  <c r="EX33" i="1"/>
  <c r="EW33" i="1"/>
  <c r="EP33" i="1"/>
  <c r="EO33" i="1"/>
  <c r="EG33" i="1"/>
  <c r="EF33" i="1"/>
  <c r="DW33" i="1"/>
  <c r="DV33" i="1"/>
  <c r="DO33" i="1"/>
  <c r="DN33" i="1"/>
  <c r="DF33" i="1"/>
  <c r="DE33" i="1"/>
  <c r="CV33" i="1"/>
  <c r="CU33" i="1"/>
  <c r="CM33" i="1"/>
  <c r="CL33" i="1"/>
  <c r="CC33" i="1"/>
  <c r="CB33" i="1"/>
  <c r="BR33" i="1"/>
  <c r="BQ33" i="1"/>
  <c r="BH33" i="1"/>
  <c r="BG33" i="1"/>
  <c r="AZ33" i="1"/>
  <c r="AY33" i="1"/>
  <c r="AQ33" i="1"/>
  <c r="AP33" i="1"/>
  <c r="AI33" i="1"/>
  <c r="AH33" i="1"/>
  <c r="AA33" i="1"/>
  <c r="Z33" i="1"/>
  <c r="S33" i="1"/>
  <c r="R33" i="1"/>
  <c r="K33" i="1"/>
  <c r="J33" i="1"/>
  <c r="AN12" i="6"/>
  <c r="AO12" i="6"/>
  <c r="AP12" i="6"/>
  <c r="AQ12" i="6"/>
  <c r="AR12" i="6"/>
  <c r="AS12" i="6"/>
  <c r="AT12" i="6"/>
  <c r="AU12" i="6"/>
  <c r="AV12" i="6"/>
  <c r="AW12" i="6"/>
  <c r="BO108" i="12" l="1"/>
  <c r="BQ109" i="12"/>
  <c r="AP36" i="2"/>
  <c r="H108" i="12"/>
  <c r="F108" i="12"/>
  <c r="E108" i="12"/>
  <c r="D108" i="12"/>
  <c r="PS81" i="1"/>
  <c r="QA81" i="1"/>
  <c r="I108" i="12"/>
  <c r="C108" i="12"/>
  <c r="J108" i="12"/>
  <c r="QB81" i="1"/>
  <c r="PC81" i="1"/>
  <c r="PD81" i="1"/>
  <c r="PT81" i="1"/>
  <c r="QI81" i="1"/>
  <c r="PK81" i="1"/>
  <c r="PL81" i="1"/>
  <c r="QJ81" i="1"/>
  <c r="PB78" i="1"/>
  <c r="PR78" i="1"/>
  <c r="QH78" i="1"/>
  <c r="PZ78" i="1"/>
  <c r="PJ78" i="1"/>
  <c r="EQ81" i="1"/>
  <c r="EY81" i="1"/>
  <c r="FG81" i="1"/>
  <c r="ER81" i="1"/>
  <c r="EZ81" i="1"/>
  <c r="FH81" i="1"/>
  <c r="N33" i="1"/>
  <c r="P33" i="1" s="1"/>
  <c r="V33" i="1" s="1"/>
  <c r="X33" i="1" s="1"/>
  <c r="AD33" i="1" s="1"/>
  <c r="AF33" i="1" s="1"/>
  <c r="AL33" i="1" s="1"/>
  <c r="AN33" i="1" s="1"/>
  <c r="N108" i="12"/>
  <c r="Q108" i="12"/>
  <c r="P108" i="12"/>
  <c r="M108" i="12"/>
  <c r="L108" i="12"/>
  <c r="K108" i="12"/>
  <c r="G108" i="12"/>
  <c r="O108" i="12"/>
  <c r="I33" i="1"/>
  <c r="N60" i="1"/>
  <c r="P60" i="1" s="1"/>
  <c r="V60" i="1" s="1"/>
  <c r="X60" i="1" s="1"/>
  <c r="AD60" i="1" s="1"/>
  <c r="AF60" i="1" s="1"/>
  <c r="AL60" i="1" s="1"/>
  <c r="AN60" i="1" s="1"/>
  <c r="N61" i="1"/>
  <c r="P61" i="1" s="1"/>
  <c r="V61" i="1" s="1"/>
  <c r="X61" i="1" s="1"/>
  <c r="AD61" i="1" s="1"/>
  <c r="AF61" i="1" s="1"/>
  <c r="AL61" i="1" s="1"/>
  <c r="AN61" i="1" s="1"/>
  <c r="OT37" i="1"/>
  <c r="OL37" i="1"/>
  <c r="OD37" i="1"/>
  <c r="NV37" i="1"/>
  <c r="NN37" i="1"/>
  <c r="NF37" i="1"/>
  <c r="MX37" i="1"/>
  <c r="MP37" i="1"/>
  <c r="MH37" i="1"/>
  <c r="LZ37" i="1"/>
  <c r="LR37" i="1"/>
  <c r="LI37" i="1"/>
  <c r="LA37" i="1"/>
  <c r="KR37" i="1"/>
  <c r="KI37" i="1"/>
  <c r="KA37" i="1"/>
  <c r="JS37" i="1"/>
  <c r="JJ37" i="1"/>
  <c r="JB37" i="1"/>
  <c r="IS37" i="1"/>
  <c r="IK37" i="1"/>
  <c r="IB37" i="1"/>
  <c r="HS37" i="1"/>
  <c r="HJ37" i="1"/>
  <c r="HA37" i="1"/>
  <c r="GR37" i="1"/>
  <c r="GI37" i="1"/>
  <c r="FV37" i="1"/>
  <c r="FN37" i="1"/>
  <c r="FF37" i="1"/>
  <c r="EX37" i="1"/>
  <c r="EP37" i="1"/>
  <c r="EG37" i="1"/>
  <c r="DW37" i="1"/>
  <c r="DO37" i="1"/>
  <c r="DF37" i="1"/>
  <c r="CV37" i="1"/>
  <c r="CM37" i="1"/>
  <c r="CC37" i="1"/>
  <c r="BR37" i="1"/>
  <c r="BH37" i="1"/>
  <c r="AZ37" i="1"/>
  <c r="AQ37" i="1"/>
  <c r="AI37" i="1"/>
  <c r="AA37" i="1"/>
  <c r="S37" i="1"/>
  <c r="K37" i="1"/>
  <c r="J37" i="1"/>
  <c r="I37" i="1"/>
  <c r="BP108" i="12" l="1"/>
  <c r="AU60" i="1"/>
  <c r="AW60" i="1" s="1"/>
  <c r="BC60" i="1" s="1"/>
  <c r="BE60" i="1" s="1"/>
  <c r="AU33" i="1"/>
  <c r="AW33" i="1" s="1"/>
  <c r="BC33" i="1" s="1"/>
  <c r="BE33" i="1" s="1"/>
  <c r="AU61" i="1"/>
  <c r="AW61" i="1" s="1"/>
  <c r="BC61" i="1" s="1"/>
  <c r="BE61" i="1" s="1"/>
  <c r="AQ36" i="2"/>
  <c r="N37" i="1"/>
  <c r="P37" i="1" s="1"/>
  <c r="BQ108" i="12" l="1"/>
  <c r="BM61" i="1"/>
  <c r="BO61" i="1" s="1"/>
  <c r="BM60" i="1"/>
  <c r="BO60" i="1" s="1"/>
  <c r="BM33" i="1"/>
  <c r="BO33" i="1" s="1"/>
  <c r="AR36" i="2"/>
  <c r="DQ80" i="1"/>
  <c r="DQ78" i="1"/>
  <c r="DQ71" i="1"/>
  <c r="DQ39" i="1"/>
  <c r="BX60" i="1" l="1"/>
  <c r="BZ60" i="1" s="1"/>
  <c r="BX33" i="1"/>
  <c r="BZ33" i="1" s="1"/>
  <c r="BX61" i="1"/>
  <c r="BZ61" i="1" s="1"/>
  <c r="AS36" i="2"/>
  <c r="DQ81" i="1"/>
  <c r="CH60" i="1" l="1"/>
  <c r="CJ60" i="1" s="1"/>
  <c r="CH61" i="1"/>
  <c r="CJ61" i="1" s="1"/>
  <c r="CH33" i="1"/>
  <c r="CJ33" i="1" s="1"/>
  <c r="AT36" i="2"/>
  <c r="DP80" i="1"/>
  <c r="DP78" i="1"/>
  <c r="DP71" i="1"/>
  <c r="DP39" i="1"/>
  <c r="CQ33" i="1" l="1"/>
  <c r="CS33" i="1" s="1"/>
  <c r="CQ61" i="1"/>
  <c r="CS61" i="1" s="1"/>
  <c r="CQ60" i="1"/>
  <c r="CS60" i="1" s="1"/>
  <c r="AU36" i="2"/>
  <c r="DP81" i="1"/>
  <c r="DA60" i="1" l="1"/>
  <c r="DC60" i="1" s="1"/>
  <c r="DA33" i="1"/>
  <c r="DC33" i="1" s="1"/>
  <c r="DA61" i="1"/>
  <c r="DC61" i="1" s="1"/>
  <c r="AV36" i="2"/>
  <c r="U36" i="2"/>
  <c r="DI80" i="1"/>
  <c r="DH80" i="1"/>
  <c r="DI78" i="1"/>
  <c r="DH78" i="1"/>
  <c r="DI71" i="1"/>
  <c r="DH71" i="1"/>
  <c r="DI39" i="1"/>
  <c r="DH39" i="1"/>
  <c r="DJ61" i="1" l="1"/>
  <c r="DL61" i="1" s="1"/>
  <c r="DR61" i="1" s="1"/>
  <c r="DT61" i="1" s="1"/>
  <c r="DJ33" i="1"/>
  <c r="DL33" i="1" s="1"/>
  <c r="DR33" i="1" s="1"/>
  <c r="DT33" i="1" s="1"/>
  <c r="DJ60" i="1"/>
  <c r="DL60" i="1" s="1"/>
  <c r="DR60" i="1" s="1"/>
  <c r="DT60" i="1" s="1"/>
  <c r="AW36" i="2"/>
  <c r="DH81" i="1"/>
  <c r="DI81" i="1"/>
  <c r="R109" i="12"/>
  <c r="CG80" i="1"/>
  <c r="CG78" i="1"/>
  <c r="CG71" i="1"/>
  <c r="CG39" i="1"/>
  <c r="OV80" i="1"/>
  <c r="OU80" i="1"/>
  <c r="ON80" i="1"/>
  <c r="OM80" i="1"/>
  <c r="OF80" i="1"/>
  <c r="OE80" i="1"/>
  <c r="NX80" i="1"/>
  <c r="NW80" i="1"/>
  <c r="OT79" i="1"/>
  <c r="OT80" i="1" s="1"/>
  <c r="OS79" i="1"/>
  <c r="OS80" i="1" s="1"/>
  <c r="OL79" i="1"/>
  <c r="OL80" i="1" s="1"/>
  <c r="OK79" i="1"/>
  <c r="OK80" i="1" s="1"/>
  <c r="OD79" i="1"/>
  <c r="OD80" i="1" s="1"/>
  <c r="OC79" i="1"/>
  <c r="OC80" i="1" s="1"/>
  <c r="NV79" i="1"/>
  <c r="NV80" i="1" s="1"/>
  <c r="NU79" i="1"/>
  <c r="NU80" i="1" s="1"/>
  <c r="OV78" i="1"/>
  <c r="OU78" i="1"/>
  <c r="ON78" i="1"/>
  <c r="OM78" i="1"/>
  <c r="OF78" i="1"/>
  <c r="OE78" i="1"/>
  <c r="NX78" i="1"/>
  <c r="NW78" i="1"/>
  <c r="OT77" i="1"/>
  <c r="OS77" i="1"/>
  <c r="OL77" i="1"/>
  <c r="OK77" i="1"/>
  <c r="OD77" i="1"/>
  <c r="OC77" i="1"/>
  <c r="NV77" i="1"/>
  <c r="NU77" i="1"/>
  <c r="OT76" i="1"/>
  <c r="OS76" i="1"/>
  <c r="OL76" i="1"/>
  <c r="OK76" i="1"/>
  <c r="OD76" i="1"/>
  <c r="OC76" i="1"/>
  <c r="NV76" i="1"/>
  <c r="NU76" i="1"/>
  <c r="OT75" i="1"/>
  <c r="OL75" i="1"/>
  <c r="OD75" i="1"/>
  <c r="NV75" i="1"/>
  <c r="OT74" i="1"/>
  <c r="OL74" i="1"/>
  <c r="OD74" i="1"/>
  <c r="NV74" i="1"/>
  <c r="OT73" i="1"/>
  <c r="OS73" i="1"/>
  <c r="OL73" i="1"/>
  <c r="OK73" i="1"/>
  <c r="OD73" i="1"/>
  <c r="OC73" i="1"/>
  <c r="NV73" i="1"/>
  <c r="NU73" i="1"/>
  <c r="OT72" i="1"/>
  <c r="OS72" i="1"/>
  <c r="OL72" i="1"/>
  <c r="OK72" i="1"/>
  <c r="OD72" i="1"/>
  <c r="OC72" i="1"/>
  <c r="NV72" i="1"/>
  <c r="NU72" i="1"/>
  <c r="OV71" i="1"/>
  <c r="OU71" i="1"/>
  <c r="ON71" i="1"/>
  <c r="OM71" i="1"/>
  <c r="OF71" i="1"/>
  <c r="OE71" i="1"/>
  <c r="NX71" i="1"/>
  <c r="NW71" i="1"/>
  <c r="OS70" i="1"/>
  <c r="OK70" i="1"/>
  <c r="OC70" i="1"/>
  <c r="NU70" i="1"/>
  <c r="OT68" i="1"/>
  <c r="OL68" i="1"/>
  <c r="OD68" i="1"/>
  <c r="NV68" i="1"/>
  <c r="OT59" i="1"/>
  <c r="OS59" i="1"/>
  <c r="OL59" i="1"/>
  <c r="OK59" i="1"/>
  <c r="OD59" i="1"/>
  <c r="OC59" i="1"/>
  <c r="NV59" i="1"/>
  <c r="NU59" i="1"/>
  <c r="OT58" i="1"/>
  <c r="OS58" i="1"/>
  <c r="OL58" i="1"/>
  <c r="OK58" i="1"/>
  <c r="OD58" i="1"/>
  <c r="OC58" i="1"/>
  <c r="NV58" i="1"/>
  <c r="NU58" i="1"/>
  <c r="OS57" i="1"/>
  <c r="OK57" i="1"/>
  <c r="OC57" i="1"/>
  <c r="NU57" i="1"/>
  <c r="OT56" i="1"/>
  <c r="OS56" i="1"/>
  <c r="OL56" i="1"/>
  <c r="OK56" i="1"/>
  <c r="OD56" i="1"/>
  <c r="OC56" i="1"/>
  <c r="NV56" i="1"/>
  <c r="NU56" i="1"/>
  <c r="OS55" i="1"/>
  <c r="OK55" i="1"/>
  <c r="OC55" i="1"/>
  <c r="NU55" i="1"/>
  <c r="OT54" i="1"/>
  <c r="OS54" i="1"/>
  <c r="OL54" i="1"/>
  <c r="OK54" i="1"/>
  <c r="OD54" i="1"/>
  <c r="OC54" i="1"/>
  <c r="NV54" i="1"/>
  <c r="NU54" i="1"/>
  <c r="OS53" i="1"/>
  <c r="OK53" i="1"/>
  <c r="OC53" i="1"/>
  <c r="NU53" i="1"/>
  <c r="OS52" i="1"/>
  <c r="OK52" i="1"/>
  <c r="OC52" i="1"/>
  <c r="NU52" i="1"/>
  <c r="OT51" i="1"/>
  <c r="OS51" i="1"/>
  <c r="OL51" i="1"/>
  <c r="OK51" i="1"/>
  <c r="OD51" i="1"/>
  <c r="OC51" i="1"/>
  <c r="NV51" i="1"/>
  <c r="NU51" i="1"/>
  <c r="OT50" i="1"/>
  <c r="OS50" i="1"/>
  <c r="OL50" i="1"/>
  <c r="OK50" i="1"/>
  <c r="OD50" i="1"/>
  <c r="OC50" i="1"/>
  <c r="NV50" i="1"/>
  <c r="NU50" i="1"/>
  <c r="OT49" i="1"/>
  <c r="OS49" i="1"/>
  <c r="OL49" i="1"/>
  <c r="OK49" i="1"/>
  <c r="OD49" i="1"/>
  <c r="OC49" i="1"/>
  <c r="NV49" i="1"/>
  <c r="NU49" i="1"/>
  <c r="OT48" i="1"/>
  <c r="OS48" i="1"/>
  <c r="OL48" i="1"/>
  <c r="OK48" i="1"/>
  <c r="OD48" i="1"/>
  <c r="OC48" i="1"/>
  <c r="NV48" i="1"/>
  <c r="NU48" i="1"/>
  <c r="OT47" i="1"/>
  <c r="OS47" i="1"/>
  <c r="OL47" i="1"/>
  <c r="OK47" i="1"/>
  <c r="OD47" i="1"/>
  <c r="OC47" i="1"/>
  <c r="NV47" i="1"/>
  <c r="NU47" i="1"/>
  <c r="OS46" i="1"/>
  <c r="OK46" i="1"/>
  <c r="OC46" i="1"/>
  <c r="NU46" i="1"/>
  <c r="OS45" i="1"/>
  <c r="OK45" i="1"/>
  <c r="OC45" i="1"/>
  <c r="NU45" i="1"/>
  <c r="OS44" i="1"/>
  <c r="OK44" i="1"/>
  <c r="OC44" i="1"/>
  <c r="NU44" i="1"/>
  <c r="OT43" i="1"/>
  <c r="OS43" i="1"/>
  <c r="OL43" i="1"/>
  <c r="OK43" i="1"/>
  <c r="OD43" i="1"/>
  <c r="OC43" i="1"/>
  <c r="NV43" i="1"/>
  <c r="NU43" i="1"/>
  <c r="OS42" i="1"/>
  <c r="OK42" i="1"/>
  <c r="OC42" i="1"/>
  <c r="NU42" i="1"/>
  <c r="OT41" i="1"/>
  <c r="OS41" i="1"/>
  <c r="OL41" i="1"/>
  <c r="OK41" i="1"/>
  <c r="OD41" i="1"/>
  <c r="OC41" i="1"/>
  <c r="NV41" i="1"/>
  <c r="NU41" i="1"/>
  <c r="OS40" i="1"/>
  <c r="OK40" i="1"/>
  <c r="OC40" i="1"/>
  <c r="NU40" i="1"/>
  <c r="OV39" i="1"/>
  <c r="OU39" i="1"/>
  <c r="ON39" i="1"/>
  <c r="OM39" i="1"/>
  <c r="OF39" i="1"/>
  <c r="OE39" i="1"/>
  <c r="NX39" i="1"/>
  <c r="NW39" i="1"/>
  <c r="OT35" i="1"/>
  <c r="OL35" i="1"/>
  <c r="OD35" i="1"/>
  <c r="NV35" i="1"/>
  <c r="OT32" i="1"/>
  <c r="OS32" i="1"/>
  <c r="OL32" i="1"/>
  <c r="OK32" i="1"/>
  <c r="OD32" i="1"/>
  <c r="OC32" i="1"/>
  <c r="NV32" i="1"/>
  <c r="NU32" i="1"/>
  <c r="OT31" i="1"/>
  <c r="OS31" i="1"/>
  <c r="OL31" i="1"/>
  <c r="OK31" i="1"/>
  <c r="OD31" i="1"/>
  <c r="OC31" i="1"/>
  <c r="NV31" i="1"/>
  <c r="NU31" i="1"/>
  <c r="OT30" i="1"/>
  <c r="OS30" i="1"/>
  <c r="OL30" i="1"/>
  <c r="OK30" i="1"/>
  <c r="OD30" i="1"/>
  <c r="OC30" i="1"/>
  <c r="NV30" i="1"/>
  <c r="NU30" i="1"/>
  <c r="OS29" i="1"/>
  <c r="OK29" i="1"/>
  <c r="OC29" i="1"/>
  <c r="NU29" i="1"/>
  <c r="OS28" i="1"/>
  <c r="OK28" i="1"/>
  <c r="OC28" i="1"/>
  <c r="NU28" i="1"/>
  <c r="OT27" i="1"/>
  <c r="OS27" i="1"/>
  <c r="OL27" i="1"/>
  <c r="OK27" i="1"/>
  <c r="OD27" i="1"/>
  <c r="OC27" i="1"/>
  <c r="NV27" i="1"/>
  <c r="NU27" i="1"/>
  <c r="OS26" i="1"/>
  <c r="OK26" i="1"/>
  <c r="OC26" i="1"/>
  <c r="NU26" i="1"/>
  <c r="OT25" i="1"/>
  <c r="OS25" i="1"/>
  <c r="OL25" i="1"/>
  <c r="OK25" i="1"/>
  <c r="OD25" i="1"/>
  <c r="OC25" i="1"/>
  <c r="NV25" i="1"/>
  <c r="NU25" i="1"/>
  <c r="OT24" i="1"/>
  <c r="OS24" i="1"/>
  <c r="OL24" i="1"/>
  <c r="OK24" i="1"/>
  <c r="OD24" i="1"/>
  <c r="OC24" i="1"/>
  <c r="NV24" i="1"/>
  <c r="NU24" i="1"/>
  <c r="OT23" i="1"/>
  <c r="OS23" i="1"/>
  <c r="OL23" i="1"/>
  <c r="OK23" i="1"/>
  <c r="OD23" i="1"/>
  <c r="OC23" i="1"/>
  <c r="NV23" i="1"/>
  <c r="NU23" i="1"/>
  <c r="OT22" i="1"/>
  <c r="OS22" i="1"/>
  <c r="OL22" i="1"/>
  <c r="OK22" i="1"/>
  <c r="OD22" i="1"/>
  <c r="OC22" i="1"/>
  <c r="NV22" i="1"/>
  <c r="NU22" i="1"/>
  <c r="OT21" i="1"/>
  <c r="OS21" i="1"/>
  <c r="OL21" i="1"/>
  <c r="OK21" i="1"/>
  <c r="OD21" i="1"/>
  <c r="OC21" i="1"/>
  <c r="NV21" i="1"/>
  <c r="NU21" i="1"/>
  <c r="OT20" i="1"/>
  <c r="OS20" i="1"/>
  <c r="OL20" i="1"/>
  <c r="OK20" i="1"/>
  <c r="OD20" i="1"/>
  <c r="OC20" i="1"/>
  <c r="NV20" i="1"/>
  <c r="NU20" i="1"/>
  <c r="OT19" i="1"/>
  <c r="OS19" i="1"/>
  <c r="OL19" i="1"/>
  <c r="OK19" i="1"/>
  <c r="OD19" i="1"/>
  <c r="OC19" i="1"/>
  <c r="NV19" i="1"/>
  <c r="NU19" i="1"/>
  <c r="OS18" i="1"/>
  <c r="OK18" i="1"/>
  <c r="OC18" i="1"/>
  <c r="NU18" i="1"/>
  <c r="OS17" i="1"/>
  <c r="OK17" i="1"/>
  <c r="OC17" i="1"/>
  <c r="NU17" i="1"/>
  <c r="OT16" i="1"/>
  <c r="OS16" i="1"/>
  <c r="OL16" i="1"/>
  <c r="OK16" i="1"/>
  <c r="OD16" i="1"/>
  <c r="OC16" i="1"/>
  <c r="NV16" i="1"/>
  <c r="NU16" i="1"/>
  <c r="OS15" i="1"/>
  <c r="OK15" i="1"/>
  <c r="OC15" i="1"/>
  <c r="NU15" i="1"/>
  <c r="OT14" i="1"/>
  <c r="OS14" i="1"/>
  <c r="OL14" i="1"/>
  <c r="OK14" i="1"/>
  <c r="OD14" i="1"/>
  <c r="OC14" i="1"/>
  <c r="NV14" i="1"/>
  <c r="NU14" i="1"/>
  <c r="OS13" i="1"/>
  <c r="OK13" i="1"/>
  <c r="OC13" i="1"/>
  <c r="NU13" i="1"/>
  <c r="OS12" i="1"/>
  <c r="OK12" i="1"/>
  <c r="OC12" i="1"/>
  <c r="NU12" i="1"/>
  <c r="OT11" i="1"/>
  <c r="OS11" i="1"/>
  <c r="OL11" i="1"/>
  <c r="OK11" i="1"/>
  <c r="OD11" i="1"/>
  <c r="OC11" i="1"/>
  <c r="NV11" i="1"/>
  <c r="NU11" i="1"/>
  <c r="OS10" i="1"/>
  <c r="OK10" i="1"/>
  <c r="OC10" i="1"/>
  <c r="NU10" i="1"/>
  <c r="NP80" i="1"/>
  <c r="NO80" i="1"/>
  <c r="NN79" i="1"/>
  <c r="NM79" i="1"/>
  <c r="NM80" i="1" s="1"/>
  <c r="NP78" i="1"/>
  <c r="NO78" i="1"/>
  <c r="NN77" i="1"/>
  <c r="NM77" i="1"/>
  <c r="NN76" i="1"/>
  <c r="NM76" i="1"/>
  <c r="NN75" i="1"/>
  <c r="NN74" i="1"/>
  <c r="NN73" i="1"/>
  <c r="NM73" i="1"/>
  <c r="NN72" i="1"/>
  <c r="NM72" i="1"/>
  <c r="NP71" i="1"/>
  <c r="NO71" i="1"/>
  <c r="NM70" i="1"/>
  <c r="NN68" i="1"/>
  <c r="NN59" i="1"/>
  <c r="NM59" i="1"/>
  <c r="NN58" i="1"/>
  <c r="NM58" i="1"/>
  <c r="NM57" i="1"/>
  <c r="NN56" i="1"/>
  <c r="NM56" i="1"/>
  <c r="NM55" i="1"/>
  <c r="NN54" i="1"/>
  <c r="NM54" i="1"/>
  <c r="NM53" i="1"/>
  <c r="NM52" i="1"/>
  <c r="NN51" i="1"/>
  <c r="NM51" i="1"/>
  <c r="NN50" i="1"/>
  <c r="NM50" i="1"/>
  <c r="NN49" i="1"/>
  <c r="NM49" i="1"/>
  <c r="NN48" i="1"/>
  <c r="NM48" i="1"/>
  <c r="NN47" i="1"/>
  <c r="NM47" i="1"/>
  <c r="NM46" i="1"/>
  <c r="NM45" i="1"/>
  <c r="NM44" i="1"/>
  <c r="NN43" i="1"/>
  <c r="NM43" i="1"/>
  <c r="NM42" i="1"/>
  <c r="NN41" i="1"/>
  <c r="NM41" i="1"/>
  <c r="NM40" i="1"/>
  <c r="NP39" i="1"/>
  <c r="NO39" i="1"/>
  <c r="NN35" i="1"/>
  <c r="NN32" i="1"/>
  <c r="NM32" i="1"/>
  <c r="NN31" i="1"/>
  <c r="NM31" i="1"/>
  <c r="NN30" i="1"/>
  <c r="NM30" i="1"/>
  <c r="NM29" i="1"/>
  <c r="NM28" i="1"/>
  <c r="NN27" i="1"/>
  <c r="NM27" i="1"/>
  <c r="NM26" i="1"/>
  <c r="NN25" i="1"/>
  <c r="NM25" i="1"/>
  <c r="NN24" i="1"/>
  <c r="NM24" i="1"/>
  <c r="NN23" i="1"/>
  <c r="NM23" i="1"/>
  <c r="NN22" i="1"/>
  <c r="NM22" i="1"/>
  <c r="NN21" i="1"/>
  <c r="NM21" i="1"/>
  <c r="NN20" i="1"/>
  <c r="NM20" i="1"/>
  <c r="NN19" i="1"/>
  <c r="NM19" i="1"/>
  <c r="NM18" i="1"/>
  <c r="NM17" i="1"/>
  <c r="NN16" i="1"/>
  <c r="NM16" i="1"/>
  <c r="NM15" i="1"/>
  <c r="NN14" i="1"/>
  <c r="NM14" i="1"/>
  <c r="NM13" i="1"/>
  <c r="NM12" i="1"/>
  <c r="NN11" i="1"/>
  <c r="NM11" i="1"/>
  <c r="NM10" i="1"/>
  <c r="NH80" i="1"/>
  <c r="NG80" i="1"/>
  <c r="MZ80" i="1"/>
  <c r="MY80" i="1"/>
  <c r="NF79" i="1"/>
  <c r="NF80" i="1" s="1"/>
  <c r="NE79" i="1"/>
  <c r="NE80" i="1" s="1"/>
  <c r="MX79" i="1"/>
  <c r="MX80" i="1" s="1"/>
  <c r="MW79" i="1"/>
  <c r="MW80" i="1" s="1"/>
  <c r="NH78" i="1"/>
  <c r="NG78" i="1"/>
  <c r="MZ78" i="1"/>
  <c r="MY78" i="1"/>
  <c r="NF77" i="1"/>
  <c r="NE77" i="1"/>
  <c r="MX77" i="1"/>
  <c r="MW77" i="1"/>
  <c r="NF76" i="1"/>
  <c r="NE76" i="1"/>
  <c r="MX76" i="1"/>
  <c r="MW76" i="1"/>
  <c r="NF75" i="1"/>
  <c r="MX75" i="1"/>
  <c r="NF74" i="1"/>
  <c r="MX74" i="1"/>
  <c r="NF73" i="1"/>
  <c r="NE73" i="1"/>
  <c r="MX73" i="1"/>
  <c r="MW73" i="1"/>
  <c r="NF72" i="1"/>
  <c r="NE72" i="1"/>
  <c r="MX72" i="1"/>
  <c r="MW72" i="1"/>
  <c r="NH71" i="1"/>
  <c r="NG71" i="1"/>
  <c r="MZ71" i="1"/>
  <c r="MY71" i="1"/>
  <c r="NE70" i="1"/>
  <c r="MW70" i="1"/>
  <c r="NF68" i="1"/>
  <c r="MX68" i="1"/>
  <c r="NF59" i="1"/>
  <c r="NE59" i="1"/>
  <c r="MX59" i="1"/>
  <c r="MW59" i="1"/>
  <c r="NF58" i="1"/>
  <c r="NE58" i="1"/>
  <c r="MX58" i="1"/>
  <c r="MW58" i="1"/>
  <c r="NE57" i="1"/>
  <c r="MW57" i="1"/>
  <c r="NF56" i="1"/>
  <c r="NE56" i="1"/>
  <c r="MX56" i="1"/>
  <c r="MW56" i="1"/>
  <c r="NE55" i="1"/>
  <c r="MW55" i="1"/>
  <c r="NF54" i="1"/>
  <c r="NE54" i="1"/>
  <c r="MX54" i="1"/>
  <c r="MW54" i="1"/>
  <c r="NE53" i="1"/>
  <c r="MW53" i="1"/>
  <c r="NE52" i="1"/>
  <c r="MW52" i="1"/>
  <c r="NF51" i="1"/>
  <c r="NE51" i="1"/>
  <c r="MX51" i="1"/>
  <c r="MW51" i="1"/>
  <c r="NF50" i="1"/>
  <c r="NE50" i="1"/>
  <c r="MX50" i="1"/>
  <c r="MW50" i="1"/>
  <c r="NF49" i="1"/>
  <c r="NE49" i="1"/>
  <c r="MX49" i="1"/>
  <c r="MW49" i="1"/>
  <c r="NF48" i="1"/>
  <c r="NE48" i="1"/>
  <c r="MX48" i="1"/>
  <c r="MW48" i="1"/>
  <c r="NF47" i="1"/>
  <c r="NE47" i="1"/>
  <c r="MX47" i="1"/>
  <c r="MW47" i="1"/>
  <c r="NE46" i="1"/>
  <c r="MW46" i="1"/>
  <c r="NE45" i="1"/>
  <c r="MW45" i="1"/>
  <c r="NE44" i="1"/>
  <c r="MW44" i="1"/>
  <c r="NF43" i="1"/>
  <c r="NE43" i="1"/>
  <c r="MX43" i="1"/>
  <c r="MW43" i="1"/>
  <c r="NE42" i="1"/>
  <c r="MW42" i="1"/>
  <c r="NF41" i="1"/>
  <c r="NE41" i="1"/>
  <c r="MX41" i="1"/>
  <c r="MW41" i="1"/>
  <c r="NE40" i="1"/>
  <c r="MW40" i="1"/>
  <c r="NH39" i="1"/>
  <c r="NG39" i="1"/>
  <c r="MZ39" i="1"/>
  <c r="MY39" i="1"/>
  <c r="NF35" i="1"/>
  <c r="MX35" i="1"/>
  <c r="NF32" i="1"/>
  <c r="NE32" i="1"/>
  <c r="MX32" i="1"/>
  <c r="MW32" i="1"/>
  <c r="NF31" i="1"/>
  <c r="NE31" i="1"/>
  <c r="MX31" i="1"/>
  <c r="MW31" i="1"/>
  <c r="NF30" i="1"/>
  <c r="NE30" i="1"/>
  <c r="MX30" i="1"/>
  <c r="MW30" i="1"/>
  <c r="NE29" i="1"/>
  <c r="MW29" i="1"/>
  <c r="NE28" i="1"/>
  <c r="MW28" i="1"/>
  <c r="NF27" i="1"/>
  <c r="NE27" i="1"/>
  <c r="MX27" i="1"/>
  <c r="MW27" i="1"/>
  <c r="NE26" i="1"/>
  <c r="MW26" i="1"/>
  <c r="NF25" i="1"/>
  <c r="NE25" i="1"/>
  <c r="MX25" i="1"/>
  <c r="MW25" i="1"/>
  <c r="NF24" i="1"/>
  <c r="NE24" i="1"/>
  <c r="MX24" i="1"/>
  <c r="MW24" i="1"/>
  <c r="NF23" i="1"/>
  <c r="NE23" i="1"/>
  <c r="MX23" i="1"/>
  <c r="MW23" i="1"/>
  <c r="NF22" i="1"/>
  <c r="NE22" i="1"/>
  <c r="MX22" i="1"/>
  <c r="MW22" i="1"/>
  <c r="NF21" i="1"/>
  <c r="NE21" i="1"/>
  <c r="MX21" i="1"/>
  <c r="MW21" i="1"/>
  <c r="NF20" i="1"/>
  <c r="NE20" i="1"/>
  <c r="MX20" i="1"/>
  <c r="MW20" i="1"/>
  <c r="NF19" i="1"/>
  <c r="NE19" i="1"/>
  <c r="MX19" i="1"/>
  <c r="MW19" i="1"/>
  <c r="NE18" i="1"/>
  <c r="MW18" i="1"/>
  <c r="NE17" i="1"/>
  <c r="MW17" i="1"/>
  <c r="NF16" i="1"/>
  <c r="NE16" i="1"/>
  <c r="MX16" i="1"/>
  <c r="MW16" i="1"/>
  <c r="NE15" i="1"/>
  <c r="MW15" i="1"/>
  <c r="NF14" i="1"/>
  <c r="NE14" i="1"/>
  <c r="MX14" i="1"/>
  <c r="MW14" i="1"/>
  <c r="NE13" i="1"/>
  <c r="MW13" i="1"/>
  <c r="NE12" i="1"/>
  <c r="MW12" i="1"/>
  <c r="NF11" i="1"/>
  <c r="NE11" i="1"/>
  <c r="MX11" i="1"/>
  <c r="MW11" i="1"/>
  <c r="NE10" i="1"/>
  <c r="MW10" i="1"/>
  <c r="EB60" i="1" l="1"/>
  <c r="ED60" i="1" s="1"/>
  <c r="EB33" i="1"/>
  <c r="ED33" i="1" s="1"/>
  <c r="EB61" i="1"/>
  <c r="ED61" i="1" s="1"/>
  <c r="AX36" i="2"/>
  <c r="S109" i="12"/>
  <c r="CG81" i="1"/>
  <c r="NO81" i="1"/>
  <c r="MZ81" i="1"/>
  <c r="NV78" i="1"/>
  <c r="NP81" i="1"/>
  <c r="ON81" i="1"/>
  <c r="OT78" i="1"/>
  <c r="NW81" i="1"/>
  <c r="OF81" i="1"/>
  <c r="MY81" i="1"/>
  <c r="NF78" i="1"/>
  <c r="OM81" i="1"/>
  <c r="NG81" i="1"/>
  <c r="NH81" i="1"/>
  <c r="NN78" i="1"/>
  <c r="OD78" i="1"/>
  <c r="NX81" i="1"/>
  <c r="OU81" i="1"/>
  <c r="OL78" i="1"/>
  <c r="OE81" i="1"/>
  <c r="OV81" i="1"/>
  <c r="NN80" i="1"/>
  <c r="MX78" i="1"/>
  <c r="EK61" i="1" l="1"/>
  <c r="EM61" i="1" s="1"/>
  <c r="ES61" i="1" s="1"/>
  <c r="EU61" i="1" s="1"/>
  <c r="FA61" i="1" s="1"/>
  <c r="FC61" i="1" s="1"/>
  <c r="FI61" i="1" s="1"/>
  <c r="FK61" i="1" s="1"/>
  <c r="FQ61" i="1" s="1"/>
  <c r="FS61" i="1" s="1"/>
  <c r="GD61" i="1" s="1"/>
  <c r="EK33" i="1"/>
  <c r="EM33" i="1" s="1"/>
  <c r="ES33" i="1" s="1"/>
  <c r="EU33" i="1" s="1"/>
  <c r="FA33" i="1" s="1"/>
  <c r="FC33" i="1" s="1"/>
  <c r="FI33" i="1" s="1"/>
  <c r="FK33" i="1" s="1"/>
  <c r="FQ33" i="1" s="1"/>
  <c r="FS33" i="1" s="1"/>
  <c r="GD33" i="1" s="1"/>
  <c r="EK60" i="1"/>
  <c r="EM60" i="1" s="1"/>
  <c r="ES60" i="1" s="1"/>
  <c r="EU60" i="1" s="1"/>
  <c r="FA60" i="1" s="1"/>
  <c r="FC60" i="1" s="1"/>
  <c r="FI60" i="1" s="1"/>
  <c r="FK60" i="1" s="1"/>
  <c r="FQ60" i="1" s="1"/>
  <c r="FS60" i="1" s="1"/>
  <c r="GD60" i="1" s="1"/>
  <c r="AY36" i="2"/>
  <c r="T109" i="12"/>
  <c r="R108" i="12"/>
  <c r="MR80" i="1"/>
  <c r="MQ80" i="1"/>
  <c r="MP79" i="1"/>
  <c r="MP80" i="1" s="1"/>
  <c r="MO79" i="1"/>
  <c r="MO80" i="1" s="1"/>
  <c r="MR78" i="1"/>
  <c r="MQ78" i="1"/>
  <c r="MP77" i="1"/>
  <c r="MO77" i="1"/>
  <c r="MP76" i="1"/>
  <c r="MO76" i="1"/>
  <c r="MP75" i="1"/>
  <c r="MP74" i="1"/>
  <c r="MP73" i="1"/>
  <c r="MO73" i="1"/>
  <c r="MP72" i="1"/>
  <c r="MO72" i="1"/>
  <c r="MR71" i="1"/>
  <c r="MQ71" i="1"/>
  <c r="MO70" i="1"/>
  <c r="MP68" i="1"/>
  <c r="MP59" i="1"/>
  <c r="MO59" i="1"/>
  <c r="MP58" i="1"/>
  <c r="MO58" i="1"/>
  <c r="MO57" i="1"/>
  <c r="MP56" i="1"/>
  <c r="MO56" i="1"/>
  <c r="MO55" i="1"/>
  <c r="MP54" i="1"/>
  <c r="MO54" i="1"/>
  <c r="MO53" i="1"/>
  <c r="MO52" i="1"/>
  <c r="MP51" i="1"/>
  <c r="MO51" i="1"/>
  <c r="MP50" i="1"/>
  <c r="MO50" i="1"/>
  <c r="MP49" i="1"/>
  <c r="MO49" i="1"/>
  <c r="MP48" i="1"/>
  <c r="MO48" i="1"/>
  <c r="MP47" i="1"/>
  <c r="MO47" i="1"/>
  <c r="MO46" i="1"/>
  <c r="MO45" i="1"/>
  <c r="MO44" i="1"/>
  <c r="MP43" i="1"/>
  <c r="MO43" i="1"/>
  <c r="MO42" i="1"/>
  <c r="MP41" i="1"/>
  <c r="MO41" i="1"/>
  <c r="MO40" i="1"/>
  <c r="MR39" i="1"/>
  <c r="MQ39" i="1"/>
  <c r="MP35" i="1"/>
  <c r="MP32" i="1"/>
  <c r="MO32" i="1"/>
  <c r="MP31" i="1"/>
  <c r="MO31" i="1"/>
  <c r="MP30" i="1"/>
  <c r="MO30" i="1"/>
  <c r="MO29" i="1"/>
  <c r="MO28" i="1"/>
  <c r="MP27" i="1"/>
  <c r="MO27" i="1"/>
  <c r="MO26" i="1"/>
  <c r="MP25" i="1"/>
  <c r="MO25" i="1"/>
  <c r="MP24" i="1"/>
  <c r="MO24" i="1"/>
  <c r="MP23" i="1"/>
  <c r="MO23" i="1"/>
  <c r="MP22" i="1"/>
  <c r="MO22" i="1"/>
  <c r="MP21" i="1"/>
  <c r="MO21" i="1"/>
  <c r="MP20" i="1"/>
  <c r="MO20" i="1"/>
  <c r="MP19" i="1"/>
  <c r="MO19" i="1"/>
  <c r="MO18" i="1"/>
  <c r="MO17" i="1"/>
  <c r="MP16" i="1"/>
  <c r="MO16" i="1"/>
  <c r="MO15" i="1"/>
  <c r="MP14" i="1"/>
  <c r="MO14" i="1"/>
  <c r="MO13" i="1"/>
  <c r="MO12" i="1"/>
  <c r="MP11" i="1"/>
  <c r="MO11" i="1"/>
  <c r="MO10" i="1"/>
  <c r="MJ80" i="1"/>
  <c r="MI80" i="1"/>
  <c r="MH79" i="1"/>
  <c r="MH80" i="1" s="1"/>
  <c r="MG79" i="1"/>
  <c r="MG80" i="1" s="1"/>
  <c r="MJ78" i="1"/>
  <c r="MI78" i="1"/>
  <c r="MH77" i="1"/>
  <c r="MG77" i="1"/>
  <c r="MH76" i="1"/>
  <c r="MG76" i="1"/>
  <c r="MH75" i="1"/>
  <c r="MH74" i="1"/>
  <c r="MH73" i="1"/>
  <c r="MG73" i="1"/>
  <c r="MH72" i="1"/>
  <c r="MG72" i="1"/>
  <c r="MJ71" i="1"/>
  <c r="MI71" i="1"/>
  <c r="MG70" i="1"/>
  <c r="MH68" i="1"/>
  <c r="MH59" i="1"/>
  <c r="MG59" i="1"/>
  <c r="MH58" i="1"/>
  <c r="MG58" i="1"/>
  <c r="MG57" i="1"/>
  <c r="MH56" i="1"/>
  <c r="MG56" i="1"/>
  <c r="MG55" i="1"/>
  <c r="MH54" i="1"/>
  <c r="MG54" i="1"/>
  <c r="MG53" i="1"/>
  <c r="MG52" i="1"/>
  <c r="MH51" i="1"/>
  <c r="MG51" i="1"/>
  <c r="MH50" i="1"/>
  <c r="MG50" i="1"/>
  <c r="MH49" i="1"/>
  <c r="MG49" i="1"/>
  <c r="MH48" i="1"/>
  <c r="MG48" i="1"/>
  <c r="MH47" i="1"/>
  <c r="MG47" i="1"/>
  <c r="MG46" i="1"/>
  <c r="MG45" i="1"/>
  <c r="MG44" i="1"/>
  <c r="MH43" i="1"/>
  <c r="MG43" i="1"/>
  <c r="MG42" i="1"/>
  <c r="MH41" i="1"/>
  <c r="MG41" i="1"/>
  <c r="MG40" i="1"/>
  <c r="MJ39" i="1"/>
  <c r="MI39" i="1"/>
  <c r="MH35" i="1"/>
  <c r="MH32" i="1"/>
  <c r="MG32" i="1"/>
  <c r="MH31" i="1"/>
  <c r="MG31" i="1"/>
  <c r="MH30" i="1"/>
  <c r="MG30" i="1"/>
  <c r="MG29" i="1"/>
  <c r="MG28" i="1"/>
  <c r="MH27" i="1"/>
  <c r="MG27" i="1"/>
  <c r="MG26" i="1"/>
  <c r="MH25" i="1"/>
  <c r="MG25" i="1"/>
  <c r="MH24" i="1"/>
  <c r="MG24" i="1"/>
  <c r="MH23" i="1"/>
  <c r="MG23" i="1"/>
  <c r="MH22" i="1"/>
  <c r="MG22" i="1"/>
  <c r="MH21" i="1"/>
  <c r="MG21" i="1"/>
  <c r="MH20" i="1"/>
  <c r="MG20" i="1"/>
  <c r="MH19" i="1"/>
  <c r="MG19" i="1"/>
  <c r="MG18" i="1"/>
  <c r="MG17" i="1"/>
  <c r="MH16" i="1"/>
  <c r="MG16" i="1"/>
  <c r="MG15" i="1"/>
  <c r="MH14" i="1"/>
  <c r="MG14" i="1"/>
  <c r="MG13" i="1"/>
  <c r="MG12" i="1"/>
  <c r="MH11" i="1"/>
  <c r="MG11" i="1"/>
  <c r="MG10" i="1"/>
  <c r="MB80" i="1"/>
  <c r="MA80" i="1"/>
  <c r="LZ79" i="1"/>
  <c r="LZ80" i="1" s="1"/>
  <c r="LY79" i="1"/>
  <c r="LY80" i="1" s="1"/>
  <c r="MB78" i="1"/>
  <c r="MA78" i="1"/>
  <c r="LZ77" i="1"/>
  <c r="LY77" i="1"/>
  <c r="LZ76" i="1"/>
  <c r="LY76" i="1"/>
  <c r="LZ75" i="1"/>
  <c r="LZ74" i="1"/>
  <c r="LZ73" i="1"/>
  <c r="LY73" i="1"/>
  <c r="LZ72" i="1"/>
  <c r="LY72" i="1"/>
  <c r="MB71" i="1"/>
  <c r="MA71" i="1"/>
  <c r="LY70" i="1"/>
  <c r="LZ68" i="1"/>
  <c r="LZ59" i="1"/>
  <c r="LY59" i="1"/>
  <c r="LZ58" i="1"/>
  <c r="LY58" i="1"/>
  <c r="LY57" i="1"/>
  <c r="LZ56" i="1"/>
  <c r="LY56" i="1"/>
  <c r="LY55" i="1"/>
  <c r="LZ54" i="1"/>
  <c r="LY54" i="1"/>
  <c r="LY53" i="1"/>
  <c r="LY52" i="1"/>
  <c r="LZ51" i="1"/>
  <c r="LY51" i="1"/>
  <c r="LZ50" i="1"/>
  <c r="LY50" i="1"/>
  <c r="LZ49" i="1"/>
  <c r="LY49" i="1"/>
  <c r="LZ48" i="1"/>
  <c r="LY48" i="1"/>
  <c r="LZ47" i="1"/>
  <c r="LY47" i="1"/>
  <c r="LY46" i="1"/>
  <c r="LY45" i="1"/>
  <c r="LY44" i="1"/>
  <c r="LZ43" i="1"/>
  <c r="LY43" i="1"/>
  <c r="LY42" i="1"/>
  <c r="LZ41" i="1"/>
  <c r="LY41" i="1"/>
  <c r="LY40" i="1"/>
  <c r="MB39" i="1"/>
  <c r="MA39" i="1"/>
  <c r="LZ35" i="1"/>
  <c r="LZ32" i="1"/>
  <c r="LY32" i="1"/>
  <c r="LZ31" i="1"/>
  <c r="LY31" i="1"/>
  <c r="LZ30" i="1"/>
  <c r="LY30" i="1"/>
  <c r="LY29" i="1"/>
  <c r="LY28" i="1"/>
  <c r="LZ27" i="1"/>
  <c r="LY27" i="1"/>
  <c r="LY26" i="1"/>
  <c r="LZ25" i="1"/>
  <c r="LY25" i="1"/>
  <c r="LZ24" i="1"/>
  <c r="LY24" i="1"/>
  <c r="LZ23" i="1"/>
  <c r="LY23" i="1"/>
  <c r="LZ22" i="1"/>
  <c r="LY22" i="1"/>
  <c r="LZ21" i="1"/>
  <c r="LY21" i="1"/>
  <c r="LZ20" i="1"/>
  <c r="LY20" i="1"/>
  <c r="LZ19" i="1"/>
  <c r="LY19" i="1"/>
  <c r="LY18" i="1"/>
  <c r="LY17" i="1"/>
  <c r="LZ16" i="1"/>
  <c r="LY16" i="1"/>
  <c r="LY15" i="1"/>
  <c r="LZ14" i="1"/>
  <c r="LY14" i="1"/>
  <c r="LY13" i="1"/>
  <c r="LY12" i="1"/>
  <c r="LZ11" i="1"/>
  <c r="LY11" i="1"/>
  <c r="LY10" i="1"/>
  <c r="LT80" i="1"/>
  <c r="LS80" i="1"/>
  <c r="LR79" i="1"/>
  <c r="LQ79" i="1"/>
  <c r="LQ80" i="1" s="1"/>
  <c r="LT78" i="1"/>
  <c r="LS78" i="1"/>
  <c r="LR77" i="1"/>
  <c r="LQ77" i="1"/>
  <c r="LR76" i="1"/>
  <c r="LQ76" i="1"/>
  <c r="LR75" i="1"/>
  <c r="LR74" i="1"/>
  <c r="LR73" i="1"/>
  <c r="LQ73" i="1"/>
  <c r="LR72" i="1"/>
  <c r="LQ72" i="1"/>
  <c r="LT71" i="1"/>
  <c r="LS71" i="1"/>
  <c r="LQ70" i="1"/>
  <c r="LR68" i="1"/>
  <c r="LR59" i="1"/>
  <c r="LQ59" i="1"/>
  <c r="LR58" i="1"/>
  <c r="LQ58" i="1"/>
  <c r="LQ57" i="1"/>
  <c r="LR56" i="1"/>
  <c r="LQ56" i="1"/>
  <c r="LQ55" i="1"/>
  <c r="LR54" i="1"/>
  <c r="LQ54" i="1"/>
  <c r="LQ53" i="1"/>
  <c r="LQ52" i="1"/>
  <c r="LR51" i="1"/>
  <c r="LQ51" i="1"/>
  <c r="LR50" i="1"/>
  <c r="LQ50" i="1"/>
  <c r="LR49" i="1"/>
  <c r="LQ49" i="1"/>
  <c r="LR48" i="1"/>
  <c r="LQ48" i="1"/>
  <c r="LR47" i="1"/>
  <c r="LQ47" i="1"/>
  <c r="LQ46" i="1"/>
  <c r="LQ45" i="1"/>
  <c r="LQ44" i="1"/>
  <c r="LR43" i="1"/>
  <c r="LQ43" i="1"/>
  <c r="LQ42" i="1"/>
  <c r="LR41" i="1"/>
  <c r="LQ41" i="1"/>
  <c r="LQ40" i="1"/>
  <c r="LT39" i="1"/>
  <c r="LS39" i="1"/>
  <c r="LR35" i="1"/>
  <c r="LR32" i="1"/>
  <c r="LQ32" i="1"/>
  <c r="LR31" i="1"/>
  <c r="LQ31" i="1"/>
  <c r="LR30" i="1"/>
  <c r="LQ30" i="1"/>
  <c r="LQ29" i="1"/>
  <c r="LQ28" i="1"/>
  <c r="LR27" i="1"/>
  <c r="LQ27" i="1"/>
  <c r="LQ26" i="1"/>
  <c r="LR25" i="1"/>
  <c r="LQ25" i="1"/>
  <c r="LR24" i="1"/>
  <c r="LQ24" i="1"/>
  <c r="LR23" i="1"/>
  <c r="LQ23" i="1"/>
  <c r="LR22" i="1"/>
  <c r="LQ22" i="1"/>
  <c r="LR21" i="1"/>
  <c r="LQ21" i="1"/>
  <c r="LR20" i="1"/>
  <c r="LQ20" i="1"/>
  <c r="LR19" i="1"/>
  <c r="LQ19" i="1"/>
  <c r="LQ18" i="1"/>
  <c r="LQ17" i="1"/>
  <c r="LR16" i="1"/>
  <c r="LQ16" i="1"/>
  <c r="LQ15" i="1"/>
  <c r="LR14" i="1"/>
  <c r="LQ14" i="1"/>
  <c r="LQ13" i="1"/>
  <c r="LQ12" i="1"/>
  <c r="LR11" i="1"/>
  <c r="LQ11" i="1"/>
  <c r="LQ10" i="1"/>
  <c r="LL80" i="1"/>
  <c r="LK80" i="1"/>
  <c r="LI79" i="1"/>
  <c r="LI80" i="1" s="1"/>
  <c r="LH79" i="1"/>
  <c r="LH80" i="1" s="1"/>
  <c r="LL78" i="1"/>
  <c r="LK78" i="1"/>
  <c r="LI77" i="1"/>
  <c r="LH77" i="1"/>
  <c r="LI76" i="1"/>
  <c r="LH76" i="1"/>
  <c r="LI75" i="1"/>
  <c r="LI74" i="1"/>
  <c r="LI73" i="1"/>
  <c r="LH73" i="1"/>
  <c r="LI72" i="1"/>
  <c r="LH72" i="1"/>
  <c r="LL71" i="1"/>
  <c r="LK71" i="1"/>
  <c r="LH70" i="1"/>
  <c r="LI68" i="1"/>
  <c r="LI59" i="1"/>
  <c r="LH59" i="1"/>
  <c r="LI58" i="1"/>
  <c r="LH58" i="1"/>
  <c r="LH57" i="1"/>
  <c r="LI56" i="1"/>
  <c r="LH56" i="1"/>
  <c r="LH55" i="1"/>
  <c r="LI54" i="1"/>
  <c r="LH54" i="1"/>
  <c r="LH53" i="1"/>
  <c r="LH52" i="1"/>
  <c r="LI51" i="1"/>
  <c r="LH51" i="1"/>
  <c r="LI50" i="1"/>
  <c r="LH50" i="1"/>
  <c r="LI49" i="1"/>
  <c r="LH49" i="1"/>
  <c r="LI48" i="1"/>
  <c r="LH48" i="1"/>
  <c r="LI47" i="1"/>
  <c r="LH47" i="1"/>
  <c r="LH46" i="1"/>
  <c r="LH45" i="1"/>
  <c r="LH44" i="1"/>
  <c r="LI43" i="1"/>
  <c r="LH43" i="1"/>
  <c r="LH42" i="1"/>
  <c r="LI41" i="1"/>
  <c r="LH41" i="1"/>
  <c r="LH40" i="1"/>
  <c r="LL39" i="1"/>
  <c r="LK39" i="1"/>
  <c r="LI35" i="1"/>
  <c r="LI32" i="1"/>
  <c r="LH32" i="1"/>
  <c r="LI31" i="1"/>
  <c r="LH31" i="1"/>
  <c r="LI30" i="1"/>
  <c r="LH30" i="1"/>
  <c r="LH29" i="1"/>
  <c r="LH28" i="1"/>
  <c r="LI27" i="1"/>
  <c r="LH27" i="1"/>
  <c r="LH26" i="1"/>
  <c r="LI25" i="1"/>
  <c r="LH25" i="1"/>
  <c r="LI24" i="1"/>
  <c r="LH24" i="1"/>
  <c r="LI23" i="1"/>
  <c r="LH23" i="1"/>
  <c r="LI22" i="1"/>
  <c r="LH22" i="1"/>
  <c r="LI21" i="1"/>
  <c r="LH21" i="1"/>
  <c r="LI20" i="1"/>
  <c r="LH20" i="1"/>
  <c r="LI19" i="1"/>
  <c r="LH19" i="1"/>
  <c r="LH18" i="1"/>
  <c r="LH17" i="1"/>
  <c r="LI16" i="1"/>
  <c r="LH16" i="1"/>
  <c r="LH15" i="1"/>
  <c r="LI14" i="1"/>
  <c r="LH14" i="1"/>
  <c r="LH13" i="1"/>
  <c r="LH12" i="1"/>
  <c r="LI11" i="1"/>
  <c r="LH11" i="1"/>
  <c r="LH10" i="1"/>
  <c r="LA79" i="1"/>
  <c r="LA80" i="1" s="1"/>
  <c r="KZ79" i="1"/>
  <c r="KZ80" i="1" s="1"/>
  <c r="LA77" i="1"/>
  <c r="KZ77" i="1"/>
  <c r="LA76" i="1"/>
  <c r="KZ76" i="1"/>
  <c r="LA75" i="1"/>
  <c r="LA74" i="1"/>
  <c r="LA73" i="1"/>
  <c r="KZ73" i="1"/>
  <c r="LA72" i="1"/>
  <c r="KZ72" i="1"/>
  <c r="KZ70" i="1"/>
  <c r="LA68" i="1"/>
  <c r="LA59" i="1"/>
  <c r="KZ59" i="1"/>
  <c r="LA58" i="1"/>
  <c r="KZ58" i="1"/>
  <c r="KZ57" i="1"/>
  <c r="LA56" i="1"/>
  <c r="KZ56" i="1"/>
  <c r="KZ55" i="1"/>
  <c r="LA54" i="1"/>
  <c r="KZ54" i="1"/>
  <c r="KZ53" i="1"/>
  <c r="KZ52" i="1"/>
  <c r="LA51" i="1"/>
  <c r="KZ51" i="1"/>
  <c r="LA50" i="1"/>
  <c r="KZ50" i="1"/>
  <c r="LA49" i="1"/>
  <c r="KZ49" i="1"/>
  <c r="LA48" i="1"/>
  <c r="KZ48" i="1"/>
  <c r="LA47" i="1"/>
  <c r="KZ47" i="1"/>
  <c r="KZ46" i="1"/>
  <c r="KZ45" i="1"/>
  <c r="KZ44" i="1"/>
  <c r="LA43" i="1"/>
  <c r="KZ43" i="1"/>
  <c r="KZ42" i="1"/>
  <c r="LA41" i="1"/>
  <c r="KZ41" i="1"/>
  <c r="KZ40" i="1"/>
  <c r="LA35" i="1"/>
  <c r="LA32" i="1"/>
  <c r="KZ32" i="1"/>
  <c r="LA31" i="1"/>
  <c r="KZ31" i="1"/>
  <c r="LA30" i="1"/>
  <c r="KZ30" i="1"/>
  <c r="KZ29" i="1"/>
  <c r="KZ28" i="1"/>
  <c r="LA27" i="1"/>
  <c r="KZ27" i="1"/>
  <c r="KZ26" i="1"/>
  <c r="LA25" i="1"/>
  <c r="KZ25" i="1"/>
  <c r="LA24" i="1"/>
  <c r="KZ24" i="1"/>
  <c r="LA23" i="1"/>
  <c r="KZ23" i="1"/>
  <c r="LA22" i="1"/>
  <c r="KZ22" i="1"/>
  <c r="LA21" i="1"/>
  <c r="KZ21" i="1"/>
  <c r="LA20" i="1"/>
  <c r="KZ20" i="1"/>
  <c r="LA19" i="1"/>
  <c r="KZ19" i="1"/>
  <c r="KZ18" i="1"/>
  <c r="KZ17" i="1"/>
  <c r="LA16" i="1"/>
  <c r="KZ16" i="1"/>
  <c r="KZ15" i="1"/>
  <c r="LA14" i="1"/>
  <c r="KZ14" i="1"/>
  <c r="KZ13" i="1"/>
  <c r="KZ12" i="1"/>
  <c r="LA11" i="1"/>
  <c r="KZ11" i="1"/>
  <c r="KZ10" i="1"/>
  <c r="KR79" i="1"/>
  <c r="KR80" i="1" s="1"/>
  <c r="KQ79" i="1"/>
  <c r="KQ80" i="1" s="1"/>
  <c r="KR77" i="1"/>
  <c r="KQ77" i="1"/>
  <c r="KR76" i="1"/>
  <c r="KQ76" i="1"/>
  <c r="KR75" i="1"/>
  <c r="KR74" i="1"/>
  <c r="KR73" i="1"/>
  <c r="KQ73" i="1"/>
  <c r="KR72" i="1"/>
  <c r="KQ72" i="1"/>
  <c r="KQ70" i="1"/>
  <c r="KR68" i="1"/>
  <c r="KR59" i="1"/>
  <c r="KQ59" i="1"/>
  <c r="KR58" i="1"/>
  <c r="KQ58" i="1"/>
  <c r="KQ57" i="1"/>
  <c r="KR56" i="1"/>
  <c r="KQ56" i="1"/>
  <c r="KQ55" i="1"/>
  <c r="KR54" i="1"/>
  <c r="KQ54" i="1"/>
  <c r="KQ53" i="1"/>
  <c r="KQ52" i="1"/>
  <c r="KR51" i="1"/>
  <c r="KQ51" i="1"/>
  <c r="KR50" i="1"/>
  <c r="KQ50" i="1"/>
  <c r="KR49" i="1"/>
  <c r="KQ49" i="1"/>
  <c r="KR48" i="1"/>
  <c r="KQ48" i="1"/>
  <c r="KR47" i="1"/>
  <c r="KQ47" i="1"/>
  <c r="KQ46" i="1"/>
  <c r="KQ45" i="1"/>
  <c r="KQ44" i="1"/>
  <c r="KR43" i="1"/>
  <c r="KQ43" i="1"/>
  <c r="KQ42" i="1"/>
  <c r="KR41" i="1"/>
  <c r="KQ41" i="1"/>
  <c r="KQ40" i="1"/>
  <c r="KR35" i="1"/>
  <c r="KR32" i="1"/>
  <c r="KQ32" i="1"/>
  <c r="KR31" i="1"/>
  <c r="KQ31" i="1"/>
  <c r="KR30" i="1"/>
  <c r="KQ30" i="1"/>
  <c r="KQ29" i="1"/>
  <c r="KQ28" i="1"/>
  <c r="KR27" i="1"/>
  <c r="KQ27" i="1"/>
  <c r="KQ26" i="1"/>
  <c r="KR25" i="1"/>
  <c r="KQ25" i="1"/>
  <c r="KR24" i="1"/>
  <c r="KQ24" i="1"/>
  <c r="KR23" i="1"/>
  <c r="KQ23" i="1"/>
  <c r="KR22" i="1"/>
  <c r="KQ22" i="1"/>
  <c r="KR21" i="1"/>
  <c r="KQ21" i="1"/>
  <c r="KR20" i="1"/>
  <c r="KQ20" i="1"/>
  <c r="KR19" i="1"/>
  <c r="KQ19" i="1"/>
  <c r="KQ18" i="1"/>
  <c r="KQ17" i="1"/>
  <c r="KR16" i="1"/>
  <c r="KQ16" i="1"/>
  <c r="KQ15" i="1"/>
  <c r="KR14" i="1"/>
  <c r="KQ14" i="1"/>
  <c r="KQ13" i="1"/>
  <c r="KQ12" i="1"/>
  <c r="KR11" i="1"/>
  <c r="KQ11" i="1"/>
  <c r="KQ10" i="1"/>
  <c r="KI79" i="1"/>
  <c r="KI80" i="1" s="1"/>
  <c r="KH79" i="1"/>
  <c r="KH80" i="1" s="1"/>
  <c r="KI77" i="1"/>
  <c r="KH77" i="1"/>
  <c r="KI76" i="1"/>
  <c r="KH76" i="1"/>
  <c r="KI75" i="1"/>
  <c r="KI74" i="1"/>
  <c r="KI73" i="1"/>
  <c r="KH73" i="1"/>
  <c r="KI72" i="1"/>
  <c r="KH72" i="1"/>
  <c r="KH70" i="1"/>
  <c r="KI68" i="1"/>
  <c r="KI59" i="1"/>
  <c r="KH59" i="1"/>
  <c r="KI58" i="1"/>
  <c r="KH58" i="1"/>
  <c r="KH57" i="1"/>
  <c r="KI56" i="1"/>
  <c r="KH56" i="1"/>
  <c r="KH55" i="1"/>
  <c r="KI54" i="1"/>
  <c r="KH54" i="1"/>
  <c r="KH53" i="1"/>
  <c r="KH52" i="1"/>
  <c r="KI51" i="1"/>
  <c r="KH51" i="1"/>
  <c r="KI50" i="1"/>
  <c r="KH50" i="1"/>
  <c r="KI49" i="1"/>
  <c r="KH49" i="1"/>
  <c r="KI48" i="1"/>
  <c r="KH48" i="1"/>
  <c r="KI47" i="1"/>
  <c r="KH47" i="1"/>
  <c r="KH46" i="1"/>
  <c r="KH45" i="1"/>
  <c r="KH44" i="1"/>
  <c r="KI43" i="1"/>
  <c r="KH43" i="1"/>
  <c r="KH42" i="1"/>
  <c r="KI41" i="1"/>
  <c r="KH41" i="1"/>
  <c r="KH40" i="1"/>
  <c r="KI35" i="1"/>
  <c r="KI32" i="1"/>
  <c r="KH32" i="1"/>
  <c r="KI31" i="1"/>
  <c r="KH31" i="1"/>
  <c r="KI30" i="1"/>
  <c r="KH30" i="1"/>
  <c r="KH29" i="1"/>
  <c r="KH28" i="1"/>
  <c r="KI27" i="1"/>
  <c r="KH27" i="1"/>
  <c r="KH26" i="1"/>
  <c r="KI25" i="1"/>
  <c r="KH25" i="1"/>
  <c r="KI24" i="1"/>
  <c r="KH24" i="1"/>
  <c r="KI23" i="1"/>
  <c r="KH23" i="1"/>
  <c r="KI22" i="1"/>
  <c r="KH22" i="1"/>
  <c r="KI21" i="1"/>
  <c r="KH21" i="1"/>
  <c r="KI20" i="1"/>
  <c r="KH20" i="1"/>
  <c r="KI19" i="1"/>
  <c r="KH19" i="1"/>
  <c r="KH18" i="1"/>
  <c r="KH17" i="1"/>
  <c r="KI16" i="1"/>
  <c r="KH16" i="1"/>
  <c r="KH15" i="1"/>
  <c r="KI14" i="1"/>
  <c r="KH14" i="1"/>
  <c r="KH13" i="1"/>
  <c r="KH12" i="1"/>
  <c r="KI11" i="1"/>
  <c r="KH11" i="1"/>
  <c r="KH10" i="1"/>
  <c r="KA79" i="1"/>
  <c r="KA80" i="1" s="1"/>
  <c r="JZ79" i="1"/>
  <c r="JZ80" i="1" s="1"/>
  <c r="KA77" i="1"/>
  <c r="JZ77" i="1"/>
  <c r="KA76" i="1"/>
  <c r="JZ76" i="1"/>
  <c r="KA75" i="1"/>
  <c r="KA74" i="1"/>
  <c r="KA73" i="1"/>
  <c r="JZ73" i="1"/>
  <c r="KA72" i="1"/>
  <c r="JZ72" i="1"/>
  <c r="JZ70" i="1"/>
  <c r="KA68" i="1"/>
  <c r="KA59" i="1"/>
  <c r="JZ59" i="1"/>
  <c r="KA58" i="1"/>
  <c r="JZ58" i="1"/>
  <c r="JZ57" i="1"/>
  <c r="KA56" i="1"/>
  <c r="JZ56" i="1"/>
  <c r="JZ55" i="1"/>
  <c r="KA54" i="1"/>
  <c r="JZ54" i="1"/>
  <c r="JZ53" i="1"/>
  <c r="JZ52" i="1"/>
  <c r="KA51" i="1"/>
  <c r="JZ51" i="1"/>
  <c r="KA50" i="1"/>
  <c r="JZ50" i="1"/>
  <c r="KA49" i="1"/>
  <c r="JZ49" i="1"/>
  <c r="KA48" i="1"/>
  <c r="JZ48" i="1"/>
  <c r="KA47" i="1"/>
  <c r="JZ47" i="1"/>
  <c r="JZ46" i="1"/>
  <c r="JZ45" i="1"/>
  <c r="JZ44" i="1"/>
  <c r="KA43" i="1"/>
  <c r="JZ43" i="1"/>
  <c r="JZ42" i="1"/>
  <c r="KA41" i="1"/>
  <c r="JZ41" i="1"/>
  <c r="JZ40" i="1"/>
  <c r="KA35" i="1"/>
  <c r="KA32" i="1"/>
  <c r="JZ32" i="1"/>
  <c r="KA31" i="1"/>
  <c r="JZ31" i="1"/>
  <c r="KA30" i="1"/>
  <c r="JZ30" i="1"/>
  <c r="JZ29" i="1"/>
  <c r="JZ28" i="1"/>
  <c r="KA27" i="1"/>
  <c r="JZ27" i="1"/>
  <c r="JZ26" i="1"/>
  <c r="KA25" i="1"/>
  <c r="JZ25" i="1"/>
  <c r="KA24" i="1"/>
  <c r="JZ24" i="1"/>
  <c r="KA23" i="1"/>
  <c r="JZ23" i="1"/>
  <c r="KA22" i="1"/>
  <c r="JZ22" i="1"/>
  <c r="KA21" i="1"/>
  <c r="JZ21" i="1"/>
  <c r="KA20" i="1"/>
  <c r="JZ20" i="1"/>
  <c r="KA19" i="1"/>
  <c r="JZ19" i="1"/>
  <c r="JZ18" i="1"/>
  <c r="JZ17" i="1"/>
  <c r="KA16" i="1"/>
  <c r="JZ16" i="1"/>
  <c r="JZ15" i="1"/>
  <c r="KA14" i="1"/>
  <c r="JZ14" i="1"/>
  <c r="JZ13" i="1"/>
  <c r="JZ12" i="1"/>
  <c r="KA11" i="1"/>
  <c r="JZ11" i="1"/>
  <c r="JZ10" i="1"/>
  <c r="JS79" i="1"/>
  <c r="JS80" i="1" s="1"/>
  <c r="JR79" i="1"/>
  <c r="JR80" i="1" s="1"/>
  <c r="JS77" i="1"/>
  <c r="JR77" i="1"/>
  <c r="JS76" i="1"/>
  <c r="JR76" i="1"/>
  <c r="JS75" i="1"/>
  <c r="JS74" i="1"/>
  <c r="JS73" i="1"/>
  <c r="JR73" i="1"/>
  <c r="JS72" i="1"/>
  <c r="JR72" i="1"/>
  <c r="JR70" i="1"/>
  <c r="JS68" i="1"/>
  <c r="JS59" i="1"/>
  <c r="JR59" i="1"/>
  <c r="JS58" i="1"/>
  <c r="JR58" i="1"/>
  <c r="JR57" i="1"/>
  <c r="JS56" i="1"/>
  <c r="JR56" i="1"/>
  <c r="JR55" i="1"/>
  <c r="JS54" i="1"/>
  <c r="JR54" i="1"/>
  <c r="JR53" i="1"/>
  <c r="JR52" i="1"/>
  <c r="JS51" i="1"/>
  <c r="JR51" i="1"/>
  <c r="JS50" i="1"/>
  <c r="JR50" i="1"/>
  <c r="JS49" i="1"/>
  <c r="JR49" i="1"/>
  <c r="JS48" i="1"/>
  <c r="JR48" i="1"/>
  <c r="JS47" i="1"/>
  <c r="JR47" i="1"/>
  <c r="JR46" i="1"/>
  <c r="JR45" i="1"/>
  <c r="JR44" i="1"/>
  <c r="JS43" i="1"/>
  <c r="JR43" i="1"/>
  <c r="JR42" i="1"/>
  <c r="JS41" i="1"/>
  <c r="JR41" i="1"/>
  <c r="JR40" i="1"/>
  <c r="JS35" i="1"/>
  <c r="JS32" i="1"/>
  <c r="JR32" i="1"/>
  <c r="JS31" i="1"/>
  <c r="JR31" i="1"/>
  <c r="JS30" i="1"/>
  <c r="JR30" i="1"/>
  <c r="JR29" i="1"/>
  <c r="JR28" i="1"/>
  <c r="JS27" i="1"/>
  <c r="JR27" i="1"/>
  <c r="JR26" i="1"/>
  <c r="JS25" i="1"/>
  <c r="JR25" i="1"/>
  <c r="JS24" i="1"/>
  <c r="JR24" i="1"/>
  <c r="JS23" i="1"/>
  <c r="JR23" i="1"/>
  <c r="JS22" i="1"/>
  <c r="JR22" i="1"/>
  <c r="JS21" i="1"/>
  <c r="JR21" i="1"/>
  <c r="JS20" i="1"/>
  <c r="JR20" i="1"/>
  <c r="JS19" i="1"/>
  <c r="JR19" i="1"/>
  <c r="JR18" i="1"/>
  <c r="JR17" i="1"/>
  <c r="JS16" i="1"/>
  <c r="JR16" i="1"/>
  <c r="JR15" i="1"/>
  <c r="JS14" i="1"/>
  <c r="JR14" i="1"/>
  <c r="JR13" i="1"/>
  <c r="JR12" i="1"/>
  <c r="JS11" i="1"/>
  <c r="JR11" i="1"/>
  <c r="JR10" i="1"/>
  <c r="JJ79" i="1"/>
  <c r="JJ80" i="1" s="1"/>
  <c r="JI79" i="1"/>
  <c r="JI80" i="1" s="1"/>
  <c r="JJ77" i="1"/>
  <c r="JI77" i="1"/>
  <c r="JJ76" i="1"/>
  <c r="JI76" i="1"/>
  <c r="JJ75" i="1"/>
  <c r="JJ74" i="1"/>
  <c r="JJ73" i="1"/>
  <c r="JI73" i="1"/>
  <c r="JJ72" i="1"/>
  <c r="JI72" i="1"/>
  <c r="JI70" i="1"/>
  <c r="JJ68" i="1"/>
  <c r="JJ59" i="1"/>
  <c r="JI59" i="1"/>
  <c r="JJ58" i="1"/>
  <c r="JI58" i="1"/>
  <c r="JI57" i="1"/>
  <c r="JJ56" i="1"/>
  <c r="JI56" i="1"/>
  <c r="JI55" i="1"/>
  <c r="JJ54" i="1"/>
  <c r="JI54" i="1"/>
  <c r="JI53" i="1"/>
  <c r="JI52" i="1"/>
  <c r="JJ51" i="1"/>
  <c r="JI51" i="1"/>
  <c r="JJ50" i="1"/>
  <c r="JI50" i="1"/>
  <c r="JJ49" i="1"/>
  <c r="JI49" i="1"/>
  <c r="JJ48" i="1"/>
  <c r="JI48" i="1"/>
  <c r="JJ47" i="1"/>
  <c r="JI47" i="1"/>
  <c r="JI46" i="1"/>
  <c r="JI45" i="1"/>
  <c r="JI44" i="1"/>
  <c r="JJ43" i="1"/>
  <c r="JI43" i="1"/>
  <c r="JI42" i="1"/>
  <c r="JJ41" i="1"/>
  <c r="JI41" i="1"/>
  <c r="JI40" i="1"/>
  <c r="JJ35" i="1"/>
  <c r="JJ32" i="1"/>
  <c r="JI32" i="1"/>
  <c r="JJ31" i="1"/>
  <c r="JI31" i="1"/>
  <c r="JJ30" i="1"/>
  <c r="JI30" i="1"/>
  <c r="JI29" i="1"/>
  <c r="JI28" i="1"/>
  <c r="JJ27" i="1"/>
  <c r="JI27" i="1"/>
  <c r="JI26" i="1"/>
  <c r="JJ25" i="1"/>
  <c r="JI25" i="1"/>
  <c r="JJ24" i="1"/>
  <c r="JI24" i="1"/>
  <c r="JJ23" i="1"/>
  <c r="JI23" i="1"/>
  <c r="JJ22" i="1"/>
  <c r="JI22" i="1"/>
  <c r="JJ21" i="1"/>
  <c r="JI21" i="1"/>
  <c r="JJ20" i="1"/>
  <c r="JI20" i="1"/>
  <c r="JJ19" i="1"/>
  <c r="JI19" i="1"/>
  <c r="JI18" i="1"/>
  <c r="JI17" i="1"/>
  <c r="JJ16" i="1"/>
  <c r="JI16" i="1"/>
  <c r="JI15" i="1"/>
  <c r="JJ14" i="1"/>
  <c r="JI14" i="1"/>
  <c r="JI13" i="1"/>
  <c r="JI12" i="1"/>
  <c r="JJ11" i="1"/>
  <c r="JI11" i="1"/>
  <c r="JI10" i="1"/>
  <c r="JB79" i="1"/>
  <c r="JB80" i="1" s="1"/>
  <c r="JA79" i="1"/>
  <c r="JA80" i="1" s="1"/>
  <c r="JB77" i="1"/>
  <c r="JA77" i="1"/>
  <c r="JB76" i="1"/>
  <c r="JA76" i="1"/>
  <c r="JB75" i="1"/>
  <c r="JB74" i="1"/>
  <c r="JB73" i="1"/>
  <c r="JA73" i="1"/>
  <c r="JB72" i="1"/>
  <c r="JA72" i="1"/>
  <c r="JA70" i="1"/>
  <c r="JB68" i="1"/>
  <c r="JB59" i="1"/>
  <c r="JA59" i="1"/>
  <c r="JB58" i="1"/>
  <c r="JA58" i="1"/>
  <c r="JA57" i="1"/>
  <c r="JB56" i="1"/>
  <c r="JA56" i="1"/>
  <c r="JA55" i="1"/>
  <c r="JB54" i="1"/>
  <c r="JA54" i="1"/>
  <c r="JA53" i="1"/>
  <c r="JA52" i="1"/>
  <c r="JB51" i="1"/>
  <c r="JA51" i="1"/>
  <c r="JB50" i="1"/>
  <c r="JA50" i="1"/>
  <c r="JB49" i="1"/>
  <c r="JA49" i="1"/>
  <c r="JB48" i="1"/>
  <c r="JA48" i="1"/>
  <c r="JB47" i="1"/>
  <c r="JA47" i="1"/>
  <c r="JA46" i="1"/>
  <c r="JA45" i="1"/>
  <c r="JA44" i="1"/>
  <c r="JB43" i="1"/>
  <c r="JA43" i="1"/>
  <c r="JA42" i="1"/>
  <c r="JB41" i="1"/>
  <c r="JA41" i="1"/>
  <c r="JA40" i="1"/>
  <c r="JB35" i="1"/>
  <c r="JB32" i="1"/>
  <c r="JA32" i="1"/>
  <c r="JB31" i="1"/>
  <c r="JA31" i="1"/>
  <c r="JB30" i="1"/>
  <c r="JA30" i="1"/>
  <c r="JA29" i="1"/>
  <c r="JA28" i="1"/>
  <c r="JB27" i="1"/>
  <c r="JA27" i="1"/>
  <c r="JA26" i="1"/>
  <c r="JB25" i="1"/>
  <c r="JA25" i="1"/>
  <c r="JB24" i="1"/>
  <c r="JA24" i="1"/>
  <c r="JB23" i="1"/>
  <c r="JA23" i="1"/>
  <c r="JB22" i="1"/>
  <c r="JA22" i="1"/>
  <c r="JB21" i="1"/>
  <c r="JA21" i="1"/>
  <c r="JB20" i="1"/>
  <c r="JA20" i="1"/>
  <c r="JB19" i="1"/>
  <c r="JA19" i="1"/>
  <c r="JA18" i="1"/>
  <c r="JA17" i="1"/>
  <c r="JB16" i="1"/>
  <c r="JA16" i="1"/>
  <c r="JA15" i="1"/>
  <c r="JB14" i="1"/>
  <c r="JA14" i="1"/>
  <c r="JA13" i="1"/>
  <c r="JA12" i="1"/>
  <c r="JB11" i="1"/>
  <c r="JA11" i="1"/>
  <c r="JA10" i="1"/>
  <c r="IS79" i="1"/>
  <c r="IS80" i="1" s="1"/>
  <c r="IR79" i="1"/>
  <c r="IR80" i="1" s="1"/>
  <c r="IS77" i="1"/>
  <c r="IR77" i="1"/>
  <c r="IS76" i="1"/>
  <c r="IR76" i="1"/>
  <c r="IS75" i="1"/>
  <c r="IS74" i="1"/>
  <c r="IS73" i="1"/>
  <c r="IR73" i="1"/>
  <c r="IS72" i="1"/>
  <c r="IR72" i="1"/>
  <c r="IR70" i="1"/>
  <c r="IS68" i="1"/>
  <c r="IS59" i="1"/>
  <c r="IR59" i="1"/>
  <c r="IS58" i="1"/>
  <c r="IR58" i="1"/>
  <c r="IR57" i="1"/>
  <c r="IS56" i="1"/>
  <c r="IR56" i="1"/>
  <c r="IR55" i="1"/>
  <c r="IS54" i="1"/>
  <c r="IR54" i="1"/>
  <c r="IR53" i="1"/>
  <c r="IR52" i="1"/>
  <c r="IS51" i="1"/>
  <c r="IR51" i="1"/>
  <c r="IS50" i="1"/>
  <c r="IR50" i="1"/>
  <c r="IS49" i="1"/>
  <c r="IR49" i="1"/>
  <c r="IS48" i="1"/>
  <c r="IR48" i="1"/>
  <c r="IS47" i="1"/>
  <c r="IR47" i="1"/>
  <c r="IR46" i="1"/>
  <c r="IR45" i="1"/>
  <c r="IR44" i="1"/>
  <c r="IS43" i="1"/>
  <c r="IR43" i="1"/>
  <c r="IR42" i="1"/>
  <c r="IS41" i="1"/>
  <c r="IR41" i="1"/>
  <c r="IR40" i="1"/>
  <c r="IS35" i="1"/>
  <c r="IS32" i="1"/>
  <c r="IR32" i="1"/>
  <c r="IS31" i="1"/>
  <c r="IR31" i="1"/>
  <c r="IS30" i="1"/>
  <c r="IR30" i="1"/>
  <c r="IR29" i="1"/>
  <c r="IR28" i="1"/>
  <c r="IS27" i="1"/>
  <c r="IR27" i="1"/>
  <c r="IR26" i="1"/>
  <c r="IS25" i="1"/>
  <c r="IR25" i="1"/>
  <c r="IS24" i="1"/>
  <c r="IR24" i="1"/>
  <c r="IS23" i="1"/>
  <c r="IR23" i="1"/>
  <c r="IS22" i="1"/>
  <c r="IR22" i="1"/>
  <c r="IS21" i="1"/>
  <c r="IR21" i="1"/>
  <c r="IS20" i="1"/>
  <c r="IR20" i="1"/>
  <c r="IS19" i="1"/>
  <c r="IR19" i="1"/>
  <c r="IR18" i="1"/>
  <c r="IR17" i="1"/>
  <c r="IS16" i="1"/>
  <c r="IR16" i="1"/>
  <c r="IR15" i="1"/>
  <c r="IS14" i="1"/>
  <c r="IR14" i="1"/>
  <c r="IR13" i="1"/>
  <c r="IR12" i="1"/>
  <c r="IS11" i="1"/>
  <c r="IR11" i="1"/>
  <c r="IR10" i="1"/>
  <c r="IK79" i="1"/>
  <c r="IK80" i="1" s="1"/>
  <c r="IJ79" i="1"/>
  <c r="IJ80" i="1" s="1"/>
  <c r="IK77" i="1"/>
  <c r="IJ77" i="1"/>
  <c r="IK76" i="1"/>
  <c r="IJ76" i="1"/>
  <c r="IK75" i="1"/>
  <c r="IK74" i="1"/>
  <c r="IK73" i="1"/>
  <c r="IJ73" i="1"/>
  <c r="IK72" i="1"/>
  <c r="IJ72" i="1"/>
  <c r="IJ70" i="1"/>
  <c r="IK68" i="1"/>
  <c r="IK59" i="1"/>
  <c r="IJ59" i="1"/>
  <c r="IK58" i="1"/>
  <c r="IJ58" i="1"/>
  <c r="IJ57" i="1"/>
  <c r="IK56" i="1"/>
  <c r="IJ56" i="1"/>
  <c r="IJ55" i="1"/>
  <c r="IK54" i="1"/>
  <c r="IJ54" i="1"/>
  <c r="IJ53" i="1"/>
  <c r="IJ52" i="1"/>
  <c r="IK51" i="1"/>
  <c r="IJ51" i="1"/>
  <c r="IK50" i="1"/>
  <c r="IJ50" i="1"/>
  <c r="IK49" i="1"/>
  <c r="IJ49" i="1"/>
  <c r="IK48" i="1"/>
  <c r="IJ48" i="1"/>
  <c r="IK47" i="1"/>
  <c r="IJ47" i="1"/>
  <c r="IJ46" i="1"/>
  <c r="IJ45" i="1"/>
  <c r="IJ44" i="1"/>
  <c r="IK43" i="1"/>
  <c r="IJ43" i="1"/>
  <c r="IJ42" i="1"/>
  <c r="IK41" i="1"/>
  <c r="IJ41" i="1"/>
  <c r="IJ40" i="1"/>
  <c r="IK35" i="1"/>
  <c r="IK32" i="1"/>
  <c r="IJ32" i="1"/>
  <c r="IK31" i="1"/>
  <c r="IJ31" i="1"/>
  <c r="IK30" i="1"/>
  <c r="IJ30" i="1"/>
  <c r="IJ29" i="1"/>
  <c r="IJ28" i="1"/>
  <c r="IK27" i="1"/>
  <c r="IJ27" i="1"/>
  <c r="IJ26" i="1"/>
  <c r="IK25" i="1"/>
  <c r="IJ25" i="1"/>
  <c r="IK24" i="1"/>
  <c r="IJ24" i="1"/>
  <c r="IK23" i="1"/>
  <c r="IJ23" i="1"/>
  <c r="IK22" i="1"/>
  <c r="IJ22" i="1"/>
  <c r="IK21" i="1"/>
  <c r="IJ21" i="1"/>
  <c r="IK20" i="1"/>
  <c r="IJ20" i="1"/>
  <c r="IK19" i="1"/>
  <c r="IJ19" i="1"/>
  <c r="IJ18" i="1"/>
  <c r="IJ17" i="1"/>
  <c r="IK16" i="1"/>
  <c r="IJ16" i="1"/>
  <c r="IJ15" i="1"/>
  <c r="IK14" i="1"/>
  <c r="IJ14" i="1"/>
  <c r="IJ13" i="1"/>
  <c r="IJ12" i="1"/>
  <c r="IK11" i="1"/>
  <c r="IJ11" i="1"/>
  <c r="IJ10" i="1"/>
  <c r="IB79" i="1"/>
  <c r="IB80" i="1" s="1"/>
  <c r="IA79" i="1"/>
  <c r="IA80" i="1" s="1"/>
  <c r="IB77" i="1"/>
  <c r="IA77" i="1"/>
  <c r="IB76" i="1"/>
  <c r="IA76" i="1"/>
  <c r="IB75" i="1"/>
  <c r="IB74" i="1"/>
  <c r="IB73" i="1"/>
  <c r="IA73" i="1"/>
  <c r="IB72" i="1"/>
  <c r="IA72" i="1"/>
  <c r="IA70" i="1"/>
  <c r="IB68" i="1"/>
  <c r="IB59" i="1"/>
  <c r="IA59" i="1"/>
  <c r="IB58" i="1"/>
  <c r="IA58" i="1"/>
  <c r="IA57" i="1"/>
  <c r="IB56" i="1"/>
  <c r="IA56" i="1"/>
  <c r="IA55" i="1"/>
  <c r="IB54" i="1"/>
  <c r="IA54" i="1"/>
  <c r="IA53" i="1"/>
  <c r="IA52" i="1"/>
  <c r="IB51" i="1"/>
  <c r="IA51" i="1"/>
  <c r="IB50" i="1"/>
  <c r="IA50" i="1"/>
  <c r="IB49" i="1"/>
  <c r="IA49" i="1"/>
  <c r="IB48" i="1"/>
  <c r="IA48" i="1"/>
  <c r="IB47" i="1"/>
  <c r="IA47" i="1"/>
  <c r="IA46" i="1"/>
  <c r="IA45" i="1"/>
  <c r="IA44" i="1"/>
  <c r="IB43" i="1"/>
  <c r="IA43" i="1"/>
  <c r="IA42" i="1"/>
  <c r="IB41" i="1"/>
  <c r="IA41" i="1"/>
  <c r="IA40" i="1"/>
  <c r="IB35" i="1"/>
  <c r="IB32" i="1"/>
  <c r="IA32" i="1"/>
  <c r="IB31" i="1"/>
  <c r="IA31" i="1"/>
  <c r="IB30" i="1"/>
  <c r="IA30" i="1"/>
  <c r="IA29" i="1"/>
  <c r="IA28" i="1"/>
  <c r="IB27" i="1"/>
  <c r="IA27" i="1"/>
  <c r="IA26" i="1"/>
  <c r="IB25" i="1"/>
  <c r="IA25" i="1"/>
  <c r="IB24" i="1"/>
  <c r="IA24" i="1"/>
  <c r="IB23" i="1"/>
  <c r="IA23" i="1"/>
  <c r="IB22" i="1"/>
  <c r="IA22" i="1"/>
  <c r="IB21" i="1"/>
  <c r="IA21" i="1"/>
  <c r="IB20" i="1"/>
  <c r="IA20" i="1"/>
  <c r="IB19" i="1"/>
  <c r="IA19" i="1"/>
  <c r="IA18" i="1"/>
  <c r="IA17" i="1"/>
  <c r="IB16" i="1"/>
  <c r="IA16" i="1"/>
  <c r="IA15" i="1"/>
  <c r="IB14" i="1"/>
  <c r="IA14" i="1"/>
  <c r="IA13" i="1"/>
  <c r="IA12" i="1"/>
  <c r="IB11" i="1"/>
  <c r="IA11" i="1"/>
  <c r="IA10" i="1"/>
  <c r="HS79" i="1"/>
  <c r="HS80" i="1" s="1"/>
  <c r="HR79" i="1"/>
  <c r="HR80" i="1" s="1"/>
  <c r="HS77" i="1"/>
  <c r="HR77" i="1"/>
  <c r="HS76" i="1"/>
  <c r="HR76" i="1"/>
  <c r="HS75" i="1"/>
  <c r="HS74" i="1"/>
  <c r="HS73" i="1"/>
  <c r="HR73" i="1"/>
  <c r="HS72" i="1"/>
  <c r="HR72" i="1"/>
  <c r="HR70" i="1"/>
  <c r="HS68" i="1"/>
  <c r="HS59" i="1"/>
  <c r="HR59" i="1"/>
  <c r="HS58" i="1"/>
  <c r="HR58" i="1"/>
  <c r="HR57" i="1"/>
  <c r="HS56" i="1"/>
  <c r="HR56" i="1"/>
  <c r="HR55" i="1"/>
  <c r="HS54" i="1"/>
  <c r="HR54" i="1"/>
  <c r="HR53" i="1"/>
  <c r="HR52" i="1"/>
  <c r="HS51" i="1"/>
  <c r="HR51" i="1"/>
  <c r="HS50" i="1"/>
  <c r="HR50" i="1"/>
  <c r="HS49" i="1"/>
  <c r="HR49" i="1"/>
  <c r="HS48" i="1"/>
  <c r="HR48" i="1"/>
  <c r="HS47" i="1"/>
  <c r="HR47" i="1"/>
  <c r="HR46" i="1"/>
  <c r="HR45" i="1"/>
  <c r="HR44" i="1"/>
  <c r="HS43" i="1"/>
  <c r="HR43" i="1"/>
  <c r="HR42" i="1"/>
  <c r="HS41" i="1"/>
  <c r="HR41" i="1"/>
  <c r="HR40" i="1"/>
  <c r="HS35" i="1"/>
  <c r="HS32" i="1"/>
  <c r="HR32" i="1"/>
  <c r="HS31" i="1"/>
  <c r="HR31" i="1"/>
  <c r="HS30" i="1"/>
  <c r="HR30" i="1"/>
  <c r="HR29" i="1"/>
  <c r="HR28" i="1"/>
  <c r="HS27" i="1"/>
  <c r="HR27" i="1"/>
  <c r="HR26" i="1"/>
  <c r="HS25" i="1"/>
  <c r="HR25" i="1"/>
  <c r="HS24" i="1"/>
  <c r="HR24" i="1"/>
  <c r="HS23" i="1"/>
  <c r="HR23" i="1"/>
  <c r="HS22" i="1"/>
  <c r="HR22" i="1"/>
  <c r="HS21" i="1"/>
  <c r="HR21" i="1"/>
  <c r="HS20" i="1"/>
  <c r="HR20" i="1"/>
  <c r="HS19" i="1"/>
  <c r="HR19" i="1"/>
  <c r="HR18" i="1"/>
  <c r="HR17" i="1"/>
  <c r="HS16" i="1"/>
  <c r="HR16" i="1"/>
  <c r="HR15" i="1"/>
  <c r="HS14" i="1"/>
  <c r="HR14" i="1"/>
  <c r="HR13" i="1"/>
  <c r="HR12" i="1"/>
  <c r="HS11" i="1"/>
  <c r="HR11" i="1"/>
  <c r="HR10" i="1"/>
  <c r="HJ79" i="1"/>
  <c r="HJ80" i="1" s="1"/>
  <c r="HI79" i="1"/>
  <c r="HI80" i="1" s="1"/>
  <c r="HJ77" i="1"/>
  <c r="HI77" i="1"/>
  <c r="HJ76" i="1"/>
  <c r="HI76" i="1"/>
  <c r="HJ75" i="1"/>
  <c r="HJ74" i="1"/>
  <c r="HJ73" i="1"/>
  <c r="HI73" i="1"/>
  <c r="HJ72" i="1"/>
  <c r="HI72" i="1"/>
  <c r="HI70" i="1"/>
  <c r="HJ68" i="1"/>
  <c r="HJ59" i="1"/>
  <c r="HI59" i="1"/>
  <c r="HJ58" i="1"/>
  <c r="HI58" i="1"/>
  <c r="HI57" i="1"/>
  <c r="HJ56" i="1"/>
  <c r="HI56" i="1"/>
  <c r="HI55" i="1"/>
  <c r="HJ54" i="1"/>
  <c r="HI54" i="1"/>
  <c r="HI53" i="1"/>
  <c r="HI52" i="1"/>
  <c r="HJ51" i="1"/>
  <c r="HI51" i="1"/>
  <c r="HJ50" i="1"/>
  <c r="HI50" i="1"/>
  <c r="HJ49" i="1"/>
  <c r="HI49" i="1"/>
  <c r="HJ48" i="1"/>
  <c r="HI48" i="1"/>
  <c r="HJ47" i="1"/>
  <c r="HI47" i="1"/>
  <c r="HI46" i="1"/>
  <c r="HI45" i="1"/>
  <c r="HI44" i="1"/>
  <c r="HJ43" i="1"/>
  <c r="HI43" i="1"/>
  <c r="HI42" i="1"/>
  <c r="HJ41" i="1"/>
  <c r="HI41" i="1"/>
  <c r="HI40" i="1"/>
  <c r="HJ35" i="1"/>
  <c r="HJ32" i="1"/>
  <c r="HI32" i="1"/>
  <c r="HJ31" i="1"/>
  <c r="HI31" i="1"/>
  <c r="HJ30" i="1"/>
  <c r="HI30" i="1"/>
  <c r="HI29" i="1"/>
  <c r="HI28" i="1"/>
  <c r="HJ27" i="1"/>
  <c r="HI27" i="1"/>
  <c r="HI26" i="1"/>
  <c r="HJ25" i="1"/>
  <c r="HI25" i="1"/>
  <c r="HJ24" i="1"/>
  <c r="HI24" i="1"/>
  <c r="HJ23" i="1"/>
  <c r="HI23" i="1"/>
  <c r="HJ22" i="1"/>
  <c r="HI22" i="1"/>
  <c r="HJ21" i="1"/>
  <c r="HI21" i="1"/>
  <c r="HJ20" i="1"/>
  <c r="HI20" i="1"/>
  <c r="HJ19" i="1"/>
  <c r="HI19" i="1"/>
  <c r="HI18" i="1"/>
  <c r="HI17" i="1"/>
  <c r="HJ16" i="1"/>
  <c r="HI16" i="1"/>
  <c r="HI15" i="1"/>
  <c r="HJ14" i="1"/>
  <c r="HI14" i="1"/>
  <c r="HI13" i="1"/>
  <c r="HI12" i="1"/>
  <c r="HJ11" i="1"/>
  <c r="HI11" i="1"/>
  <c r="HI10" i="1"/>
  <c r="HA79" i="1"/>
  <c r="HA80" i="1" s="1"/>
  <c r="GZ79" i="1"/>
  <c r="GZ80" i="1" s="1"/>
  <c r="HA77" i="1"/>
  <c r="GZ77" i="1"/>
  <c r="HA76" i="1"/>
  <c r="GZ76" i="1"/>
  <c r="HA75" i="1"/>
  <c r="HA74" i="1"/>
  <c r="HA73" i="1"/>
  <c r="GZ73" i="1"/>
  <c r="HA72" i="1"/>
  <c r="GZ72" i="1"/>
  <c r="GZ70" i="1"/>
  <c r="HA68" i="1"/>
  <c r="HA59" i="1"/>
  <c r="GZ59" i="1"/>
  <c r="HA58" i="1"/>
  <c r="GZ58" i="1"/>
  <c r="GZ57" i="1"/>
  <c r="HA56" i="1"/>
  <c r="GZ56" i="1"/>
  <c r="GZ55" i="1"/>
  <c r="HA54" i="1"/>
  <c r="GZ54" i="1"/>
  <c r="GZ53" i="1"/>
  <c r="GZ52" i="1"/>
  <c r="HA51" i="1"/>
  <c r="GZ51" i="1"/>
  <c r="HA50" i="1"/>
  <c r="GZ50" i="1"/>
  <c r="HA49" i="1"/>
  <c r="GZ49" i="1"/>
  <c r="HA48" i="1"/>
  <c r="GZ48" i="1"/>
  <c r="HA47" i="1"/>
  <c r="GZ47" i="1"/>
  <c r="GZ46" i="1"/>
  <c r="GZ45" i="1"/>
  <c r="GZ44" i="1"/>
  <c r="HA43" i="1"/>
  <c r="GZ43" i="1"/>
  <c r="GZ42" i="1"/>
  <c r="HA41" i="1"/>
  <c r="GZ41" i="1"/>
  <c r="GZ40" i="1"/>
  <c r="HA35" i="1"/>
  <c r="HA32" i="1"/>
  <c r="GZ32" i="1"/>
  <c r="HA31" i="1"/>
  <c r="GZ31" i="1"/>
  <c r="HA30" i="1"/>
  <c r="GZ30" i="1"/>
  <c r="GZ29" i="1"/>
  <c r="GZ28" i="1"/>
  <c r="HA27" i="1"/>
  <c r="GZ27" i="1"/>
  <c r="GZ26" i="1"/>
  <c r="HA25" i="1"/>
  <c r="GZ25" i="1"/>
  <c r="HA24" i="1"/>
  <c r="GZ24" i="1"/>
  <c r="HA23" i="1"/>
  <c r="GZ23" i="1"/>
  <c r="HA22" i="1"/>
  <c r="GZ22" i="1"/>
  <c r="HA21" i="1"/>
  <c r="GZ21" i="1"/>
  <c r="HA20" i="1"/>
  <c r="GZ20" i="1"/>
  <c r="HA19" i="1"/>
  <c r="GZ19" i="1"/>
  <c r="GZ18" i="1"/>
  <c r="GZ17" i="1"/>
  <c r="HA16" i="1"/>
  <c r="GZ16" i="1"/>
  <c r="GZ15" i="1"/>
  <c r="HA14" i="1"/>
  <c r="GZ14" i="1"/>
  <c r="GZ13" i="1"/>
  <c r="GZ12" i="1"/>
  <c r="HA11" i="1"/>
  <c r="GZ11" i="1"/>
  <c r="GZ10" i="1"/>
  <c r="GR79" i="1"/>
  <c r="GR80" i="1" s="1"/>
  <c r="GQ79" i="1"/>
  <c r="GQ80" i="1" s="1"/>
  <c r="GR77" i="1"/>
  <c r="GQ77" i="1"/>
  <c r="GR76" i="1"/>
  <c r="GQ76" i="1"/>
  <c r="GR75" i="1"/>
  <c r="GR74" i="1"/>
  <c r="GR73" i="1"/>
  <c r="GQ73" i="1"/>
  <c r="GR72" i="1"/>
  <c r="GQ72" i="1"/>
  <c r="GQ70" i="1"/>
  <c r="GR68" i="1"/>
  <c r="GR59" i="1"/>
  <c r="GQ59" i="1"/>
  <c r="GR58" i="1"/>
  <c r="GQ58" i="1"/>
  <c r="GQ57" i="1"/>
  <c r="GR56" i="1"/>
  <c r="GQ56" i="1"/>
  <c r="GQ55" i="1"/>
  <c r="GR54" i="1"/>
  <c r="GQ54" i="1"/>
  <c r="GQ53" i="1"/>
  <c r="GQ52" i="1"/>
  <c r="GR51" i="1"/>
  <c r="GQ51" i="1"/>
  <c r="GR50" i="1"/>
  <c r="GQ50" i="1"/>
  <c r="GR49" i="1"/>
  <c r="GQ49" i="1"/>
  <c r="GR48" i="1"/>
  <c r="GQ48" i="1"/>
  <c r="GR47" i="1"/>
  <c r="GQ47" i="1"/>
  <c r="GQ46" i="1"/>
  <c r="GQ45" i="1"/>
  <c r="GQ44" i="1"/>
  <c r="GR43" i="1"/>
  <c r="GQ43" i="1"/>
  <c r="GQ42" i="1"/>
  <c r="GR41" i="1"/>
  <c r="GQ41" i="1"/>
  <c r="GQ40" i="1"/>
  <c r="GR35" i="1"/>
  <c r="GR32" i="1"/>
  <c r="GQ32" i="1"/>
  <c r="GR31" i="1"/>
  <c r="GQ31" i="1"/>
  <c r="GR30" i="1"/>
  <c r="GQ30" i="1"/>
  <c r="GQ29" i="1"/>
  <c r="GQ28" i="1"/>
  <c r="GR27" i="1"/>
  <c r="GQ27" i="1"/>
  <c r="GQ26" i="1"/>
  <c r="GR25" i="1"/>
  <c r="GQ25" i="1"/>
  <c r="GR24" i="1"/>
  <c r="GQ24" i="1"/>
  <c r="GR23" i="1"/>
  <c r="GQ23" i="1"/>
  <c r="GR22" i="1"/>
  <c r="GQ22" i="1"/>
  <c r="GR21" i="1"/>
  <c r="GQ21" i="1"/>
  <c r="GR20" i="1"/>
  <c r="GQ20" i="1"/>
  <c r="GR19" i="1"/>
  <c r="GQ19" i="1"/>
  <c r="GQ18" i="1"/>
  <c r="GQ17" i="1"/>
  <c r="GR16" i="1"/>
  <c r="GQ16" i="1"/>
  <c r="GQ15" i="1"/>
  <c r="GR14" i="1"/>
  <c r="GQ14" i="1"/>
  <c r="GQ13" i="1"/>
  <c r="GQ12" i="1"/>
  <c r="GR11" i="1"/>
  <c r="GQ11" i="1"/>
  <c r="GQ10" i="1"/>
  <c r="GI79" i="1"/>
  <c r="GI80" i="1" s="1"/>
  <c r="GH79" i="1"/>
  <c r="GH80" i="1" s="1"/>
  <c r="GI77" i="1"/>
  <c r="GH77" i="1"/>
  <c r="GI76" i="1"/>
  <c r="GH76" i="1"/>
  <c r="GI75" i="1"/>
  <c r="GI74" i="1"/>
  <c r="GI73" i="1"/>
  <c r="GH73" i="1"/>
  <c r="GI72" i="1"/>
  <c r="GH72" i="1"/>
  <c r="GH70" i="1"/>
  <c r="GI68" i="1"/>
  <c r="GI59" i="1"/>
  <c r="GH59" i="1"/>
  <c r="GI58" i="1"/>
  <c r="GH58" i="1"/>
  <c r="GH57" i="1"/>
  <c r="GI56" i="1"/>
  <c r="GH56" i="1"/>
  <c r="GH55" i="1"/>
  <c r="GI54" i="1"/>
  <c r="GH54" i="1"/>
  <c r="GH53" i="1"/>
  <c r="GH52" i="1"/>
  <c r="GI51" i="1"/>
  <c r="GH51" i="1"/>
  <c r="GI50" i="1"/>
  <c r="GH50" i="1"/>
  <c r="GI49" i="1"/>
  <c r="GH49" i="1"/>
  <c r="GI48" i="1"/>
  <c r="GH48" i="1"/>
  <c r="GI47" i="1"/>
  <c r="GH47" i="1"/>
  <c r="GH46" i="1"/>
  <c r="GH45" i="1"/>
  <c r="GH44" i="1"/>
  <c r="GI43" i="1"/>
  <c r="GH43" i="1"/>
  <c r="GH42" i="1"/>
  <c r="GI41" i="1"/>
  <c r="GH41" i="1"/>
  <c r="GH40" i="1"/>
  <c r="GI35" i="1"/>
  <c r="GI32" i="1"/>
  <c r="GH32" i="1"/>
  <c r="GI31" i="1"/>
  <c r="GH31" i="1"/>
  <c r="GI30" i="1"/>
  <c r="GH30" i="1"/>
  <c r="GH29" i="1"/>
  <c r="GH28" i="1"/>
  <c r="GI27" i="1"/>
  <c r="GH27" i="1"/>
  <c r="GH26" i="1"/>
  <c r="GI25" i="1"/>
  <c r="GH25" i="1"/>
  <c r="GI24" i="1"/>
  <c r="GH24" i="1"/>
  <c r="GI23" i="1"/>
  <c r="GH23" i="1"/>
  <c r="GI22" i="1"/>
  <c r="GH22" i="1"/>
  <c r="GI21" i="1"/>
  <c r="GH21" i="1"/>
  <c r="GI20" i="1"/>
  <c r="GH20" i="1"/>
  <c r="GI19" i="1"/>
  <c r="GH19" i="1"/>
  <c r="GH18" i="1"/>
  <c r="GH17" i="1"/>
  <c r="GI16" i="1"/>
  <c r="GH16" i="1"/>
  <c r="GH15" i="1"/>
  <c r="GI14" i="1"/>
  <c r="GH14" i="1"/>
  <c r="GH13" i="1"/>
  <c r="GH12" i="1"/>
  <c r="GI11" i="1"/>
  <c r="GH11" i="1"/>
  <c r="GH10" i="1"/>
  <c r="FV79" i="1"/>
  <c r="FV80" i="1" s="1"/>
  <c r="FU79" i="1"/>
  <c r="FU80" i="1" s="1"/>
  <c r="FV77" i="1"/>
  <c r="FU77" i="1"/>
  <c r="FV76" i="1"/>
  <c r="FU76" i="1"/>
  <c r="FV75" i="1"/>
  <c r="FV74" i="1"/>
  <c r="FV73" i="1"/>
  <c r="FU73" i="1"/>
  <c r="FV72" i="1"/>
  <c r="FU72" i="1"/>
  <c r="FU70" i="1"/>
  <c r="FV68" i="1"/>
  <c r="FV59" i="1"/>
  <c r="FU59" i="1"/>
  <c r="FV58" i="1"/>
  <c r="FU58" i="1"/>
  <c r="FV56" i="1"/>
  <c r="FV54" i="1"/>
  <c r="FU54" i="1"/>
  <c r="FU53" i="1"/>
  <c r="FU52" i="1"/>
  <c r="FV51" i="1"/>
  <c r="FU51" i="1"/>
  <c r="FV50" i="1"/>
  <c r="FU50" i="1"/>
  <c r="FV49" i="1"/>
  <c r="FU49" i="1"/>
  <c r="FV48" i="1"/>
  <c r="FU48" i="1"/>
  <c r="FV47" i="1"/>
  <c r="FU47" i="1"/>
  <c r="FU46" i="1"/>
  <c r="FU45" i="1"/>
  <c r="FU44" i="1"/>
  <c r="FV43" i="1"/>
  <c r="FU43" i="1"/>
  <c r="FU42" i="1"/>
  <c r="FV41" i="1"/>
  <c r="FU41" i="1"/>
  <c r="FU40" i="1"/>
  <c r="FV35" i="1"/>
  <c r="FV32" i="1"/>
  <c r="FU32" i="1"/>
  <c r="FV31" i="1"/>
  <c r="FU31" i="1"/>
  <c r="FV30" i="1"/>
  <c r="FU30" i="1"/>
  <c r="FU29" i="1"/>
  <c r="FU28" i="1"/>
  <c r="FV27" i="1"/>
  <c r="FU27" i="1"/>
  <c r="FU26" i="1"/>
  <c r="FV25" i="1"/>
  <c r="FU25" i="1"/>
  <c r="FV24" i="1"/>
  <c r="FU24" i="1"/>
  <c r="FV23" i="1"/>
  <c r="FU23" i="1"/>
  <c r="FV22" i="1"/>
  <c r="FU22" i="1"/>
  <c r="FV21" i="1"/>
  <c r="FU21" i="1"/>
  <c r="FV20" i="1"/>
  <c r="FU20" i="1"/>
  <c r="FV19" i="1"/>
  <c r="FU19" i="1"/>
  <c r="FU18" i="1"/>
  <c r="FU17" i="1"/>
  <c r="FV16" i="1"/>
  <c r="FU16" i="1"/>
  <c r="FU15" i="1"/>
  <c r="FV14" i="1"/>
  <c r="FU14" i="1"/>
  <c r="FU13" i="1"/>
  <c r="FU12" i="1"/>
  <c r="FV11" i="1"/>
  <c r="FU11" i="1"/>
  <c r="FU10" i="1"/>
  <c r="FN79" i="1"/>
  <c r="FN80" i="1" s="1"/>
  <c r="FM79" i="1"/>
  <c r="FM80" i="1" s="1"/>
  <c r="FN77" i="1"/>
  <c r="FM77" i="1"/>
  <c r="FN76" i="1"/>
  <c r="FM76" i="1"/>
  <c r="FN75" i="1"/>
  <c r="FN74" i="1"/>
  <c r="FN73" i="1"/>
  <c r="FM73" i="1"/>
  <c r="FN72" i="1"/>
  <c r="FM72" i="1"/>
  <c r="FM70" i="1"/>
  <c r="FN68" i="1"/>
  <c r="FN59" i="1"/>
  <c r="FM59" i="1"/>
  <c r="FN58" i="1"/>
  <c r="FM58" i="1"/>
  <c r="FM57" i="1"/>
  <c r="FN56" i="1"/>
  <c r="FM56" i="1"/>
  <c r="FM55" i="1"/>
  <c r="FN54" i="1"/>
  <c r="FM54" i="1"/>
  <c r="FM53" i="1"/>
  <c r="FM52" i="1"/>
  <c r="FN51" i="1"/>
  <c r="FM51" i="1"/>
  <c r="FN50" i="1"/>
  <c r="FM50" i="1"/>
  <c r="FN49" i="1"/>
  <c r="FM49" i="1"/>
  <c r="FN48" i="1"/>
  <c r="FM48" i="1"/>
  <c r="FN47" i="1"/>
  <c r="FM47" i="1"/>
  <c r="FM46" i="1"/>
  <c r="FM45" i="1"/>
  <c r="FM44" i="1"/>
  <c r="FN43" i="1"/>
  <c r="FM43" i="1"/>
  <c r="FM42" i="1"/>
  <c r="FN41" i="1"/>
  <c r="FM41" i="1"/>
  <c r="FM40" i="1"/>
  <c r="FN35" i="1"/>
  <c r="FN32" i="1"/>
  <c r="FM32" i="1"/>
  <c r="FN31" i="1"/>
  <c r="FM31" i="1"/>
  <c r="FN30" i="1"/>
  <c r="FM30" i="1"/>
  <c r="FM29" i="1"/>
  <c r="FM28" i="1"/>
  <c r="FN27" i="1"/>
  <c r="FM27" i="1"/>
  <c r="FM26" i="1"/>
  <c r="FN25" i="1"/>
  <c r="FM25" i="1"/>
  <c r="FN24" i="1"/>
  <c r="FM24" i="1"/>
  <c r="FN23" i="1"/>
  <c r="FM23" i="1"/>
  <c r="FN22" i="1"/>
  <c r="FM22" i="1"/>
  <c r="FN21" i="1"/>
  <c r="FM21" i="1"/>
  <c r="FN20" i="1"/>
  <c r="FM20" i="1"/>
  <c r="FN19" i="1"/>
  <c r="FM19" i="1"/>
  <c r="FM18" i="1"/>
  <c r="FM17" i="1"/>
  <c r="FN16" i="1"/>
  <c r="FM16" i="1"/>
  <c r="FM15" i="1"/>
  <c r="FN14" i="1"/>
  <c r="FM14" i="1"/>
  <c r="FM13" i="1"/>
  <c r="FM12" i="1"/>
  <c r="FN11" i="1"/>
  <c r="FM11" i="1"/>
  <c r="FM10" i="1"/>
  <c r="FF79" i="1"/>
  <c r="FF80" i="1" s="1"/>
  <c r="FE79" i="1"/>
  <c r="FE80" i="1" s="1"/>
  <c r="FF77" i="1"/>
  <c r="FE77" i="1"/>
  <c r="FF76" i="1"/>
  <c r="FE76" i="1"/>
  <c r="FF75" i="1"/>
  <c r="FF74" i="1"/>
  <c r="FF73" i="1"/>
  <c r="FE73" i="1"/>
  <c r="FF72" i="1"/>
  <c r="FE72" i="1"/>
  <c r="FE70" i="1"/>
  <c r="FF68" i="1"/>
  <c r="FF59" i="1"/>
  <c r="FE59" i="1"/>
  <c r="FF58" i="1"/>
  <c r="FE58" i="1"/>
  <c r="FE57" i="1"/>
  <c r="FF56" i="1"/>
  <c r="FE56" i="1"/>
  <c r="FE55" i="1"/>
  <c r="FF54" i="1"/>
  <c r="FE54" i="1"/>
  <c r="FE53" i="1"/>
  <c r="FE52" i="1"/>
  <c r="FF51" i="1"/>
  <c r="FE51" i="1"/>
  <c r="FF50" i="1"/>
  <c r="FE50" i="1"/>
  <c r="FF49" i="1"/>
  <c r="FE49" i="1"/>
  <c r="FF48" i="1"/>
  <c r="FE48" i="1"/>
  <c r="FF47" i="1"/>
  <c r="FE47" i="1"/>
  <c r="FE46" i="1"/>
  <c r="FE45" i="1"/>
  <c r="FE44" i="1"/>
  <c r="FF43" i="1"/>
  <c r="FE43" i="1"/>
  <c r="FE42" i="1"/>
  <c r="FF41" i="1"/>
  <c r="FE41" i="1"/>
  <c r="FE40" i="1"/>
  <c r="FF35" i="1"/>
  <c r="FF32" i="1"/>
  <c r="FE32" i="1"/>
  <c r="FF31" i="1"/>
  <c r="FE31" i="1"/>
  <c r="FF30" i="1"/>
  <c r="FE30" i="1"/>
  <c r="FE29" i="1"/>
  <c r="FE28" i="1"/>
  <c r="FF27" i="1"/>
  <c r="FE27" i="1"/>
  <c r="FE26" i="1"/>
  <c r="FF25" i="1"/>
  <c r="FE25" i="1"/>
  <c r="FF24" i="1"/>
  <c r="FE24" i="1"/>
  <c r="FF23" i="1"/>
  <c r="FE23" i="1"/>
  <c r="FF22" i="1"/>
  <c r="FE22" i="1"/>
  <c r="FF21" i="1"/>
  <c r="FE21" i="1"/>
  <c r="FF20" i="1"/>
  <c r="FE20" i="1"/>
  <c r="FF19" i="1"/>
  <c r="FE19" i="1"/>
  <c r="FE18" i="1"/>
  <c r="FE17" i="1"/>
  <c r="FF16" i="1"/>
  <c r="FE16" i="1"/>
  <c r="FE15" i="1"/>
  <c r="FF14" i="1"/>
  <c r="FE14" i="1"/>
  <c r="FE13" i="1"/>
  <c r="FE12" i="1"/>
  <c r="FF11" i="1"/>
  <c r="FE11" i="1"/>
  <c r="FE10" i="1"/>
  <c r="EX79" i="1"/>
  <c r="EX80" i="1" s="1"/>
  <c r="EW79" i="1"/>
  <c r="EW80" i="1" s="1"/>
  <c r="EX77" i="1"/>
  <c r="EW77" i="1"/>
  <c r="EX76" i="1"/>
  <c r="EW76" i="1"/>
  <c r="EX75" i="1"/>
  <c r="EX74" i="1"/>
  <c r="EX73" i="1"/>
  <c r="EW73" i="1"/>
  <c r="EX72" i="1"/>
  <c r="EW72" i="1"/>
  <c r="EW70" i="1"/>
  <c r="EX68" i="1"/>
  <c r="EX59" i="1"/>
  <c r="EW59" i="1"/>
  <c r="EX58" i="1"/>
  <c r="EW58" i="1"/>
  <c r="EW57" i="1"/>
  <c r="EX56" i="1"/>
  <c r="EW56" i="1"/>
  <c r="EW55" i="1"/>
  <c r="EX54" i="1"/>
  <c r="EW54" i="1"/>
  <c r="EW53" i="1"/>
  <c r="EW52" i="1"/>
  <c r="EX51" i="1"/>
  <c r="EW51" i="1"/>
  <c r="EX50" i="1"/>
  <c r="EW50" i="1"/>
  <c r="EX49" i="1"/>
  <c r="EW49" i="1"/>
  <c r="EX48" i="1"/>
  <c r="EW48" i="1"/>
  <c r="EX47" i="1"/>
  <c r="EW47" i="1"/>
  <c r="EW46" i="1"/>
  <c r="EW45" i="1"/>
  <c r="EW44" i="1"/>
  <c r="EX43" i="1"/>
  <c r="EW43" i="1"/>
  <c r="EW42" i="1"/>
  <c r="EX41" i="1"/>
  <c r="EW41" i="1"/>
  <c r="EW40" i="1"/>
  <c r="EX35" i="1"/>
  <c r="EX32" i="1"/>
  <c r="EW32" i="1"/>
  <c r="EX31" i="1"/>
  <c r="EW31" i="1"/>
  <c r="EX30" i="1"/>
  <c r="EW30" i="1"/>
  <c r="EW29" i="1"/>
  <c r="EW28" i="1"/>
  <c r="EX27" i="1"/>
  <c r="EW27" i="1"/>
  <c r="EW26" i="1"/>
  <c r="EX25" i="1"/>
  <c r="EW25" i="1"/>
  <c r="EX24" i="1"/>
  <c r="EW24" i="1"/>
  <c r="EX23" i="1"/>
  <c r="EW23" i="1"/>
  <c r="EX22" i="1"/>
  <c r="EW22" i="1"/>
  <c r="EX21" i="1"/>
  <c r="EW21" i="1"/>
  <c r="EX20" i="1"/>
  <c r="EW20" i="1"/>
  <c r="EX19" i="1"/>
  <c r="EW19" i="1"/>
  <c r="EW18" i="1"/>
  <c r="EW17" i="1"/>
  <c r="EX16" i="1"/>
  <c r="EW16" i="1"/>
  <c r="EW15" i="1"/>
  <c r="EX14" i="1"/>
  <c r="EW14" i="1"/>
  <c r="EW13" i="1"/>
  <c r="EW12" i="1"/>
  <c r="EX11" i="1"/>
  <c r="EW11" i="1"/>
  <c r="EW10" i="1"/>
  <c r="EP79" i="1"/>
  <c r="EP80" i="1" s="1"/>
  <c r="EO79" i="1"/>
  <c r="EO80" i="1" s="1"/>
  <c r="EP77" i="1"/>
  <c r="EO77" i="1"/>
  <c r="EP76" i="1"/>
  <c r="EO76" i="1"/>
  <c r="EP75" i="1"/>
  <c r="EP74" i="1"/>
  <c r="EP73" i="1"/>
  <c r="EO73" i="1"/>
  <c r="EP72" i="1"/>
  <c r="EO72" i="1"/>
  <c r="EO70" i="1"/>
  <c r="EP68" i="1"/>
  <c r="EP59" i="1"/>
  <c r="EO59" i="1"/>
  <c r="EP58" i="1"/>
  <c r="EO58" i="1"/>
  <c r="EO57" i="1"/>
  <c r="EP56" i="1"/>
  <c r="EO56" i="1"/>
  <c r="EO55" i="1"/>
  <c r="EP54" i="1"/>
  <c r="EO54" i="1"/>
  <c r="EO53" i="1"/>
  <c r="EO52" i="1"/>
  <c r="EP51" i="1"/>
  <c r="EO51" i="1"/>
  <c r="EP50" i="1"/>
  <c r="EO50" i="1"/>
  <c r="EP49" i="1"/>
  <c r="EO49" i="1"/>
  <c r="EP48" i="1"/>
  <c r="EO48" i="1"/>
  <c r="EP47" i="1"/>
  <c r="EO47" i="1"/>
  <c r="EO46" i="1"/>
  <c r="EO45" i="1"/>
  <c r="EO44" i="1"/>
  <c r="EP43" i="1"/>
  <c r="EO43" i="1"/>
  <c r="EO42" i="1"/>
  <c r="EP41" i="1"/>
  <c r="EO41" i="1"/>
  <c r="EO40" i="1"/>
  <c r="EP35" i="1"/>
  <c r="EP32" i="1"/>
  <c r="EO32" i="1"/>
  <c r="EP31" i="1"/>
  <c r="EO31" i="1"/>
  <c r="EP30" i="1"/>
  <c r="EO30" i="1"/>
  <c r="EO29" i="1"/>
  <c r="EO28" i="1"/>
  <c r="EP27" i="1"/>
  <c r="EO27" i="1"/>
  <c r="EO26" i="1"/>
  <c r="EP25" i="1"/>
  <c r="EO25" i="1"/>
  <c r="EP24" i="1"/>
  <c r="EO24" i="1"/>
  <c r="EP23" i="1"/>
  <c r="EO23" i="1"/>
  <c r="EP22" i="1"/>
  <c r="EO22" i="1"/>
  <c r="EP21" i="1"/>
  <c r="EO21" i="1"/>
  <c r="EP20" i="1"/>
  <c r="EO20" i="1"/>
  <c r="EP19" i="1"/>
  <c r="EO19" i="1"/>
  <c r="EO18" i="1"/>
  <c r="EO17" i="1"/>
  <c r="EP16" i="1"/>
  <c r="EO16" i="1"/>
  <c r="EO15" i="1"/>
  <c r="EP14" i="1"/>
  <c r="EO14" i="1"/>
  <c r="EO13" i="1"/>
  <c r="EO12" i="1"/>
  <c r="EP11" i="1"/>
  <c r="EO11" i="1"/>
  <c r="EO10" i="1"/>
  <c r="EG79" i="1"/>
  <c r="EG80" i="1" s="1"/>
  <c r="EF79" i="1"/>
  <c r="EF80" i="1" s="1"/>
  <c r="EG77" i="1"/>
  <c r="EF77" i="1"/>
  <c r="EG76" i="1"/>
  <c r="EF76" i="1"/>
  <c r="EG75" i="1"/>
  <c r="EG74" i="1"/>
  <c r="EG73" i="1"/>
  <c r="EF73" i="1"/>
  <c r="EG72" i="1"/>
  <c r="EF72" i="1"/>
  <c r="EF70" i="1"/>
  <c r="EG68" i="1"/>
  <c r="EG59" i="1"/>
  <c r="EF59" i="1"/>
  <c r="EG58" i="1"/>
  <c r="EF58" i="1"/>
  <c r="EF57" i="1"/>
  <c r="EG56" i="1"/>
  <c r="EF56" i="1"/>
  <c r="EF55" i="1"/>
  <c r="EG54" i="1"/>
  <c r="EF54" i="1"/>
  <c r="EF53" i="1"/>
  <c r="EF52" i="1"/>
  <c r="EG51" i="1"/>
  <c r="EF51" i="1"/>
  <c r="EG50" i="1"/>
  <c r="EF50" i="1"/>
  <c r="EG49" i="1"/>
  <c r="EF49" i="1"/>
  <c r="EG48" i="1"/>
  <c r="EF48" i="1"/>
  <c r="EG47" i="1"/>
  <c r="EF47" i="1"/>
  <c r="EF46" i="1"/>
  <c r="EF45" i="1"/>
  <c r="EF44" i="1"/>
  <c r="EG43" i="1"/>
  <c r="EF43" i="1"/>
  <c r="EF42" i="1"/>
  <c r="EG41" i="1"/>
  <c r="EF41" i="1"/>
  <c r="EF40" i="1"/>
  <c r="EG35" i="1"/>
  <c r="EG32" i="1"/>
  <c r="EF32" i="1"/>
  <c r="EG31" i="1"/>
  <c r="EF31" i="1"/>
  <c r="EG30" i="1"/>
  <c r="EF30" i="1"/>
  <c r="EF29" i="1"/>
  <c r="EF28" i="1"/>
  <c r="EG27" i="1"/>
  <c r="EF27" i="1"/>
  <c r="EF26" i="1"/>
  <c r="EG25" i="1"/>
  <c r="EF25" i="1"/>
  <c r="EG24" i="1"/>
  <c r="EF24" i="1"/>
  <c r="EG23" i="1"/>
  <c r="EF23" i="1"/>
  <c r="EG22" i="1"/>
  <c r="EF22" i="1"/>
  <c r="EG21" i="1"/>
  <c r="EF21" i="1"/>
  <c r="EG20" i="1"/>
  <c r="EF20" i="1"/>
  <c r="EG19" i="1"/>
  <c r="EF19" i="1"/>
  <c r="EF18" i="1"/>
  <c r="EF17" i="1"/>
  <c r="EG16" i="1"/>
  <c r="EF16" i="1"/>
  <c r="EF15" i="1"/>
  <c r="EG14" i="1"/>
  <c r="EF14" i="1"/>
  <c r="EF13" i="1"/>
  <c r="EF12" i="1"/>
  <c r="EG11" i="1"/>
  <c r="EF11" i="1"/>
  <c r="EF10" i="1"/>
  <c r="DW79" i="1"/>
  <c r="DW80" i="1" s="1"/>
  <c r="DV79" i="1"/>
  <c r="DV80" i="1" s="1"/>
  <c r="DW77" i="1"/>
  <c r="DV77" i="1"/>
  <c r="DW76" i="1"/>
  <c r="DV76" i="1"/>
  <c r="DW75" i="1"/>
  <c r="DW74" i="1"/>
  <c r="DW73" i="1"/>
  <c r="DV73" i="1"/>
  <c r="DW72" i="1"/>
  <c r="DV72" i="1"/>
  <c r="DV70" i="1"/>
  <c r="DW68" i="1"/>
  <c r="DW59" i="1"/>
  <c r="DV59" i="1"/>
  <c r="DW58" i="1"/>
  <c r="DV58" i="1"/>
  <c r="DV57" i="1"/>
  <c r="DW56" i="1"/>
  <c r="DV56" i="1"/>
  <c r="DV55" i="1"/>
  <c r="DW54" i="1"/>
  <c r="DV54" i="1"/>
  <c r="DV53" i="1"/>
  <c r="DV52" i="1"/>
  <c r="DW51" i="1"/>
  <c r="DV51" i="1"/>
  <c r="DW50" i="1"/>
  <c r="DV50" i="1"/>
  <c r="DW49" i="1"/>
  <c r="DV49" i="1"/>
  <c r="DW48" i="1"/>
  <c r="DV48" i="1"/>
  <c r="DW47" i="1"/>
  <c r="DV47" i="1"/>
  <c r="DV46" i="1"/>
  <c r="DV45" i="1"/>
  <c r="DV44" i="1"/>
  <c r="DW43" i="1"/>
  <c r="DV43" i="1"/>
  <c r="DV42" i="1"/>
  <c r="DW41" i="1"/>
  <c r="DV41" i="1"/>
  <c r="DV40" i="1"/>
  <c r="DW35" i="1"/>
  <c r="DW32" i="1"/>
  <c r="DV32" i="1"/>
  <c r="DW31" i="1"/>
  <c r="DV31" i="1"/>
  <c r="DW30" i="1"/>
  <c r="DV30" i="1"/>
  <c r="DV29" i="1"/>
  <c r="DV28" i="1"/>
  <c r="DW27" i="1"/>
  <c r="DV27" i="1"/>
  <c r="DV26" i="1"/>
  <c r="DW25" i="1"/>
  <c r="DV25" i="1"/>
  <c r="DW24" i="1"/>
  <c r="DV24" i="1"/>
  <c r="DW23" i="1"/>
  <c r="DV23" i="1"/>
  <c r="DW22" i="1"/>
  <c r="DV22" i="1"/>
  <c r="DW21" i="1"/>
  <c r="DV21" i="1"/>
  <c r="DW20" i="1"/>
  <c r="DV20" i="1"/>
  <c r="DW19" i="1"/>
  <c r="DV19" i="1"/>
  <c r="DV18" i="1"/>
  <c r="DV17" i="1"/>
  <c r="DW16" i="1"/>
  <c r="DV16" i="1"/>
  <c r="DV15" i="1"/>
  <c r="DW14" i="1"/>
  <c r="DV14" i="1"/>
  <c r="DV13" i="1"/>
  <c r="DV12" i="1"/>
  <c r="DW11" i="1"/>
  <c r="DV11" i="1"/>
  <c r="DV10" i="1"/>
  <c r="DO79" i="1"/>
  <c r="DO80" i="1" s="1"/>
  <c r="DN79" i="1"/>
  <c r="DN80" i="1" s="1"/>
  <c r="DO77" i="1"/>
  <c r="DN77" i="1"/>
  <c r="DO76" i="1"/>
  <c r="DN76" i="1"/>
  <c r="DO75" i="1"/>
  <c r="DO74" i="1"/>
  <c r="DO73" i="1"/>
  <c r="DN73" i="1"/>
  <c r="DO72" i="1"/>
  <c r="DN72" i="1"/>
  <c r="DN70" i="1"/>
  <c r="DO68" i="1"/>
  <c r="DO59" i="1"/>
  <c r="DN59" i="1"/>
  <c r="DO58" i="1"/>
  <c r="DN58" i="1"/>
  <c r="DN57" i="1"/>
  <c r="DO56" i="1"/>
  <c r="DN56" i="1"/>
  <c r="DN55" i="1"/>
  <c r="DO54" i="1"/>
  <c r="DN54" i="1"/>
  <c r="DN53" i="1"/>
  <c r="DN52" i="1"/>
  <c r="DO51" i="1"/>
  <c r="DN51" i="1"/>
  <c r="DO50" i="1"/>
  <c r="DN50" i="1"/>
  <c r="DO49" i="1"/>
  <c r="DN49" i="1"/>
  <c r="DO48" i="1"/>
  <c r="DN48" i="1"/>
  <c r="DO47" i="1"/>
  <c r="DN47" i="1"/>
  <c r="DN46" i="1"/>
  <c r="DN45" i="1"/>
  <c r="DN44" i="1"/>
  <c r="DO43" i="1"/>
  <c r="DN43" i="1"/>
  <c r="DN42" i="1"/>
  <c r="DO41" i="1"/>
  <c r="DN41" i="1"/>
  <c r="DN40" i="1"/>
  <c r="DO35" i="1"/>
  <c r="DO32" i="1"/>
  <c r="DN32" i="1"/>
  <c r="DO31" i="1"/>
  <c r="DN31" i="1"/>
  <c r="DO30" i="1"/>
  <c r="DN30" i="1"/>
  <c r="DN29" i="1"/>
  <c r="DN28" i="1"/>
  <c r="DO27" i="1"/>
  <c r="DN27" i="1"/>
  <c r="DN26" i="1"/>
  <c r="DO25" i="1"/>
  <c r="DN25" i="1"/>
  <c r="DO24" i="1"/>
  <c r="DN24" i="1"/>
  <c r="DO23" i="1"/>
  <c r="DN23" i="1"/>
  <c r="DO22" i="1"/>
  <c r="DN22" i="1"/>
  <c r="DO21" i="1"/>
  <c r="DN21" i="1"/>
  <c r="DO20" i="1"/>
  <c r="DN20" i="1"/>
  <c r="DO19" i="1"/>
  <c r="DN19" i="1"/>
  <c r="DN18" i="1"/>
  <c r="DN17" i="1"/>
  <c r="DO16" i="1"/>
  <c r="DN16" i="1"/>
  <c r="DN15" i="1"/>
  <c r="DO14" i="1"/>
  <c r="DN14" i="1"/>
  <c r="DN13" i="1"/>
  <c r="DN12" i="1"/>
  <c r="DO11" i="1"/>
  <c r="DN11" i="1"/>
  <c r="DN10" i="1"/>
  <c r="DF79" i="1"/>
  <c r="DF80" i="1" s="1"/>
  <c r="DE79" i="1"/>
  <c r="DE80" i="1" s="1"/>
  <c r="DF77" i="1"/>
  <c r="DE77" i="1"/>
  <c r="DF76" i="1"/>
  <c r="DE76" i="1"/>
  <c r="DF75" i="1"/>
  <c r="DF74" i="1"/>
  <c r="DF73" i="1"/>
  <c r="DE73" i="1"/>
  <c r="DF72" i="1"/>
  <c r="DE72" i="1"/>
  <c r="DE70" i="1"/>
  <c r="DF68" i="1"/>
  <c r="DF59" i="1"/>
  <c r="DE59" i="1"/>
  <c r="DF58" i="1"/>
  <c r="DE58" i="1"/>
  <c r="DE57" i="1"/>
  <c r="DF56" i="1"/>
  <c r="DE56" i="1"/>
  <c r="DE55" i="1"/>
  <c r="DF54" i="1"/>
  <c r="DE54" i="1"/>
  <c r="DE53" i="1"/>
  <c r="DE52" i="1"/>
  <c r="DF51" i="1"/>
  <c r="DE51" i="1"/>
  <c r="DF50" i="1"/>
  <c r="DE50" i="1"/>
  <c r="DF49" i="1"/>
  <c r="DE49" i="1"/>
  <c r="DF48" i="1"/>
  <c r="DE48" i="1"/>
  <c r="DF47" i="1"/>
  <c r="DE47" i="1"/>
  <c r="DE46" i="1"/>
  <c r="DE45" i="1"/>
  <c r="DE44" i="1"/>
  <c r="DF43" i="1"/>
  <c r="DE43" i="1"/>
  <c r="DE42" i="1"/>
  <c r="DF41" i="1"/>
  <c r="DE41" i="1"/>
  <c r="DE40" i="1"/>
  <c r="DF35" i="1"/>
  <c r="DF32" i="1"/>
  <c r="DE32" i="1"/>
  <c r="DF31" i="1"/>
  <c r="DE31" i="1"/>
  <c r="DF30" i="1"/>
  <c r="DE30" i="1"/>
  <c r="DE29" i="1"/>
  <c r="DE28" i="1"/>
  <c r="DF27" i="1"/>
  <c r="DE27" i="1"/>
  <c r="DE26" i="1"/>
  <c r="DF25" i="1"/>
  <c r="DE25" i="1"/>
  <c r="DF24" i="1"/>
  <c r="DE24" i="1"/>
  <c r="DF23" i="1"/>
  <c r="DE23" i="1"/>
  <c r="DF22" i="1"/>
  <c r="DE22" i="1"/>
  <c r="DF21" i="1"/>
  <c r="DE21" i="1"/>
  <c r="DF20" i="1"/>
  <c r="DE20" i="1"/>
  <c r="DF19" i="1"/>
  <c r="DE19" i="1"/>
  <c r="DE18" i="1"/>
  <c r="DE17" i="1"/>
  <c r="DF16" i="1"/>
  <c r="DE16" i="1"/>
  <c r="DE15" i="1"/>
  <c r="DF14" i="1"/>
  <c r="DE14" i="1"/>
  <c r="DE13" i="1"/>
  <c r="DE12" i="1"/>
  <c r="DF11" i="1"/>
  <c r="DE11" i="1"/>
  <c r="DE10" i="1"/>
  <c r="CV79" i="1"/>
  <c r="CV80" i="1" s="1"/>
  <c r="CU79" i="1"/>
  <c r="CU80" i="1" s="1"/>
  <c r="CV77" i="1"/>
  <c r="CU77" i="1"/>
  <c r="CV76" i="1"/>
  <c r="CU76" i="1"/>
  <c r="CV75" i="1"/>
  <c r="CV74" i="1"/>
  <c r="CV73" i="1"/>
  <c r="CU73" i="1"/>
  <c r="CV72" i="1"/>
  <c r="CU72" i="1"/>
  <c r="CU70" i="1"/>
  <c r="CV68" i="1"/>
  <c r="CV59" i="1"/>
  <c r="CU59" i="1"/>
  <c r="CV58" i="1"/>
  <c r="CU58" i="1"/>
  <c r="CU57" i="1"/>
  <c r="CV56" i="1"/>
  <c r="CU56" i="1"/>
  <c r="CU55" i="1"/>
  <c r="CV54" i="1"/>
  <c r="CU54" i="1"/>
  <c r="CU53" i="1"/>
  <c r="CU52" i="1"/>
  <c r="CV51" i="1"/>
  <c r="CU51" i="1"/>
  <c r="CV50" i="1"/>
  <c r="CU50" i="1"/>
  <c r="CV49" i="1"/>
  <c r="CU49" i="1"/>
  <c r="CV48" i="1"/>
  <c r="CU48" i="1"/>
  <c r="CV47" i="1"/>
  <c r="CU47" i="1"/>
  <c r="CU46" i="1"/>
  <c r="CU45" i="1"/>
  <c r="CU44" i="1"/>
  <c r="CV43" i="1"/>
  <c r="CU43" i="1"/>
  <c r="CU42" i="1"/>
  <c r="CV41" i="1"/>
  <c r="CU41" i="1"/>
  <c r="CU40" i="1"/>
  <c r="CV35" i="1"/>
  <c r="CV32" i="1"/>
  <c r="CU32" i="1"/>
  <c r="CV31" i="1"/>
  <c r="CU31" i="1"/>
  <c r="CV30" i="1"/>
  <c r="CU30" i="1"/>
  <c r="CU29" i="1"/>
  <c r="CU28" i="1"/>
  <c r="CV27" i="1"/>
  <c r="CU27" i="1"/>
  <c r="CU26" i="1"/>
  <c r="CV25" i="1"/>
  <c r="CU25" i="1"/>
  <c r="CV24" i="1"/>
  <c r="CU24" i="1"/>
  <c r="CV23" i="1"/>
  <c r="CU23" i="1"/>
  <c r="CV22" i="1"/>
  <c r="CU22" i="1"/>
  <c r="CV21" i="1"/>
  <c r="CU21" i="1"/>
  <c r="CV20" i="1"/>
  <c r="CU20" i="1"/>
  <c r="CV19" i="1"/>
  <c r="CU19" i="1"/>
  <c r="CU18" i="1"/>
  <c r="CU17" i="1"/>
  <c r="CV16" i="1"/>
  <c r="CU16" i="1"/>
  <c r="CU15" i="1"/>
  <c r="CV14" i="1"/>
  <c r="CU14" i="1"/>
  <c r="CU13" i="1"/>
  <c r="CU12" i="1"/>
  <c r="CV11" i="1"/>
  <c r="CU11" i="1"/>
  <c r="CU10" i="1"/>
  <c r="CF80" i="1"/>
  <c r="CF81" i="1" s="1"/>
  <c r="CM79" i="1"/>
  <c r="CM80" i="1" s="1"/>
  <c r="CL79" i="1"/>
  <c r="CL80" i="1" s="1"/>
  <c r="CM77" i="1"/>
  <c r="CL77" i="1"/>
  <c r="CM76" i="1"/>
  <c r="CL76" i="1"/>
  <c r="CM75" i="1"/>
  <c r="CM74" i="1"/>
  <c r="CM73" i="1"/>
  <c r="CL73" i="1"/>
  <c r="CM72" i="1"/>
  <c r="CL72" i="1"/>
  <c r="CL70" i="1"/>
  <c r="CM68" i="1"/>
  <c r="CM59" i="1"/>
  <c r="CL59" i="1"/>
  <c r="CM58" i="1"/>
  <c r="CL58" i="1"/>
  <c r="CL57" i="1"/>
  <c r="CM56" i="1"/>
  <c r="CL56" i="1"/>
  <c r="CL55" i="1"/>
  <c r="CM54" i="1"/>
  <c r="CL54" i="1"/>
  <c r="CL53" i="1"/>
  <c r="CL52" i="1"/>
  <c r="CM51" i="1"/>
  <c r="CL51" i="1"/>
  <c r="CM50" i="1"/>
  <c r="CL50" i="1"/>
  <c r="CM49" i="1"/>
  <c r="CL49" i="1"/>
  <c r="CM48" i="1"/>
  <c r="CL48" i="1"/>
  <c r="CM47" i="1"/>
  <c r="CL47" i="1"/>
  <c r="CL46" i="1"/>
  <c r="CL45" i="1"/>
  <c r="CL44" i="1"/>
  <c r="CM43" i="1"/>
  <c r="CL43" i="1"/>
  <c r="CL42" i="1"/>
  <c r="CM41" i="1"/>
  <c r="CL41" i="1"/>
  <c r="CL40" i="1"/>
  <c r="CM35" i="1"/>
  <c r="CM32" i="1"/>
  <c r="CL32" i="1"/>
  <c r="CM31" i="1"/>
  <c r="CL31" i="1"/>
  <c r="CM30" i="1"/>
  <c r="CL30" i="1"/>
  <c r="CL29" i="1"/>
  <c r="CL28" i="1"/>
  <c r="CM27" i="1"/>
  <c r="CL27" i="1"/>
  <c r="CL26" i="1"/>
  <c r="CM25" i="1"/>
  <c r="CL25" i="1"/>
  <c r="CM24" i="1"/>
  <c r="CL24" i="1"/>
  <c r="CM23" i="1"/>
  <c r="CL23" i="1"/>
  <c r="CM22" i="1"/>
  <c r="CL22" i="1"/>
  <c r="CM21" i="1"/>
  <c r="CL21" i="1"/>
  <c r="CM20" i="1"/>
  <c r="CL20" i="1"/>
  <c r="CM19" i="1"/>
  <c r="CL19" i="1"/>
  <c r="CL18" i="1"/>
  <c r="CL17" i="1"/>
  <c r="CM16" i="1"/>
  <c r="CL16" i="1"/>
  <c r="CL15" i="1"/>
  <c r="CM14" i="1"/>
  <c r="CL14" i="1"/>
  <c r="CL13" i="1"/>
  <c r="CL12" i="1"/>
  <c r="CM11" i="1"/>
  <c r="CL11" i="1"/>
  <c r="CL10" i="1"/>
  <c r="CC79" i="1"/>
  <c r="CC80" i="1" s="1"/>
  <c r="CB79" i="1"/>
  <c r="CB80" i="1" s="1"/>
  <c r="CC77" i="1"/>
  <c r="CB77" i="1"/>
  <c r="CC76" i="1"/>
  <c r="CB76" i="1"/>
  <c r="CC75" i="1"/>
  <c r="CC74" i="1"/>
  <c r="CC73" i="1"/>
  <c r="CB73" i="1"/>
  <c r="CC72" i="1"/>
  <c r="CB72" i="1"/>
  <c r="CB70" i="1"/>
  <c r="CC68" i="1"/>
  <c r="CC59" i="1"/>
  <c r="CB59" i="1"/>
  <c r="CC58" i="1"/>
  <c r="CB58" i="1"/>
  <c r="CB57" i="1"/>
  <c r="CC56" i="1"/>
  <c r="CB56" i="1"/>
  <c r="CB55" i="1"/>
  <c r="CC54" i="1"/>
  <c r="CB54" i="1"/>
  <c r="CB53" i="1"/>
  <c r="CB52" i="1"/>
  <c r="CC51" i="1"/>
  <c r="CB51" i="1"/>
  <c r="CC50" i="1"/>
  <c r="CB50" i="1"/>
  <c r="CC49" i="1"/>
  <c r="CB49" i="1"/>
  <c r="CC48" i="1"/>
  <c r="CB48" i="1"/>
  <c r="CC47" i="1"/>
  <c r="CB47" i="1"/>
  <c r="CB46" i="1"/>
  <c r="CB45" i="1"/>
  <c r="CB44" i="1"/>
  <c r="CC43" i="1"/>
  <c r="CB43" i="1"/>
  <c r="CB42" i="1"/>
  <c r="CC41" i="1"/>
  <c r="CB41" i="1"/>
  <c r="CB40" i="1"/>
  <c r="CC35" i="1"/>
  <c r="CC32" i="1"/>
  <c r="CB32" i="1"/>
  <c r="CC31" i="1"/>
  <c r="CB31" i="1"/>
  <c r="CC30" i="1"/>
  <c r="CB30" i="1"/>
  <c r="CB29" i="1"/>
  <c r="CB28" i="1"/>
  <c r="CC27" i="1"/>
  <c r="CB27" i="1"/>
  <c r="CB26" i="1"/>
  <c r="CC25" i="1"/>
  <c r="CB25" i="1"/>
  <c r="CC24" i="1"/>
  <c r="CB24" i="1"/>
  <c r="CC23" i="1"/>
  <c r="CB23" i="1"/>
  <c r="CC22" i="1"/>
  <c r="CB22" i="1"/>
  <c r="CC21" i="1"/>
  <c r="CB21" i="1"/>
  <c r="CC20" i="1"/>
  <c r="CB20" i="1"/>
  <c r="CC19" i="1"/>
  <c r="CB19" i="1"/>
  <c r="CB18" i="1"/>
  <c r="CB17" i="1"/>
  <c r="CC16" i="1"/>
  <c r="CB16" i="1"/>
  <c r="CB15" i="1"/>
  <c r="CC14" i="1"/>
  <c r="CB14" i="1"/>
  <c r="CB13" i="1"/>
  <c r="CB12" i="1"/>
  <c r="CC11" i="1"/>
  <c r="CB11" i="1"/>
  <c r="CB10" i="1"/>
  <c r="BB80" i="1"/>
  <c r="BA80" i="1"/>
  <c r="BB78" i="1"/>
  <c r="BA78" i="1"/>
  <c r="BB71" i="1"/>
  <c r="BA71" i="1"/>
  <c r="BB39" i="1"/>
  <c r="BA39" i="1"/>
  <c r="AK80" i="1"/>
  <c r="AJ80" i="1"/>
  <c r="AK78" i="1"/>
  <c r="AJ78" i="1"/>
  <c r="AK71" i="1"/>
  <c r="AJ71" i="1"/>
  <c r="AK39" i="1"/>
  <c r="AJ39" i="1"/>
  <c r="AC80" i="1"/>
  <c r="AB80" i="1"/>
  <c r="AC78" i="1"/>
  <c r="AB78" i="1"/>
  <c r="AC71" i="1"/>
  <c r="AB71" i="1"/>
  <c r="AC39" i="1"/>
  <c r="AB39" i="1"/>
  <c r="U80" i="1"/>
  <c r="T80" i="1"/>
  <c r="U78" i="1"/>
  <c r="T78" i="1"/>
  <c r="U71" i="1"/>
  <c r="T71" i="1"/>
  <c r="U39" i="1"/>
  <c r="T39" i="1"/>
  <c r="M80" i="1"/>
  <c r="L80" i="1"/>
  <c r="M78" i="1"/>
  <c r="L78" i="1"/>
  <c r="M71" i="1"/>
  <c r="L71" i="1"/>
  <c r="M39" i="1"/>
  <c r="L39" i="1"/>
  <c r="BR79" i="1"/>
  <c r="BR80" i="1" s="1"/>
  <c r="BQ79" i="1"/>
  <c r="BQ80" i="1" s="1"/>
  <c r="BR77" i="1"/>
  <c r="BQ77" i="1"/>
  <c r="BR76" i="1"/>
  <c r="BQ76" i="1"/>
  <c r="BR75" i="1"/>
  <c r="BR74" i="1"/>
  <c r="BR73" i="1"/>
  <c r="BQ73" i="1"/>
  <c r="BR72" i="1"/>
  <c r="BQ72" i="1"/>
  <c r="BQ70" i="1"/>
  <c r="BR68" i="1"/>
  <c r="BR59" i="1"/>
  <c r="BQ59" i="1"/>
  <c r="BR58" i="1"/>
  <c r="BQ58" i="1"/>
  <c r="BQ57" i="1"/>
  <c r="BR56" i="1"/>
  <c r="BQ56" i="1"/>
  <c r="BQ55" i="1"/>
  <c r="BR54" i="1"/>
  <c r="BQ54" i="1"/>
  <c r="BQ53" i="1"/>
  <c r="BQ52" i="1"/>
  <c r="BR51" i="1"/>
  <c r="BQ51" i="1"/>
  <c r="BR50" i="1"/>
  <c r="BQ50" i="1"/>
  <c r="BR49" i="1"/>
  <c r="BQ49" i="1"/>
  <c r="BR48" i="1"/>
  <c r="BQ48" i="1"/>
  <c r="BR47" i="1"/>
  <c r="BQ47" i="1"/>
  <c r="BQ46" i="1"/>
  <c r="BQ45" i="1"/>
  <c r="BQ44" i="1"/>
  <c r="BR43" i="1"/>
  <c r="BQ43" i="1"/>
  <c r="BQ42" i="1"/>
  <c r="BR41" i="1"/>
  <c r="BQ41" i="1"/>
  <c r="BQ40" i="1"/>
  <c r="BR35" i="1"/>
  <c r="BR32" i="1"/>
  <c r="BQ32" i="1"/>
  <c r="BR31" i="1"/>
  <c r="BQ31" i="1"/>
  <c r="BR30" i="1"/>
  <c r="BQ30" i="1"/>
  <c r="BQ29" i="1"/>
  <c r="BQ28" i="1"/>
  <c r="BR27" i="1"/>
  <c r="BQ27" i="1"/>
  <c r="BQ26" i="1"/>
  <c r="BR25" i="1"/>
  <c r="BQ25" i="1"/>
  <c r="BR24" i="1"/>
  <c r="BQ24" i="1"/>
  <c r="BR23" i="1"/>
  <c r="BQ23" i="1"/>
  <c r="BR22" i="1"/>
  <c r="BQ22" i="1"/>
  <c r="BR21" i="1"/>
  <c r="BQ21" i="1"/>
  <c r="BR20" i="1"/>
  <c r="BQ20" i="1"/>
  <c r="BR19" i="1"/>
  <c r="BQ19" i="1"/>
  <c r="BQ18" i="1"/>
  <c r="BQ17" i="1"/>
  <c r="BR16" i="1"/>
  <c r="BQ16" i="1"/>
  <c r="BQ15" i="1"/>
  <c r="BR14" i="1"/>
  <c r="BQ14" i="1"/>
  <c r="BQ13" i="1"/>
  <c r="BQ12" i="1"/>
  <c r="BR11" i="1"/>
  <c r="BQ11" i="1"/>
  <c r="BQ10" i="1"/>
  <c r="LA78" i="1" l="1"/>
  <c r="KR78" i="1"/>
  <c r="KI78" i="1"/>
  <c r="KA78" i="1"/>
  <c r="JS78" i="1"/>
  <c r="JJ78" i="1"/>
  <c r="IS78" i="1"/>
  <c r="JB78" i="1"/>
  <c r="GR78" i="1"/>
  <c r="GI78" i="1"/>
  <c r="EG78" i="1"/>
  <c r="DW78" i="1"/>
  <c r="CM78" i="1"/>
  <c r="CV78" i="1"/>
  <c r="BR78" i="1"/>
  <c r="FV78" i="1"/>
  <c r="AX35" i="2"/>
  <c r="AZ36" i="2"/>
  <c r="IK78" i="1"/>
  <c r="IB78" i="1"/>
  <c r="HS78" i="1"/>
  <c r="HJ78" i="1"/>
  <c r="HA78" i="1"/>
  <c r="FN78" i="1"/>
  <c r="DO78" i="1"/>
  <c r="EX78" i="1"/>
  <c r="FF78" i="1"/>
  <c r="EP78" i="1"/>
  <c r="S108" i="12"/>
  <c r="U109" i="12"/>
  <c r="DF78" i="1"/>
  <c r="MA81" i="1"/>
  <c r="LK81" i="1"/>
  <c r="MB81" i="1"/>
  <c r="MQ81" i="1"/>
  <c r="LR80" i="1"/>
  <c r="LZ78" i="1"/>
  <c r="LR78" i="1"/>
  <c r="LS81" i="1"/>
  <c r="MI81" i="1"/>
  <c r="MJ81" i="1"/>
  <c r="MH78" i="1"/>
  <c r="MP78" i="1"/>
  <c r="MR81" i="1"/>
  <c r="LT81" i="1"/>
  <c r="LI78" i="1"/>
  <c r="LL81" i="1"/>
  <c r="CC78" i="1"/>
  <c r="AK81" i="1"/>
  <c r="BB81" i="1"/>
  <c r="L81" i="1"/>
  <c r="M81" i="1"/>
  <c r="U81" i="1"/>
  <c r="AB81" i="1"/>
  <c r="AJ81" i="1"/>
  <c r="BA81" i="1"/>
  <c r="T81" i="1"/>
  <c r="AC81" i="1"/>
  <c r="BH79" i="1"/>
  <c r="BH80" i="1" s="1"/>
  <c r="BG79" i="1"/>
  <c r="BG80" i="1" s="1"/>
  <c r="BH77" i="1"/>
  <c r="BG77" i="1"/>
  <c r="BH76" i="1"/>
  <c r="BG76" i="1"/>
  <c r="BH75" i="1"/>
  <c r="BH74" i="1"/>
  <c r="BH73" i="1"/>
  <c r="BG73" i="1"/>
  <c r="BH72" i="1"/>
  <c r="BG72" i="1"/>
  <c r="BG70" i="1"/>
  <c r="BH68" i="1"/>
  <c r="BH59" i="1"/>
  <c r="BG59" i="1"/>
  <c r="BH58" i="1"/>
  <c r="BG58" i="1"/>
  <c r="BG57" i="1"/>
  <c r="BH56" i="1"/>
  <c r="BG56" i="1"/>
  <c r="BG55" i="1"/>
  <c r="BH54" i="1"/>
  <c r="BG54" i="1"/>
  <c r="BG53" i="1"/>
  <c r="BG52" i="1"/>
  <c r="BH51" i="1"/>
  <c r="BG51" i="1"/>
  <c r="BH50" i="1"/>
  <c r="BG50" i="1"/>
  <c r="BH49" i="1"/>
  <c r="BG49" i="1"/>
  <c r="BH48" i="1"/>
  <c r="BG48" i="1"/>
  <c r="BH47" i="1"/>
  <c r="BG47" i="1"/>
  <c r="BG46" i="1"/>
  <c r="BG45" i="1"/>
  <c r="BG44" i="1"/>
  <c r="BH43" i="1"/>
  <c r="BG43" i="1"/>
  <c r="BG42" i="1"/>
  <c r="BH41" i="1"/>
  <c r="BG41" i="1"/>
  <c r="BG40" i="1"/>
  <c r="BH35" i="1"/>
  <c r="BH32" i="1"/>
  <c r="BG32" i="1"/>
  <c r="BH31" i="1"/>
  <c r="BG31" i="1"/>
  <c r="BH30" i="1"/>
  <c r="BG30" i="1"/>
  <c r="BG29" i="1"/>
  <c r="BG28" i="1"/>
  <c r="BH27" i="1"/>
  <c r="BG27" i="1"/>
  <c r="BG26" i="1"/>
  <c r="BH25" i="1"/>
  <c r="BG25" i="1"/>
  <c r="BH24" i="1"/>
  <c r="BG24" i="1"/>
  <c r="BH23" i="1"/>
  <c r="BG23" i="1"/>
  <c r="BH22" i="1"/>
  <c r="BG22" i="1"/>
  <c r="BH21" i="1"/>
  <c r="BG21" i="1"/>
  <c r="BH20" i="1"/>
  <c r="BG20" i="1"/>
  <c r="BH19" i="1"/>
  <c r="BG19" i="1"/>
  <c r="BG18" i="1"/>
  <c r="BG17" i="1"/>
  <c r="BH16" i="1"/>
  <c r="BG16" i="1"/>
  <c r="BG15" i="1"/>
  <c r="BH14" i="1"/>
  <c r="BG14" i="1"/>
  <c r="BG13" i="1"/>
  <c r="BG12" i="1"/>
  <c r="BH11" i="1"/>
  <c r="BG11" i="1"/>
  <c r="BG10" i="1"/>
  <c r="AZ79" i="1"/>
  <c r="AZ80" i="1" s="1"/>
  <c r="AY79" i="1"/>
  <c r="AY80" i="1" s="1"/>
  <c r="AZ77" i="1"/>
  <c r="AY77" i="1"/>
  <c r="AZ76" i="1"/>
  <c r="AY76" i="1"/>
  <c r="AZ75" i="1"/>
  <c r="AZ74" i="1"/>
  <c r="AZ73" i="1"/>
  <c r="AY73" i="1"/>
  <c r="AZ72" i="1"/>
  <c r="AY72" i="1"/>
  <c r="AY70" i="1"/>
  <c r="AZ68" i="1"/>
  <c r="AZ59" i="1"/>
  <c r="AY59" i="1"/>
  <c r="AZ58" i="1"/>
  <c r="AY58" i="1"/>
  <c r="AY57" i="1"/>
  <c r="AZ56" i="1"/>
  <c r="AY56" i="1"/>
  <c r="AY55" i="1"/>
  <c r="AZ54" i="1"/>
  <c r="AY54" i="1"/>
  <c r="AY53" i="1"/>
  <c r="AY52" i="1"/>
  <c r="AZ51" i="1"/>
  <c r="AY51" i="1"/>
  <c r="AZ50" i="1"/>
  <c r="AY50" i="1"/>
  <c r="AZ49" i="1"/>
  <c r="AY49" i="1"/>
  <c r="AZ48" i="1"/>
  <c r="AY48" i="1"/>
  <c r="AZ47" i="1"/>
  <c r="AY47" i="1"/>
  <c r="AY46" i="1"/>
  <c r="AY45" i="1"/>
  <c r="AY44" i="1"/>
  <c r="AZ43" i="1"/>
  <c r="AY43" i="1"/>
  <c r="AY42" i="1"/>
  <c r="AZ41" i="1"/>
  <c r="AY41" i="1"/>
  <c r="AY40" i="1"/>
  <c r="AZ35" i="1"/>
  <c r="AZ32" i="1"/>
  <c r="AY32" i="1"/>
  <c r="AZ31" i="1"/>
  <c r="AY31" i="1"/>
  <c r="AZ30" i="1"/>
  <c r="AY30" i="1"/>
  <c r="AY29" i="1"/>
  <c r="AY28" i="1"/>
  <c r="AZ27" i="1"/>
  <c r="AY27" i="1"/>
  <c r="AY26" i="1"/>
  <c r="AZ25" i="1"/>
  <c r="AY25" i="1"/>
  <c r="AZ24" i="1"/>
  <c r="AY24" i="1"/>
  <c r="AZ23" i="1"/>
  <c r="AY23" i="1"/>
  <c r="AZ22" i="1"/>
  <c r="AY22" i="1"/>
  <c r="AZ21" i="1"/>
  <c r="AY21" i="1"/>
  <c r="AZ20" i="1"/>
  <c r="AY20" i="1"/>
  <c r="AZ19" i="1"/>
  <c r="AY19" i="1"/>
  <c r="AY18" i="1"/>
  <c r="AY17" i="1"/>
  <c r="AZ16" i="1"/>
  <c r="AY16" i="1"/>
  <c r="AY15" i="1"/>
  <c r="AZ14" i="1"/>
  <c r="AY14" i="1"/>
  <c r="AY13" i="1"/>
  <c r="AY12" i="1"/>
  <c r="AZ11" i="1"/>
  <c r="AY11" i="1"/>
  <c r="AY10" i="1"/>
  <c r="Q8" i="1"/>
  <c r="R8" i="1" s="1"/>
  <c r="S8" i="1" s="1"/>
  <c r="AQ79" i="1"/>
  <c r="AQ80" i="1" s="1"/>
  <c r="AP79" i="1"/>
  <c r="AP80" i="1" s="1"/>
  <c r="AQ77" i="1"/>
  <c r="AP77" i="1"/>
  <c r="AQ76" i="1"/>
  <c r="AP76" i="1"/>
  <c r="AQ75" i="1"/>
  <c r="AQ74" i="1"/>
  <c r="AQ73" i="1"/>
  <c r="AP73" i="1"/>
  <c r="AQ72" i="1"/>
  <c r="AP72" i="1"/>
  <c r="AP70" i="1"/>
  <c r="AQ68" i="1"/>
  <c r="AQ59" i="1"/>
  <c r="AP59" i="1"/>
  <c r="AQ58" i="1"/>
  <c r="AP58" i="1"/>
  <c r="AP57" i="1"/>
  <c r="AQ56" i="1"/>
  <c r="AP56" i="1"/>
  <c r="AP55" i="1"/>
  <c r="AQ54" i="1"/>
  <c r="AP54" i="1"/>
  <c r="AP53" i="1"/>
  <c r="AP52" i="1"/>
  <c r="AQ51" i="1"/>
  <c r="AP51" i="1"/>
  <c r="AQ50" i="1"/>
  <c r="AP50" i="1"/>
  <c r="AQ49" i="1"/>
  <c r="AP49" i="1"/>
  <c r="AQ48" i="1"/>
  <c r="AP48" i="1"/>
  <c r="AQ47" i="1"/>
  <c r="AP47" i="1"/>
  <c r="AP46" i="1"/>
  <c r="AP45" i="1"/>
  <c r="AP44" i="1"/>
  <c r="AQ43" i="1"/>
  <c r="AP43" i="1"/>
  <c r="AP42" i="1"/>
  <c r="AQ41" i="1"/>
  <c r="AP41" i="1"/>
  <c r="AP40" i="1"/>
  <c r="AQ35" i="1"/>
  <c r="AQ32" i="1"/>
  <c r="AP32" i="1"/>
  <c r="AQ31" i="1"/>
  <c r="AP31" i="1"/>
  <c r="AQ30" i="1"/>
  <c r="AP30" i="1"/>
  <c r="AP29" i="1"/>
  <c r="AP28" i="1"/>
  <c r="AQ27" i="1"/>
  <c r="AP27" i="1"/>
  <c r="AP26" i="1"/>
  <c r="AQ25" i="1"/>
  <c r="AP25" i="1"/>
  <c r="AQ24" i="1"/>
  <c r="AP24" i="1"/>
  <c r="AQ23" i="1"/>
  <c r="AP23" i="1"/>
  <c r="AQ22" i="1"/>
  <c r="AP22" i="1"/>
  <c r="AQ21" i="1"/>
  <c r="AP21" i="1"/>
  <c r="AQ20" i="1"/>
  <c r="AP20" i="1"/>
  <c r="AQ19" i="1"/>
  <c r="AP19" i="1"/>
  <c r="AP18" i="1"/>
  <c r="AP17" i="1"/>
  <c r="AQ16" i="1"/>
  <c r="AP16" i="1"/>
  <c r="AP15" i="1"/>
  <c r="AQ14" i="1"/>
  <c r="AP14" i="1"/>
  <c r="AP13" i="1"/>
  <c r="AP12" i="1"/>
  <c r="AQ11" i="1"/>
  <c r="AP11" i="1"/>
  <c r="AP10" i="1"/>
  <c r="AI79" i="1"/>
  <c r="AI80" i="1" s="1"/>
  <c r="AH79" i="1"/>
  <c r="AH80" i="1" s="1"/>
  <c r="AI77" i="1"/>
  <c r="AH77" i="1"/>
  <c r="AI76" i="1"/>
  <c r="AH76" i="1"/>
  <c r="AI75" i="1"/>
  <c r="AI74" i="1"/>
  <c r="AI73" i="1"/>
  <c r="AH73" i="1"/>
  <c r="AI72" i="1"/>
  <c r="AH72" i="1"/>
  <c r="AH70" i="1"/>
  <c r="AI68" i="1"/>
  <c r="AI59" i="1"/>
  <c r="AH59" i="1"/>
  <c r="AI58" i="1"/>
  <c r="AH58" i="1"/>
  <c r="AH57" i="1"/>
  <c r="AI56" i="1"/>
  <c r="AH56" i="1"/>
  <c r="AH55" i="1"/>
  <c r="AI54" i="1"/>
  <c r="AH54" i="1"/>
  <c r="AH53" i="1"/>
  <c r="AH52" i="1"/>
  <c r="AI51" i="1"/>
  <c r="AH51" i="1"/>
  <c r="AI50" i="1"/>
  <c r="AH50" i="1"/>
  <c r="AI49" i="1"/>
  <c r="AH49" i="1"/>
  <c r="AI48" i="1"/>
  <c r="AH48" i="1"/>
  <c r="AI47" i="1"/>
  <c r="AH47" i="1"/>
  <c r="AH46" i="1"/>
  <c r="AH45" i="1"/>
  <c r="AH44" i="1"/>
  <c r="AI43" i="1"/>
  <c r="AH43" i="1"/>
  <c r="AH42" i="1"/>
  <c r="AI41" i="1"/>
  <c r="AH41" i="1"/>
  <c r="AH40" i="1"/>
  <c r="AI35" i="1"/>
  <c r="AI32" i="1"/>
  <c r="AH32" i="1"/>
  <c r="AI31" i="1"/>
  <c r="AH31" i="1"/>
  <c r="AI30" i="1"/>
  <c r="AH30" i="1"/>
  <c r="AH29" i="1"/>
  <c r="AH28" i="1"/>
  <c r="AI27" i="1"/>
  <c r="AH27" i="1"/>
  <c r="AH26" i="1"/>
  <c r="AI25" i="1"/>
  <c r="AH25" i="1"/>
  <c r="AI24" i="1"/>
  <c r="AH24" i="1"/>
  <c r="AI23" i="1"/>
  <c r="AH23" i="1"/>
  <c r="AI22" i="1"/>
  <c r="AH22" i="1"/>
  <c r="AI21" i="1"/>
  <c r="AH21" i="1"/>
  <c r="AI20" i="1"/>
  <c r="AH20" i="1"/>
  <c r="AI19" i="1"/>
  <c r="AH19" i="1"/>
  <c r="AH18" i="1"/>
  <c r="AH17" i="1"/>
  <c r="AI16" i="1"/>
  <c r="AH16" i="1"/>
  <c r="AH15" i="1"/>
  <c r="AI14" i="1"/>
  <c r="AH14" i="1"/>
  <c r="AH13" i="1"/>
  <c r="AH12" i="1"/>
  <c r="AI11" i="1"/>
  <c r="AH11" i="1"/>
  <c r="AH10" i="1"/>
  <c r="BH78" i="1" l="1"/>
  <c r="AQ78" i="1"/>
  <c r="AY35" i="2"/>
  <c r="BA36" i="2"/>
  <c r="T108" i="12"/>
  <c r="V109" i="12"/>
  <c r="AZ78" i="1"/>
  <c r="AI78" i="1"/>
  <c r="Y8" i="1"/>
  <c r="AZ35" i="2" l="1"/>
  <c r="BB36" i="2"/>
  <c r="AA36" i="2"/>
  <c r="W109" i="12"/>
  <c r="U108" i="12"/>
  <c r="Z8" i="1"/>
  <c r="AA8" i="1" s="1"/>
  <c r="AG8" i="1"/>
  <c r="BC36" i="2" l="1"/>
  <c r="BA35" i="2"/>
  <c r="X109" i="12"/>
  <c r="AH8" i="1"/>
  <c r="AI8" i="1" s="1"/>
  <c r="AO8" i="1"/>
  <c r="AA79" i="1"/>
  <c r="AA80" i="1" s="1"/>
  <c r="Z79" i="1"/>
  <c r="Z80" i="1" s="1"/>
  <c r="AA77" i="1"/>
  <c r="Z77" i="1"/>
  <c r="AA76" i="1"/>
  <c r="Z76" i="1"/>
  <c r="AA75" i="1"/>
  <c r="AA74" i="1"/>
  <c r="AA73" i="1"/>
  <c r="Z73" i="1"/>
  <c r="AA72" i="1"/>
  <c r="Z72" i="1"/>
  <c r="Z70" i="1"/>
  <c r="AA68" i="1"/>
  <c r="AA59" i="1"/>
  <c r="Z59" i="1"/>
  <c r="AA58" i="1"/>
  <c r="Z58" i="1"/>
  <c r="Z57" i="1"/>
  <c r="AA56" i="1"/>
  <c r="Z56" i="1"/>
  <c r="Z55" i="1"/>
  <c r="AA54" i="1"/>
  <c r="Z54" i="1"/>
  <c r="Z53" i="1"/>
  <c r="Z52" i="1"/>
  <c r="AA51" i="1"/>
  <c r="Z51" i="1"/>
  <c r="AA50" i="1"/>
  <c r="Z50" i="1"/>
  <c r="AA49" i="1"/>
  <c r="Z49" i="1"/>
  <c r="AA48" i="1"/>
  <c r="Z48" i="1"/>
  <c r="AA47" i="1"/>
  <c r="Z47" i="1"/>
  <c r="Z46" i="1"/>
  <c r="Z45" i="1"/>
  <c r="Z44" i="1"/>
  <c r="AA43" i="1"/>
  <c r="Z43" i="1"/>
  <c r="Z42" i="1"/>
  <c r="AA41" i="1"/>
  <c r="Z41" i="1"/>
  <c r="Z40" i="1"/>
  <c r="AA35" i="1"/>
  <c r="AA32" i="1"/>
  <c r="Z32" i="1"/>
  <c r="AA31" i="1"/>
  <c r="Z31" i="1"/>
  <c r="AA30" i="1"/>
  <c r="Z30" i="1"/>
  <c r="Z29" i="1"/>
  <c r="Z28" i="1"/>
  <c r="AA27" i="1"/>
  <c r="Z27" i="1"/>
  <c r="Z26" i="1"/>
  <c r="AA25" i="1"/>
  <c r="Z25" i="1"/>
  <c r="AA24" i="1"/>
  <c r="Z24" i="1"/>
  <c r="AA23" i="1"/>
  <c r="Z23" i="1"/>
  <c r="AA22" i="1"/>
  <c r="Z22" i="1"/>
  <c r="AA21" i="1"/>
  <c r="Z21" i="1"/>
  <c r="AA20" i="1"/>
  <c r="Z20" i="1"/>
  <c r="AA19" i="1"/>
  <c r="Z19" i="1"/>
  <c r="Z18" i="1"/>
  <c r="Z17" i="1"/>
  <c r="AA16" i="1"/>
  <c r="Z16" i="1"/>
  <c r="Z15" i="1"/>
  <c r="AA14" i="1"/>
  <c r="Z14" i="1"/>
  <c r="Z13" i="1"/>
  <c r="Z12" i="1"/>
  <c r="AA11" i="1"/>
  <c r="Z11" i="1"/>
  <c r="Z10" i="1"/>
  <c r="S79" i="1"/>
  <c r="S80" i="1" s="1"/>
  <c r="R79" i="1"/>
  <c r="R80" i="1" s="1"/>
  <c r="S77" i="1"/>
  <c r="R77" i="1"/>
  <c r="S76" i="1"/>
  <c r="R76" i="1"/>
  <c r="S75" i="1"/>
  <c r="S74" i="1"/>
  <c r="S73" i="1"/>
  <c r="R73" i="1"/>
  <c r="S72" i="1"/>
  <c r="R72" i="1"/>
  <c r="R70" i="1"/>
  <c r="S68" i="1"/>
  <c r="S59" i="1"/>
  <c r="R59" i="1"/>
  <c r="S58" i="1"/>
  <c r="R58" i="1"/>
  <c r="R57" i="1"/>
  <c r="S56" i="1"/>
  <c r="R56" i="1"/>
  <c r="R55" i="1"/>
  <c r="S54" i="1"/>
  <c r="R54" i="1"/>
  <c r="R53" i="1"/>
  <c r="R52" i="1"/>
  <c r="S51" i="1"/>
  <c r="R51" i="1"/>
  <c r="S50" i="1"/>
  <c r="R50" i="1"/>
  <c r="S49" i="1"/>
  <c r="R49" i="1"/>
  <c r="S48" i="1"/>
  <c r="R48" i="1"/>
  <c r="S47" i="1"/>
  <c r="R47" i="1"/>
  <c r="R46" i="1"/>
  <c r="R45" i="1"/>
  <c r="R44" i="1"/>
  <c r="S43" i="1"/>
  <c r="R43" i="1"/>
  <c r="R42" i="1"/>
  <c r="S41" i="1"/>
  <c r="R41" i="1"/>
  <c r="R40" i="1"/>
  <c r="S35" i="1"/>
  <c r="S32" i="1"/>
  <c r="R32" i="1"/>
  <c r="S31" i="1"/>
  <c r="R31" i="1"/>
  <c r="S30" i="1"/>
  <c r="R30" i="1"/>
  <c r="R29" i="1"/>
  <c r="R28" i="1"/>
  <c r="S27" i="1"/>
  <c r="R27" i="1"/>
  <c r="R26" i="1"/>
  <c r="S25" i="1"/>
  <c r="R25" i="1"/>
  <c r="S24" i="1"/>
  <c r="R24" i="1"/>
  <c r="S23" i="1"/>
  <c r="R23" i="1"/>
  <c r="S22" i="1"/>
  <c r="R22" i="1"/>
  <c r="S21" i="1"/>
  <c r="R21" i="1"/>
  <c r="S20" i="1"/>
  <c r="R20" i="1"/>
  <c r="S19" i="1"/>
  <c r="R19" i="1"/>
  <c r="R18" i="1"/>
  <c r="R17" i="1"/>
  <c r="S16" i="1"/>
  <c r="R16" i="1"/>
  <c r="R15" i="1"/>
  <c r="S14" i="1"/>
  <c r="R14" i="1"/>
  <c r="R13" i="1"/>
  <c r="R12" i="1"/>
  <c r="S11" i="1"/>
  <c r="R11" i="1"/>
  <c r="R10" i="1"/>
  <c r="R1" i="1"/>
  <c r="K79" i="1"/>
  <c r="K80" i="1" s="1"/>
  <c r="K77" i="1"/>
  <c r="K76" i="1"/>
  <c r="K75" i="1"/>
  <c r="K74" i="1"/>
  <c r="K73" i="1"/>
  <c r="K72" i="1"/>
  <c r="K70" i="1"/>
  <c r="K69" i="1"/>
  <c r="K68" i="1"/>
  <c r="K67" i="1"/>
  <c r="K59" i="1"/>
  <c r="K58" i="1"/>
  <c r="K57" i="1"/>
  <c r="K56" i="1"/>
  <c r="K55" i="1"/>
  <c r="K54" i="1"/>
  <c r="K53" i="1"/>
  <c r="K52" i="1"/>
  <c r="K51" i="1"/>
  <c r="K50" i="1"/>
  <c r="K49" i="1"/>
  <c r="K48" i="1"/>
  <c r="K47" i="1"/>
  <c r="K46" i="1"/>
  <c r="K45" i="1"/>
  <c r="K44" i="1"/>
  <c r="K43" i="1"/>
  <c r="K42" i="1"/>
  <c r="K41" i="1"/>
  <c r="K40" i="1"/>
  <c r="K38" i="1"/>
  <c r="K36" i="1"/>
  <c r="K35" i="1"/>
  <c r="K32" i="1"/>
  <c r="K31" i="1"/>
  <c r="K30" i="1"/>
  <c r="K29" i="1"/>
  <c r="K28" i="1"/>
  <c r="K27" i="1"/>
  <c r="K26" i="1"/>
  <c r="K25" i="1"/>
  <c r="K24" i="1"/>
  <c r="K23" i="1"/>
  <c r="K22" i="1"/>
  <c r="K21" i="1"/>
  <c r="K20" i="1"/>
  <c r="K19" i="1"/>
  <c r="K18" i="1"/>
  <c r="K17" i="1"/>
  <c r="K16" i="1"/>
  <c r="K15" i="1"/>
  <c r="K14" i="1"/>
  <c r="K13" i="1"/>
  <c r="K12" i="1"/>
  <c r="K11" i="1"/>
  <c r="K10" i="1"/>
  <c r="D35" i="2"/>
  <c r="E35" i="2"/>
  <c r="F35" i="2"/>
  <c r="G35" i="2"/>
  <c r="H35" i="2"/>
  <c r="I35" i="2"/>
  <c r="J35" i="2"/>
  <c r="K35" i="2"/>
  <c r="L35" i="2"/>
  <c r="M35" i="2"/>
  <c r="N35" i="2"/>
  <c r="Q35" i="2"/>
  <c r="P35" i="2"/>
  <c r="O35" i="2"/>
  <c r="C35" i="2"/>
  <c r="J79" i="1"/>
  <c r="J80" i="1" s="1"/>
  <c r="J77" i="1"/>
  <c r="J76" i="1"/>
  <c r="J75" i="1"/>
  <c r="J74" i="1"/>
  <c r="J73" i="1"/>
  <c r="J72" i="1"/>
  <c r="J70" i="1"/>
  <c r="J69" i="1"/>
  <c r="J68" i="1"/>
  <c r="J67" i="1"/>
  <c r="J59" i="1"/>
  <c r="J58" i="1"/>
  <c r="J57" i="1"/>
  <c r="J56" i="1"/>
  <c r="J55" i="1"/>
  <c r="J54" i="1"/>
  <c r="J53" i="1"/>
  <c r="J52" i="1"/>
  <c r="J51" i="1"/>
  <c r="J50" i="1"/>
  <c r="J49" i="1"/>
  <c r="J48" i="1"/>
  <c r="J47" i="1"/>
  <c r="J46" i="1"/>
  <c r="J45" i="1"/>
  <c r="J44" i="1"/>
  <c r="J43" i="1"/>
  <c r="J42" i="1"/>
  <c r="J41" i="1"/>
  <c r="J40" i="1"/>
  <c r="J38" i="1"/>
  <c r="J36" i="1"/>
  <c r="J35" i="1"/>
  <c r="J32" i="1"/>
  <c r="J31" i="1"/>
  <c r="J30" i="1"/>
  <c r="J29" i="1"/>
  <c r="J28" i="1"/>
  <c r="J27" i="1"/>
  <c r="J26" i="1"/>
  <c r="J25" i="1"/>
  <c r="J24" i="1"/>
  <c r="J23" i="1"/>
  <c r="J22" i="1"/>
  <c r="J21" i="1"/>
  <c r="J20" i="1"/>
  <c r="J19" i="1"/>
  <c r="J18" i="1"/>
  <c r="J17" i="1"/>
  <c r="J16" i="1"/>
  <c r="J15" i="1"/>
  <c r="J14" i="1"/>
  <c r="J13" i="1"/>
  <c r="J12" i="1"/>
  <c r="J11" i="1"/>
  <c r="J10" i="1"/>
  <c r="I79" i="1"/>
  <c r="I80" i="1" s="1"/>
  <c r="I77" i="1"/>
  <c r="I76" i="1"/>
  <c r="I75" i="1"/>
  <c r="I74" i="1"/>
  <c r="I73" i="1"/>
  <c r="I72" i="1"/>
  <c r="I70" i="1"/>
  <c r="I69" i="1"/>
  <c r="I68" i="1"/>
  <c r="I67" i="1"/>
  <c r="I59" i="1"/>
  <c r="I58" i="1"/>
  <c r="I57" i="1"/>
  <c r="I56" i="1"/>
  <c r="I55" i="1"/>
  <c r="I54" i="1"/>
  <c r="I53" i="1"/>
  <c r="I52" i="1"/>
  <c r="I51" i="1"/>
  <c r="I50" i="1"/>
  <c r="I49" i="1"/>
  <c r="I48" i="1"/>
  <c r="I47" i="1"/>
  <c r="I46" i="1"/>
  <c r="I45" i="1"/>
  <c r="I44" i="1"/>
  <c r="I43" i="1"/>
  <c r="I42" i="1"/>
  <c r="I41" i="1"/>
  <c r="I40" i="1"/>
  <c r="I38" i="1"/>
  <c r="I36" i="1"/>
  <c r="I35" i="1"/>
  <c r="I32" i="1"/>
  <c r="I31" i="1"/>
  <c r="I30" i="1"/>
  <c r="I29" i="1"/>
  <c r="I28" i="1"/>
  <c r="I27" i="1"/>
  <c r="I26" i="1"/>
  <c r="I25" i="1"/>
  <c r="I24" i="1"/>
  <c r="I23" i="1"/>
  <c r="I22" i="1"/>
  <c r="I21" i="1"/>
  <c r="I20" i="1"/>
  <c r="I19" i="1"/>
  <c r="I18" i="1"/>
  <c r="I17" i="1"/>
  <c r="I16" i="1"/>
  <c r="I15" i="1"/>
  <c r="I14" i="1"/>
  <c r="I13" i="1"/>
  <c r="I12" i="1"/>
  <c r="I11" i="1"/>
  <c r="I10" i="1"/>
  <c r="Q65" i="1" l="1"/>
  <c r="Q34" i="1"/>
  <c r="Q63" i="1"/>
  <c r="Q66" i="1"/>
  <c r="Q62" i="1"/>
  <c r="Q64" i="1"/>
  <c r="BB35" i="2"/>
  <c r="BD36" i="2"/>
  <c r="BE36" i="2" s="1"/>
  <c r="BF36" i="2" s="1"/>
  <c r="BG36" i="2" s="1"/>
  <c r="BH36" i="2" s="1"/>
  <c r="Q61" i="1"/>
  <c r="Q60" i="1"/>
  <c r="Q33" i="1"/>
  <c r="Y109" i="12"/>
  <c r="Z1" i="1"/>
  <c r="R37" i="1"/>
  <c r="V37" i="1" s="1"/>
  <c r="X37" i="1" s="1"/>
  <c r="Q37" i="1"/>
  <c r="R35" i="2"/>
  <c r="J78" i="1"/>
  <c r="I78" i="1"/>
  <c r="S78" i="1"/>
  <c r="J71" i="1"/>
  <c r="I71" i="1"/>
  <c r="K39" i="1"/>
  <c r="K71" i="1"/>
  <c r="K78" i="1"/>
  <c r="J39" i="1"/>
  <c r="I39" i="1"/>
  <c r="N13" i="1"/>
  <c r="N25" i="1"/>
  <c r="N41" i="1"/>
  <c r="N53" i="1"/>
  <c r="N73" i="1"/>
  <c r="N14" i="1"/>
  <c r="N26" i="1"/>
  <c r="N42" i="1"/>
  <c r="N54" i="1"/>
  <c r="N74" i="1"/>
  <c r="AA78" i="1"/>
  <c r="N43" i="1"/>
  <c r="N15" i="1"/>
  <c r="N27" i="1"/>
  <c r="N55" i="1"/>
  <c r="N75" i="1"/>
  <c r="N22" i="1"/>
  <c r="N36" i="1"/>
  <c r="N50" i="1"/>
  <c r="N11" i="1"/>
  <c r="N23" i="1"/>
  <c r="N38" i="1"/>
  <c r="N51" i="1"/>
  <c r="N70" i="1"/>
  <c r="N10" i="1"/>
  <c r="N16" i="1"/>
  <c r="N28" i="1"/>
  <c r="N44" i="1"/>
  <c r="N56" i="1"/>
  <c r="N76" i="1"/>
  <c r="N17" i="1"/>
  <c r="N46" i="1"/>
  <c r="N79" i="1"/>
  <c r="N80" i="1" s="1"/>
  <c r="N45" i="1"/>
  <c r="N30" i="1"/>
  <c r="N31" i="1"/>
  <c r="N59" i="1"/>
  <c r="N20" i="1"/>
  <c r="N32" i="1"/>
  <c r="N48" i="1"/>
  <c r="N67" i="1"/>
  <c r="N57" i="1"/>
  <c r="N18" i="1"/>
  <c r="N58" i="1"/>
  <c r="N19" i="1"/>
  <c r="N47" i="1"/>
  <c r="N21" i="1"/>
  <c r="N35" i="1"/>
  <c r="N49" i="1"/>
  <c r="N68" i="1"/>
  <c r="N29" i="1"/>
  <c r="N69" i="1"/>
  <c r="N77" i="1"/>
  <c r="N12" i="1"/>
  <c r="N24" i="1"/>
  <c r="N40" i="1"/>
  <c r="N52" i="1"/>
  <c r="N72" i="1"/>
  <c r="AP8" i="1"/>
  <c r="AQ8" i="1" s="1"/>
  <c r="AX8" i="1"/>
  <c r="Q31" i="1"/>
  <c r="S52" i="1"/>
  <c r="Q59" i="1"/>
  <c r="Q15" i="1"/>
  <c r="Q21" i="1"/>
  <c r="Q53" i="1"/>
  <c r="Q43" i="1"/>
  <c r="Q27" i="1"/>
  <c r="Q49" i="1"/>
  <c r="Q75" i="1"/>
  <c r="Q11" i="1"/>
  <c r="S67" i="1"/>
  <c r="S28" i="1"/>
  <c r="Q38" i="1"/>
  <c r="Q45" i="1"/>
  <c r="Q70" i="1"/>
  <c r="Q77" i="1"/>
  <c r="S12" i="1"/>
  <c r="Q19" i="1"/>
  <c r="Q29" i="1"/>
  <c r="Q51" i="1"/>
  <c r="Q68" i="1"/>
  <c r="Q13" i="1"/>
  <c r="S40" i="1"/>
  <c r="Q57" i="1"/>
  <c r="Q35" i="1"/>
  <c r="Q41" i="1"/>
  <c r="Q47" i="1"/>
  <c r="Q17" i="1"/>
  <c r="Q55" i="1"/>
  <c r="Q23" i="1"/>
  <c r="S44" i="1"/>
  <c r="Q25" i="1"/>
  <c r="Q73" i="1"/>
  <c r="R38" i="1"/>
  <c r="R75" i="1"/>
  <c r="S15" i="1"/>
  <c r="S38" i="1"/>
  <c r="S55" i="1"/>
  <c r="S70" i="1"/>
  <c r="Q12" i="1"/>
  <c r="Q16" i="1"/>
  <c r="Q20" i="1"/>
  <c r="Q24" i="1"/>
  <c r="Q28" i="1"/>
  <c r="Q32" i="1"/>
  <c r="Q40" i="1"/>
  <c r="Q44" i="1"/>
  <c r="Q48" i="1"/>
  <c r="Q52" i="1"/>
  <c r="Q56" i="1"/>
  <c r="Q67" i="1"/>
  <c r="Q72" i="1"/>
  <c r="Q76" i="1"/>
  <c r="R67" i="1"/>
  <c r="R35" i="1"/>
  <c r="R68" i="1"/>
  <c r="S13" i="1"/>
  <c r="S17" i="1"/>
  <c r="S29" i="1"/>
  <c r="S45" i="1"/>
  <c r="S53" i="1"/>
  <c r="S57" i="1"/>
  <c r="Q10" i="1"/>
  <c r="Q14" i="1"/>
  <c r="Q18" i="1"/>
  <c r="Q22" i="1"/>
  <c r="Q26" i="1"/>
  <c r="Q30" i="1"/>
  <c r="Q36" i="1"/>
  <c r="Q42" i="1"/>
  <c r="Q46" i="1"/>
  <c r="Q50" i="1"/>
  <c r="Q54" i="1"/>
  <c r="Q58" i="1"/>
  <c r="Q69" i="1"/>
  <c r="Q74" i="1"/>
  <c r="Q79" i="1"/>
  <c r="Q80" i="1" s="1"/>
  <c r="R36" i="1"/>
  <c r="R69" i="1"/>
  <c r="R74" i="1"/>
  <c r="S10" i="1"/>
  <c r="S18" i="1"/>
  <c r="S26" i="1"/>
  <c r="S36" i="1"/>
  <c r="S42" i="1"/>
  <c r="S46" i="1"/>
  <c r="S69" i="1"/>
  <c r="Y67" i="1" l="1"/>
  <c r="Y64" i="1"/>
  <c r="Y34" i="1"/>
  <c r="Y66" i="1"/>
  <c r="Y62" i="1"/>
  <c r="Y63" i="1"/>
  <c r="Y65" i="1"/>
  <c r="BC35" i="2"/>
  <c r="Y53" i="1"/>
  <c r="Y59" i="1"/>
  <c r="Y44" i="1"/>
  <c r="Z36" i="1"/>
  <c r="Y79" i="1"/>
  <c r="Y80" i="1" s="1"/>
  <c r="Y74" i="1"/>
  <c r="Y75" i="1"/>
  <c r="Y18" i="1"/>
  <c r="Z67" i="1"/>
  <c r="Y14" i="1"/>
  <c r="Y70" i="1"/>
  <c r="AA53" i="1"/>
  <c r="Y49" i="1"/>
  <c r="AA46" i="1"/>
  <c r="Y47" i="1"/>
  <c r="AA42" i="1"/>
  <c r="AA40" i="1"/>
  <c r="AA13" i="1"/>
  <c r="AA28" i="1"/>
  <c r="Y52" i="1"/>
  <c r="Z68" i="1"/>
  <c r="Y19" i="1"/>
  <c r="AA70" i="1"/>
  <c r="AA36" i="1"/>
  <c r="Y10" i="1"/>
  <c r="Z35" i="1"/>
  <c r="Y12" i="1"/>
  <c r="Y40" i="1"/>
  <c r="Z69" i="1"/>
  <c r="AA57" i="1"/>
  <c r="AA67" i="1"/>
  <c r="Y76" i="1"/>
  <c r="Y55" i="1"/>
  <c r="Y58" i="1"/>
  <c r="Y41" i="1"/>
  <c r="Y20" i="1"/>
  <c r="Y11" i="1"/>
  <c r="Y69" i="1"/>
  <c r="Y54" i="1"/>
  <c r="Y35" i="1"/>
  <c r="Y24" i="1"/>
  <c r="AA15" i="1"/>
  <c r="Y61" i="1"/>
  <c r="Y60" i="1"/>
  <c r="Y33" i="1"/>
  <c r="Y45" i="1"/>
  <c r="Y26" i="1"/>
  <c r="Y29" i="1"/>
  <c r="AA12" i="1"/>
  <c r="AH1" i="1"/>
  <c r="Y22" i="1"/>
  <c r="Y25" i="1"/>
  <c r="AA38" i="1"/>
  <c r="AA69" i="1"/>
  <c r="Z109" i="12"/>
  <c r="Y50" i="1"/>
  <c r="AA45" i="1"/>
  <c r="Y21" i="1"/>
  <c r="Y31" i="1"/>
  <c r="AA55" i="1"/>
  <c r="Y27" i="1"/>
  <c r="Y56" i="1"/>
  <c r="AA26" i="1"/>
  <c r="Y46" i="1"/>
  <c r="Y77" i="1"/>
  <c r="Y17" i="1"/>
  <c r="Y15" i="1"/>
  <c r="Y38" i="1"/>
  <c r="Y16" i="1"/>
  <c r="Y51" i="1"/>
  <c r="AA18" i="1"/>
  <c r="Y42" i="1"/>
  <c r="Y73" i="1"/>
  <c r="Y13" i="1"/>
  <c r="AA52" i="1"/>
  <c r="Y28" i="1"/>
  <c r="Y43" i="1"/>
  <c r="AA44" i="1"/>
  <c r="AA10" i="1"/>
  <c r="Y36" i="1"/>
  <c r="Y68" i="1"/>
  <c r="AA29" i="1"/>
  <c r="Y48" i="1"/>
  <c r="Y23" i="1"/>
  <c r="Y32" i="1"/>
  <c r="Z38" i="1"/>
  <c r="Z74" i="1"/>
  <c r="Y30" i="1"/>
  <c r="Y57" i="1"/>
  <c r="AA17" i="1"/>
  <c r="Z75" i="1"/>
  <c r="Y72" i="1"/>
  <c r="Z37" i="1"/>
  <c r="AD37" i="1" s="1"/>
  <c r="AF37" i="1" s="1"/>
  <c r="Y37" i="1"/>
  <c r="S35" i="2"/>
  <c r="R78" i="1"/>
  <c r="R39" i="1"/>
  <c r="I81" i="1"/>
  <c r="J81" i="1"/>
  <c r="K81" i="1"/>
  <c r="R71" i="1"/>
  <c r="S39" i="1"/>
  <c r="N39" i="1"/>
  <c r="N78" i="1"/>
  <c r="Q78" i="1"/>
  <c r="N71" i="1"/>
  <c r="S71" i="1"/>
  <c r="Q39" i="1"/>
  <c r="Q71" i="1"/>
  <c r="AY8" i="1"/>
  <c r="AZ8" i="1" s="1"/>
  <c r="BF8" i="1"/>
  <c r="BG8" i="1" s="1"/>
  <c r="BH8" i="1" s="1"/>
  <c r="BP8" i="1" s="1"/>
  <c r="AP1" i="1" l="1"/>
  <c r="AO48" i="1" s="1"/>
  <c r="AG34" i="1"/>
  <c r="AG65" i="1"/>
  <c r="AG62" i="1"/>
  <c r="AG64" i="1"/>
  <c r="AG63" i="1"/>
  <c r="AG66" i="1"/>
  <c r="BD35" i="2"/>
  <c r="AG42" i="1"/>
  <c r="AG51" i="1"/>
  <c r="AH35" i="1"/>
  <c r="AI70" i="1"/>
  <c r="AI36" i="1"/>
  <c r="AG38" i="1"/>
  <c r="AG57" i="1"/>
  <c r="AH74" i="1"/>
  <c r="AG50" i="1"/>
  <c r="AG28" i="1"/>
  <c r="AG26" i="1"/>
  <c r="AG58" i="1"/>
  <c r="AG31" i="1"/>
  <c r="AI45" i="1"/>
  <c r="AG48" i="1"/>
  <c r="AG43" i="1"/>
  <c r="AG69" i="1"/>
  <c r="AH67" i="1"/>
  <c r="AG10" i="1"/>
  <c r="AG24" i="1"/>
  <c r="AI67" i="1"/>
  <c r="AG79" i="1"/>
  <c r="AG80" i="1" s="1"/>
  <c r="AG74" i="1"/>
  <c r="AH75" i="1"/>
  <c r="AI44" i="1"/>
  <c r="AG35" i="1"/>
  <c r="AG40" i="1"/>
  <c r="AG45" i="1"/>
  <c r="AG16" i="1"/>
  <c r="AG25" i="1"/>
  <c r="AG77" i="1"/>
  <c r="AG54" i="1"/>
  <c r="AI28" i="1"/>
  <c r="AI38" i="1"/>
  <c r="AI52" i="1"/>
  <c r="AH37" i="1"/>
  <c r="AL37" i="1" s="1"/>
  <c r="AN37" i="1" s="1"/>
  <c r="AG46" i="1"/>
  <c r="AG75" i="1"/>
  <c r="AI12" i="1"/>
  <c r="AG76" i="1"/>
  <c r="AH68" i="1"/>
  <c r="AI18" i="1"/>
  <c r="AG37" i="1"/>
  <c r="AG30" i="1"/>
  <c r="AI53" i="1"/>
  <c r="AG52" i="1"/>
  <c r="AH36" i="1"/>
  <c r="AG49" i="1"/>
  <c r="AG53" i="1"/>
  <c r="AG55" i="1"/>
  <c r="AI17" i="1"/>
  <c r="AG47" i="1"/>
  <c r="AI57" i="1"/>
  <c r="AG22" i="1"/>
  <c r="AG72" i="1"/>
  <c r="AI26" i="1"/>
  <c r="AG67" i="1"/>
  <c r="AI10" i="1"/>
  <c r="AG18" i="1"/>
  <c r="AI46" i="1"/>
  <c r="AH38" i="1"/>
  <c r="AG73" i="1"/>
  <c r="AG70" i="1"/>
  <c r="AG14" i="1"/>
  <c r="AG20" i="1"/>
  <c r="AG68" i="1"/>
  <c r="AI13" i="1"/>
  <c r="AG29" i="1"/>
  <c r="Z71" i="1"/>
  <c r="AG36" i="1"/>
  <c r="AG15" i="1"/>
  <c r="AG21" i="1"/>
  <c r="AG41" i="1"/>
  <c r="AG44" i="1"/>
  <c r="AI29" i="1"/>
  <c r="AO70" i="1"/>
  <c r="AO44" i="1"/>
  <c r="AG59" i="1"/>
  <c r="AI42" i="1"/>
  <c r="AG11" i="1"/>
  <c r="AG13" i="1"/>
  <c r="AH69" i="1"/>
  <c r="AG23" i="1"/>
  <c r="AG12" i="1"/>
  <c r="AG56" i="1"/>
  <c r="AI15" i="1"/>
  <c r="AG27" i="1"/>
  <c r="AI40" i="1"/>
  <c r="AI69" i="1"/>
  <c r="AO27" i="1"/>
  <c r="AO32" i="1"/>
  <c r="AG60" i="1"/>
  <c r="AG33" i="1"/>
  <c r="AG61" i="1"/>
  <c r="AG19" i="1"/>
  <c r="AI55" i="1"/>
  <c r="AG32" i="1"/>
  <c r="AG17" i="1"/>
  <c r="Z78" i="1"/>
  <c r="AA39" i="1"/>
  <c r="AA71" i="1"/>
  <c r="AA109" i="12"/>
  <c r="Y78" i="1"/>
  <c r="Y71" i="1"/>
  <c r="Z39" i="1"/>
  <c r="Y39" i="1"/>
  <c r="T35" i="2"/>
  <c r="R81" i="1"/>
  <c r="BQ8" i="1"/>
  <c r="BR8" i="1" s="1"/>
  <c r="CA8" i="1"/>
  <c r="Q81" i="1"/>
  <c r="L82" i="1" s="1"/>
  <c r="S81" i="1"/>
  <c r="N81" i="1"/>
  <c r="AO56" i="1" l="1"/>
  <c r="AO24" i="1"/>
  <c r="AO55" i="1"/>
  <c r="AO69" i="1"/>
  <c r="AQ15" i="1"/>
  <c r="AO31" i="1"/>
  <c r="AO33" i="1"/>
  <c r="AO43" i="1"/>
  <c r="AO14" i="1"/>
  <c r="AO36" i="1"/>
  <c r="AQ40" i="1"/>
  <c r="AO58" i="1"/>
  <c r="AO60" i="1"/>
  <c r="AQ44" i="1"/>
  <c r="AQ53" i="1"/>
  <c r="AQ45" i="1"/>
  <c r="AP75" i="1"/>
  <c r="AO59" i="1"/>
  <c r="AO38" i="1"/>
  <c r="AO23" i="1"/>
  <c r="AQ36" i="1"/>
  <c r="AO35" i="1"/>
  <c r="AQ42" i="1"/>
  <c r="AO10" i="1"/>
  <c r="AQ28" i="1"/>
  <c r="AO20" i="1"/>
  <c r="AO46" i="1"/>
  <c r="AO28" i="1"/>
  <c r="AO77" i="1"/>
  <c r="AO67" i="1"/>
  <c r="AO30" i="1"/>
  <c r="AO51" i="1"/>
  <c r="AO57" i="1"/>
  <c r="AQ18" i="1"/>
  <c r="AP38" i="1"/>
  <c r="AO52" i="1"/>
  <c r="AO12" i="1"/>
  <c r="AQ57" i="1"/>
  <c r="AQ70" i="1"/>
  <c r="AQ46" i="1"/>
  <c r="AY1" i="1"/>
  <c r="AX34" i="1" s="1"/>
  <c r="AQ67" i="1"/>
  <c r="AP68" i="1"/>
  <c r="AO42" i="1"/>
  <c r="AQ69" i="1"/>
  <c r="AO26" i="1"/>
  <c r="AO11" i="1"/>
  <c r="AP67" i="1"/>
  <c r="AQ55" i="1"/>
  <c r="AQ52" i="1"/>
  <c r="AO16" i="1"/>
  <c r="AO21" i="1"/>
  <c r="AO68" i="1"/>
  <c r="AO29" i="1"/>
  <c r="AO74" i="1"/>
  <c r="AO76" i="1"/>
  <c r="AQ26" i="1"/>
  <c r="AO13" i="1"/>
  <c r="AO54" i="1"/>
  <c r="AQ17" i="1"/>
  <c r="AQ12" i="1"/>
  <c r="AO41" i="1"/>
  <c r="AO25" i="1"/>
  <c r="AP36" i="1"/>
  <c r="AO61" i="1"/>
  <c r="AO40" i="1"/>
  <c r="AO19" i="1"/>
  <c r="AQ29" i="1"/>
  <c r="AO79" i="1"/>
  <c r="AO80" i="1" s="1"/>
  <c r="AP74" i="1"/>
  <c r="AP37" i="1"/>
  <c r="AU37" i="1" s="1"/>
  <c r="AW37" i="1" s="1"/>
  <c r="AO49" i="1"/>
  <c r="AO50" i="1"/>
  <c r="AQ38" i="1"/>
  <c r="AO22" i="1"/>
  <c r="AO73" i="1"/>
  <c r="AO75" i="1"/>
  <c r="AO37" i="1"/>
  <c r="AO17" i="1"/>
  <c r="AO47" i="1"/>
  <c r="AO15" i="1"/>
  <c r="AP35" i="1"/>
  <c r="AP69" i="1"/>
  <c r="AO72" i="1"/>
  <c r="AQ13" i="1"/>
  <c r="AO53" i="1"/>
  <c r="AO45" i="1"/>
  <c r="AO18" i="1"/>
  <c r="AQ10" i="1"/>
  <c r="AX62" i="1"/>
  <c r="AO34" i="1"/>
  <c r="AO66" i="1"/>
  <c r="AO64" i="1"/>
  <c r="AO65" i="1"/>
  <c r="AO62" i="1"/>
  <c r="AO63" i="1"/>
  <c r="AH78" i="1"/>
  <c r="AH39" i="1"/>
  <c r="AG78" i="1"/>
  <c r="AH71" i="1"/>
  <c r="AG71" i="1"/>
  <c r="AI39" i="1"/>
  <c r="AI71" i="1"/>
  <c r="AG39" i="1"/>
  <c r="Z81" i="1"/>
  <c r="AA81" i="1"/>
  <c r="AB109" i="12"/>
  <c r="Y81" i="1"/>
  <c r="T82" i="1" s="1"/>
  <c r="AX73" i="1"/>
  <c r="AZ28" i="1"/>
  <c r="U35" i="2"/>
  <c r="CB8" i="1"/>
  <c r="CC8" i="1" s="1"/>
  <c r="CK8" i="1"/>
  <c r="AZ46" i="1" l="1"/>
  <c r="AX45" i="1"/>
  <c r="AX22" i="1"/>
  <c r="AX33" i="1"/>
  <c r="AX74" i="1"/>
  <c r="AZ26" i="1"/>
  <c r="AX17" i="1"/>
  <c r="AX72" i="1"/>
  <c r="AX44" i="1"/>
  <c r="AX48" i="1"/>
  <c r="AY68" i="1"/>
  <c r="AX27" i="1"/>
  <c r="AX18" i="1"/>
  <c r="AX36" i="1"/>
  <c r="AX65" i="1"/>
  <c r="AY74" i="1"/>
  <c r="AZ36" i="1"/>
  <c r="AX49" i="1"/>
  <c r="AX76" i="1"/>
  <c r="AZ10" i="1"/>
  <c r="AZ69" i="1"/>
  <c r="AX79" i="1"/>
  <c r="AX80" i="1" s="1"/>
  <c r="AY67" i="1"/>
  <c r="AZ12" i="1"/>
  <c r="AX35" i="1"/>
  <c r="AX56" i="1"/>
  <c r="AY37" i="1"/>
  <c r="BC37" i="1" s="1"/>
  <c r="BE37" i="1" s="1"/>
  <c r="AP78" i="1"/>
  <c r="AZ29" i="1"/>
  <c r="AX24" i="1"/>
  <c r="AX46" i="1"/>
  <c r="BG1" i="1"/>
  <c r="BF34" i="1" s="1"/>
  <c r="AZ13" i="1"/>
  <c r="AX26" i="1"/>
  <c r="AX57" i="1"/>
  <c r="AX30" i="1"/>
  <c r="AX53" i="1"/>
  <c r="AX75" i="1"/>
  <c r="AX41" i="1"/>
  <c r="AX52" i="1"/>
  <c r="AZ67" i="1"/>
  <c r="AZ45" i="1"/>
  <c r="AX42" i="1"/>
  <c r="AX25" i="1"/>
  <c r="AX66" i="1"/>
  <c r="AX58" i="1"/>
  <c r="AY69" i="1"/>
  <c r="AX23" i="1"/>
  <c r="AX13" i="1"/>
  <c r="AX55" i="1"/>
  <c r="AZ55" i="1"/>
  <c r="AX20" i="1"/>
  <c r="AX60" i="1"/>
  <c r="AX61" i="1"/>
  <c r="AQ71" i="1"/>
  <c r="AX14" i="1"/>
  <c r="AX70" i="1"/>
  <c r="AZ15" i="1"/>
  <c r="AX11" i="1"/>
  <c r="AX31" i="1"/>
  <c r="AX67" i="1"/>
  <c r="AX21" i="1"/>
  <c r="AX28" i="1"/>
  <c r="AZ40" i="1"/>
  <c r="AZ18" i="1"/>
  <c r="AX38" i="1"/>
  <c r="AZ42" i="1"/>
  <c r="AX68" i="1"/>
  <c r="AY35" i="1"/>
  <c r="AX54" i="1"/>
  <c r="AZ70" i="1"/>
  <c r="AX47" i="1"/>
  <c r="AX69" i="1"/>
  <c r="AZ53" i="1"/>
  <c r="AZ57" i="1"/>
  <c r="AX29" i="1"/>
  <c r="AX32" i="1"/>
  <c r="AX15" i="1"/>
  <c r="AY38" i="1"/>
  <c r="AX51" i="1"/>
  <c r="AZ44" i="1"/>
  <c r="AX16" i="1"/>
  <c r="AX37" i="1"/>
  <c r="AX64" i="1"/>
  <c r="AZ17" i="1"/>
  <c r="AX40" i="1"/>
  <c r="AX19" i="1"/>
  <c r="AX43" i="1"/>
  <c r="AX77" i="1"/>
  <c r="AZ52" i="1"/>
  <c r="AX59" i="1"/>
  <c r="AX63" i="1"/>
  <c r="AX10" i="1"/>
  <c r="AY36" i="1"/>
  <c r="AY75" i="1"/>
  <c r="AX12" i="1"/>
  <c r="AZ38" i="1"/>
  <c r="AX50" i="1"/>
  <c r="AP71" i="1"/>
  <c r="AP39" i="1"/>
  <c r="AQ39" i="1"/>
  <c r="AO78" i="1"/>
  <c r="AO39" i="1"/>
  <c r="AO71" i="1"/>
  <c r="BF64" i="1"/>
  <c r="AH81" i="1"/>
  <c r="AI81" i="1"/>
  <c r="AG81" i="1"/>
  <c r="BF61" i="1"/>
  <c r="BF33" i="1"/>
  <c r="AC109" i="12"/>
  <c r="BF32" i="1"/>
  <c r="BF22" i="1"/>
  <c r="BF28" i="1"/>
  <c r="BF18" i="1"/>
  <c r="BF51" i="1"/>
  <c r="BF25" i="1"/>
  <c r="BF47" i="1"/>
  <c r="BF67" i="1"/>
  <c r="BH26" i="1"/>
  <c r="BH69" i="1"/>
  <c r="BG67" i="1"/>
  <c r="BF20" i="1"/>
  <c r="BF35" i="1"/>
  <c r="BF16" i="1"/>
  <c r="BF29" i="1"/>
  <c r="BH42" i="1"/>
  <c r="BF38" i="1"/>
  <c r="BF52" i="1"/>
  <c r="BH38" i="1"/>
  <c r="BF42" i="1"/>
  <c r="BF73" i="1"/>
  <c r="BF27" i="1"/>
  <c r="BF36" i="1"/>
  <c r="BF68" i="1"/>
  <c r="BF48" i="1"/>
  <c r="BF17" i="1"/>
  <c r="BH55" i="1"/>
  <c r="BH17" i="1"/>
  <c r="BF57" i="1"/>
  <c r="V35" i="2"/>
  <c r="CL8" i="1"/>
  <c r="CM8" i="1" s="1"/>
  <c r="CT8" i="1"/>
  <c r="BH67" i="1" l="1"/>
  <c r="BH57" i="1"/>
  <c r="BF79" i="1"/>
  <c r="BF80" i="1" s="1"/>
  <c r="BF23" i="1"/>
  <c r="BH18" i="1"/>
  <c r="BF77" i="1"/>
  <c r="BG36" i="1"/>
  <c r="BF56" i="1"/>
  <c r="BF21" i="1"/>
  <c r="BH13" i="1"/>
  <c r="BF40" i="1"/>
  <c r="BF44" i="1"/>
  <c r="BF46" i="1"/>
  <c r="BH45" i="1"/>
  <c r="BF19" i="1"/>
  <c r="AY78" i="1"/>
  <c r="BF60" i="1"/>
  <c r="AY71" i="1"/>
  <c r="BG69" i="1"/>
  <c r="BF43" i="1"/>
  <c r="BF26" i="1"/>
  <c r="BF31" i="1"/>
  <c r="BH12" i="1"/>
  <c r="BH46" i="1"/>
  <c r="BG37" i="1"/>
  <c r="BM37" i="1" s="1"/>
  <c r="BO37" i="1" s="1"/>
  <c r="BH10" i="1"/>
  <c r="BG74" i="1"/>
  <c r="BH53" i="1"/>
  <c r="BF41" i="1"/>
  <c r="BH28" i="1"/>
  <c r="BF30" i="1"/>
  <c r="BF13" i="1"/>
  <c r="BF12" i="1"/>
  <c r="BF14" i="1"/>
  <c r="BF45" i="1"/>
  <c r="BF53" i="1"/>
  <c r="BF59" i="1"/>
  <c r="BF76" i="1"/>
  <c r="BF37" i="1"/>
  <c r="BH36" i="1"/>
  <c r="AX39" i="1"/>
  <c r="AZ39" i="1"/>
  <c r="AX78" i="1"/>
  <c r="BF55" i="1"/>
  <c r="BF74" i="1"/>
  <c r="BF54" i="1"/>
  <c r="BG68" i="1"/>
  <c r="BQ1" i="1"/>
  <c r="BP62" i="1" s="1"/>
  <c r="BF65" i="1"/>
  <c r="AX71" i="1"/>
  <c r="BG75" i="1"/>
  <c r="BG78" i="1" s="1"/>
  <c r="BF24" i="1"/>
  <c r="BF72" i="1"/>
  <c r="BF15" i="1"/>
  <c r="BF63" i="1"/>
  <c r="BF62" i="1"/>
  <c r="BF50" i="1"/>
  <c r="BG35" i="1"/>
  <c r="BF75" i="1"/>
  <c r="BH29" i="1"/>
  <c r="BH44" i="1"/>
  <c r="BF10" i="1"/>
  <c r="BF11" i="1"/>
  <c r="BG38" i="1"/>
  <c r="BH40" i="1"/>
  <c r="BF66" i="1"/>
  <c r="BH52" i="1"/>
  <c r="BH15" i="1"/>
  <c r="BH70" i="1"/>
  <c r="BF69" i="1"/>
  <c r="BF70" i="1"/>
  <c r="BF58" i="1"/>
  <c r="BF49" i="1"/>
  <c r="AY39" i="1"/>
  <c r="AZ71" i="1"/>
  <c r="AQ81" i="1"/>
  <c r="AP81" i="1"/>
  <c r="AO81" i="1"/>
  <c r="AD109" i="12"/>
  <c r="BR57" i="1"/>
  <c r="BR12" i="1"/>
  <c r="BP10" i="1"/>
  <c r="BP35" i="1"/>
  <c r="W35" i="2"/>
  <c r="CU8" i="1"/>
  <c r="CV8" i="1" s="1"/>
  <c r="DD8" i="1"/>
  <c r="BR36" i="1" l="1"/>
  <c r="BP47" i="1"/>
  <c r="BP11" i="1"/>
  <c r="BP54" i="1"/>
  <c r="BR18" i="1"/>
  <c r="BP40" i="1"/>
  <c r="BP75" i="1"/>
  <c r="BP12" i="1"/>
  <c r="BG71" i="1"/>
  <c r="BP60" i="1"/>
  <c r="BP38" i="1"/>
  <c r="BP26" i="1"/>
  <c r="BP58" i="1"/>
  <c r="BR70" i="1"/>
  <c r="BP27" i="1"/>
  <c r="BP14" i="1"/>
  <c r="BP51" i="1"/>
  <c r="BP61" i="1"/>
  <c r="BP17" i="1"/>
  <c r="AY81" i="1"/>
  <c r="BR38" i="1"/>
  <c r="BR42" i="1"/>
  <c r="BP57" i="1"/>
  <c r="BP66" i="1"/>
  <c r="BP52" i="1"/>
  <c r="BP48" i="1"/>
  <c r="BR53" i="1"/>
  <c r="BQ36" i="1"/>
  <c r="BP50" i="1"/>
  <c r="BQ38" i="1"/>
  <c r="BR15" i="1"/>
  <c r="BP63" i="1"/>
  <c r="BR10" i="1"/>
  <c r="BP73" i="1"/>
  <c r="BR26" i="1"/>
  <c r="BP70" i="1"/>
  <c r="BP69" i="1"/>
  <c r="BP65" i="1"/>
  <c r="BQ35" i="1"/>
  <c r="BP32" i="1"/>
  <c r="BP72" i="1"/>
  <c r="BP68" i="1"/>
  <c r="BP21" i="1"/>
  <c r="BQ69" i="1"/>
  <c r="BP56" i="1"/>
  <c r="BP24" i="1"/>
  <c r="BR45" i="1"/>
  <c r="BP46" i="1"/>
  <c r="BP29" i="1"/>
  <c r="BQ37" i="1"/>
  <c r="BX37" i="1" s="1"/>
  <c r="BZ37" i="1" s="1"/>
  <c r="BQ74" i="1"/>
  <c r="BP49" i="1"/>
  <c r="BP77" i="1"/>
  <c r="BR69" i="1"/>
  <c r="BP67" i="1"/>
  <c r="BQ75" i="1"/>
  <c r="BP37" i="1"/>
  <c r="BR55" i="1"/>
  <c r="BP44" i="1"/>
  <c r="BP16" i="1"/>
  <c r="BR44" i="1"/>
  <c r="BP13" i="1"/>
  <c r="BR67" i="1"/>
  <c r="CB1" i="1"/>
  <c r="CA21" i="1" s="1"/>
  <c r="BP28" i="1"/>
  <c r="BP64" i="1"/>
  <c r="BQ68" i="1"/>
  <c r="BR46" i="1"/>
  <c r="BP19" i="1"/>
  <c r="BP23" i="1"/>
  <c r="BP55" i="1"/>
  <c r="BP42" i="1"/>
  <c r="BP34" i="1"/>
  <c r="BP25" i="1"/>
  <c r="BR28" i="1"/>
  <c r="BR52" i="1"/>
  <c r="BP76" i="1"/>
  <c r="BP79" i="1"/>
  <c r="BP80" i="1" s="1"/>
  <c r="BP74" i="1"/>
  <c r="BR40" i="1"/>
  <c r="BP18" i="1"/>
  <c r="BP45" i="1"/>
  <c r="BQ67" i="1"/>
  <c r="BP41" i="1"/>
  <c r="BP43" i="1"/>
  <c r="BP59" i="1"/>
  <c r="BR17" i="1"/>
  <c r="BP30" i="1"/>
  <c r="BP33" i="1"/>
  <c r="BP36" i="1"/>
  <c r="BP22" i="1"/>
  <c r="BP53" i="1"/>
  <c r="BR13" i="1"/>
  <c r="BP20" i="1"/>
  <c r="BP15" i="1"/>
  <c r="BR29" i="1"/>
  <c r="BP31" i="1"/>
  <c r="BF78" i="1"/>
  <c r="AZ81" i="1"/>
  <c r="AX81" i="1"/>
  <c r="AS82" i="1" s="1"/>
  <c r="BF71" i="1"/>
  <c r="BG39" i="1"/>
  <c r="BH39" i="1"/>
  <c r="BF39" i="1"/>
  <c r="BH71" i="1"/>
  <c r="CA62" i="1"/>
  <c r="CA63" i="1"/>
  <c r="CA33" i="1"/>
  <c r="AE109" i="12"/>
  <c r="CL1" i="1"/>
  <c r="CA11" i="1"/>
  <c r="CA44" i="1"/>
  <c r="CC53" i="1"/>
  <c r="CA59" i="1"/>
  <c r="CC69" i="1"/>
  <c r="CA20" i="1"/>
  <c r="CA45" i="1"/>
  <c r="CC44" i="1"/>
  <c r="CA16" i="1"/>
  <c r="CC28" i="1"/>
  <c r="CC26" i="1"/>
  <c r="CA38" i="1"/>
  <c r="CC10" i="1"/>
  <c r="CA55" i="1"/>
  <c r="CC52" i="1"/>
  <c r="CC70" i="1"/>
  <c r="CC17" i="1"/>
  <c r="CA47" i="1"/>
  <c r="CC36" i="1"/>
  <c r="CA25" i="1"/>
  <c r="CB36" i="1"/>
  <c r="CA29" i="1"/>
  <c r="X35" i="2"/>
  <c r="DM8" i="1"/>
  <c r="DE8" i="1"/>
  <c r="DF8" i="1" s="1"/>
  <c r="CA53" i="1" l="1"/>
  <c r="CB74" i="1"/>
  <c r="CA70" i="1"/>
  <c r="CC12" i="1"/>
  <c r="CA30" i="1"/>
  <c r="CA48" i="1"/>
  <c r="CA64" i="1"/>
  <c r="CB38" i="1"/>
  <c r="CA27" i="1"/>
  <c r="CA49" i="1"/>
  <c r="CC13" i="1"/>
  <c r="CA15" i="1"/>
  <c r="CA19" i="1"/>
  <c r="CA72" i="1"/>
  <c r="CC29" i="1"/>
  <c r="CC55" i="1"/>
  <c r="CA75" i="1"/>
  <c r="CA56" i="1"/>
  <c r="CA76" i="1"/>
  <c r="CA50" i="1"/>
  <c r="CA24" i="1"/>
  <c r="CA52" i="1"/>
  <c r="CB67" i="1"/>
  <c r="CA43" i="1"/>
  <c r="CC38" i="1"/>
  <c r="CA54" i="1"/>
  <c r="CA46" i="1"/>
  <c r="CB37" i="1"/>
  <c r="CH37" i="1" s="1"/>
  <c r="CJ37" i="1" s="1"/>
  <c r="CB75" i="1"/>
  <c r="CA65" i="1"/>
  <c r="CA28" i="1"/>
  <c r="CA23" i="1"/>
  <c r="CA74" i="1"/>
  <c r="CA36" i="1"/>
  <c r="CA77" i="1"/>
  <c r="CA40" i="1"/>
  <c r="CA37" i="1"/>
  <c r="BG81" i="1"/>
  <c r="CA35" i="1"/>
  <c r="CC45" i="1"/>
  <c r="CA10" i="1"/>
  <c r="CA67" i="1"/>
  <c r="CA42" i="1"/>
  <c r="CA31" i="1"/>
  <c r="CA12" i="1"/>
  <c r="CA68" i="1"/>
  <c r="CB35" i="1"/>
  <c r="CB39" i="1" s="1"/>
  <c r="BR71" i="1"/>
  <c r="BQ78" i="1"/>
  <c r="BQ71" i="1"/>
  <c r="BP78" i="1"/>
  <c r="BQ39" i="1"/>
  <c r="CA57" i="1"/>
  <c r="CA14" i="1"/>
  <c r="CC40" i="1"/>
  <c r="CC42" i="1"/>
  <c r="CC15" i="1"/>
  <c r="CC57" i="1"/>
  <c r="CA66" i="1"/>
  <c r="CA18" i="1"/>
  <c r="CC18" i="1"/>
  <c r="CA22" i="1"/>
  <c r="CA41" i="1"/>
  <c r="CA32" i="1"/>
  <c r="CA58" i="1"/>
  <c r="CA61" i="1"/>
  <c r="CA34" i="1"/>
  <c r="CC46" i="1"/>
  <c r="CA17" i="1"/>
  <c r="CA60" i="1"/>
  <c r="CA13" i="1"/>
  <c r="CA69" i="1"/>
  <c r="BF81" i="1"/>
  <c r="CB68" i="1"/>
  <c r="CA79" i="1"/>
  <c r="CA80" i="1" s="1"/>
  <c r="CB69" i="1"/>
  <c r="CC67" i="1"/>
  <c r="CA26" i="1"/>
  <c r="CA51" i="1"/>
  <c r="CA73" i="1"/>
  <c r="BR39" i="1"/>
  <c r="BP39" i="1"/>
  <c r="BP71" i="1"/>
  <c r="BH81" i="1"/>
  <c r="CK65" i="1"/>
  <c r="CK34" i="1"/>
  <c r="CK63" i="1"/>
  <c r="CK62" i="1"/>
  <c r="CK66" i="1"/>
  <c r="CK64" i="1"/>
  <c r="CK61" i="1"/>
  <c r="CK33" i="1"/>
  <c r="CK60" i="1"/>
  <c r="AF109" i="12"/>
  <c r="CB78" i="1"/>
  <c r="CU1" i="1"/>
  <c r="CL37" i="1"/>
  <c r="CK37" i="1"/>
  <c r="CK38" i="1"/>
  <c r="CK10" i="1"/>
  <c r="CL68" i="1"/>
  <c r="CK41" i="1"/>
  <c r="CK24" i="1"/>
  <c r="CM55" i="1"/>
  <c r="CK58" i="1"/>
  <c r="CM26" i="1"/>
  <c r="CK35" i="1"/>
  <c r="CM28" i="1"/>
  <c r="CK20" i="1"/>
  <c r="CM38" i="1"/>
  <c r="CK54" i="1"/>
  <c r="CM18" i="1"/>
  <c r="CM42" i="1"/>
  <c r="CM12" i="1"/>
  <c r="CK16" i="1"/>
  <c r="CK76" i="1"/>
  <c r="CK50" i="1"/>
  <c r="CK25" i="1"/>
  <c r="CK73" i="1"/>
  <c r="CK12" i="1"/>
  <c r="CK21" i="1"/>
  <c r="CM67" i="1"/>
  <c r="CL38" i="1"/>
  <c r="CM69" i="1"/>
  <c r="CK13" i="1"/>
  <c r="CK52" i="1"/>
  <c r="CK30" i="1"/>
  <c r="CM57" i="1"/>
  <c r="CK68" i="1"/>
  <c r="CK26" i="1"/>
  <c r="CM53" i="1"/>
  <c r="CK77" i="1"/>
  <c r="CK19" i="1"/>
  <c r="CK22" i="1"/>
  <c r="CM45" i="1"/>
  <c r="CK53" i="1"/>
  <c r="CK15" i="1"/>
  <c r="CM46" i="1"/>
  <c r="CK29" i="1"/>
  <c r="CM70" i="1"/>
  <c r="CK42" i="1"/>
  <c r="CM44" i="1"/>
  <c r="CK48" i="1"/>
  <c r="CK74" i="1"/>
  <c r="CK40" i="1"/>
  <c r="CM36" i="1"/>
  <c r="CK46" i="1"/>
  <c r="CK67" i="1"/>
  <c r="CM17" i="1"/>
  <c r="CK59" i="1"/>
  <c r="CM13" i="1"/>
  <c r="CK44" i="1"/>
  <c r="CL67" i="1"/>
  <c r="CM10" i="1"/>
  <c r="CL74" i="1"/>
  <c r="CK36" i="1"/>
  <c r="CM40" i="1"/>
  <c r="CK55" i="1"/>
  <c r="CK51" i="1"/>
  <c r="CL75" i="1"/>
  <c r="CK27" i="1"/>
  <c r="CK23" i="1"/>
  <c r="CK57" i="1"/>
  <c r="CL36" i="1"/>
  <c r="CK70" i="1"/>
  <c r="CK75" i="1"/>
  <c r="CK17" i="1"/>
  <c r="CM52" i="1"/>
  <c r="CK56" i="1"/>
  <c r="CK31" i="1"/>
  <c r="CM29" i="1"/>
  <c r="CK72" i="1"/>
  <c r="CK47" i="1"/>
  <c r="CK11" i="1"/>
  <c r="CK43" i="1"/>
  <c r="CK69" i="1"/>
  <c r="CK18" i="1"/>
  <c r="CL69" i="1"/>
  <c r="CK14" i="1"/>
  <c r="CK28" i="1"/>
  <c r="CM15" i="1"/>
  <c r="CL35" i="1"/>
  <c r="CK79" i="1"/>
  <c r="CK80" i="1" s="1"/>
  <c r="CK49" i="1"/>
  <c r="CK45" i="1"/>
  <c r="CK32" i="1"/>
  <c r="Y35" i="2"/>
  <c r="DN8" i="1"/>
  <c r="DO8" i="1" s="1"/>
  <c r="DU8" i="1"/>
  <c r="L8" i="1"/>
  <c r="CA78" i="1" l="1"/>
  <c r="BQ81" i="1"/>
  <c r="CB71" i="1"/>
  <c r="CB81" i="1" s="1"/>
  <c r="CC71" i="1"/>
  <c r="BP81" i="1"/>
  <c r="BK82" i="1" s="1"/>
  <c r="BR81" i="1"/>
  <c r="CC39" i="1"/>
  <c r="CA71" i="1"/>
  <c r="CA39" i="1"/>
  <c r="CT64" i="1"/>
  <c r="CT34" i="1"/>
  <c r="CT66" i="1"/>
  <c r="CT62" i="1"/>
  <c r="CT63" i="1"/>
  <c r="CT65" i="1"/>
  <c r="CL78" i="1"/>
  <c r="CK71" i="1"/>
  <c r="CL39" i="1"/>
  <c r="CM71" i="1"/>
  <c r="CL71" i="1"/>
  <c r="CK78" i="1"/>
  <c r="CK39" i="1"/>
  <c r="CM39" i="1"/>
  <c r="CQ37" i="1"/>
  <c r="CS37" i="1" s="1"/>
  <c r="CT60" i="1"/>
  <c r="CT61" i="1"/>
  <c r="CT33" i="1"/>
  <c r="AG109" i="12"/>
  <c r="DE1" i="1"/>
  <c r="CU37" i="1"/>
  <c r="CT37" i="1"/>
  <c r="CV46" i="1"/>
  <c r="CU35" i="1"/>
  <c r="CU68" i="1"/>
  <c r="CT70" i="1"/>
  <c r="CT23" i="1"/>
  <c r="CT55" i="1"/>
  <c r="CU74" i="1"/>
  <c r="CT72" i="1"/>
  <c r="CV28" i="1"/>
  <c r="CV55" i="1"/>
  <c r="CT56" i="1"/>
  <c r="CT32" i="1"/>
  <c r="CT40" i="1"/>
  <c r="CT51" i="1"/>
  <c r="CV70" i="1"/>
  <c r="CV13" i="1"/>
  <c r="CT74" i="1"/>
  <c r="CV10" i="1"/>
  <c r="CT59" i="1"/>
  <c r="CV67" i="1"/>
  <c r="CT57" i="1"/>
  <c r="CV29" i="1"/>
  <c r="CV53" i="1"/>
  <c r="CT27" i="1"/>
  <c r="CT26" i="1"/>
  <c r="CT20" i="1"/>
  <c r="CT54" i="1"/>
  <c r="CT68" i="1"/>
  <c r="CT10" i="1"/>
  <c r="CT52" i="1"/>
  <c r="CV26" i="1"/>
  <c r="CV38" i="1"/>
  <c r="CT50" i="1"/>
  <c r="CT41" i="1"/>
  <c r="CT17" i="1"/>
  <c r="CU38" i="1"/>
  <c r="CT19" i="1"/>
  <c r="CT12" i="1"/>
  <c r="CU67" i="1"/>
  <c r="CT30" i="1"/>
  <c r="CT47" i="1"/>
  <c r="CV57" i="1"/>
  <c r="CV44" i="1"/>
  <c r="CV12" i="1"/>
  <c r="CV69" i="1"/>
  <c r="CT58" i="1"/>
  <c r="CT69" i="1"/>
  <c r="CT79" i="1"/>
  <c r="CT80" i="1" s="1"/>
  <c r="CU36" i="1"/>
  <c r="CT75" i="1"/>
  <c r="CT15" i="1"/>
  <c r="CT18" i="1"/>
  <c r="CT73" i="1"/>
  <c r="CT53" i="1"/>
  <c r="CT48" i="1"/>
  <c r="CV45" i="1"/>
  <c r="CT44" i="1"/>
  <c r="CT16" i="1"/>
  <c r="CV52" i="1"/>
  <c r="CT46" i="1"/>
  <c r="CV42" i="1"/>
  <c r="CV36" i="1"/>
  <c r="CT49" i="1"/>
  <c r="CT38" i="1"/>
  <c r="CT36" i="1"/>
  <c r="CT13" i="1"/>
  <c r="CV17" i="1"/>
  <c r="CT21" i="1"/>
  <c r="CT35" i="1"/>
  <c r="CT76" i="1"/>
  <c r="CT77" i="1"/>
  <c r="CT31" i="1"/>
  <c r="CT24" i="1"/>
  <c r="CT43" i="1"/>
  <c r="CT22" i="1"/>
  <c r="CV40" i="1"/>
  <c r="CT29" i="1"/>
  <c r="CT67" i="1"/>
  <c r="CT25" i="1"/>
  <c r="CV15" i="1"/>
  <c r="CU69" i="1"/>
  <c r="CT45" i="1"/>
  <c r="CT11" i="1"/>
  <c r="CV18" i="1"/>
  <c r="CU75" i="1"/>
  <c r="CT14" i="1"/>
  <c r="CT42" i="1"/>
  <c r="CT28" i="1"/>
  <c r="Z35" i="2"/>
  <c r="DV8" i="1"/>
  <c r="DW8" i="1" s="1"/>
  <c r="EE8" i="1"/>
  <c r="AJ82" i="1"/>
  <c r="BA82" i="1"/>
  <c r="T8" i="1"/>
  <c r="CA81" i="1" l="1"/>
  <c r="BV82" i="1" s="1"/>
  <c r="CC81" i="1"/>
  <c r="DD34" i="1"/>
  <c r="DD65" i="1"/>
  <c r="DD63" i="1"/>
  <c r="DD66" i="1"/>
  <c r="DD64" i="1"/>
  <c r="DD62" i="1"/>
  <c r="CL81" i="1"/>
  <c r="DA37" i="1"/>
  <c r="DC37" i="1" s="1"/>
  <c r="CV71" i="1"/>
  <c r="CU39" i="1"/>
  <c r="CK81" i="1"/>
  <c r="CF82" i="1" s="1"/>
  <c r="CT71" i="1"/>
  <c r="CV39" i="1"/>
  <c r="CT39" i="1"/>
  <c r="CM81" i="1"/>
  <c r="CU71" i="1"/>
  <c r="CT78" i="1"/>
  <c r="CU78" i="1"/>
  <c r="DD60" i="1"/>
  <c r="DD33" i="1"/>
  <c r="DD61" i="1"/>
  <c r="AH109" i="12"/>
  <c r="DD37" i="1"/>
  <c r="DE37" i="1"/>
  <c r="DD75" i="1"/>
  <c r="DD46" i="1"/>
  <c r="DD70" i="1"/>
  <c r="DD51" i="1"/>
  <c r="DD54" i="1"/>
  <c r="DF38" i="1"/>
  <c r="DF36" i="1"/>
  <c r="DD49" i="1"/>
  <c r="DD42" i="1"/>
  <c r="DD56" i="1"/>
  <c r="DD26" i="1"/>
  <c r="DE67" i="1"/>
  <c r="DD24" i="1"/>
  <c r="DD10" i="1"/>
  <c r="DD20" i="1"/>
  <c r="DE38" i="1"/>
  <c r="DF12" i="1"/>
  <c r="DD16" i="1"/>
  <c r="DD67" i="1"/>
  <c r="DF42" i="1"/>
  <c r="DE36" i="1"/>
  <c r="DE74" i="1"/>
  <c r="DD30" i="1"/>
  <c r="DF17" i="1"/>
  <c r="DF45" i="1"/>
  <c r="DF57" i="1"/>
  <c r="DD27" i="1"/>
  <c r="DF52" i="1"/>
  <c r="DE35" i="1"/>
  <c r="DF69" i="1"/>
  <c r="DD11" i="1"/>
  <c r="DF18" i="1"/>
  <c r="DF40" i="1"/>
  <c r="DE69" i="1"/>
  <c r="DD31" i="1"/>
  <c r="DD13" i="1"/>
  <c r="DF28" i="1"/>
  <c r="DD28" i="1"/>
  <c r="DD45" i="1"/>
  <c r="DD72" i="1"/>
  <c r="DD18" i="1"/>
  <c r="DD35" i="1"/>
  <c r="DD23" i="1"/>
  <c r="DD14" i="1"/>
  <c r="DD44" i="1"/>
  <c r="DD50" i="1"/>
  <c r="DD38" i="1"/>
  <c r="DD19" i="1"/>
  <c r="DD76" i="1"/>
  <c r="DD53" i="1"/>
  <c r="DD21" i="1"/>
  <c r="DD69" i="1"/>
  <c r="DD48" i="1"/>
  <c r="DD68" i="1"/>
  <c r="DN1" i="1"/>
  <c r="DF46" i="1"/>
  <c r="DF10" i="1"/>
  <c r="DD55" i="1"/>
  <c r="DD12" i="1"/>
  <c r="DD52" i="1"/>
  <c r="DD74" i="1"/>
  <c r="DD41" i="1"/>
  <c r="DD15" i="1"/>
  <c r="DD32" i="1"/>
  <c r="DE68" i="1"/>
  <c r="DE75" i="1"/>
  <c r="DF70" i="1"/>
  <c r="DD22" i="1"/>
  <c r="DD47" i="1"/>
  <c r="DD17" i="1"/>
  <c r="DD58" i="1"/>
  <c r="DD79" i="1"/>
  <c r="DD80" i="1" s="1"/>
  <c r="DF29" i="1"/>
  <c r="DF15" i="1"/>
  <c r="DD29" i="1"/>
  <c r="DD77" i="1"/>
  <c r="DF13" i="1"/>
  <c r="DF67" i="1"/>
  <c r="DD73" i="1"/>
  <c r="DD36" i="1"/>
  <c r="DD57" i="1"/>
  <c r="DD25" i="1"/>
  <c r="DF26" i="1"/>
  <c r="DD43" i="1"/>
  <c r="DF55" i="1"/>
  <c r="DD59" i="1"/>
  <c r="DF44" i="1"/>
  <c r="DF53" i="1"/>
  <c r="DD40" i="1"/>
  <c r="AA35" i="2"/>
  <c r="EF8" i="1"/>
  <c r="EG8" i="1" s="1"/>
  <c r="EN8" i="1"/>
  <c r="AB82" i="1"/>
  <c r="AB8" i="1"/>
  <c r="AJ8" i="1"/>
  <c r="DM34" i="1" l="1"/>
  <c r="DM66" i="1"/>
  <c r="DM64" i="1"/>
  <c r="DM65" i="1"/>
  <c r="DM62" i="1"/>
  <c r="DM63" i="1"/>
  <c r="CT81" i="1"/>
  <c r="CO82" i="1" s="1"/>
  <c r="DJ37" i="1"/>
  <c r="DL37" i="1" s="1"/>
  <c r="CV81" i="1"/>
  <c r="CU81" i="1"/>
  <c r="DM61" i="1"/>
  <c r="DM60" i="1"/>
  <c r="DM33" i="1"/>
  <c r="DE71" i="1"/>
  <c r="AI109" i="12"/>
  <c r="DD78" i="1"/>
  <c r="DE78" i="1"/>
  <c r="DF39" i="1"/>
  <c r="DF71" i="1"/>
  <c r="DM37" i="1"/>
  <c r="DN37" i="1"/>
  <c r="DM59" i="1"/>
  <c r="DM76" i="1"/>
  <c r="DN75" i="1"/>
  <c r="DM11" i="1"/>
  <c r="DM18" i="1"/>
  <c r="DM48" i="1"/>
  <c r="DM68" i="1"/>
  <c r="DO55" i="1"/>
  <c r="DM55" i="1"/>
  <c r="DO45" i="1"/>
  <c r="DM45" i="1"/>
  <c r="DM57" i="1"/>
  <c r="DO13" i="1"/>
  <c r="DM77" i="1"/>
  <c r="DO26" i="1"/>
  <c r="DO29" i="1"/>
  <c r="DM51" i="1"/>
  <c r="DM41" i="1"/>
  <c r="DM12" i="1"/>
  <c r="DM38" i="1"/>
  <c r="DM50" i="1"/>
  <c r="DM30" i="1"/>
  <c r="DO67" i="1"/>
  <c r="DM47" i="1"/>
  <c r="DO53" i="1"/>
  <c r="DM27" i="1"/>
  <c r="DM75" i="1"/>
  <c r="DN36" i="1"/>
  <c r="DM43" i="1"/>
  <c r="DM29" i="1"/>
  <c r="DO44" i="1"/>
  <c r="DM10" i="1"/>
  <c r="DM22" i="1"/>
  <c r="DV1" i="1"/>
  <c r="DO46" i="1"/>
  <c r="DM49" i="1"/>
  <c r="DM40" i="1"/>
  <c r="DN35" i="1"/>
  <c r="DO42" i="1"/>
  <c r="DM42" i="1"/>
  <c r="DN68" i="1"/>
  <c r="DN38" i="1"/>
  <c r="DM19" i="1"/>
  <c r="DM35" i="1"/>
  <c r="DM73" i="1"/>
  <c r="DM46" i="1"/>
  <c r="DO52" i="1"/>
  <c r="DO28" i="1"/>
  <c r="DM54" i="1"/>
  <c r="DN69" i="1"/>
  <c r="DM72" i="1"/>
  <c r="DM24" i="1"/>
  <c r="DM44" i="1"/>
  <c r="DO40" i="1"/>
  <c r="DM26" i="1"/>
  <c r="DO38" i="1"/>
  <c r="DM25" i="1"/>
  <c r="DM20" i="1"/>
  <c r="DO18" i="1"/>
  <c r="DM31" i="1"/>
  <c r="DM58" i="1"/>
  <c r="DM36" i="1"/>
  <c r="DO15" i="1"/>
  <c r="DM21" i="1"/>
  <c r="DM16" i="1"/>
  <c r="DM52" i="1"/>
  <c r="DO10" i="1"/>
  <c r="DM32" i="1"/>
  <c r="DM67" i="1"/>
  <c r="DM74" i="1"/>
  <c r="DM17" i="1"/>
  <c r="DM79" i="1"/>
  <c r="DM80" i="1" s="1"/>
  <c r="DM14" i="1"/>
  <c r="DO36" i="1"/>
  <c r="DM28" i="1"/>
  <c r="DM13" i="1"/>
  <c r="DO69" i="1"/>
  <c r="DO12" i="1"/>
  <c r="DO57" i="1"/>
  <c r="DN67" i="1"/>
  <c r="DM69" i="1"/>
  <c r="DO70" i="1"/>
  <c r="DM56" i="1"/>
  <c r="DM15" i="1"/>
  <c r="DN74" i="1"/>
  <c r="DM53" i="1"/>
  <c r="DO17" i="1"/>
  <c r="DM70" i="1"/>
  <c r="DM23" i="1"/>
  <c r="DD39" i="1"/>
  <c r="DD71" i="1"/>
  <c r="DE39" i="1"/>
  <c r="AB35" i="2"/>
  <c r="EO8" i="1"/>
  <c r="EP8" i="1" s="1"/>
  <c r="EV8" i="1"/>
  <c r="DU65" i="1" l="1"/>
  <c r="DU34" i="1"/>
  <c r="DU63" i="1"/>
  <c r="DU62" i="1"/>
  <c r="DU64" i="1"/>
  <c r="DU66" i="1"/>
  <c r="DR37" i="1"/>
  <c r="DT37" i="1" s="1"/>
  <c r="DN71" i="1"/>
  <c r="DM39" i="1"/>
  <c r="DM78" i="1"/>
  <c r="DN39" i="1"/>
  <c r="DN78" i="1"/>
  <c r="DM71" i="1"/>
  <c r="DO39" i="1"/>
  <c r="DO71" i="1"/>
  <c r="DU61" i="1"/>
  <c r="DU60" i="1"/>
  <c r="DU33" i="1"/>
  <c r="AJ109" i="12"/>
  <c r="DD81" i="1"/>
  <c r="CY82" i="1" s="1"/>
  <c r="DV37" i="1"/>
  <c r="DU37" i="1"/>
  <c r="DU38" i="1"/>
  <c r="DU54" i="1"/>
  <c r="DU25" i="1"/>
  <c r="DU41" i="1"/>
  <c r="DV68" i="1"/>
  <c r="DW15" i="1"/>
  <c r="DV75" i="1"/>
  <c r="DU21" i="1"/>
  <c r="DU31" i="1"/>
  <c r="DU50" i="1"/>
  <c r="DU12" i="1"/>
  <c r="DU44" i="1"/>
  <c r="DU15" i="1"/>
  <c r="DU45" i="1"/>
  <c r="DW67" i="1"/>
  <c r="DU27" i="1"/>
  <c r="DU46" i="1"/>
  <c r="DW55" i="1"/>
  <c r="DU67" i="1"/>
  <c r="DU19" i="1"/>
  <c r="DU79" i="1"/>
  <c r="DU80" i="1" s="1"/>
  <c r="DU23" i="1"/>
  <c r="DU47" i="1"/>
  <c r="DW18" i="1"/>
  <c r="DW42" i="1"/>
  <c r="DW44" i="1"/>
  <c r="DU40" i="1"/>
  <c r="DV35" i="1"/>
  <c r="DW17" i="1"/>
  <c r="DW52" i="1"/>
  <c r="DU17" i="1"/>
  <c r="DU43" i="1"/>
  <c r="DU24" i="1"/>
  <c r="DW10" i="1"/>
  <c r="DU51" i="1"/>
  <c r="DV69" i="1"/>
  <c r="DW29" i="1"/>
  <c r="DW46" i="1"/>
  <c r="DU75" i="1"/>
  <c r="DW53" i="1"/>
  <c r="DW38" i="1"/>
  <c r="DU42" i="1"/>
  <c r="DV74" i="1"/>
  <c r="DU72" i="1"/>
  <c r="DU69" i="1"/>
  <c r="DU22" i="1"/>
  <c r="DW28" i="1"/>
  <c r="DW70" i="1"/>
  <c r="DU59" i="1"/>
  <c r="DU74" i="1"/>
  <c r="DV36" i="1"/>
  <c r="DU36" i="1"/>
  <c r="DU10" i="1"/>
  <c r="DU28" i="1"/>
  <c r="DU57" i="1"/>
  <c r="DU32" i="1"/>
  <c r="DW45" i="1"/>
  <c r="DU11" i="1"/>
  <c r="DU68" i="1"/>
  <c r="DW69" i="1"/>
  <c r="DU30" i="1"/>
  <c r="DU16" i="1"/>
  <c r="DU70" i="1"/>
  <c r="DW40" i="1"/>
  <c r="DU76" i="1"/>
  <c r="DU13" i="1"/>
  <c r="DW36" i="1"/>
  <c r="DU77" i="1"/>
  <c r="DU29" i="1"/>
  <c r="DW57" i="1"/>
  <c r="DU53" i="1"/>
  <c r="DU55" i="1"/>
  <c r="DU73" i="1"/>
  <c r="DU26" i="1"/>
  <c r="DV67" i="1"/>
  <c r="DU20" i="1"/>
  <c r="DU49" i="1"/>
  <c r="DU18" i="1"/>
  <c r="DW12" i="1"/>
  <c r="DU56" i="1"/>
  <c r="DW13" i="1"/>
  <c r="DU14" i="1"/>
  <c r="DU48" i="1"/>
  <c r="EF1" i="1"/>
  <c r="DV38" i="1"/>
  <c r="DW26" i="1"/>
  <c r="DU52" i="1"/>
  <c r="DU58" i="1"/>
  <c r="DU35" i="1"/>
  <c r="DF81" i="1"/>
  <c r="DE81" i="1"/>
  <c r="AC35" i="2"/>
  <c r="EW8" i="1"/>
  <c r="EX8" i="1" s="1"/>
  <c r="FD8" i="1"/>
  <c r="D12" i="6"/>
  <c r="P67" i="1"/>
  <c r="EE64" i="1" l="1"/>
  <c r="EE34" i="1"/>
  <c r="EE66" i="1"/>
  <c r="EE62" i="1"/>
  <c r="EE65" i="1"/>
  <c r="EE63" i="1"/>
  <c r="DV39" i="1"/>
  <c r="DV78" i="1"/>
  <c r="DV71" i="1"/>
  <c r="DW71" i="1"/>
  <c r="DW39" i="1"/>
  <c r="EB37" i="1"/>
  <c r="ED37" i="1" s="1"/>
  <c r="DN81" i="1"/>
  <c r="DM81" i="1"/>
  <c r="DH82" i="1" s="1"/>
  <c r="DO81" i="1"/>
  <c r="EE61" i="1"/>
  <c r="EE33" i="1"/>
  <c r="EE60" i="1"/>
  <c r="AK109" i="12"/>
  <c r="DU39" i="1"/>
  <c r="EF37" i="1"/>
  <c r="EE37" i="1"/>
  <c r="EE51" i="1"/>
  <c r="EG42" i="1"/>
  <c r="EF74" i="1"/>
  <c r="EE48" i="1"/>
  <c r="EE42" i="1"/>
  <c r="EE53" i="1"/>
  <c r="EE47" i="1"/>
  <c r="EE24" i="1"/>
  <c r="EE35" i="1"/>
  <c r="EG38" i="1"/>
  <c r="EG69" i="1"/>
  <c r="EE44" i="1"/>
  <c r="EF36" i="1"/>
  <c r="EG44" i="1"/>
  <c r="EE30" i="1"/>
  <c r="EE10" i="1"/>
  <c r="EE29" i="1"/>
  <c r="EE41" i="1"/>
  <c r="EE22" i="1"/>
  <c r="EE20" i="1"/>
  <c r="EG40" i="1"/>
  <c r="EG70" i="1"/>
  <c r="EE25" i="1"/>
  <c r="EF35" i="1"/>
  <c r="EE26" i="1"/>
  <c r="EE56" i="1"/>
  <c r="EE21" i="1"/>
  <c r="EE19" i="1"/>
  <c r="EE72" i="1"/>
  <c r="EE15" i="1"/>
  <c r="EG26" i="1"/>
  <c r="EG36" i="1"/>
  <c r="EG67" i="1"/>
  <c r="EE18" i="1"/>
  <c r="EG28" i="1"/>
  <c r="EE50" i="1"/>
  <c r="EG18" i="1"/>
  <c r="EG29" i="1"/>
  <c r="EG46" i="1"/>
  <c r="EE59" i="1"/>
  <c r="EE55" i="1"/>
  <c r="EE38" i="1"/>
  <c r="EE27" i="1"/>
  <c r="EE58" i="1"/>
  <c r="EE68" i="1"/>
  <c r="EG55" i="1"/>
  <c r="EE40" i="1"/>
  <c r="EG12" i="1"/>
  <c r="EE14" i="1"/>
  <c r="EF67" i="1"/>
  <c r="EE28" i="1"/>
  <c r="EE23" i="1"/>
  <c r="EE70" i="1"/>
  <c r="EE79" i="1"/>
  <c r="EE80" i="1" s="1"/>
  <c r="EG10" i="1"/>
  <c r="EE67" i="1"/>
  <c r="EE17" i="1"/>
  <c r="EG53" i="1"/>
  <c r="EE74" i="1"/>
  <c r="EE52" i="1"/>
  <c r="EG52" i="1"/>
  <c r="EE57" i="1"/>
  <c r="EE36" i="1"/>
  <c r="EE13" i="1"/>
  <c r="EF38" i="1"/>
  <c r="EF69" i="1"/>
  <c r="EE76" i="1"/>
  <c r="EE43" i="1"/>
  <c r="EE32" i="1"/>
  <c r="EE75" i="1"/>
  <c r="EF68" i="1"/>
  <c r="EE31" i="1"/>
  <c r="EE49" i="1"/>
  <c r="EE16" i="1"/>
  <c r="EE11" i="1"/>
  <c r="EG17" i="1"/>
  <c r="EE46" i="1"/>
  <c r="EG57" i="1"/>
  <c r="EE45" i="1"/>
  <c r="EG45" i="1"/>
  <c r="EO1" i="1"/>
  <c r="EE54" i="1"/>
  <c r="EG15" i="1"/>
  <c r="EE77" i="1"/>
  <c r="EG13" i="1"/>
  <c r="EF75" i="1"/>
  <c r="EE12" i="1"/>
  <c r="EE73" i="1"/>
  <c r="EE69" i="1"/>
  <c r="DU71" i="1"/>
  <c r="DU78" i="1"/>
  <c r="AD35" i="2"/>
  <c r="FE8" i="1"/>
  <c r="FF8" i="1" s="1"/>
  <c r="FL8" i="1"/>
  <c r="V67" i="1"/>
  <c r="X67" i="1" s="1"/>
  <c r="EN34" i="1" l="1"/>
  <c r="EN65" i="1"/>
  <c r="EN63" i="1"/>
  <c r="EN66" i="1"/>
  <c r="EN64" i="1"/>
  <c r="EN62" i="1"/>
  <c r="DV81" i="1"/>
  <c r="EG39" i="1"/>
  <c r="EF78" i="1"/>
  <c r="EE78" i="1"/>
  <c r="EF71" i="1"/>
  <c r="EF39" i="1"/>
  <c r="EE39" i="1"/>
  <c r="EE71" i="1"/>
  <c r="DW81" i="1"/>
  <c r="EG71" i="1"/>
  <c r="EK37" i="1"/>
  <c r="EM37" i="1" s="1"/>
  <c r="EN60" i="1"/>
  <c r="EN61" i="1"/>
  <c r="EN33" i="1"/>
  <c r="DU81" i="1"/>
  <c r="DP82" i="1" s="1"/>
  <c r="EN37" i="1"/>
  <c r="EO37" i="1"/>
  <c r="EN47" i="1"/>
  <c r="EN32" i="1"/>
  <c r="EN27" i="1"/>
  <c r="EN42" i="1"/>
  <c r="EN50" i="1"/>
  <c r="EN38" i="1"/>
  <c r="EP29" i="1"/>
  <c r="EN43" i="1"/>
  <c r="EN28" i="1"/>
  <c r="EP13" i="1"/>
  <c r="EN35" i="1"/>
  <c r="EN76" i="1"/>
  <c r="EN26" i="1"/>
  <c r="EN21" i="1"/>
  <c r="EP38" i="1"/>
  <c r="EN24" i="1"/>
  <c r="EN49" i="1"/>
  <c r="EP53" i="1"/>
  <c r="EP12" i="1"/>
  <c r="EN68" i="1"/>
  <c r="EP15" i="1"/>
  <c r="EN20" i="1"/>
  <c r="EP10" i="1"/>
  <c r="EO38" i="1"/>
  <c r="EO75" i="1"/>
  <c r="EN19" i="1"/>
  <c r="EN16" i="1"/>
  <c r="EP26" i="1"/>
  <c r="EN56" i="1"/>
  <c r="EN22" i="1"/>
  <c r="EN23" i="1"/>
  <c r="EN41" i="1"/>
  <c r="EN69" i="1"/>
  <c r="EP57" i="1"/>
  <c r="EN57" i="1"/>
  <c r="EN52" i="1"/>
  <c r="EP52" i="1"/>
  <c r="EN72" i="1"/>
  <c r="EP55" i="1"/>
  <c r="EN67" i="1"/>
  <c r="EN51" i="1"/>
  <c r="EN45" i="1"/>
  <c r="EO68" i="1"/>
  <c r="EP70" i="1"/>
  <c r="EN15" i="1"/>
  <c r="EP44" i="1"/>
  <c r="EN53" i="1"/>
  <c r="EN29" i="1"/>
  <c r="EN77" i="1"/>
  <c r="EN36" i="1"/>
  <c r="EN25" i="1"/>
  <c r="EN74" i="1"/>
  <c r="EN70" i="1"/>
  <c r="EP67" i="1"/>
  <c r="EN46" i="1"/>
  <c r="EN40" i="1"/>
  <c r="EN79" i="1"/>
  <c r="EN80" i="1" s="1"/>
  <c r="EN18" i="1"/>
  <c r="EO67" i="1"/>
  <c r="EP17" i="1"/>
  <c r="EP28" i="1"/>
  <c r="EN10" i="1"/>
  <c r="EW1" i="1"/>
  <c r="EN12" i="1"/>
  <c r="EP69" i="1"/>
  <c r="EN48" i="1"/>
  <c r="EP45" i="1"/>
  <c r="EN13" i="1"/>
  <c r="EN75" i="1"/>
  <c r="EP40" i="1"/>
  <c r="EO74" i="1"/>
  <c r="EN73" i="1"/>
  <c r="EN54" i="1"/>
  <c r="EP36" i="1"/>
  <c r="EN31" i="1"/>
  <c r="EN58" i="1"/>
  <c r="EO69" i="1"/>
  <c r="EP18" i="1"/>
  <c r="EN30" i="1"/>
  <c r="EN17" i="1"/>
  <c r="EN59" i="1"/>
  <c r="EO35" i="1"/>
  <c r="EP46" i="1"/>
  <c r="EN14" i="1"/>
  <c r="EN55" i="1"/>
  <c r="EN11" i="1"/>
  <c r="EP42" i="1"/>
  <c r="EN44" i="1"/>
  <c r="EO36" i="1"/>
  <c r="AE35" i="2"/>
  <c r="FM8" i="1"/>
  <c r="FN8" i="1" s="1"/>
  <c r="FT8" i="1"/>
  <c r="AD67" i="1"/>
  <c r="AF67" i="1" s="1"/>
  <c r="C12" i="6"/>
  <c r="E12" i="6"/>
  <c r="F12" i="6"/>
  <c r="G12" i="6"/>
  <c r="AL12" i="6"/>
  <c r="AK12" i="6"/>
  <c r="AJ12" i="6"/>
  <c r="AI12" i="6"/>
  <c r="AH12" i="6"/>
  <c r="AG12" i="6"/>
  <c r="AF12" i="6"/>
  <c r="AE12" i="6"/>
  <c r="AD12" i="6"/>
  <c r="AC12" i="6"/>
  <c r="AB12" i="6"/>
  <c r="AA12" i="6"/>
  <c r="Z12" i="6"/>
  <c r="Y12" i="6"/>
  <c r="X12" i="6"/>
  <c r="W12" i="6"/>
  <c r="V12" i="6"/>
  <c r="U12" i="6"/>
  <c r="T12" i="6"/>
  <c r="S12" i="6"/>
  <c r="R12" i="6"/>
  <c r="Q12" i="6"/>
  <c r="P12" i="6"/>
  <c r="O12" i="6"/>
  <c r="N12" i="6"/>
  <c r="M12" i="6"/>
  <c r="L12" i="6"/>
  <c r="K12" i="6"/>
  <c r="J12" i="6"/>
  <c r="I12" i="6"/>
  <c r="H12" i="6"/>
  <c r="H39" i="1"/>
  <c r="H80" i="1"/>
  <c r="H78" i="1"/>
  <c r="H71" i="1"/>
  <c r="P77" i="1"/>
  <c r="P76" i="1"/>
  <c r="P75" i="1"/>
  <c r="P74" i="1"/>
  <c r="P73" i="1"/>
  <c r="P70" i="1"/>
  <c r="P69" i="1"/>
  <c r="P68" i="1"/>
  <c r="P59" i="1"/>
  <c r="P58" i="1"/>
  <c r="P57" i="1"/>
  <c r="P56" i="1"/>
  <c r="P55" i="1"/>
  <c r="P54" i="1"/>
  <c r="P53" i="1"/>
  <c r="P52" i="1"/>
  <c r="P51" i="1"/>
  <c r="P50" i="1"/>
  <c r="P49" i="1"/>
  <c r="P48" i="1"/>
  <c r="P47" i="1"/>
  <c r="P46" i="1"/>
  <c r="P45" i="1"/>
  <c r="P44" i="1"/>
  <c r="P43" i="1"/>
  <c r="P42" i="1"/>
  <c r="P41" i="1"/>
  <c r="P38" i="1"/>
  <c r="P36" i="1"/>
  <c r="P35" i="1"/>
  <c r="P32" i="1"/>
  <c r="P31" i="1"/>
  <c r="P30" i="1"/>
  <c r="P29" i="1"/>
  <c r="P28" i="1"/>
  <c r="P27" i="1"/>
  <c r="P26" i="1"/>
  <c r="P25" i="1"/>
  <c r="P24" i="1"/>
  <c r="P23" i="1"/>
  <c r="P22" i="1"/>
  <c r="P21" i="1"/>
  <c r="P19" i="1"/>
  <c r="P18" i="1"/>
  <c r="P17" i="1"/>
  <c r="P16" i="1"/>
  <c r="P15" i="1"/>
  <c r="P14" i="1"/>
  <c r="P13" i="1"/>
  <c r="P12" i="1"/>
  <c r="P11" i="1"/>
  <c r="EV34" i="1" l="1"/>
  <c r="EV66" i="1"/>
  <c r="EV64" i="1"/>
  <c r="EV62" i="1"/>
  <c r="EV63" i="1"/>
  <c r="EV65" i="1"/>
  <c r="EG81" i="1"/>
  <c r="EF81" i="1"/>
  <c r="EE81" i="1"/>
  <c r="DZ82" i="1" s="1"/>
  <c r="ES37" i="1"/>
  <c r="EU37" i="1" s="1"/>
  <c r="EV61" i="1"/>
  <c r="EV60" i="1"/>
  <c r="EV33" i="1"/>
  <c r="EO78" i="1"/>
  <c r="EO71" i="1"/>
  <c r="EO39" i="1"/>
  <c r="EN71" i="1"/>
  <c r="EP71" i="1"/>
  <c r="EP39" i="1"/>
  <c r="EN39" i="1"/>
  <c r="EN78" i="1"/>
  <c r="AM109" i="12"/>
  <c r="EV37" i="1"/>
  <c r="EW37" i="1"/>
  <c r="EV41" i="1"/>
  <c r="EV79" i="1"/>
  <c r="EV80" i="1" s="1"/>
  <c r="EV25" i="1"/>
  <c r="EV44" i="1"/>
  <c r="EV32" i="1"/>
  <c r="EV50" i="1"/>
  <c r="EV28" i="1"/>
  <c r="EX29" i="1"/>
  <c r="EV59" i="1"/>
  <c r="EV38" i="1"/>
  <c r="EV16" i="1"/>
  <c r="EV58" i="1"/>
  <c r="EV17" i="1"/>
  <c r="EX17" i="1"/>
  <c r="EV46" i="1"/>
  <c r="EV24" i="1"/>
  <c r="EV48" i="1"/>
  <c r="EX13" i="1"/>
  <c r="EV36" i="1"/>
  <c r="EX18" i="1"/>
  <c r="EX12" i="1"/>
  <c r="EV69" i="1"/>
  <c r="EV30" i="1"/>
  <c r="EV14" i="1"/>
  <c r="EV73" i="1"/>
  <c r="EW36" i="1"/>
  <c r="EV27" i="1"/>
  <c r="EV53" i="1"/>
  <c r="EV23" i="1"/>
  <c r="EX53" i="1"/>
  <c r="EV22" i="1"/>
  <c r="EW74" i="1"/>
  <c r="EX38" i="1"/>
  <c r="EV45" i="1"/>
  <c r="EV35" i="1"/>
  <c r="EV21" i="1"/>
  <c r="EV76" i="1"/>
  <c r="EV10" i="1"/>
  <c r="EV72" i="1"/>
  <c r="EW67" i="1"/>
  <c r="EV47" i="1"/>
  <c r="EV54" i="1"/>
  <c r="EV52" i="1"/>
  <c r="EX42" i="1"/>
  <c r="EV29" i="1"/>
  <c r="EW68" i="1"/>
  <c r="EV11" i="1"/>
  <c r="EV75" i="1"/>
  <c r="EX26" i="1"/>
  <c r="EX44" i="1"/>
  <c r="EX40" i="1"/>
  <c r="EV51" i="1"/>
  <c r="EW75" i="1"/>
  <c r="EW35" i="1"/>
  <c r="EV77" i="1"/>
  <c r="EX57" i="1"/>
  <c r="EX46" i="1"/>
  <c r="EX70" i="1"/>
  <c r="EV13" i="1"/>
  <c r="EV56" i="1"/>
  <c r="EX52" i="1"/>
  <c r="EV67" i="1"/>
  <c r="EX15" i="1"/>
  <c r="EX67" i="1"/>
  <c r="FE1" i="1"/>
  <c r="EV55" i="1"/>
  <c r="EV74" i="1"/>
  <c r="EV43" i="1"/>
  <c r="EX36" i="1"/>
  <c r="EV20" i="1"/>
  <c r="EV31" i="1"/>
  <c r="EX45" i="1"/>
  <c r="EV68" i="1"/>
  <c r="EV42" i="1"/>
  <c r="EX69" i="1"/>
  <c r="EW38" i="1"/>
  <c r="EX28" i="1"/>
  <c r="EV15" i="1"/>
  <c r="EV70" i="1"/>
  <c r="EV40" i="1"/>
  <c r="EV57" i="1"/>
  <c r="EW69" i="1"/>
  <c r="EX10" i="1"/>
  <c r="EV26" i="1"/>
  <c r="EV12" i="1"/>
  <c r="EV49" i="1"/>
  <c r="EV19" i="1"/>
  <c r="EV18" i="1"/>
  <c r="EX55" i="1"/>
  <c r="AF35" i="2"/>
  <c r="FU8" i="1"/>
  <c r="FV8" i="1" s="1"/>
  <c r="GG8" i="1"/>
  <c r="GP8" i="1" s="1"/>
  <c r="AL67" i="1"/>
  <c r="AN67" i="1" s="1"/>
  <c r="AU67" i="1" s="1"/>
  <c r="V58" i="1"/>
  <c r="X58" i="1" s="1"/>
  <c r="V17" i="1"/>
  <c r="X17" i="1" s="1"/>
  <c r="V38" i="1"/>
  <c r="X38" i="1" s="1"/>
  <c r="V29" i="1"/>
  <c r="X29" i="1" s="1"/>
  <c r="V30" i="1"/>
  <c r="X30" i="1" s="1"/>
  <c r="V59" i="1"/>
  <c r="X59" i="1" s="1"/>
  <c r="V18" i="1"/>
  <c r="X18" i="1" s="1"/>
  <c r="V31" i="1"/>
  <c r="X31" i="1" s="1"/>
  <c r="V48" i="1"/>
  <c r="X48" i="1" s="1"/>
  <c r="V19" i="1"/>
  <c r="X19" i="1" s="1"/>
  <c r="V32" i="1"/>
  <c r="X32" i="1" s="1"/>
  <c r="V49" i="1"/>
  <c r="X49" i="1" s="1"/>
  <c r="V69" i="1"/>
  <c r="X69" i="1" s="1"/>
  <c r="V21" i="1"/>
  <c r="X21" i="1" s="1"/>
  <c r="V35" i="1"/>
  <c r="X35" i="1" s="1"/>
  <c r="V50" i="1"/>
  <c r="X50" i="1" s="1"/>
  <c r="V70" i="1"/>
  <c r="X70" i="1" s="1"/>
  <c r="V22" i="1"/>
  <c r="X22" i="1" s="1"/>
  <c r="V36" i="1"/>
  <c r="X36" i="1" s="1"/>
  <c r="V51" i="1"/>
  <c r="X51" i="1" s="1"/>
  <c r="V73" i="1"/>
  <c r="X73" i="1" s="1"/>
  <c r="V23" i="1"/>
  <c r="X23" i="1" s="1"/>
  <c r="V52" i="1"/>
  <c r="X52" i="1" s="1"/>
  <c r="V74" i="1"/>
  <c r="X74" i="1" s="1"/>
  <c r="V11" i="1"/>
  <c r="X11" i="1" s="1"/>
  <c r="V24" i="1"/>
  <c r="X24" i="1" s="1"/>
  <c r="V41" i="1"/>
  <c r="X41" i="1" s="1"/>
  <c r="V53" i="1"/>
  <c r="X53" i="1" s="1"/>
  <c r="V75" i="1"/>
  <c r="X75" i="1" s="1"/>
  <c r="V12" i="1"/>
  <c r="X12" i="1" s="1"/>
  <c r="V25" i="1"/>
  <c r="X25" i="1" s="1"/>
  <c r="V42" i="1"/>
  <c r="X42" i="1" s="1"/>
  <c r="V54" i="1"/>
  <c r="X54" i="1" s="1"/>
  <c r="V76" i="1"/>
  <c r="X76" i="1" s="1"/>
  <c r="V13" i="1"/>
  <c r="X13" i="1" s="1"/>
  <c r="V26" i="1"/>
  <c r="X26" i="1" s="1"/>
  <c r="V43" i="1"/>
  <c r="X43" i="1" s="1"/>
  <c r="V55" i="1"/>
  <c r="X55" i="1" s="1"/>
  <c r="V77" i="1"/>
  <c r="X77" i="1" s="1"/>
  <c r="V14" i="1"/>
  <c r="X14" i="1" s="1"/>
  <c r="V27" i="1"/>
  <c r="X27" i="1" s="1"/>
  <c r="V44" i="1"/>
  <c r="X44" i="1" s="1"/>
  <c r="V56" i="1"/>
  <c r="X56" i="1" s="1"/>
  <c r="V16" i="1"/>
  <c r="X16" i="1" s="1"/>
  <c r="V46" i="1"/>
  <c r="X46" i="1" s="1"/>
  <c r="V47" i="1"/>
  <c r="X47" i="1" s="1"/>
  <c r="V68" i="1"/>
  <c r="X68" i="1" s="1"/>
  <c r="V15" i="1"/>
  <c r="X15" i="1" s="1"/>
  <c r="V28" i="1"/>
  <c r="X28" i="1" s="1"/>
  <c r="V45" i="1"/>
  <c r="X45" i="1" s="1"/>
  <c r="V57" i="1"/>
  <c r="X57" i="1" s="1"/>
  <c r="AM12" i="6"/>
  <c r="P10" i="1"/>
  <c r="V10" i="1" s="1"/>
  <c r="P72" i="1"/>
  <c r="V72" i="1" s="1"/>
  <c r="P40" i="1"/>
  <c r="V40" i="1" s="1"/>
  <c r="P79" i="1"/>
  <c r="V79" i="1" s="1"/>
  <c r="V80" i="1" s="1"/>
  <c r="H81" i="1"/>
  <c r="P20" i="1"/>
  <c r="FD65" i="1" l="1"/>
  <c r="FD34" i="1"/>
  <c r="FD63" i="1"/>
  <c r="FD64" i="1"/>
  <c r="FD62" i="1"/>
  <c r="FD66" i="1"/>
  <c r="FA37" i="1"/>
  <c r="FC37" i="1" s="1"/>
  <c r="EN81" i="1"/>
  <c r="EI82" i="1" s="1"/>
  <c r="EO81" i="1"/>
  <c r="AP35" i="2"/>
  <c r="EW39" i="1"/>
  <c r="FD61" i="1"/>
  <c r="FD60" i="1"/>
  <c r="FD33" i="1"/>
  <c r="EW71" i="1"/>
  <c r="EX71" i="1"/>
  <c r="EV78" i="1"/>
  <c r="EV39" i="1"/>
  <c r="EX39" i="1"/>
  <c r="EP81" i="1"/>
  <c r="EV71" i="1"/>
  <c r="EW78" i="1"/>
  <c r="AN109" i="12"/>
  <c r="FE37" i="1"/>
  <c r="FD37" i="1"/>
  <c r="FD53" i="1"/>
  <c r="FD23" i="1"/>
  <c r="FD30" i="1"/>
  <c r="FD48" i="1"/>
  <c r="FD20" i="1"/>
  <c r="FD10" i="1"/>
  <c r="FE38" i="1"/>
  <c r="FD46" i="1"/>
  <c r="FD19" i="1"/>
  <c r="FD26" i="1"/>
  <c r="FD44" i="1"/>
  <c r="FD16" i="1"/>
  <c r="FD73" i="1"/>
  <c r="FD75" i="1"/>
  <c r="FD79" i="1"/>
  <c r="FD80" i="1" s="1"/>
  <c r="FF10" i="1"/>
  <c r="FD22" i="1"/>
  <c r="FF57" i="1"/>
  <c r="FD13" i="1"/>
  <c r="FF69" i="1"/>
  <c r="FE74" i="1"/>
  <c r="FD18" i="1"/>
  <c r="FD72" i="1"/>
  <c r="FD15" i="1"/>
  <c r="FE36" i="1"/>
  <c r="FM1" i="1"/>
  <c r="FF52" i="1"/>
  <c r="FD70" i="1"/>
  <c r="FF40" i="1"/>
  <c r="FD29" i="1"/>
  <c r="FF53" i="1"/>
  <c r="FF45" i="1"/>
  <c r="FD45" i="1"/>
  <c r="FD11" i="1"/>
  <c r="FD41" i="1"/>
  <c r="FD32" i="1"/>
  <c r="FF12" i="1"/>
  <c r="FE75" i="1"/>
  <c r="FE35" i="1"/>
  <c r="FD36" i="1"/>
  <c r="FD68" i="1"/>
  <c r="FD67" i="1"/>
  <c r="FD21" i="1"/>
  <c r="FD24" i="1"/>
  <c r="FF28" i="1"/>
  <c r="FD51" i="1"/>
  <c r="FF13" i="1"/>
  <c r="FF29" i="1"/>
  <c r="FF18" i="1"/>
  <c r="FF17" i="1"/>
  <c r="FF15" i="1"/>
  <c r="FD31" i="1"/>
  <c r="FD47" i="1"/>
  <c r="FD56" i="1"/>
  <c r="FF70" i="1"/>
  <c r="FF38" i="1"/>
  <c r="FE69" i="1"/>
  <c r="FD54" i="1"/>
  <c r="FD77" i="1"/>
  <c r="FE68" i="1"/>
  <c r="FF67" i="1"/>
  <c r="FD49" i="1"/>
  <c r="FD42" i="1"/>
  <c r="FD69" i="1"/>
  <c r="FD52" i="1"/>
  <c r="FD25" i="1"/>
  <c r="FD50" i="1"/>
  <c r="FD17" i="1"/>
  <c r="FD57" i="1"/>
  <c r="FD59" i="1"/>
  <c r="FF36" i="1"/>
  <c r="FD58" i="1"/>
  <c r="FD40" i="1"/>
  <c r="FD14" i="1"/>
  <c r="FF44" i="1"/>
  <c r="FD12" i="1"/>
  <c r="FF42" i="1"/>
  <c r="FD55" i="1"/>
  <c r="FF26" i="1"/>
  <c r="FD76" i="1"/>
  <c r="FD35" i="1"/>
  <c r="FF46" i="1"/>
  <c r="FD74" i="1"/>
  <c r="FD38" i="1"/>
  <c r="FD43" i="1"/>
  <c r="FD28" i="1"/>
  <c r="FE67" i="1"/>
  <c r="FD27" i="1"/>
  <c r="FF55" i="1"/>
  <c r="AG35" i="2"/>
  <c r="GQ8" i="1"/>
  <c r="GR8" i="1" s="1"/>
  <c r="GY8" i="1"/>
  <c r="GH8" i="1"/>
  <c r="GI8" i="1" s="1"/>
  <c r="V71" i="1"/>
  <c r="V78" i="1"/>
  <c r="AW67" i="1"/>
  <c r="AD76" i="1"/>
  <c r="AD56" i="1"/>
  <c r="AF56" i="1" s="1"/>
  <c r="AL56" i="1" s="1"/>
  <c r="AD44" i="1"/>
  <c r="AF44" i="1" s="1"/>
  <c r="AL44" i="1" s="1"/>
  <c r="AD27" i="1"/>
  <c r="AF27" i="1" s="1"/>
  <c r="AL27" i="1" s="1"/>
  <c r="AD77" i="1"/>
  <c r="AF77" i="1" s="1"/>
  <c r="AL77" i="1" s="1"/>
  <c r="AD38" i="1"/>
  <c r="AF38" i="1" s="1"/>
  <c r="AL38" i="1" s="1"/>
  <c r="AD19" i="1"/>
  <c r="AF19" i="1" s="1"/>
  <c r="AL19" i="1" s="1"/>
  <c r="AD46" i="1"/>
  <c r="AF46" i="1" s="1"/>
  <c r="AL46" i="1" s="1"/>
  <c r="AD31" i="1"/>
  <c r="AF31" i="1" s="1"/>
  <c r="AL31" i="1" s="1"/>
  <c r="AD14" i="1"/>
  <c r="AF14" i="1" s="1"/>
  <c r="AL14" i="1" s="1"/>
  <c r="AD41" i="1"/>
  <c r="AF41" i="1" s="1"/>
  <c r="AL41" i="1" s="1"/>
  <c r="AD45" i="1"/>
  <c r="AF45" i="1" s="1"/>
  <c r="AL45" i="1" s="1"/>
  <c r="AD55" i="1"/>
  <c r="AF55" i="1" s="1"/>
  <c r="AL55" i="1" s="1"/>
  <c r="AD24" i="1"/>
  <c r="AF24" i="1" s="1"/>
  <c r="AL24" i="1" s="1"/>
  <c r="AD21" i="1"/>
  <c r="AF21" i="1" s="1"/>
  <c r="AL21" i="1" s="1"/>
  <c r="AD17" i="1"/>
  <c r="AF17" i="1" s="1"/>
  <c r="AL17" i="1" s="1"/>
  <c r="AD73" i="1"/>
  <c r="AF73" i="1" s="1"/>
  <c r="AL73" i="1" s="1"/>
  <c r="AD42" i="1"/>
  <c r="AF42" i="1" s="1"/>
  <c r="AL42" i="1" s="1"/>
  <c r="AD25" i="1"/>
  <c r="AF25" i="1" s="1"/>
  <c r="AL25" i="1" s="1"/>
  <c r="AD12" i="1"/>
  <c r="AF12" i="1" s="1"/>
  <c r="AL12" i="1" s="1"/>
  <c r="AD75" i="1"/>
  <c r="AF75" i="1" s="1"/>
  <c r="AL75" i="1" s="1"/>
  <c r="AD29" i="1"/>
  <c r="AF29" i="1" s="1"/>
  <c r="AL29" i="1" s="1"/>
  <c r="AD43" i="1"/>
  <c r="AF43" i="1" s="1"/>
  <c r="AL43" i="1" s="1"/>
  <c r="AD69" i="1"/>
  <c r="AF69" i="1" s="1"/>
  <c r="AL69" i="1" s="1"/>
  <c r="AD58" i="1"/>
  <c r="AF58" i="1" s="1"/>
  <c r="AL58" i="1" s="1"/>
  <c r="AD47" i="1"/>
  <c r="AF47" i="1" s="1"/>
  <c r="AL47" i="1" s="1"/>
  <c r="AD48" i="1"/>
  <c r="AF48" i="1" s="1"/>
  <c r="AL48" i="1" s="1"/>
  <c r="AD51" i="1"/>
  <c r="AF51" i="1" s="1"/>
  <c r="AL51" i="1" s="1"/>
  <c r="AD36" i="1"/>
  <c r="AF36" i="1" s="1"/>
  <c r="AL36" i="1" s="1"/>
  <c r="AD59" i="1"/>
  <c r="AF59" i="1" s="1"/>
  <c r="AL59" i="1" s="1"/>
  <c r="AD30" i="1"/>
  <c r="AF30" i="1" s="1"/>
  <c r="AL30" i="1" s="1"/>
  <c r="AD50" i="1"/>
  <c r="AF50" i="1" s="1"/>
  <c r="AL50" i="1" s="1"/>
  <c r="AD35" i="1"/>
  <c r="AF35" i="1" s="1"/>
  <c r="AL35" i="1" s="1"/>
  <c r="AD15" i="1"/>
  <c r="AF15" i="1" s="1"/>
  <c r="AL15" i="1" s="1"/>
  <c r="AD74" i="1"/>
  <c r="AF74" i="1" s="1"/>
  <c r="AL74" i="1" s="1"/>
  <c r="AD49" i="1"/>
  <c r="AF49" i="1" s="1"/>
  <c r="AL49" i="1" s="1"/>
  <c r="AD23" i="1"/>
  <c r="AF23" i="1" s="1"/>
  <c r="AL23" i="1" s="1"/>
  <c r="AD54" i="1"/>
  <c r="AF54" i="1" s="1"/>
  <c r="AL54" i="1" s="1"/>
  <c r="AD16" i="1"/>
  <c r="AF16" i="1" s="1"/>
  <c r="AL16" i="1" s="1"/>
  <c r="AD18" i="1"/>
  <c r="AF18" i="1" s="1"/>
  <c r="AL18" i="1" s="1"/>
  <c r="AD22" i="1"/>
  <c r="AF22" i="1" s="1"/>
  <c r="AL22" i="1" s="1"/>
  <c r="AD70" i="1"/>
  <c r="AF70" i="1" s="1"/>
  <c r="AL70" i="1" s="1"/>
  <c r="AD53" i="1"/>
  <c r="AF53" i="1" s="1"/>
  <c r="AL53" i="1" s="1"/>
  <c r="AD57" i="1"/>
  <c r="AF57" i="1" s="1"/>
  <c r="AL57" i="1" s="1"/>
  <c r="AD28" i="1"/>
  <c r="AF28" i="1" s="1"/>
  <c r="AL28" i="1" s="1"/>
  <c r="AD11" i="1"/>
  <c r="AF11" i="1" s="1"/>
  <c r="AL11" i="1" s="1"/>
  <c r="AD26" i="1"/>
  <c r="AF26" i="1" s="1"/>
  <c r="AL26" i="1" s="1"/>
  <c r="AD68" i="1"/>
  <c r="AF68" i="1" s="1"/>
  <c r="AL68" i="1" s="1"/>
  <c r="AD13" i="1"/>
  <c r="AF13" i="1" s="1"/>
  <c r="AL13" i="1" s="1"/>
  <c r="AD52" i="1"/>
  <c r="AF52" i="1" s="1"/>
  <c r="AL52" i="1" s="1"/>
  <c r="AD32" i="1"/>
  <c r="AF32" i="1" s="1"/>
  <c r="AL32" i="1" s="1"/>
  <c r="V20" i="1"/>
  <c r="V39" i="1" s="1"/>
  <c r="P80" i="1"/>
  <c r="P71" i="1"/>
  <c r="P78" i="1"/>
  <c r="P39" i="1"/>
  <c r="FL64" i="1" l="1"/>
  <c r="FL34" i="1"/>
  <c r="FL66" i="1"/>
  <c r="FL62" i="1"/>
  <c r="FL65" i="1"/>
  <c r="FL63" i="1"/>
  <c r="EW81" i="1"/>
  <c r="AQ35" i="2"/>
  <c r="FL61" i="1"/>
  <c r="FL60" i="1"/>
  <c r="FL33" i="1"/>
  <c r="EV81" i="1"/>
  <c r="EQ82" i="1" s="1"/>
  <c r="FD39" i="1"/>
  <c r="FF71" i="1"/>
  <c r="FF39" i="1"/>
  <c r="FE71" i="1"/>
  <c r="FE39" i="1"/>
  <c r="FD78" i="1"/>
  <c r="FD71" i="1"/>
  <c r="FE78" i="1"/>
  <c r="EX81" i="1"/>
  <c r="FI37" i="1"/>
  <c r="FK37" i="1" s="1"/>
  <c r="FM37" i="1"/>
  <c r="FL37" i="1"/>
  <c r="FL77" i="1"/>
  <c r="FL14" i="1"/>
  <c r="FL72" i="1"/>
  <c r="FL25" i="1"/>
  <c r="FL47" i="1"/>
  <c r="FL23" i="1"/>
  <c r="FL17" i="1"/>
  <c r="FM38" i="1"/>
  <c r="FL73" i="1"/>
  <c r="FL10" i="1"/>
  <c r="FN67" i="1"/>
  <c r="FL42" i="1"/>
  <c r="FN18" i="1"/>
  <c r="FN70" i="1"/>
  <c r="FL21" i="1"/>
  <c r="FL68" i="1"/>
  <c r="FN69" i="1"/>
  <c r="FL35" i="1"/>
  <c r="FL55" i="1"/>
  <c r="FL20" i="1"/>
  <c r="FL52" i="1"/>
  <c r="FL24" i="1"/>
  <c r="FL19" i="1"/>
  <c r="FN40" i="1"/>
  <c r="FL15" i="1"/>
  <c r="FL40" i="1"/>
  <c r="FL29" i="1"/>
  <c r="FL36" i="1"/>
  <c r="FM75" i="1"/>
  <c r="FL58" i="1"/>
  <c r="FN17" i="1"/>
  <c r="FL59" i="1"/>
  <c r="FL22" i="1"/>
  <c r="FL43" i="1"/>
  <c r="FL18" i="1"/>
  <c r="FM74" i="1"/>
  <c r="FL16" i="1"/>
  <c r="FN44" i="1"/>
  <c r="FN10" i="1"/>
  <c r="FN42" i="1"/>
  <c r="FL13" i="1"/>
  <c r="FL28" i="1"/>
  <c r="FL26" i="1"/>
  <c r="FN38" i="1"/>
  <c r="FL69" i="1"/>
  <c r="FN57" i="1"/>
  <c r="FN52" i="1"/>
  <c r="FN55" i="1"/>
  <c r="FL53" i="1"/>
  <c r="FN28" i="1"/>
  <c r="FN46" i="1"/>
  <c r="FL11" i="1"/>
  <c r="FL46" i="1"/>
  <c r="FL32" i="1"/>
  <c r="FN53" i="1"/>
  <c r="FL57" i="1"/>
  <c r="FL50" i="1"/>
  <c r="FL12" i="1"/>
  <c r="FL70" i="1"/>
  <c r="FL30" i="1"/>
  <c r="FL79" i="1"/>
  <c r="FL80" i="1" s="1"/>
  <c r="FL44" i="1"/>
  <c r="FN45" i="1"/>
  <c r="FN15" i="1"/>
  <c r="FM67" i="1"/>
  <c r="FL67" i="1"/>
  <c r="FL38" i="1"/>
  <c r="FM36" i="1"/>
  <c r="FL49" i="1"/>
  <c r="FM35" i="1"/>
  <c r="FN36" i="1"/>
  <c r="FL56" i="1"/>
  <c r="FL27" i="1"/>
  <c r="FM69" i="1"/>
  <c r="FM68" i="1"/>
  <c r="FL45" i="1"/>
  <c r="FL75" i="1"/>
  <c r="FL51" i="1"/>
  <c r="FL41" i="1"/>
  <c r="FN26" i="1"/>
  <c r="FN29" i="1"/>
  <c r="FN12" i="1"/>
  <c r="FL48" i="1"/>
  <c r="FL54" i="1"/>
  <c r="FN13" i="1"/>
  <c r="FL74" i="1"/>
  <c r="FU1" i="1"/>
  <c r="FL76" i="1"/>
  <c r="FL31" i="1"/>
  <c r="AH35" i="2"/>
  <c r="GZ8" i="1"/>
  <c r="HA8" i="1" s="1"/>
  <c r="HH8" i="1"/>
  <c r="V81" i="1"/>
  <c r="BC67" i="1"/>
  <c r="BE67" i="1" s="1"/>
  <c r="BM67" i="1" s="1"/>
  <c r="AF76" i="1"/>
  <c r="AL76" i="1" s="1"/>
  <c r="X20" i="1"/>
  <c r="X10" i="1"/>
  <c r="AD10" i="1" s="1"/>
  <c r="X72" i="1"/>
  <c r="AD72" i="1" s="1"/>
  <c r="AD78" i="1" s="1"/>
  <c r="X40" i="1"/>
  <c r="AD40" i="1" s="1"/>
  <c r="AD71" i="1" s="1"/>
  <c r="P81" i="1"/>
  <c r="X79" i="1"/>
  <c r="AD79" i="1" s="1"/>
  <c r="AD80" i="1" s="1"/>
  <c r="FT34" i="1" l="1"/>
  <c r="FT65" i="1"/>
  <c r="FT63" i="1"/>
  <c r="FT66" i="1"/>
  <c r="FT62" i="1"/>
  <c r="FT64" i="1"/>
  <c r="FQ37" i="1"/>
  <c r="FS37" i="1" s="1"/>
  <c r="FM78" i="1"/>
  <c r="FN39" i="1"/>
  <c r="FL78" i="1"/>
  <c r="FL71" i="1"/>
  <c r="FN71" i="1"/>
  <c r="FM39" i="1"/>
  <c r="FL39" i="1"/>
  <c r="FM71" i="1"/>
  <c r="FE81" i="1"/>
  <c r="FD81" i="1"/>
  <c r="EY82" i="1" s="1"/>
  <c r="FT33" i="1"/>
  <c r="FT61" i="1"/>
  <c r="FT60" i="1"/>
  <c r="FF81" i="1"/>
  <c r="FT37" i="1"/>
  <c r="FU37" i="1"/>
  <c r="FT50" i="1"/>
  <c r="FT16" i="1"/>
  <c r="FT45" i="1"/>
  <c r="FT75" i="1"/>
  <c r="FV46" i="1"/>
  <c r="FT14" i="1"/>
  <c r="FT28" i="1"/>
  <c r="FU35" i="1"/>
  <c r="FT46" i="1"/>
  <c r="FT76" i="1"/>
  <c r="FV42" i="1"/>
  <c r="FT24" i="1"/>
  <c r="FT77" i="1"/>
  <c r="FT56" i="1"/>
  <c r="FT42" i="1"/>
  <c r="FT19" i="1"/>
  <c r="FT15" i="1"/>
  <c r="FT67" i="1"/>
  <c r="FU75" i="1"/>
  <c r="FV10" i="1"/>
  <c r="FT55" i="1"/>
  <c r="FV67" i="1"/>
  <c r="FV13" i="1"/>
  <c r="FV17" i="1"/>
  <c r="FT47" i="1"/>
  <c r="FT12" i="1"/>
  <c r="FT52" i="1"/>
  <c r="FV53" i="1"/>
  <c r="FT22" i="1"/>
  <c r="FV45" i="1"/>
  <c r="FT11" i="1"/>
  <c r="FT74" i="1"/>
  <c r="FT70" i="1"/>
  <c r="FT27" i="1"/>
  <c r="FV40" i="1"/>
  <c r="FT41" i="1"/>
  <c r="FT21" i="1"/>
  <c r="FT79" i="1"/>
  <c r="FT80" i="1" s="1"/>
  <c r="FT30" i="1"/>
  <c r="FT44" i="1"/>
  <c r="FT10" i="1"/>
  <c r="FU67" i="1"/>
  <c r="FV44" i="1"/>
  <c r="FU36" i="1"/>
  <c r="FT49" i="1"/>
  <c r="FU68" i="1"/>
  <c r="GH1" i="1"/>
  <c r="FV70" i="1"/>
  <c r="FT32" i="1"/>
  <c r="FV57" i="1"/>
  <c r="FT73" i="1"/>
  <c r="FT29" i="1"/>
  <c r="FT58" i="1"/>
  <c r="FT17" i="1"/>
  <c r="FV36" i="1"/>
  <c r="FT36" i="1"/>
  <c r="FT59" i="1"/>
  <c r="FT43" i="1"/>
  <c r="FT68" i="1"/>
  <c r="FT53" i="1"/>
  <c r="FT51" i="1"/>
  <c r="FT31" i="1"/>
  <c r="FV26" i="1"/>
  <c r="FU74" i="1"/>
  <c r="FT26" i="1"/>
  <c r="FT38" i="1"/>
  <c r="FT57" i="1"/>
  <c r="FT40" i="1"/>
  <c r="FU69" i="1"/>
  <c r="FT20" i="1"/>
  <c r="FT23" i="1"/>
  <c r="FV52" i="1"/>
  <c r="FV69" i="1"/>
  <c r="FV55" i="1"/>
  <c r="FT72" i="1"/>
  <c r="FT13" i="1"/>
  <c r="FV12" i="1"/>
  <c r="FV15" i="1"/>
  <c r="FT48" i="1"/>
  <c r="FT35" i="1"/>
  <c r="FV28" i="1"/>
  <c r="FV38" i="1"/>
  <c r="FT69" i="1"/>
  <c r="FV29" i="1"/>
  <c r="FT18" i="1"/>
  <c r="FT25" i="1"/>
  <c r="FU38" i="1"/>
  <c r="FT54" i="1"/>
  <c r="FV18" i="1"/>
  <c r="AI35" i="2"/>
  <c r="HI8" i="1"/>
  <c r="HJ8" i="1" s="1"/>
  <c r="HQ8" i="1"/>
  <c r="BO67" i="1"/>
  <c r="BX67" i="1" s="1"/>
  <c r="AD20" i="1"/>
  <c r="AF20" i="1" s="1"/>
  <c r="AL20" i="1" s="1"/>
  <c r="X80" i="1"/>
  <c r="X71" i="1"/>
  <c r="X78" i="1"/>
  <c r="X39" i="1"/>
  <c r="GG34" i="1" l="1"/>
  <c r="GG66" i="1"/>
  <c r="GG64" i="1"/>
  <c r="GG63" i="1"/>
  <c r="GG62" i="1"/>
  <c r="GG65" i="1"/>
  <c r="GD37" i="1"/>
  <c r="GF37" i="1" s="1"/>
  <c r="FU78" i="1"/>
  <c r="FU71" i="1"/>
  <c r="FT78" i="1"/>
  <c r="FT39" i="1"/>
  <c r="FV71" i="1"/>
  <c r="FT71" i="1"/>
  <c r="FV39" i="1"/>
  <c r="FU39" i="1"/>
  <c r="FL81" i="1"/>
  <c r="FN81" i="1"/>
  <c r="FM81" i="1"/>
  <c r="GF60" i="1"/>
  <c r="GM60" i="1" s="1"/>
  <c r="GF61" i="1"/>
  <c r="GM61" i="1" s="1"/>
  <c r="GF33" i="1"/>
  <c r="GM33" i="1" s="1"/>
  <c r="AS35" i="2"/>
  <c r="GG61" i="1"/>
  <c r="GG33" i="1"/>
  <c r="GG60" i="1"/>
  <c r="GQ1" i="1"/>
  <c r="GG37" i="1"/>
  <c r="GH37" i="1"/>
  <c r="GG16" i="1"/>
  <c r="GG48" i="1"/>
  <c r="GG56" i="1"/>
  <c r="GG72" i="1"/>
  <c r="GG58" i="1"/>
  <c r="GI18" i="1"/>
  <c r="GG25" i="1"/>
  <c r="GI69" i="1"/>
  <c r="GI26" i="1"/>
  <c r="GI46" i="1"/>
  <c r="GI45" i="1"/>
  <c r="GG14" i="1"/>
  <c r="GG31" i="1"/>
  <c r="GG59" i="1"/>
  <c r="GG38" i="1"/>
  <c r="GG28" i="1"/>
  <c r="GG13" i="1"/>
  <c r="GI15" i="1"/>
  <c r="GH35" i="1"/>
  <c r="GG57" i="1"/>
  <c r="GG73" i="1"/>
  <c r="GG79" i="1"/>
  <c r="GG80" i="1" s="1"/>
  <c r="GG47" i="1"/>
  <c r="GG53" i="1"/>
  <c r="GG36" i="1"/>
  <c r="GI42" i="1"/>
  <c r="GI40" i="1"/>
  <c r="GG35" i="1"/>
  <c r="GG46" i="1"/>
  <c r="GI29" i="1"/>
  <c r="GG18" i="1"/>
  <c r="GH36" i="1"/>
  <c r="GG11" i="1"/>
  <c r="GG22" i="1"/>
  <c r="GG76" i="1"/>
  <c r="GG15" i="1"/>
  <c r="GG43" i="1"/>
  <c r="GG23" i="1"/>
  <c r="GH68" i="1"/>
  <c r="GI55" i="1"/>
  <c r="GI67" i="1"/>
  <c r="GG29" i="1"/>
  <c r="GG68" i="1"/>
  <c r="GG70" i="1"/>
  <c r="GG77" i="1"/>
  <c r="GG49" i="1"/>
  <c r="GG42" i="1"/>
  <c r="GG24" i="1"/>
  <c r="GG67" i="1"/>
  <c r="GG74" i="1"/>
  <c r="GG32" i="1"/>
  <c r="GG45" i="1"/>
  <c r="GH74" i="1"/>
  <c r="GH67" i="1"/>
  <c r="GI12" i="1"/>
  <c r="GI52" i="1"/>
  <c r="GH75" i="1"/>
  <c r="GG50" i="1"/>
  <c r="GG27" i="1"/>
  <c r="GG30" i="1"/>
  <c r="GG26" i="1"/>
  <c r="GH69" i="1"/>
  <c r="GG52" i="1"/>
  <c r="GI17" i="1"/>
  <c r="GG40" i="1"/>
  <c r="GG10" i="1"/>
  <c r="GG19" i="1"/>
  <c r="GI44" i="1"/>
  <c r="GG69" i="1"/>
  <c r="GG51" i="1"/>
  <c r="GG21" i="1"/>
  <c r="GI57" i="1"/>
  <c r="GI13" i="1"/>
  <c r="GI10" i="1"/>
  <c r="GG41" i="1"/>
  <c r="GG55" i="1"/>
  <c r="GG54" i="1"/>
  <c r="GI70" i="1"/>
  <c r="GG44" i="1"/>
  <c r="GI38" i="1"/>
  <c r="GI36" i="1"/>
  <c r="GI53" i="1"/>
  <c r="GG12" i="1"/>
  <c r="GI28" i="1"/>
  <c r="GH38" i="1"/>
  <c r="GG17" i="1"/>
  <c r="GG20" i="1"/>
  <c r="GG75" i="1"/>
  <c r="AJ35" i="2"/>
  <c r="HR8" i="1"/>
  <c r="HS8" i="1" s="1"/>
  <c r="HZ8" i="1"/>
  <c r="AD39" i="1"/>
  <c r="AD81" i="1" s="1"/>
  <c r="AF10" i="1"/>
  <c r="AL10" i="1" s="1"/>
  <c r="AL39" i="1" s="1"/>
  <c r="AF72" i="1"/>
  <c r="AL72" i="1" s="1"/>
  <c r="AL78" i="1" s="1"/>
  <c r="AF40" i="1"/>
  <c r="AL40" i="1" s="1"/>
  <c r="AL71" i="1" s="1"/>
  <c r="AF79" i="1"/>
  <c r="AL79" i="1" s="1"/>
  <c r="AL80" i="1" s="1"/>
  <c r="X81" i="1"/>
  <c r="GP65" i="1" l="1"/>
  <c r="GP34" i="1"/>
  <c r="GP63" i="1"/>
  <c r="GP66" i="1"/>
  <c r="GP64" i="1"/>
  <c r="GP62" i="1"/>
  <c r="FU81" i="1"/>
  <c r="GM37" i="1"/>
  <c r="GO37" i="1" s="1"/>
  <c r="GH71" i="1"/>
  <c r="GH39" i="1"/>
  <c r="GG39" i="1"/>
  <c r="GH78" i="1"/>
  <c r="GG78" i="1"/>
  <c r="GG71" i="1"/>
  <c r="GI71" i="1"/>
  <c r="GI39" i="1"/>
  <c r="FT81" i="1"/>
  <c r="FO82" i="1" s="1"/>
  <c r="FV81" i="1"/>
  <c r="GO60" i="1"/>
  <c r="GV60" i="1" s="1"/>
  <c r="GO33" i="1"/>
  <c r="GV33" i="1" s="1"/>
  <c r="GO61" i="1"/>
  <c r="GV61" i="1" s="1"/>
  <c r="GP60" i="1"/>
  <c r="GP61" i="1"/>
  <c r="GP33" i="1"/>
  <c r="GQ37" i="1"/>
  <c r="GP37" i="1"/>
  <c r="GR52" i="1"/>
  <c r="GP42" i="1"/>
  <c r="GR38" i="1"/>
  <c r="GP54" i="1"/>
  <c r="GP52" i="1"/>
  <c r="GP19" i="1"/>
  <c r="GR55" i="1"/>
  <c r="GP55" i="1"/>
  <c r="GQ36" i="1"/>
  <c r="GR26" i="1"/>
  <c r="GR45" i="1"/>
  <c r="GP73" i="1"/>
  <c r="GP43" i="1"/>
  <c r="GP69" i="1"/>
  <c r="GQ38" i="1"/>
  <c r="GP51" i="1"/>
  <c r="GR36" i="1"/>
  <c r="GZ1" i="1"/>
  <c r="GP21" i="1"/>
  <c r="GP79" i="1"/>
  <c r="GP80" i="1" s="1"/>
  <c r="GP57" i="1"/>
  <c r="GP17" i="1"/>
  <c r="GP41" i="1"/>
  <c r="GP56" i="1"/>
  <c r="GP13" i="1"/>
  <c r="GP24" i="1"/>
  <c r="GP75" i="1"/>
  <c r="GP58" i="1"/>
  <c r="GR70" i="1"/>
  <c r="GR44" i="1"/>
  <c r="GP31" i="1"/>
  <c r="GR10" i="1"/>
  <c r="GP30" i="1"/>
  <c r="GP11" i="1"/>
  <c r="GR40" i="1"/>
  <c r="GR29" i="1"/>
  <c r="GP18" i="1"/>
  <c r="GR28" i="1"/>
  <c r="GQ68" i="1"/>
  <c r="GR53" i="1"/>
  <c r="GP40" i="1"/>
  <c r="GQ35" i="1"/>
  <c r="GP12" i="1"/>
  <c r="GP47" i="1"/>
  <c r="GP20" i="1"/>
  <c r="GP49" i="1"/>
  <c r="GP44" i="1"/>
  <c r="GP22" i="1"/>
  <c r="GP36" i="1"/>
  <c r="GR13" i="1"/>
  <c r="GR67" i="1"/>
  <c r="GQ67" i="1"/>
  <c r="GP70" i="1"/>
  <c r="GP38" i="1"/>
  <c r="GR15" i="1"/>
  <c r="GP45" i="1"/>
  <c r="GP23" i="1"/>
  <c r="GR17" i="1"/>
  <c r="GR57" i="1"/>
  <c r="GQ75" i="1"/>
  <c r="GP27" i="1"/>
  <c r="GR69" i="1"/>
  <c r="GR42" i="1"/>
  <c r="GP35" i="1"/>
  <c r="GP50" i="1"/>
  <c r="GR12" i="1"/>
  <c r="GP74" i="1"/>
  <c r="GP28" i="1"/>
  <c r="GR18" i="1"/>
  <c r="GP26" i="1"/>
  <c r="GP29" i="1"/>
  <c r="GP46" i="1"/>
  <c r="GP16" i="1"/>
  <c r="GQ69" i="1"/>
  <c r="GP15" i="1"/>
  <c r="GP10" i="1"/>
  <c r="GP59" i="1"/>
  <c r="GP25" i="1"/>
  <c r="GP77" i="1"/>
  <c r="GP68" i="1"/>
  <c r="GP48" i="1"/>
  <c r="GP76" i="1"/>
  <c r="GQ74" i="1"/>
  <c r="GP53" i="1"/>
  <c r="GP72" i="1"/>
  <c r="GP14" i="1"/>
  <c r="GR46" i="1"/>
  <c r="GP67" i="1"/>
  <c r="GP32" i="1"/>
  <c r="FG82" i="1"/>
  <c r="AM35" i="2"/>
  <c r="AK35" i="2"/>
  <c r="IA8" i="1"/>
  <c r="IB8" i="1" s="1"/>
  <c r="II8" i="1"/>
  <c r="AL81" i="1"/>
  <c r="AF80" i="1"/>
  <c r="AF71" i="1"/>
  <c r="AF78" i="1"/>
  <c r="AF39" i="1"/>
  <c r="AN76" i="1"/>
  <c r="AU76" i="1" s="1"/>
  <c r="AN75" i="1"/>
  <c r="AU75" i="1" s="1"/>
  <c r="AN74" i="1"/>
  <c r="AU74" i="1" s="1"/>
  <c r="AN73" i="1"/>
  <c r="AU73" i="1" s="1"/>
  <c r="AN70" i="1"/>
  <c r="AU70" i="1" s="1"/>
  <c r="AN69" i="1"/>
  <c r="AU69" i="1" s="1"/>
  <c r="AN68" i="1"/>
  <c r="AU68" i="1" s="1"/>
  <c r="AN59" i="1"/>
  <c r="AU59" i="1" s="1"/>
  <c r="AN58" i="1"/>
  <c r="AU58" i="1" s="1"/>
  <c r="AN57" i="1"/>
  <c r="AU57" i="1" s="1"/>
  <c r="AN56" i="1"/>
  <c r="AU56" i="1" s="1"/>
  <c r="AN55" i="1"/>
  <c r="AU55" i="1" s="1"/>
  <c r="AN54" i="1"/>
  <c r="AU54" i="1" s="1"/>
  <c r="AN53" i="1"/>
  <c r="AU53" i="1" s="1"/>
  <c r="AN52" i="1"/>
  <c r="AU52" i="1" s="1"/>
  <c r="AN51" i="1"/>
  <c r="AU51" i="1" s="1"/>
  <c r="AN50" i="1"/>
  <c r="AU50" i="1" s="1"/>
  <c r="AN49" i="1"/>
  <c r="AU49" i="1" s="1"/>
  <c r="AN48" i="1"/>
  <c r="AU48" i="1" s="1"/>
  <c r="AN47" i="1"/>
  <c r="AU47" i="1" s="1"/>
  <c r="AN46" i="1"/>
  <c r="AU46" i="1" s="1"/>
  <c r="AN45" i="1"/>
  <c r="AU45" i="1" s="1"/>
  <c r="AN44" i="1"/>
  <c r="AU44" i="1" s="1"/>
  <c r="AN43" i="1"/>
  <c r="AU43" i="1" s="1"/>
  <c r="AN42" i="1"/>
  <c r="AU42" i="1" s="1"/>
  <c r="AN41" i="1"/>
  <c r="AU41" i="1" s="1"/>
  <c r="AN38" i="1"/>
  <c r="AU38" i="1" s="1"/>
  <c r="AN36" i="1"/>
  <c r="AU36" i="1" s="1"/>
  <c r="AN35" i="1"/>
  <c r="AU35" i="1" s="1"/>
  <c r="AN32" i="1"/>
  <c r="AU32" i="1" s="1"/>
  <c r="AN31" i="1"/>
  <c r="AU31" i="1" s="1"/>
  <c r="AN30" i="1"/>
  <c r="AU30" i="1" s="1"/>
  <c r="AN29" i="1"/>
  <c r="AU29" i="1" s="1"/>
  <c r="AN28" i="1"/>
  <c r="AU28" i="1" s="1"/>
  <c r="AN27" i="1"/>
  <c r="AU27" i="1" s="1"/>
  <c r="AN26" i="1"/>
  <c r="AU26" i="1" s="1"/>
  <c r="AN25" i="1"/>
  <c r="AU25" i="1" s="1"/>
  <c r="AN24" i="1"/>
  <c r="AU24" i="1" s="1"/>
  <c r="AN23" i="1"/>
  <c r="AU23" i="1" s="1"/>
  <c r="AN22" i="1"/>
  <c r="AU22" i="1" s="1"/>
  <c r="AN21" i="1"/>
  <c r="AU21" i="1" s="1"/>
  <c r="AN20" i="1"/>
  <c r="AU20" i="1" s="1"/>
  <c r="AN19" i="1"/>
  <c r="AU19" i="1" s="1"/>
  <c r="AN18" i="1"/>
  <c r="AU18" i="1" s="1"/>
  <c r="AN17" i="1"/>
  <c r="AU17" i="1" s="1"/>
  <c r="AN16" i="1"/>
  <c r="AU16" i="1" s="1"/>
  <c r="AN15" i="1"/>
  <c r="AU15" i="1" s="1"/>
  <c r="AN14" i="1"/>
  <c r="AU14" i="1" s="1"/>
  <c r="AN13" i="1"/>
  <c r="AU13" i="1" s="1"/>
  <c r="AN12" i="1"/>
  <c r="AU12" i="1" s="1"/>
  <c r="AN11" i="1"/>
  <c r="AU11" i="1" s="1"/>
  <c r="GY64" i="1" l="1"/>
  <c r="GY34" i="1"/>
  <c r="GY66" i="1"/>
  <c r="GY62" i="1"/>
  <c r="GY65" i="1"/>
  <c r="GY63" i="1"/>
  <c r="GV37" i="1"/>
  <c r="GX37" i="1" s="1"/>
  <c r="GR71" i="1"/>
  <c r="GQ71" i="1"/>
  <c r="GQ78" i="1"/>
  <c r="GR39" i="1"/>
  <c r="GQ39" i="1"/>
  <c r="GI81" i="1"/>
  <c r="GH81" i="1"/>
  <c r="GG81" i="1"/>
  <c r="GB82" i="1" s="1"/>
  <c r="GP78" i="1"/>
  <c r="GP71" i="1"/>
  <c r="GP39" i="1"/>
  <c r="GX60" i="1"/>
  <c r="HE60" i="1" s="1"/>
  <c r="GX33" i="1"/>
  <c r="HE33" i="1" s="1"/>
  <c r="GX61" i="1"/>
  <c r="HE61" i="1" s="1"/>
  <c r="AU35" i="2"/>
  <c r="GY60" i="1"/>
  <c r="GY61" i="1"/>
  <c r="GY33" i="1"/>
  <c r="GZ37" i="1"/>
  <c r="GY37" i="1"/>
  <c r="HA55" i="1"/>
  <c r="GY49" i="1"/>
  <c r="GY59" i="1"/>
  <c r="GY73" i="1"/>
  <c r="HA18" i="1"/>
  <c r="GY18" i="1"/>
  <c r="HA36" i="1"/>
  <c r="GY79" i="1"/>
  <c r="GY80" i="1" s="1"/>
  <c r="GY38" i="1"/>
  <c r="GY68" i="1"/>
  <c r="GY10" i="1"/>
  <c r="GY22" i="1"/>
  <c r="GY26" i="1"/>
  <c r="GY41" i="1"/>
  <c r="GZ36" i="1"/>
  <c r="GY52" i="1"/>
  <c r="HA69" i="1"/>
  <c r="GY13" i="1"/>
  <c r="GY48" i="1"/>
  <c r="GY55" i="1"/>
  <c r="HA45" i="1"/>
  <c r="HA17" i="1"/>
  <c r="GZ69" i="1"/>
  <c r="GZ75" i="1"/>
  <c r="HA10" i="1"/>
  <c r="GY67" i="1"/>
  <c r="HA67" i="1"/>
  <c r="GY54" i="1"/>
  <c r="GY56" i="1"/>
  <c r="GY14" i="1"/>
  <c r="HA57" i="1"/>
  <c r="HA28" i="1"/>
  <c r="GY11" i="1"/>
  <c r="GY42" i="1"/>
  <c r="GY45" i="1"/>
  <c r="HA12" i="1"/>
  <c r="HA53" i="1"/>
  <c r="HA29" i="1"/>
  <c r="GY15" i="1"/>
  <c r="HA38" i="1"/>
  <c r="GY21" i="1"/>
  <c r="GY19" i="1"/>
  <c r="GY46" i="1"/>
  <c r="GY32" i="1"/>
  <c r="GY77" i="1"/>
  <c r="GY51" i="1"/>
  <c r="GY43" i="1"/>
  <c r="GZ68" i="1"/>
  <c r="HA42" i="1"/>
  <c r="GY50" i="1"/>
  <c r="GY53" i="1"/>
  <c r="GY28" i="1"/>
  <c r="GY25" i="1"/>
  <c r="GY58" i="1"/>
  <c r="GY36" i="1"/>
  <c r="GY27" i="1"/>
  <c r="HA70" i="1"/>
  <c r="HI1" i="1"/>
  <c r="GY24" i="1"/>
  <c r="HA40" i="1"/>
  <c r="HA52" i="1"/>
  <c r="GY44" i="1"/>
  <c r="HA15" i="1"/>
  <c r="GY74" i="1"/>
  <c r="GY69" i="1"/>
  <c r="HA46" i="1"/>
  <c r="GY31" i="1"/>
  <c r="GY76" i="1"/>
  <c r="GY20" i="1"/>
  <c r="GZ35" i="1"/>
  <c r="HA44" i="1"/>
  <c r="GY40" i="1"/>
  <c r="GY47" i="1"/>
  <c r="GY30" i="1"/>
  <c r="GZ74" i="1"/>
  <c r="GY72" i="1"/>
  <c r="GY16" i="1"/>
  <c r="GY29" i="1"/>
  <c r="GY17" i="1"/>
  <c r="GY12" i="1"/>
  <c r="GY70" i="1"/>
  <c r="GY57" i="1"/>
  <c r="GZ38" i="1"/>
  <c r="GY35" i="1"/>
  <c r="GY75" i="1"/>
  <c r="HA26" i="1"/>
  <c r="GZ67" i="1"/>
  <c r="HA13" i="1"/>
  <c r="GY23" i="1"/>
  <c r="AN35" i="2"/>
  <c r="AL35" i="2"/>
  <c r="IJ8" i="1"/>
  <c r="IK8" i="1" s="1"/>
  <c r="IQ8" i="1"/>
  <c r="BZ67" i="1"/>
  <c r="CH67" i="1" s="1"/>
  <c r="AF81" i="1"/>
  <c r="AW15" i="1"/>
  <c r="BC15" i="1" s="1"/>
  <c r="AW27" i="1"/>
  <c r="BC27" i="1" s="1"/>
  <c r="AW44" i="1"/>
  <c r="BC44" i="1" s="1"/>
  <c r="AW55" i="1"/>
  <c r="BC55" i="1" s="1"/>
  <c r="AW16" i="1"/>
  <c r="BC16" i="1" s="1"/>
  <c r="AW28" i="1"/>
  <c r="BC28" i="1" s="1"/>
  <c r="AW45" i="1"/>
  <c r="BC45" i="1" s="1"/>
  <c r="AW56" i="1"/>
  <c r="BC56" i="1" s="1"/>
  <c r="AW17" i="1"/>
  <c r="BC17" i="1" s="1"/>
  <c r="AW29" i="1"/>
  <c r="BC29" i="1" s="1"/>
  <c r="AW46" i="1"/>
  <c r="BC46" i="1" s="1"/>
  <c r="AW57" i="1"/>
  <c r="BC57" i="1" s="1"/>
  <c r="AW18" i="1"/>
  <c r="BC18" i="1" s="1"/>
  <c r="AW30" i="1"/>
  <c r="BC30" i="1" s="1"/>
  <c r="AW47" i="1"/>
  <c r="BC47" i="1" s="1"/>
  <c r="AW58" i="1"/>
  <c r="BC58" i="1" s="1"/>
  <c r="AW19" i="1"/>
  <c r="BC19" i="1" s="1"/>
  <c r="AW31" i="1"/>
  <c r="BC31" i="1" s="1"/>
  <c r="AW48" i="1"/>
  <c r="BC48" i="1" s="1"/>
  <c r="AW59" i="1"/>
  <c r="BC59" i="1" s="1"/>
  <c r="AW20" i="1"/>
  <c r="BC20" i="1" s="1"/>
  <c r="AW32" i="1"/>
  <c r="BC32" i="1" s="1"/>
  <c r="AW49" i="1"/>
  <c r="BC49" i="1" s="1"/>
  <c r="AW68" i="1"/>
  <c r="BC68" i="1" s="1"/>
  <c r="AW21" i="1"/>
  <c r="BC21" i="1" s="1"/>
  <c r="AW35" i="1"/>
  <c r="BC35" i="1" s="1"/>
  <c r="AW50" i="1"/>
  <c r="BC50" i="1" s="1"/>
  <c r="AW69" i="1"/>
  <c r="BC69" i="1" s="1"/>
  <c r="AW22" i="1"/>
  <c r="BC22" i="1" s="1"/>
  <c r="AW36" i="1"/>
  <c r="BC36" i="1" s="1"/>
  <c r="AW51" i="1"/>
  <c r="BC51" i="1" s="1"/>
  <c r="AW70" i="1"/>
  <c r="BC70" i="1" s="1"/>
  <c r="AW11" i="1"/>
  <c r="BC11" i="1" s="1"/>
  <c r="AW23" i="1"/>
  <c r="BC23" i="1" s="1"/>
  <c r="AW38" i="1"/>
  <c r="BC38" i="1" s="1"/>
  <c r="AW52" i="1"/>
  <c r="BC52" i="1" s="1"/>
  <c r="AW73" i="1"/>
  <c r="BC73" i="1" s="1"/>
  <c r="AW12" i="1"/>
  <c r="BC12" i="1" s="1"/>
  <c r="AW24" i="1"/>
  <c r="BC24" i="1" s="1"/>
  <c r="AW41" i="1"/>
  <c r="BC41" i="1" s="1"/>
  <c r="AW53" i="1"/>
  <c r="BC53" i="1" s="1"/>
  <c r="AW74" i="1"/>
  <c r="BC74" i="1" s="1"/>
  <c r="AW13" i="1"/>
  <c r="BC13" i="1" s="1"/>
  <c r="AW25" i="1"/>
  <c r="BC25" i="1" s="1"/>
  <c r="AW42" i="1"/>
  <c r="BC42" i="1" s="1"/>
  <c r="AW54" i="1"/>
  <c r="BC54" i="1" s="1"/>
  <c r="AW75" i="1"/>
  <c r="BC75" i="1" s="1"/>
  <c r="AW14" i="1"/>
  <c r="BC14" i="1" s="1"/>
  <c r="AW26" i="1"/>
  <c r="BC26" i="1" s="1"/>
  <c r="AW43" i="1"/>
  <c r="BC43" i="1" s="1"/>
  <c r="AW76" i="1"/>
  <c r="BC76" i="1" s="1"/>
  <c r="AN10" i="1"/>
  <c r="AU10" i="1" s="1"/>
  <c r="AU39" i="1" s="1"/>
  <c r="H5" i="1"/>
  <c r="HH34" i="1" l="1"/>
  <c r="HH65" i="1"/>
  <c r="HH63" i="1"/>
  <c r="HH62" i="1"/>
  <c r="HH66" i="1"/>
  <c r="HH64" i="1"/>
  <c r="HE37" i="1"/>
  <c r="HG37" i="1" s="1"/>
  <c r="GQ81" i="1"/>
  <c r="GR81" i="1"/>
  <c r="HA71" i="1"/>
  <c r="HA39" i="1"/>
  <c r="GY71" i="1"/>
  <c r="GZ39" i="1"/>
  <c r="GZ78" i="1"/>
  <c r="GY39" i="1"/>
  <c r="GY78" i="1"/>
  <c r="GZ71" i="1"/>
  <c r="GP81" i="1"/>
  <c r="GK82" i="1" s="1"/>
  <c r="HG33" i="1"/>
  <c r="HN33" i="1" s="1"/>
  <c r="HG60" i="1"/>
  <c r="HN60" i="1" s="1"/>
  <c r="HG61" i="1"/>
  <c r="HN61" i="1" s="1"/>
  <c r="AV35" i="2"/>
  <c r="HH60" i="1"/>
  <c r="HH61" i="1"/>
  <c r="HH33" i="1"/>
  <c r="HH37" i="1"/>
  <c r="HI37" i="1"/>
  <c r="HH55" i="1"/>
  <c r="HH38" i="1"/>
  <c r="HH12" i="1"/>
  <c r="HH25" i="1"/>
  <c r="HI67" i="1"/>
  <c r="HJ18" i="1"/>
  <c r="HH17" i="1"/>
  <c r="HH51" i="1"/>
  <c r="HH31" i="1"/>
  <c r="HH68" i="1"/>
  <c r="HJ45" i="1"/>
  <c r="HH14" i="1"/>
  <c r="HH47" i="1"/>
  <c r="HJ44" i="1"/>
  <c r="HI35" i="1"/>
  <c r="HH41" i="1"/>
  <c r="HH72" i="1"/>
  <c r="HH40" i="1"/>
  <c r="HH24" i="1"/>
  <c r="HH69" i="1"/>
  <c r="HJ26" i="1"/>
  <c r="HJ40" i="1"/>
  <c r="HJ55" i="1"/>
  <c r="HH28" i="1"/>
  <c r="HJ46" i="1"/>
  <c r="HH26" i="1"/>
  <c r="HH44" i="1"/>
  <c r="HJ42" i="1"/>
  <c r="HH54" i="1"/>
  <c r="HH70" i="1"/>
  <c r="HJ10" i="1"/>
  <c r="HH59" i="1"/>
  <c r="HH73" i="1"/>
  <c r="HR1" i="1"/>
  <c r="HJ53" i="1"/>
  <c r="HH30" i="1"/>
  <c r="HH29" i="1"/>
  <c r="HH57" i="1"/>
  <c r="HJ29" i="1"/>
  <c r="HH21" i="1"/>
  <c r="HI75" i="1"/>
  <c r="HH27" i="1"/>
  <c r="HH48" i="1"/>
  <c r="HH53" i="1"/>
  <c r="HJ12" i="1"/>
  <c r="HJ17" i="1"/>
  <c r="HH13" i="1"/>
  <c r="HH67" i="1"/>
  <c r="HH43" i="1"/>
  <c r="HH23" i="1"/>
  <c r="HJ13" i="1"/>
  <c r="HH35" i="1"/>
  <c r="HH20" i="1"/>
  <c r="HH32" i="1"/>
  <c r="HH56" i="1"/>
  <c r="HJ38" i="1"/>
  <c r="HH19" i="1"/>
  <c r="HH77" i="1"/>
  <c r="HH16" i="1"/>
  <c r="HJ52" i="1"/>
  <c r="HI36" i="1"/>
  <c r="HJ28" i="1"/>
  <c r="HI69" i="1"/>
  <c r="HH75" i="1"/>
  <c r="HJ15" i="1"/>
  <c r="HH15" i="1"/>
  <c r="HH49" i="1"/>
  <c r="HJ67" i="1"/>
  <c r="HH50" i="1"/>
  <c r="HH18" i="1"/>
  <c r="HH76" i="1"/>
  <c r="HJ70" i="1"/>
  <c r="HH74" i="1"/>
  <c r="HH11" i="1"/>
  <c r="HJ57" i="1"/>
  <c r="HH46" i="1"/>
  <c r="HH58" i="1"/>
  <c r="HJ69" i="1"/>
  <c r="HJ36" i="1"/>
  <c r="HH79" i="1"/>
  <c r="HH80" i="1" s="1"/>
  <c r="HH52" i="1"/>
  <c r="HH10" i="1"/>
  <c r="HI74" i="1"/>
  <c r="HH36" i="1"/>
  <c r="HH22" i="1"/>
  <c r="HI38" i="1"/>
  <c r="HI68" i="1"/>
  <c r="HH45" i="1"/>
  <c r="HH42" i="1"/>
  <c r="AO35" i="2"/>
  <c r="IR8" i="1"/>
  <c r="IS8" i="1" s="1"/>
  <c r="IZ8" i="1"/>
  <c r="AN39" i="1"/>
  <c r="M8" i="1"/>
  <c r="N8" i="1"/>
  <c r="BE14" i="1"/>
  <c r="BM14" i="1" s="1"/>
  <c r="BE52" i="1"/>
  <c r="BM52" i="1" s="1"/>
  <c r="BE68" i="1"/>
  <c r="BM68" i="1" s="1"/>
  <c r="BE57" i="1"/>
  <c r="BM57" i="1" s="1"/>
  <c r="BE75" i="1"/>
  <c r="BM75" i="1" s="1"/>
  <c r="BE38" i="1"/>
  <c r="BM38" i="1" s="1"/>
  <c r="BE49" i="1"/>
  <c r="BM49" i="1" s="1"/>
  <c r="BE46" i="1"/>
  <c r="BM46" i="1" s="1"/>
  <c r="BE54" i="1"/>
  <c r="BM54" i="1" s="1"/>
  <c r="BE23" i="1"/>
  <c r="BM23" i="1" s="1"/>
  <c r="BE32" i="1"/>
  <c r="BM32" i="1" s="1"/>
  <c r="BE29" i="1"/>
  <c r="BM29" i="1" s="1"/>
  <c r="BE42" i="1"/>
  <c r="BM42" i="1" s="1"/>
  <c r="BE11" i="1"/>
  <c r="BM11" i="1" s="1"/>
  <c r="BE20" i="1"/>
  <c r="BM20" i="1" s="1"/>
  <c r="BE17" i="1"/>
  <c r="BM17" i="1" s="1"/>
  <c r="BE25" i="1"/>
  <c r="BM25" i="1" s="1"/>
  <c r="BE70" i="1"/>
  <c r="BM70" i="1" s="1"/>
  <c r="BE59" i="1"/>
  <c r="BM59" i="1" s="1"/>
  <c r="BE56" i="1"/>
  <c r="BM56" i="1" s="1"/>
  <c r="BE13" i="1"/>
  <c r="BM13" i="1" s="1"/>
  <c r="BE51" i="1"/>
  <c r="BM51" i="1" s="1"/>
  <c r="BE48" i="1"/>
  <c r="BM48" i="1" s="1"/>
  <c r="BE45" i="1"/>
  <c r="BM45" i="1" s="1"/>
  <c r="BE74" i="1"/>
  <c r="BM74" i="1" s="1"/>
  <c r="BE36" i="1"/>
  <c r="BM36" i="1" s="1"/>
  <c r="BE31" i="1"/>
  <c r="BM31" i="1" s="1"/>
  <c r="BE28" i="1"/>
  <c r="BM28" i="1" s="1"/>
  <c r="BE53" i="1"/>
  <c r="BM53" i="1" s="1"/>
  <c r="BE22" i="1"/>
  <c r="BM22" i="1" s="1"/>
  <c r="BE19" i="1"/>
  <c r="BM19" i="1" s="1"/>
  <c r="BE16" i="1"/>
  <c r="BM16" i="1" s="1"/>
  <c r="BE76" i="1"/>
  <c r="BM76" i="1" s="1"/>
  <c r="BE41" i="1"/>
  <c r="BM41" i="1" s="1"/>
  <c r="BE69" i="1"/>
  <c r="BM69" i="1" s="1"/>
  <c r="BE58" i="1"/>
  <c r="BM58" i="1" s="1"/>
  <c r="BE55" i="1"/>
  <c r="BM55" i="1" s="1"/>
  <c r="BE24" i="1"/>
  <c r="BM24" i="1" s="1"/>
  <c r="BE50" i="1"/>
  <c r="BM50" i="1" s="1"/>
  <c r="BE47" i="1"/>
  <c r="BM47" i="1" s="1"/>
  <c r="BE44" i="1"/>
  <c r="BM44" i="1" s="1"/>
  <c r="BE43" i="1"/>
  <c r="BM43" i="1" s="1"/>
  <c r="BE12" i="1"/>
  <c r="BM12" i="1" s="1"/>
  <c r="BE35" i="1"/>
  <c r="BM35" i="1" s="1"/>
  <c r="BE30" i="1"/>
  <c r="BM30" i="1" s="1"/>
  <c r="BE27" i="1"/>
  <c r="BM27" i="1" s="1"/>
  <c r="BE26" i="1"/>
  <c r="BM26" i="1" s="1"/>
  <c r="BE73" i="1"/>
  <c r="BM73" i="1" s="1"/>
  <c r="BE21" i="1"/>
  <c r="BM21" i="1" s="1"/>
  <c r="BE18" i="1"/>
  <c r="BM18" i="1" s="1"/>
  <c r="BE15" i="1"/>
  <c r="BM15" i="1" s="1"/>
  <c r="AN72" i="1"/>
  <c r="AU72" i="1" s="1"/>
  <c r="H8" i="1"/>
  <c r="P1" i="1"/>
  <c r="FC5" i="1"/>
  <c r="HQ34" i="1" l="1"/>
  <c r="HQ66" i="1"/>
  <c r="HQ64" i="1"/>
  <c r="HQ65" i="1"/>
  <c r="HQ63" i="1"/>
  <c r="HQ62" i="1"/>
  <c r="HN37" i="1"/>
  <c r="HP37" i="1" s="1"/>
  <c r="HI78" i="1"/>
  <c r="HI71" i="1"/>
  <c r="HJ71" i="1"/>
  <c r="HJ39" i="1"/>
  <c r="HI39" i="1"/>
  <c r="HA81" i="1"/>
  <c r="HH71" i="1"/>
  <c r="HH78" i="1"/>
  <c r="HH39" i="1"/>
  <c r="GY81" i="1"/>
  <c r="GT82" i="1" s="1"/>
  <c r="GZ81" i="1"/>
  <c r="HP61" i="1"/>
  <c r="HW61" i="1" s="1"/>
  <c r="HP33" i="1"/>
  <c r="HW33" i="1" s="1"/>
  <c r="HP60" i="1"/>
  <c r="HW60" i="1" s="1"/>
  <c r="AW35" i="2"/>
  <c r="HQ61" i="1"/>
  <c r="HQ60" i="1"/>
  <c r="HQ33" i="1"/>
  <c r="FG8" i="1"/>
  <c r="FI8" i="1"/>
  <c r="FH8" i="1" s="1"/>
  <c r="HQ37" i="1"/>
  <c r="HR37" i="1"/>
  <c r="HS15" i="1"/>
  <c r="HQ15" i="1"/>
  <c r="HQ77" i="1"/>
  <c r="HQ14" i="1"/>
  <c r="HS28" i="1"/>
  <c r="HQ32" i="1"/>
  <c r="HQ45" i="1"/>
  <c r="HQ74" i="1"/>
  <c r="HQ73" i="1"/>
  <c r="HQ10" i="1"/>
  <c r="HQ13" i="1"/>
  <c r="HQ76" i="1"/>
  <c r="HS69" i="1"/>
  <c r="HQ69" i="1"/>
  <c r="HQ67" i="1"/>
  <c r="HQ35" i="1"/>
  <c r="HQ25" i="1"/>
  <c r="HQ44" i="1"/>
  <c r="HS67" i="1"/>
  <c r="HS12" i="1"/>
  <c r="HQ20" i="1"/>
  <c r="HQ16" i="1"/>
  <c r="HQ36" i="1"/>
  <c r="HR67" i="1"/>
  <c r="HQ51" i="1"/>
  <c r="HS36" i="1"/>
  <c r="HS52" i="1"/>
  <c r="HQ27" i="1"/>
  <c r="HQ48" i="1"/>
  <c r="HQ43" i="1"/>
  <c r="HS18" i="1"/>
  <c r="HQ17" i="1"/>
  <c r="HS38" i="1"/>
  <c r="HQ18" i="1"/>
  <c r="HQ11" i="1"/>
  <c r="HQ40" i="1"/>
  <c r="HS70" i="1"/>
  <c r="HQ57" i="1"/>
  <c r="HS13" i="1"/>
  <c r="HQ28" i="1"/>
  <c r="HQ30" i="1"/>
  <c r="HS55" i="1"/>
  <c r="HQ68" i="1"/>
  <c r="HS10" i="1"/>
  <c r="HS57" i="1"/>
  <c r="HQ52" i="1"/>
  <c r="HQ21" i="1"/>
  <c r="HS26" i="1"/>
  <c r="HQ22" i="1"/>
  <c r="IA1" i="1"/>
  <c r="HS46" i="1"/>
  <c r="HQ58" i="1"/>
  <c r="HS53" i="1"/>
  <c r="HS17" i="1"/>
  <c r="HS40" i="1"/>
  <c r="HQ38" i="1"/>
  <c r="HR35" i="1"/>
  <c r="HR74" i="1"/>
  <c r="HS42" i="1"/>
  <c r="HQ54" i="1"/>
  <c r="HS45" i="1"/>
  <c r="HQ29" i="1"/>
  <c r="HQ42" i="1"/>
  <c r="HS29" i="1"/>
  <c r="HQ75" i="1"/>
  <c r="HQ12" i="1"/>
  <c r="HQ70" i="1"/>
  <c r="HR38" i="1"/>
  <c r="HQ50" i="1"/>
  <c r="HR36" i="1"/>
  <c r="HQ24" i="1"/>
  <c r="HQ72" i="1"/>
  <c r="HQ41" i="1"/>
  <c r="HQ79" i="1"/>
  <c r="HQ80" i="1" s="1"/>
  <c r="HQ59" i="1"/>
  <c r="HR69" i="1"/>
  <c r="HQ46" i="1"/>
  <c r="HR68" i="1"/>
  <c r="HQ53" i="1"/>
  <c r="HQ55" i="1"/>
  <c r="HS44" i="1"/>
  <c r="HQ31" i="1"/>
  <c r="HR75" i="1"/>
  <c r="HQ47" i="1"/>
  <c r="HQ26" i="1"/>
  <c r="HQ23" i="1"/>
  <c r="HQ49" i="1"/>
  <c r="HQ19" i="1"/>
  <c r="HQ56" i="1"/>
  <c r="AT35" i="2"/>
  <c r="JA8" i="1"/>
  <c r="JB8" i="1" s="1"/>
  <c r="JH8" i="1"/>
  <c r="FC8" i="1"/>
  <c r="BO26" i="1"/>
  <c r="BX26" i="1" s="1"/>
  <c r="BO69" i="1"/>
  <c r="BX69" i="1" s="1"/>
  <c r="BO32" i="1"/>
  <c r="BX32" i="1" s="1"/>
  <c r="BO48" i="1"/>
  <c r="BX48" i="1" s="1"/>
  <c r="BO27" i="1"/>
  <c r="BX27" i="1" s="1"/>
  <c r="BO41" i="1"/>
  <c r="BX41" i="1" s="1"/>
  <c r="BO51" i="1"/>
  <c r="BX51" i="1" s="1"/>
  <c r="BO23" i="1"/>
  <c r="BX23" i="1" s="1"/>
  <c r="BO30" i="1"/>
  <c r="BX30" i="1" s="1"/>
  <c r="BO76" i="1"/>
  <c r="BX76" i="1" s="1"/>
  <c r="BO13" i="1"/>
  <c r="BX13" i="1" s="1"/>
  <c r="BO54" i="1"/>
  <c r="BX54" i="1" s="1"/>
  <c r="BO16" i="1"/>
  <c r="BX16" i="1" s="1"/>
  <c r="BO46" i="1"/>
  <c r="BX46" i="1" s="1"/>
  <c r="BO73" i="1"/>
  <c r="BX73" i="1" s="1"/>
  <c r="BO45" i="1"/>
  <c r="BX45" i="1" s="1"/>
  <c r="BO12" i="1"/>
  <c r="BX12" i="1" s="1"/>
  <c r="BO43" i="1"/>
  <c r="BX43" i="1" s="1"/>
  <c r="BO22" i="1"/>
  <c r="BX22" i="1" s="1"/>
  <c r="BO70" i="1"/>
  <c r="BX70" i="1" s="1"/>
  <c r="BO38" i="1"/>
  <c r="BX38" i="1" s="1"/>
  <c r="BO44" i="1"/>
  <c r="BX44" i="1" s="1"/>
  <c r="BO25" i="1"/>
  <c r="BX25" i="1" s="1"/>
  <c r="BO47" i="1"/>
  <c r="BX47" i="1" s="1"/>
  <c r="BO20" i="1"/>
  <c r="BX20" i="1" s="1"/>
  <c r="BO58" i="1"/>
  <c r="BX58" i="1" s="1"/>
  <c r="BO29" i="1"/>
  <c r="BX29" i="1" s="1"/>
  <c r="BO35" i="1"/>
  <c r="BX35" i="1" s="1"/>
  <c r="BO56" i="1"/>
  <c r="BX56" i="1" s="1"/>
  <c r="BO19" i="1"/>
  <c r="BX19" i="1" s="1"/>
  <c r="BO59" i="1"/>
  <c r="BX59" i="1" s="1"/>
  <c r="BO49" i="1"/>
  <c r="BX49" i="1" s="1"/>
  <c r="BO53" i="1"/>
  <c r="BX53" i="1" s="1"/>
  <c r="BO75" i="1"/>
  <c r="BX75" i="1" s="1"/>
  <c r="BO17" i="1"/>
  <c r="BX17" i="1" s="1"/>
  <c r="BO15" i="1"/>
  <c r="BX15" i="1" s="1"/>
  <c r="BO50" i="1"/>
  <c r="BX50" i="1" s="1"/>
  <c r="BO31" i="1"/>
  <c r="BX31" i="1" s="1"/>
  <c r="BO68" i="1"/>
  <c r="BX68" i="1" s="1"/>
  <c r="BO18" i="1"/>
  <c r="BX18" i="1" s="1"/>
  <c r="BO24" i="1"/>
  <c r="BX24" i="1" s="1"/>
  <c r="BO36" i="1"/>
  <c r="BX36" i="1" s="1"/>
  <c r="BO11" i="1"/>
  <c r="BX11" i="1" s="1"/>
  <c r="BO52" i="1"/>
  <c r="BX52" i="1" s="1"/>
  <c r="BO28" i="1"/>
  <c r="BX28" i="1" s="1"/>
  <c r="BO57" i="1"/>
  <c r="BX57" i="1" s="1"/>
  <c r="BO21" i="1"/>
  <c r="BX21" i="1" s="1"/>
  <c r="BO55" i="1"/>
  <c r="BX55" i="1" s="1"/>
  <c r="BO74" i="1"/>
  <c r="BX74" i="1" s="1"/>
  <c r="BO42" i="1"/>
  <c r="BX42" i="1" s="1"/>
  <c r="BO14" i="1"/>
  <c r="BX14" i="1" s="1"/>
  <c r="CJ67" i="1"/>
  <c r="CQ67" i="1" s="1"/>
  <c r="AW10" i="1"/>
  <c r="BC10" i="1" s="1"/>
  <c r="BC39" i="1" s="1"/>
  <c r="AN40" i="1"/>
  <c r="AU40" i="1" s="1"/>
  <c r="AU71" i="1" s="1"/>
  <c r="P5" i="1"/>
  <c r="V8" i="1" s="1"/>
  <c r="X1" i="1"/>
  <c r="FK1" i="1"/>
  <c r="FK5" i="1" s="1"/>
  <c r="FQ8" i="1" s="1"/>
  <c r="HZ65" i="1" l="1"/>
  <c r="HZ34" i="1"/>
  <c r="HZ63" i="1"/>
  <c r="HZ66" i="1"/>
  <c r="HZ62" i="1"/>
  <c r="HZ64" i="1"/>
  <c r="HW37" i="1"/>
  <c r="HY37" i="1" s="1"/>
  <c r="HY61" i="1"/>
  <c r="IF61" i="1" s="1"/>
  <c r="HR78" i="1"/>
  <c r="HY60" i="1"/>
  <c r="IF60" i="1" s="1"/>
  <c r="HY33" i="1"/>
  <c r="IF33" i="1" s="1"/>
  <c r="HQ78" i="1"/>
  <c r="HQ71" i="1"/>
  <c r="HR71" i="1"/>
  <c r="HS39" i="1"/>
  <c r="HR39" i="1"/>
  <c r="HS71" i="1"/>
  <c r="HQ39" i="1"/>
  <c r="HI81" i="1"/>
  <c r="HJ81" i="1"/>
  <c r="HH81" i="1"/>
  <c r="HC82" i="1" s="1"/>
  <c r="HZ61" i="1"/>
  <c r="HZ60" i="1"/>
  <c r="HZ33" i="1"/>
  <c r="EY8" i="1"/>
  <c r="IA37" i="1"/>
  <c r="HZ37" i="1"/>
  <c r="HZ69" i="1"/>
  <c r="IB45" i="1"/>
  <c r="HZ68" i="1"/>
  <c r="IB40" i="1"/>
  <c r="HZ15" i="1"/>
  <c r="HZ52" i="1"/>
  <c r="HZ31" i="1"/>
  <c r="IB12" i="1"/>
  <c r="IA36" i="1"/>
  <c r="HZ57" i="1"/>
  <c r="IA35" i="1"/>
  <c r="HZ56" i="1"/>
  <c r="HZ70" i="1"/>
  <c r="HZ74" i="1"/>
  <c r="HZ53" i="1"/>
  <c r="HZ76" i="1"/>
  <c r="HZ27" i="1"/>
  <c r="HZ20" i="1"/>
  <c r="HZ16" i="1"/>
  <c r="IA74" i="1"/>
  <c r="IB55" i="1"/>
  <c r="HZ12" i="1"/>
  <c r="IB18" i="1"/>
  <c r="HZ59" i="1"/>
  <c r="HZ17" i="1"/>
  <c r="IJ1" i="1"/>
  <c r="IB57" i="1"/>
  <c r="HZ14" i="1"/>
  <c r="HZ13" i="1"/>
  <c r="IA69" i="1"/>
  <c r="HZ38" i="1"/>
  <c r="HZ58" i="1"/>
  <c r="HZ32" i="1"/>
  <c r="HZ19" i="1"/>
  <c r="HZ79" i="1"/>
  <c r="HZ80" i="1" s="1"/>
  <c r="IB46" i="1"/>
  <c r="HZ48" i="1"/>
  <c r="IA38" i="1"/>
  <c r="HZ75" i="1"/>
  <c r="HZ54" i="1"/>
  <c r="HZ77" i="1"/>
  <c r="IB38" i="1"/>
  <c r="IB17" i="1"/>
  <c r="IB28" i="1"/>
  <c r="IB10" i="1"/>
  <c r="HZ51" i="1"/>
  <c r="HZ50" i="1"/>
  <c r="HZ73" i="1"/>
  <c r="HZ49" i="1"/>
  <c r="HZ72" i="1"/>
  <c r="HZ24" i="1"/>
  <c r="IB70" i="1"/>
  <c r="HZ21" i="1"/>
  <c r="IB67" i="1"/>
  <c r="HZ10" i="1"/>
  <c r="HZ46" i="1"/>
  <c r="IA68" i="1"/>
  <c r="HZ45" i="1"/>
  <c r="IA67" i="1"/>
  <c r="HZ43" i="1"/>
  <c r="HZ11" i="1"/>
  <c r="HZ44" i="1"/>
  <c r="HZ26" i="1"/>
  <c r="IB13" i="1"/>
  <c r="IA75" i="1"/>
  <c r="HZ67" i="1"/>
  <c r="HZ42" i="1"/>
  <c r="HZ36" i="1"/>
  <c r="HZ41" i="1"/>
  <c r="HZ35" i="1"/>
  <c r="HZ28" i="1"/>
  <c r="HZ47" i="1"/>
  <c r="IB69" i="1"/>
  <c r="IB36" i="1"/>
  <c r="HZ30" i="1"/>
  <c r="IB29" i="1"/>
  <c r="HZ29" i="1"/>
  <c r="HZ23" i="1"/>
  <c r="IB15" i="1"/>
  <c r="IB26" i="1"/>
  <c r="HZ25" i="1"/>
  <c r="HZ22" i="1"/>
  <c r="HZ18" i="1"/>
  <c r="HZ55" i="1"/>
  <c r="IB52" i="1"/>
  <c r="IB42" i="1"/>
  <c r="IB53" i="1"/>
  <c r="IB44" i="1"/>
  <c r="HZ40" i="1"/>
  <c r="JI8" i="1"/>
  <c r="JJ8" i="1" s="1"/>
  <c r="JQ8" i="1"/>
  <c r="FP8" i="1"/>
  <c r="BZ43" i="1"/>
  <c r="CH43" i="1" s="1"/>
  <c r="BZ69" i="1"/>
  <c r="CH69" i="1" s="1"/>
  <c r="BZ36" i="1"/>
  <c r="CH36" i="1" s="1"/>
  <c r="BZ19" i="1"/>
  <c r="CH19" i="1" s="1"/>
  <c r="BZ41" i="1"/>
  <c r="CH41" i="1" s="1"/>
  <c r="BZ24" i="1"/>
  <c r="CH24" i="1" s="1"/>
  <c r="BZ56" i="1"/>
  <c r="CH56" i="1" s="1"/>
  <c r="BZ12" i="1"/>
  <c r="CH12" i="1" s="1"/>
  <c r="BZ27" i="1"/>
  <c r="CH27" i="1" s="1"/>
  <c r="BZ18" i="1"/>
  <c r="CH18" i="1" s="1"/>
  <c r="BZ35" i="1"/>
  <c r="CH35" i="1" s="1"/>
  <c r="BZ45" i="1"/>
  <c r="CH45" i="1" s="1"/>
  <c r="BZ48" i="1"/>
  <c r="CH48" i="1" s="1"/>
  <c r="BZ14" i="1"/>
  <c r="CH14" i="1" s="1"/>
  <c r="BZ68" i="1"/>
  <c r="CH68" i="1" s="1"/>
  <c r="BZ29" i="1"/>
  <c r="CH29" i="1" s="1"/>
  <c r="BZ73" i="1"/>
  <c r="CH73" i="1" s="1"/>
  <c r="BZ32" i="1"/>
  <c r="CH32" i="1" s="1"/>
  <c r="BZ42" i="1"/>
  <c r="CH42" i="1" s="1"/>
  <c r="BZ31" i="1"/>
  <c r="CH31" i="1" s="1"/>
  <c r="BZ58" i="1"/>
  <c r="CH58" i="1" s="1"/>
  <c r="BZ46" i="1"/>
  <c r="CH46" i="1" s="1"/>
  <c r="BZ74" i="1"/>
  <c r="CH74" i="1" s="1"/>
  <c r="BZ50" i="1"/>
  <c r="CH50" i="1" s="1"/>
  <c r="BZ20" i="1"/>
  <c r="CH20" i="1" s="1"/>
  <c r="BZ16" i="1"/>
  <c r="CH16" i="1" s="1"/>
  <c r="BZ26" i="1"/>
  <c r="CH26" i="1" s="1"/>
  <c r="BZ55" i="1"/>
  <c r="CH55" i="1" s="1"/>
  <c r="BZ15" i="1"/>
  <c r="CH15" i="1" s="1"/>
  <c r="BZ47" i="1"/>
  <c r="CH47" i="1" s="1"/>
  <c r="BZ54" i="1"/>
  <c r="CH54" i="1" s="1"/>
  <c r="BZ21" i="1"/>
  <c r="CH21" i="1" s="1"/>
  <c r="BZ17" i="1"/>
  <c r="CH17" i="1" s="1"/>
  <c r="BZ25" i="1"/>
  <c r="CH25" i="1" s="1"/>
  <c r="BZ13" i="1"/>
  <c r="CH13" i="1" s="1"/>
  <c r="BZ57" i="1"/>
  <c r="CH57" i="1" s="1"/>
  <c r="BZ75" i="1"/>
  <c r="CH75" i="1" s="1"/>
  <c r="BZ44" i="1"/>
  <c r="CH44" i="1" s="1"/>
  <c r="BZ76" i="1"/>
  <c r="CH76" i="1" s="1"/>
  <c r="BZ28" i="1"/>
  <c r="CH28" i="1" s="1"/>
  <c r="BZ53" i="1"/>
  <c r="CH53" i="1" s="1"/>
  <c r="BZ38" i="1"/>
  <c r="CH38" i="1" s="1"/>
  <c r="BZ30" i="1"/>
  <c r="CH30" i="1" s="1"/>
  <c r="BZ52" i="1"/>
  <c r="CH52" i="1" s="1"/>
  <c r="BZ49" i="1"/>
  <c r="CH49" i="1" s="1"/>
  <c r="BZ70" i="1"/>
  <c r="CH70" i="1" s="1"/>
  <c r="BZ23" i="1"/>
  <c r="CH23" i="1" s="1"/>
  <c r="BZ11" i="1"/>
  <c r="CH11" i="1" s="1"/>
  <c r="BZ59" i="1"/>
  <c r="CH59" i="1" s="1"/>
  <c r="BZ22" i="1"/>
  <c r="CH22" i="1" s="1"/>
  <c r="BZ51" i="1"/>
  <c r="CH51" i="1" s="1"/>
  <c r="FK8" i="1"/>
  <c r="AW39" i="1"/>
  <c r="AN71" i="1"/>
  <c r="CS67" i="1"/>
  <c r="DA67" i="1" s="1"/>
  <c r="AN77" i="1"/>
  <c r="AU77" i="1" s="1"/>
  <c r="AU78" i="1" s="1"/>
  <c r="AW72" i="1"/>
  <c r="BC72" i="1" s="1"/>
  <c r="P8" i="1"/>
  <c r="AF1" i="1"/>
  <c r="X5" i="1"/>
  <c r="FS1" i="1"/>
  <c r="FS5" i="1" s="1"/>
  <c r="GD8" i="1" s="1"/>
  <c r="II64" i="1" l="1"/>
  <c r="II34" i="1"/>
  <c r="II66" i="1"/>
  <c r="II62" i="1"/>
  <c r="II65" i="1"/>
  <c r="II63" i="1"/>
  <c r="IF37" i="1"/>
  <c r="IH37" i="1" s="1"/>
  <c r="IA71" i="1"/>
  <c r="IA39" i="1"/>
  <c r="IH60" i="1"/>
  <c r="IN60" i="1" s="1"/>
  <c r="IH33" i="1"/>
  <c r="IN33" i="1" s="1"/>
  <c r="IH61" i="1"/>
  <c r="IN61" i="1" s="1"/>
  <c r="IB39" i="1"/>
  <c r="IA78" i="1"/>
  <c r="HZ71" i="1"/>
  <c r="IB71" i="1"/>
  <c r="HZ39" i="1"/>
  <c r="HZ78" i="1"/>
  <c r="HS81" i="1"/>
  <c r="HR81" i="1"/>
  <c r="HQ81" i="1"/>
  <c r="HL82" i="1" s="1"/>
  <c r="II61" i="1"/>
  <c r="II60" i="1"/>
  <c r="II33" i="1"/>
  <c r="IJ37" i="1"/>
  <c r="II37" i="1"/>
  <c r="IJ75" i="1"/>
  <c r="II24" i="1"/>
  <c r="II56" i="1"/>
  <c r="II22" i="1"/>
  <c r="II29" i="1"/>
  <c r="IK69" i="1"/>
  <c r="IJ68" i="1"/>
  <c r="IK55" i="1"/>
  <c r="IK67" i="1"/>
  <c r="II13" i="1"/>
  <c r="II53" i="1"/>
  <c r="II46" i="1"/>
  <c r="II45" i="1"/>
  <c r="IK13" i="1"/>
  <c r="II59" i="1"/>
  <c r="IK28" i="1"/>
  <c r="II41" i="1"/>
  <c r="IK26" i="1"/>
  <c r="IK53" i="1"/>
  <c r="II49" i="1"/>
  <c r="II58" i="1"/>
  <c r="IK70" i="1"/>
  <c r="IK36" i="1"/>
  <c r="II44" i="1"/>
  <c r="II73" i="1"/>
  <c r="II23" i="1"/>
  <c r="IJ38" i="1"/>
  <c r="II21" i="1"/>
  <c r="II19" i="1"/>
  <c r="II47" i="1"/>
  <c r="II15" i="1"/>
  <c r="II76" i="1"/>
  <c r="II50" i="1"/>
  <c r="II67" i="1"/>
  <c r="II30" i="1"/>
  <c r="II18" i="1"/>
  <c r="II20" i="1"/>
  <c r="II16" i="1"/>
  <c r="IJ74" i="1"/>
  <c r="II48" i="1"/>
  <c r="II17" i="1"/>
  <c r="II40" i="1"/>
  <c r="IK15" i="1"/>
  <c r="II70" i="1"/>
  <c r="II11" i="1"/>
  <c r="II32" i="1"/>
  <c r="II28" i="1"/>
  <c r="II68" i="1"/>
  <c r="II79" i="1"/>
  <c r="II80" i="1" s="1"/>
  <c r="IK52" i="1"/>
  <c r="IK42" i="1"/>
  <c r="IR1" i="1"/>
  <c r="IK18" i="1"/>
  <c r="II72" i="1"/>
  <c r="II12" i="1"/>
  <c r="IJ35" i="1"/>
  <c r="II55" i="1"/>
  <c r="IK57" i="1"/>
  <c r="II14" i="1"/>
  <c r="II35" i="1"/>
  <c r="IJ69" i="1"/>
  <c r="II10" i="1"/>
  <c r="IJ67" i="1"/>
  <c r="IK17" i="1"/>
  <c r="IJ36" i="1"/>
  <c r="IK29" i="1"/>
  <c r="IK45" i="1"/>
  <c r="II27" i="1"/>
  <c r="II25" i="1"/>
  <c r="II36" i="1"/>
  <c r="II38" i="1"/>
  <c r="II77" i="1"/>
  <c r="II52" i="1"/>
  <c r="II75" i="1"/>
  <c r="IK12" i="1"/>
  <c r="II42" i="1"/>
  <c r="II69" i="1"/>
  <c r="II54" i="1"/>
  <c r="II31" i="1"/>
  <c r="II74" i="1"/>
  <c r="II57" i="1"/>
  <c r="II26" i="1"/>
  <c r="II51" i="1"/>
  <c r="IK44" i="1"/>
  <c r="IK46" i="1"/>
  <c r="IK40" i="1"/>
  <c r="II43" i="1"/>
  <c r="IK38" i="1"/>
  <c r="IK10" i="1"/>
  <c r="DC67" i="1"/>
  <c r="DJ67" i="1" s="1"/>
  <c r="JR8" i="1"/>
  <c r="JS8" i="1" s="1"/>
  <c r="JY8" i="1"/>
  <c r="CJ70" i="1"/>
  <c r="CQ70" i="1" s="1"/>
  <c r="CJ25" i="1"/>
  <c r="CQ25" i="1" s="1"/>
  <c r="CJ46" i="1"/>
  <c r="CQ46" i="1" s="1"/>
  <c r="CJ18" i="1"/>
  <c r="CQ18" i="1" s="1"/>
  <c r="CJ49" i="1"/>
  <c r="CQ49" i="1" s="1"/>
  <c r="CJ17" i="1"/>
  <c r="CQ17" i="1" s="1"/>
  <c r="CJ58" i="1"/>
  <c r="CQ58" i="1" s="1"/>
  <c r="CJ27" i="1"/>
  <c r="CQ27" i="1" s="1"/>
  <c r="CJ52" i="1"/>
  <c r="CQ52" i="1" s="1"/>
  <c r="CJ21" i="1"/>
  <c r="CQ21" i="1" s="1"/>
  <c r="CJ31" i="1"/>
  <c r="CQ31" i="1" s="1"/>
  <c r="CJ12" i="1"/>
  <c r="CQ12" i="1" s="1"/>
  <c r="CJ30" i="1"/>
  <c r="CQ30" i="1" s="1"/>
  <c r="CJ54" i="1"/>
  <c r="CQ54" i="1" s="1"/>
  <c r="CJ42" i="1"/>
  <c r="CQ42" i="1" s="1"/>
  <c r="CJ56" i="1"/>
  <c r="CQ56" i="1" s="1"/>
  <c r="CJ38" i="1"/>
  <c r="CQ38" i="1" s="1"/>
  <c r="CJ47" i="1"/>
  <c r="CQ47" i="1" s="1"/>
  <c r="CJ32" i="1"/>
  <c r="CQ32" i="1" s="1"/>
  <c r="CJ24" i="1"/>
  <c r="CQ24" i="1" s="1"/>
  <c r="CJ53" i="1"/>
  <c r="CQ53" i="1" s="1"/>
  <c r="CJ15" i="1"/>
  <c r="CQ15" i="1" s="1"/>
  <c r="CJ73" i="1"/>
  <c r="CQ73" i="1" s="1"/>
  <c r="CJ41" i="1"/>
  <c r="CQ41" i="1" s="1"/>
  <c r="CJ28" i="1"/>
  <c r="CQ28" i="1" s="1"/>
  <c r="CJ55" i="1"/>
  <c r="CQ55" i="1" s="1"/>
  <c r="CJ29" i="1"/>
  <c r="CJ19" i="1"/>
  <c r="CQ19" i="1" s="1"/>
  <c r="CJ51" i="1"/>
  <c r="CQ51" i="1" s="1"/>
  <c r="CJ76" i="1"/>
  <c r="CQ76" i="1" s="1"/>
  <c r="CJ26" i="1"/>
  <c r="CQ26" i="1" s="1"/>
  <c r="CJ68" i="1"/>
  <c r="CQ68" i="1" s="1"/>
  <c r="CJ36" i="1"/>
  <c r="CQ36" i="1" s="1"/>
  <c r="CJ22" i="1"/>
  <c r="CQ22" i="1" s="1"/>
  <c r="CJ44" i="1"/>
  <c r="CQ44" i="1" s="1"/>
  <c r="CJ16" i="1"/>
  <c r="CQ16" i="1" s="1"/>
  <c r="CJ14" i="1"/>
  <c r="CQ14" i="1" s="1"/>
  <c r="CJ69" i="1"/>
  <c r="CQ69" i="1" s="1"/>
  <c r="CJ59" i="1"/>
  <c r="CQ59" i="1" s="1"/>
  <c r="CJ75" i="1"/>
  <c r="CQ75" i="1" s="1"/>
  <c r="CJ20" i="1"/>
  <c r="CQ20" i="1" s="1"/>
  <c r="CJ48" i="1"/>
  <c r="CQ48" i="1" s="1"/>
  <c r="CJ43" i="1"/>
  <c r="CQ43" i="1" s="1"/>
  <c r="CJ11" i="1"/>
  <c r="CQ11" i="1" s="1"/>
  <c r="CJ57" i="1"/>
  <c r="CQ57" i="1" s="1"/>
  <c r="CJ50" i="1"/>
  <c r="CQ50" i="1" s="1"/>
  <c r="CJ45" i="1"/>
  <c r="CQ45" i="1" s="1"/>
  <c r="CJ23" i="1"/>
  <c r="CQ23" i="1" s="1"/>
  <c r="CJ13" i="1"/>
  <c r="CQ13" i="1" s="1"/>
  <c r="CJ74" i="1"/>
  <c r="CQ74" i="1" s="1"/>
  <c r="CJ35" i="1"/>
  <c r="CQ35" i="1" s="1"/>
  <c r="FO8" i="1"/>
  <c r="GC8" i="1"/>
  <c r="FS8" i="1"/>
  <c r="BE10" i="1"/>
  <c r="BM10" i="1" s="1"/>
  <c r="BM39" i="1" s="1"/>
  <c r="AN78" i="1"/>
  <c r="AD8" i="1"/>
  <c r="AC8" i="1" s="1"/>
  <c r="X8" i="1"/>
  <c r="AN79" i="1"/>
  <c r="AU79" i="1" s="1"/>
  <c r="AU80" i="1" s="1"/>
  <c r="AU81" i="1" s="1"/>
  <c r="AW40" i="1"/>
  <c r="BC40" i="1" s="1"/>
  <c r="BC71" i="1" s="1"/>
  <c r="GF1" i="1"/>
  <c r="GF5" i="1" s="1"/>
  <c r="GM8" i="1" s="1"/>
  <c r="AF5" i="1"/>
  <c r="AN1" i="1"/>
  <c r="IQ34" i="1" l="1"/>
  <c r="IQ65" i="1"/>
  <c r="IQ63" i="1"/>
  <c r="IQ62" i="1"/>
  <c r="IQ64" i="1"/>
  <c r="IQ66" i="1"/>
  <c r="CQ29" i="1"/>
  <c r="CS29" i="1" s="1"/>
  <c r="DA29" i="1" s="1"/>
  <c r="IA81" i="1"/>
  <c r="IJ39" i="1"/>
  <c r="II78" i="1"/>
  <c r="II71" i="1"/>
  <c r="IK39" i="1"/>
  <c r="IJ71" i="1"/>
  <c r="IJ78" i="1"/>
  <c r="IK71" i="1"/>
  <c r="II39" i="1"/>
  <c r="IN37" i="1"/>
  <c r="IP37" i="1" s="1"/>
  <c r="IB81" i="1"/>
  <c r="HZ81" i="1"/>
  <c r="HU82" i="1" s="1"/>
  <c r="IP60" i="1"/>
  <c r="IW60" i="1" s="1"/>
  <c r="IP61" i="1"/>
  <c r="IW61" i="1" s="1"/>
  <c r="IP33" i="1"/>
  <c r="IW33" i="1" s="1"/>
  <c r="IQ61" i="1"/>
  <c r="IQ60" i="1"/>
  <c r="IQ33" i="1"/>
  <c r="IQ37" i="1"/>
  <c r="IR37" i="1"/>
  <c r="IQ48" i="1"/>
  <c r="IS38" i="1"/>
  <c r="IQ67" i="1"/>
  <c r="IS12" i="1"/>
  <c r="IS40" i="1"/>
  <c r="IQ44" i="1"/>
  <c r="IQ58" i="1"/>
  <c r="IQ32" i="1"/>
  <c r="IQ31" i="1"/>
  <c r="IS55" i="1"/>
  <c r="IR69" i="1"/>
  <c r="IS10" i="1"/>
  <c r="IQ41" i="1"/>
  <c r="IQ28" i="1"/>
  <c r="IQ51" i="1"/>
  <c r="IS44" i="1"/>
  <c r="IR35" i="1"/>
  <c r="IQ18" i="1"/>
  <c r="IQ46" i="1"/>
  <c r="IQ29" i="1"/>
  <c r="IQ38" i="1"/>
  <c r="IQ36" i="1"/>
  <c r="IQ13" i="1"/>
  <c r="IQ76" i="1"/>
  <c r="IR36" i="1"/>
  <c r="IS42" i="1"/>
  <c r="IQ23" i="1"/>
  <c r="IQ72" i="1"/>
  <c r="IS36" i="1"/>
  <c r="IQ53" i="1"/>
  <c r="IQ40" i="1"/>
  <c r="IQ15" i="1"/>
  <c r="IQ52" i="1"/>
  <c r="IS18" i="1"/>
  <c r="IS70" i="1"/>
  <c r="IQ55" i="1"/>
  <c r="IQ24" i="1"/>
  <c r="IQ54" i="1"/>
  <c r="IQ49" i="1"/>
  <c r="IQ50" i="1"/>
  <c r="IR68" i="1"/>
  <c r="IQ42" i="1"/>
  <c r="IR38" i="1"/>
  <c r="IQ68" i="1"/>
  <c r="IS52" i="1"/>
  <c r="JA1" i="1"/>
  <c r="IS26" i="1"/>
  <c r="IQ25" i="1"/>
  <c r="IR74" i="1"/>
  <c r="IS15" i="1"/>
  <c r="IS28" i="1"/>
  <c r="IS69" i="1"/>
  <c r="IQ45" i="1"/>
  <c r="IQ22" i="1"/>
  <c r="IS17" i="1"/>
  <c r="IQ77" i="1"/>
  <c r="IS46" i="1"/>
  <c r="IQ57" i="1"/>
  <c r="IQ21" i="1"/>
  <c r="IQ75" i="1"/>
  <c r="IQ30" i="1"/>
  <c r="IQ73" i="1"/>
  <c r="IQ20" i="1"/>
  <c r="IS13" i="1"/>
  <c r="IQ70" i="1"/>
  <c r="IS45" i="1"/>
  <c r="IQ74" i="1"/>
  <c r="IS57" i="1"/>
  <c r="IQ16" i="1"/>
  <c r="IR67" i="1"/>
  <c r="IQ26" i="1"/>
  <c r="IS29" i="1"/>
  <c r="IQ69" i="1"/>
  <c r="IQ35" i="1"/>
  <c r="IQ19" i="1"/>
  <c r="IS53" i="1"/>
  <c r="IQ12" i="1"/>
  <c r="IQ56" i="1"/>
  <c r="IR75" i="1"/>
  <c r="IQ47" i="1"/>
  <c r="IQ10" i="1"/>
  <c r="IQ27" i="1"/>
  <c r="IQ59" i="1"/>
  <c r="IQ14" i="1"/>
  <c r="IQ11" i="1"/>
  <c r="IS67" i="1"/>
  <c r="IQ79" i="1"/>
  <c r="IQ80" i="1" s="1"/>
  <c r="IQ43" i="1"/>
  <c r="IQ17" i="1"/>
  <c r="KG8" i="1"/>
  <c r="JZ8" i="1"/>
  <c r="KA8" i="1" s="1"/>
  <c r="CS32" i="1"/>
  <c r="DA32" i="1" s="1"/>
  <c r="CS22" i="1"/>
  <c r="DA22" i="1" s="1"/>
  <c r="CS20" i="1"/>
  <c r="DA20" i="1" s="1"/>
  <c r="CS23" i="1"/>
  <c r="DA23" i="1" s="1"/>
  <c r="CS38" i="1"/>
  <c r="DA38" i="1" s="1"/>
  <c r="CS21" i="1"/>
  <c r="DA21" i="1" s="1"/>
  <c r="CS76" i="1"/>
  <c r="DA76" i="1" s="1"/>
  <c r="CS51" i="1"/>
  <c r="DA51" i="1" s="1"/>
  <c r="CS15" i="1"/>
  <c r="DA15" i="1" s="1"/>
  <c r="CS16" i="1"/>
  <c r="DA16" i="1" s="1"/>
  <c r="CS44" i="1"/>
  <c r="DA44" i="1" s="1"/>
  <c r="CS19" i="1"/>
  <c r="DA19" i="1" s="1"/>
  <c r="CS53" i="1"/>
  <c r="DA53" i="1" s="1"/>
  <c r="CS27" i="1"/>
  <c r="DA27" i="1" s="1"/>
  <c r="CS25" i="1"/>
  <c r="DA25" i="1" s="1"/>
  <c r="CS47" i="1"/>
  <c r="DA47" i="1" s="1"/>
  <c r="CS49" i="1"/>
  <c r="DA49" i="1" s="1"/>
  <c r="CS31" i="1"/>
  <c r="DA31" i="1" s="1"/>
  <c r="CS50" i="1"/>
  <c r="DA50" i="1" s="1"/>
  <c r="CS56" i="1"/>
  <c r="DA56" i="1" s="1"/>
  <c r="CS57" i="1"/>
  <c r="DA57" i="1" s="1"/>
  <c r="CS42" i="1"/>
  <c r="DA42" i="1" s="1"/>
  <c r="CS12" i="1"/>
  <c r="DA12" i="1" s="1"/>
  <c r="CS73" i="1"/>
  <c r="DA73" i="1" s="1"/>
  <c r="CS75" i="1"/>
  <c r="DA75" i="1" s="1"/>
  <c r="CS35" i="1"/>
  <c r="DA35" i="1" s="1"/>
  <c r="CS36" i="1"/>
  <c r="DA36" i="1" s="1"/>
  <c r="CS74" i="1"/>
  <c r="DA74" i="1" s="1"/>
  <c r="CS70" i="1"/>
  <c r="DA70" i="1" s="1"/>
  <c r="CS13" i="1"/>
  <c r="DA13" i="1" s="1"/>
  <c r="CS43" i="1"/>
  <c r="DA43" i="1" s="1"/>
  <c r="CS14" i="1"/>
  <c r="DA14" i="1" s="1"/>
  <c r="CS26" i="1"/>
  <c r="DA26" i="1" s="1"/>
  <c r="CS58" i="1"/>
  <c r="DA58" i="1" s="1"/>
  <c r="GL8" i="1"/>
  <c r="GB8" i="1"/>
  <c r="CS59" i="1"/>
  <c r="DA59" i="1" s="1"/>
  <c r="CS41" i="1"/>
  <c r="DA41" i="1" s="1"/>
  <c r="CS24" i="1"/>
  <c r="DA24" i="1" s="1"/>
  <c r="CS48" i="1"/>
  <c r="DA48" i="1" s="1"/>
  <c r="CS11" i="1"/>
  <c r="DA11" i="1" s="1"/>
  <c r="CS54" i="1"/>
  <c r="DA54" i="1" s="1"/>
  <c r="CS17" i="1"/>
  <c r="DA17" i="1" s="1"/>
  <c r="CS46" i="1"/>
  <c r="DA46" i="1" s="1"/>
  <c r="CS52" i="1"/>
  <c r="DA52" i="1" s="1"/>
  <c r="CS30" i="1"/>
  <c r="DA30" i="1" s="1"/>
  <c r="CS45" i="1"/>
  <c r="DA45" i="1" s="1"/>
  <c r="CS18" i="1"/>
  <c r="DA18" i="1" s="1"/>
  <c r="CS55" i="1"/>
  <c r="DA55" i="1" s="1"/>
  <c r="CS28" i="1"/>
  <c r="DA28" i="1" s="1"/>
  <c r="CS69" i="1"/>
  <c r="DA69" i="1" s="1"/>
  <c r="CS68" i="1"/>
  <c r="DA68" i="1" s="1"/>
  <c r="GF8" i="1"/>
  <c r="BE39" i="1"/>
  <c r="AW71" i="1"/>
  <c r="AN80" i="1"/>
  <c r="DL67" i="1"/>
  <c r="DR67" i="1" s="1"/>
  <c r="AF8" i="1"/>
  <c r="AL8" i="1"/>
  <c r="AK8" i="1" s="1"/>
  <c r="AW77" i="1"/>
  <c r="BC77" i="1" s="1"/>
  <c r="BC78" i="1" s="1"/>
  <c r="BE72" i="1"/>
  <c r="BM72" i="1" s="1"/>
  <c r="GO1" i="1"/>
  <c r="GO5" i="1" s="1"/>
  <c r="GV8" i="1" s="1"/>
  <c r="AN5" i="1"/>
  <c r="AU8" i="1" s="1"/>
  <c r="AT8" i="1" s="1"/>
  <c r="AW1" i="1"/>
  <c r="IZ27" i="1" l="1"/>
  <c r="IZ34" i="1"/>
  <c r="IZ66" i="1"/>
  <c r="IZ64" i="1"/>
  <c r="IZ65" i="1"/>
  <c r="IZ63" i="1"/>
  <c r="IZ62" i="1"/>
  <c r="IR78" i="1"/>
  <c r="IR39" i="1"/>
  <c r="IS71" i="1"/>
  <c r="IS39" i="1"/>
  <c r="IR71" i="1"/>
  <c r="IW37" i="1"/>
  <c r="IY37" i="1" s="1"/>
  <c r="AN81" i="1"/>
  <c r="IK81" i="1"/>
  <c r="II81" i="1"/>
  <c r="ID82" i="1" s="1"/>
  <c r="IJ81" i="1"/>
  <c r="IY60" i="1"/>
  <c r="JE60" i="1" s="1"/>
  <c r="IY61" i="1"/>
  <c r="JE61" i="1" s="1"/>
  <c r="IY33" i="1"/>
  <c r="JE33" i="1" s="1"/>
  <c r="IZ61" i="1"/>
  <c r="IZ60" i="1"/>
  <c r="IZ33" i="1"/>
  <c r="IQ78" i="1"/>
  <c r="IZ37" i="1"/>
  <c r="JA37" i="1"/>
  <c r="JB55" i="1"/>
  <c r="JB26" i="1"/>
  <c r="IZ26" i="1"/>
  <c r="IZ56" i="1"/>
  <c r="IZ53" i="1"/>
  <c r="IZ77" i="1"/>
  <c r="IZ44" i="1"/>
  <c r="IZ43" i="1"/>
  <c r="JB18" i="1"/>
  <c r="IZ51" i="1"/>
  <c r="IZ15" i="1"/>
  <c r="JB28" i="1"/>
  <c r="IZ75" i="1"/>
  <c r="JA38" i="1"/>
  <c r="IZ18" i="1"/>
  <c r="IZ35" i="1"/>
  <c r="IZ49" i="1"/>
  <c r="IZ42" i="1"/>
  <c r="JB12" i="1"/>
  <c r="IZ36" i="1"/>
  <c r="JB70" i="1"/>
  <c r="JB69" i="1"/>
  <c r="IZ41" i="1"/>
  <c r="IZ38" i="1"/>
  <c r="JB29" i="1"/>
  <c r="IZ28" i="1"/>
  <c r="JB52" i="1"/>
  <c r="JB17" i="1"/>
  <c r="IZ23" i="1"/>
  <c r="JB45" i="1"/>
  <c r="IZ46" i="1"/>
  <c r="JB36" i="1"/>
  <c r="IZ70" i="1"/>
  <c r="IZ30" i="1"/>
  <c r="IZ55" i="1"/>
  <c r="IZ22" i="1"/>
  <c r="IZ47" i="1"/>
  <c r="IZ19" i="1"/>
  <c r="IZ14" i="1"/>
  <c r="JB53" i="1"/>
  <c r="IZ20" i="1"/>
  <c r="IZ21" i="1"/>
  <c r="IZ17" i="1"/>
  <c r="JB10" i="1"/>
  <c r="IZ10" i="1"/>
  <c r="JB46" i="1"/>
  <c r="IZ32" i="1"/>
  <c r="IZ59" i="1"/>
  <c r="JB57" i="1"/>
  <c r="JB13" i="1"/>
  <c r="IZ13" i="1"/>
  <c r="JI1" i="1"/>
  <c r="IZ31" i="1"/>
  <c r="IZ74" i="1"/>
  <c r="JA75" i="1"/>
  <c r="IZ48" i="1"/>
  <c r="JB67" i="1"/>
  <c r="IZ25" i="1"/>
  <c r="IZ73" i="1"/>
  <c r="JA67" i="1"/>
  <c r="IZ69" i="1"/>
  <c r="IZ79" i="1"/>
  <c r="IZ80" i="1" s="1"/>
  <c r="IZ57" i="1"/>
  <c r="IZ16" i="1"/>
  <c r="JA68" i="1"/>
  <c r="JB40" i="1"/>
  <c r="JA35" i="1"/>
  <c r="IZ76" i="1"/>
  <c r="JA74" i="1"/>
  <c r="IZ52" i="1"/>
  <c r="IZ68" i="1"/>
  <c r="IZ67" i="1"/>
  <c r="JB15" i="1"/>
  <c r="IZ45" i="1"/>
  <c r="IZ11" i="1"/>
  <c r="IZ72" i="1"/>
  <c r="JA36" i="1"/>
  <c r="IZ50" i="1"/>
  <c r="IZ58" i="1"/>
  <c r="IZ29" i="1"/>
  <c r="IZ54" i="1"/>
  <c r="JB44" i="1"/>
  <c r="JB42" i="1"/>
  <c r="IZ12" i="1"/>
  <c r="JA69" i="1"/>
  <c r="IZ40" i="1"/>
  <c r="JB38" i="1"/>
  <c r="IZ24" i="1"/>
  <c r="IQ39" i="1"/>
  <c r="IQ71" i="1"/>
  <c r="DT67" i="1"/>
  <c r="EB67" i="1" s="1"/>
  <c r="DC50" i="1"/>
  <c r="DJ50" i="1" s="1"/>
  <c r="DC13" i="1"/>
  <c r="DJ13" i="1" s="1"/>
  <c r="DC31" i="1"/>
  <c r="DJ31" i="1" s="1"/>
  <c r="DC21" i="1"/>
  <c r="DJ21" i="1" s="1"/>
  <c r="DC69" i="1"/>
  <c r="DJ69" i="1" s="1"/>
  <c r="DC70" i="1"/>
  <c r="DJ70" i="1" s="1"/>
  <c r="DC55" i="1"/>
  <c r="DJ55" i="1" s="1"/>
  <c r="DC59" i="1"/>
  <c r="DJ59" i="1" s="1"/>
  <c r="DC36" i="1"/>
  <c r="DJ36" i="1" s="1"/>
  <c r="DC25" i="1"/>
  <c r="DJ25" i="1" s="1"/>
  <c r="DC20" i="1"/>
  <c r="DJ20" i="1" s="1"/>
  <c r="DC68" i="1"/>
  <c r="DJ68" i="1" s="1"/>
  <c r="DC35" i="1"/>
  <c r="DJ35" i="1" s="1"/>
  <c r="DC27" i="1"/>
  <c r="DJ27" i="1" s="1"/>
  <c r="DC22" i="1"/>
  <c r="DJ22" i="1" s="1"/>
  <c r="DC43" i="1"/>
  <c r="DJ43" i="1" s="1"/>
  <c r="DC76" i="1"/>
  <c r="DJ76" i="1" s="1"/>
  <c r="DC24" i="1"/>
  <c r="DJ24" i="1" s="1"/>
  <c r="DC49" i="1"/>
  <c r="DJ49" i="1" s="1"/>
  <c r="DC38" i="1"/>
  <c r="DJ38" i="1" s="1"/>
  <c r="DC32" i="1"/>
  <c r="DJ32" i="1" s="1"/>
  <c r="DC74" i="1"/>
  <c r="DJ74" i="1" s="1"/>
  <c r="DC19" i="1"/>
  <c r="DJ19" i="1" s="1"/>
  <c r="DC11" i="1"/>
  <c r="DJ11" i="1" s="1"/>
  <c r="DC48" i="1"/>
  <c r="DJ48" i="1" s="1"/>
  <c r="DC45" i="1"/>
  <c r="DJ45" i="1" s="1"/>
  <c r="DC52" i="1"/>
  <c r="DJ52" i="1" s="1"/>
  <c r="DC12" i="1"/>
  <c r="DJ12" i="1" s="1"/>
  <c r="DC44" i="1"/>
  <c r="DJ44" i="1" s="1"/>
  <c r="DC23" i="1"/>
  <c r="DJ23" i="1" s="1"/>
  <c r="DC18" i="1"/>
  <c r="DJ18" i="1" s="1"/>
  <c r="DC75" i="1"/>
  <c r="DJ75" i="1" s="1"/>
  <c r="DC30" i="1"/>
  <c r="DJ30" i="1" s="1"/>
  <c r="DC46" i="1"/>
  <c r="DJ46" i="1" s="1"/>
  <c r="DC58" i="1"/>
  <c r="DJ58" i="1" s="1"/>
  <c r="DC42" i="1"/>
  <c r="DJ42" i="1" s="1"/>
  <c r="DC16" i="1"/>
  <c r="DJ16" i="1" s="1"/>
  <c r="DC28" i="1"/>
  <c r="DJ28" i="1" s="1"/>
  <c r="DC53" i="1"/>
  <c r="DJ53" i="1" s="1"/>
  <c r="DC73" i="1"/>
  <c r="DJ73" i="1" s="1"/>
  <c r="DC17" i="1"/>
  <c r="DJ17" i="1" s="1"/>
  <c r="DC26" i="1"/>
  <c r="DJ26" i="1" s="1"/>
  <c r="DC57" i="1"/>
  <c r="DJ57" i="1" s="1"/>
  <c r="DC15" i="1"/>
  <c r="DJ15" i="1" s="1"/>
  <c r="DC41" i="1"/>
  <c r="DJ41" i="1" s="1"/>
  <c r="DC47" i="1"/>
  <c r="DJ47" i="1" s="1"/>
  <c r="DC54" i="1"/>
  <c r="DJ54" i="1" s="1"/>
  <c r="DC14" i="1"/>
  <c r="DJ14" i="1" s="1"/>
  <c r="DC56" i="1"/>
  <c r="DJ56" i="1" s="1"/>
  <c r="DC51" i="1"/>
  <c r="DJ51" i="1" s="1"/>
  <c r="GK8" i="1"/>
  <c r="GU8" i="1"/>
  <c r="KH8" i="1"/>
  <c r="KI8" i="1" s="1"/>
  <c r="KP8" i="1"/>
  <c r="DC29" i="1"/>
  <c r="DJ29" i="1" s="1"/>
  <c r="BO10" i="1"/>
  <c r="BX10" i="1" s="1"/>
  <c r="BX39" i="1" s="1"/>
  <c r="GO8" i="1"/>
  <c r="AW78" i="1"/>
  <c r="AN8" i="1"/>
  <c r="AW79" i="1"/>
  <c r="BC79" i="1" s="1"/>
  <c r="BC80" i="1" s="1"/>
  <c r="BC81" i="1" s="1"/>
  <c r="BE40" i="1"/>
  <c r="BM40" i="1" s="1"/>
  <c r="BM71" i="1" s="1"/>
  <c r="BE1" i="1"/>
  <c r="AW5" i="1"/>
  <c r="BC8" i="1" s="1"/>
  <c r="GX1" i="1"/>
  <c r="GX5" i="1" s="1"/>
  <c r="HE8" i="1" s="1"/>
  <c r="JH65" i="1" l="1"/>
  <c r="JH34" i="1"/>
  <c r="JH63" i="1"/>
  <c r="JH62" i="1"/>
  <c r="JH66" i="1"/>
  <c r="JH64" i="1"/>
  <c r="IR81" i="1"/>
  <c r="JA78" i="1"/>
  <c r="IZ71" i="1"/>
  <c r="JA71" i="1"/>
  <c r="JB39" i="1"/>
  <c r="JA39" i="1"/>
  <c r="IZ39" i="1"/>
  <c r="IS81" i="1"/>
  <c r="JB71" i="1"/>
  <c r="IZ78" i="1"/>
  <c r="JE37" i="1"/>
  <c r="JG37" i="1" s="1"/>
  <c r="JG60" i="1"/>
  <c r="JG33" i="1"/>
  <c r="JG61" i="1"/>
  <c r="JH60" i="1"/>
  <c r="JH61" i="1"/>
  <c r="JH33" i="1"/>
  <c r="IQ81" i="1"/>
  <c r="IL82" i="1" s="1"/>
  <c r="JI37" i="1"/>
  <c r="JH37" i="1"/>
  <c r="JJ13" i="1"/>
  <c r="JH28" i="1"/>
  <c r="JH43" i="1"/>
  <c r="JH21" i="1"/>
  <c r="JJ46" i="1"/>
  <c r="JH18" i="1"/>
  <c r="JH32" i="1"/>
  <c r="JH75" i="1"/>
  <c r="JI38" i="1"/>
  <c r="JI68" i="1"/>
  <c r="JH29" i="1"/>
  <c r="JI35" i="1"/>
  <c r="JJ70" i="1"/>
  <c r="JH31" i="1"/>
  <c r="JH47" i="1"/>
  <c r="JJ10" i="1"/>
  <c r="JJ53" i="1"/>
  <c r="JH35" i="1"/>
  <c r="JI36" i="1"/>
  <c r="JH59" i="1"/>
  <c r="JH74" i="1"/>
  <c r="JH13" i="1"/>
  <c r="JH69" i="1"/>
  <c r="JH52" i="1"/>
  <c r="JJ57" i="1"/>
  <c r="JH77" i="1"/>
  <c r="JJ29" i="1"/>
  <c r="JH56" i="1"/>
  <c r="JJ17" i="1"/>
  <c r="JH48" i="1"/>
  <c r="JH23" i="1"/>
  <c r="JH24" i="1"/>
  <c r="JH15" i="1"/>
  <c r="JH50" i="1"/>
  <c r="JJ18" i="1"/>
  <c r="JH27" i="1"/>
  <c r="JH10" i="1"/>
  <c r="JJ67" i="1"/>
  <c r="JI75" i="1"/>
  <c r="JH67" i="1"/>
  <c r="JH20" i="1"/>
  <c r="JH54" i="1"/>
  <c r="JH11" i="1"/>
  <c r="JJ28" i="1"/>
  <c r="JH38" i="1"/>
  <c r="JJ36" i="1"/>
  <c r="JR1" i="1"/>
  <c r="JJ55" i="1"/>
  <c r="JJ15" i="1"/>
  <c r="JH26" i="1"/>
  <c r="JH42" i="1"/>
  <c r="JJ45" i="1"/>
  <c r="JJ40" i="1"/>
  <c r="JH19" i="1"/>
  <c r="JI69" i="1"/>
  <c r="JI74" i="1"/>
  <c r="JJ44" i="1"/>
  <c r="JH51" i="1"/>
  <c r="JH68" i="1"/>
  <c r="JH46" i="1"/>
  <c r="JH70" i="1"/>
  <c r="JH17" i="1"/>
  <c r="JH76" i="1"/>
  <c r="JH72" i="1"/>
  <c r="JI67" i="1"/>
  <c r="JJ69" i="1"/>
  <c r="JJ52" i="1"/>
  <c r="JH57" i="1"/>
  <c r="JH36" i="1"/>
  <c r="JJ38" i="1"/>
  <c r="JH12" i="1"/>
  <c r="JH25" i="1"/>
  <c r="JJ12" i="1"/>
  <c r="JH55" i="1"/>
  <c r="JH14" i="1"/>
  <c r="JH53" i="1"/>
  <c r="JH30" i="1"/>
  <c r="JH22" i="1"/>
  <c r="JH16" i="1"/>
  <c r="JH49" i="1"/>
  <c r="JH79" i="1"/>
  <c r="JH80" i="1" s="1"/>
  <c r="JH40" i="1"/>
  <c r="JH45" i="1"/>
  <c r="JH73" i="1"/>
  <c r="JH41" i="1"/>
  <c r="JJ42" i="1"/>
  <c r="JJ26" i="1"/>
  <c r="JH58" i="1"/>
  <c r="JH44" i="1"/>
  <c r="GT8" i="1"/>
  <c r="HD8" i="1"/>
  <c r="KQ8" i="1"/>
  <c r="KR8" i="1" s="1"/>
  <c r="KY8" i="1"/>
  <c r="DL19" i="1"/>
  <c r="DR19" i="1" s="1"/>
  <c r="DL36" i="1"/>
  <c r="DR36" i="1" s="1"/>
  <c r="DL42" i="1"/>
  <c r="DR42" i="1" s="1"/>
  <c r="DL53" i="1"/>
  <c r="DR53" i="1" s="1"/>
  <c r="DL44" i="1"/>
  <c r="DR44" i="1" s="1"/>
  <c r="DL43" i="1"/>
  <c r="DR43" i="1" s="1"/>
  <c r="DL59" i="1"/>
  <c r="DR59" i="1" s="1"/>
  <c r="DL47" i="1"/>
  <c r="DR47" i="1" s="1"/>
  <c r="DL75" i="1"/>
  <c r="DR75" i="1" s="1"/>
  <c r="DL32" i="1"/>
  <c r="DR32" i="1" s="1"/>
  <c r="DL57" i="1"/>
  <c r="DR57" i="1" s="1"/>
  <c r="DL52" i="1"/>
  <c r="DR52" i="1" s="1"/>
  <c r="DL41" i="1"/>
  <c r="DR41" i="1" s="1"/>
  <c r="DL13" i="1"/>
  <c r="DR13" i="1" s="1"/>
  <c r="DL21" i="1"/>
  <c r="DR21" i="1" s="1"/>
  <c r="DL31" i="1"/>
  <c r="DR31" i="1" s="1"/>
  <c r="DL28" i="1"/>
  <c r="DR28" i="1" s="1"/>
  <c r="DL73" i="1"/>
  <c r="DR73" i="1" s="1"/>
  <c r="DL35" i="1"/>
  <c r="DR35" i="1" s="1"/>
  <c r="DL15" i="1"/>
  <c r="DR15" i="1" s="1"/>
  <c r="DL22" i="1"/>
  <c r="DR22" i="1" s="1"/>
  <c r="DL12" i="1"/>
  <c r="DR12" i="1" s="1"/>
  <c r="DL70" i="1"/>
  <c r="DR70" i="1" s="1"/>
  <c r="DL24" i="1"/>
  <c r="DR24" i="1" s="1"/>
  <c r="DL50" i="1"/>
  <c r="DR50" i="1" s="1"/>
  <c r="DL16" i="1"/>
  <c r="DR16" i="1" s="1"/>
  <c r="DL51" i="1"/>
  <c r="DR51" i="1" s="1"/>
  <c r="DL54" i="1"/>
  <c r="DR54" i="1" s="1"/>
  <c r="DL46" i="1"/>
  <c r="DR46" i="1" s="1"/>
  <c r="DL29" i="1"/>
  <c r="DR29" i="1" s="1"/>
  <c r="DL30" i="1"/>
  <c r="DR30" i="1" s="1"/>
  <c r="DL56" i="1"/>
  <c r="DR56" i="1" s="1"/>
  <c r="DL38" i="1"/>
  <c r="DR38" i="1" s="1"/>
  <c r="DL18" i="1"/>
  <c r="DR18" i="1" s="1"/>
  <c r="DL27" i="1"/>
  <c r="DR27" i="1" s="1"/>
  <c r="DL26" i="1"/>
  <c r="DR26" i="1" s="1"/>
  <c r="DL48" i="1"/>
  <c r="DR48" i="1" s="1"/>
  <c r="DL25" i="1"/>
  <c r="DR25" i="1" s="1"/>
  <c r="DL14" i="1"/>
  <c r="DR14" i="1" s="1"/>
  <c r="DL20" i="1"/>
  <c r="DR20" i="1" s="1"/>
  <c r="DL45" i="1"/>
  <c r="DR45" i="1" s="1"/>
  <c r="DL49" i="1"/>
  <c r="DR49" i="1" s="1"/>
  <c r="DL74" i="1"/>
  <c r="DR74" i="1" s="1"/>
  <c r="DL68" i="1"/>
  <c r="DR68" i="1" s="1"/>
  <c r="DL55" i="1"/>
  <c r="DR55" i="1" s="1"/>
  <c r="DL23" i="1"/>
  <c r="DR23" i="1" s="1"/>
  <c r="DL76" i="1"/>
  <c r="DR76" i="1" s="1"/>
  <c r="DL69" i="1"/>
  <c r="DR69" i="1" s="1"/>
  <c r="DL11" i="1"/>
  <c r="DR11" i="1" s="1"/>
  <c r="DL17" i="1"/>
  <c r="DR17" i="1" s="1"/>
  <c r="DL58" i="1"/>
  <c r="DR58" i="1" s="1"/>
  <c r="BO39" i="1"/>
  <c r="GX8" i="1"/>
  <c r="BE71" i="1"/>
  <c r="AW80" i="1"/>
  <c r="BO72" i="1"/>
  <c r="BX72" i="1" s="1"/>
  <c r="AW8" i="1"/>
  <c r="BB8" i="1"/>
  <c r="BE77" i="1"/>
  <c r="BM77" i="1" s="1"/>
  <c r="BM78" i="1" s="1"/>
  <c r="AS8" i="1"/>
  <c r="HG1" i="1"/>
  <c r="HG5" i="1" s="1"/>
  <c r="HN8" i="1" s="1"/>
  <c r="BO1" i="1"/>
  <c r="BE5" i="1"/>
  <c r="BA8" i="1" s="1"/>
  <c r="JQ64" i="1" l="1"/>
  <c r="JQ34" i="1"/>
  <c r="JQ66" i="1"/>
  <c r="JQ62" i="1"/>
  <c r="JQ65" i="1"/>
  <c r="JQ63" i="1"/>
  <c r="JI71" i="1"/>
  <c r="JN33" i="1"/>
  <c r="JP33" i="1" s="1"/>
  <c r="JV33" i="1" s="1"/>
  <c r="JN60" i="1"/>
  <c r="JP60" i="1" s="1"/>
  <c r="JV60" i="1" s="1"/>
  <c r="JN61" i="1"/>
  <c r="JP61" i="1" s="1"/>
  <c r="JV61" i="1" s="1"/>
  <c r="JH78" i="1"/>
  <c r="JN37" i="1"/>
  <c r="JP37" i="1" s="1"/>
  <c r="JI39" i="1"/>
  <c r="JJ71" i="1"/>
  <c r="JH39" i="1"/>
  <c r="JH71" i="1"/>
  <c r="JI78" i="1"/>
  <c r="JJ39" i="1"/>
  <c r="JA81" i="1"/>
  <c r="IZ81" i="1"/>
  <c r="IU82" i="1" s="1"/>
  <c r="JB81" i="1"/>
  <c r="JQ61" i="1"/>
  <c r="JQ60" i="1"/>
  <c r="JQ33" i="1"/>
  <c r="JR37" i="1"/>
  <c r="JQ37" i="1"/>
  <c r="JZ1" i="1"/>
  <c r="JQ51" i="1"/>
  <c r="JQ75" i="1"/>
  <c r="JQ23" i="1"/>
  <c r="JQ31" i="1"/>
  <c r="JS29" i="1"/>
  <c r="JQ10" i="1"/>
  <c r="JQ52" i="1"/>
  <c r="JR67" i="1"/>
  <c r="JQ54" i="1"/>
  <c r="JQ18" i="1"/>
  <c r="JQ79" i="1"/>
  <c r="JQ80" i="1" s="1"/>
  <c r="JQ69" i="1"/>
  <c r="JS18" i="1"/>
  <c r="JQ43" i="1"/>
  <c r="JQ41" i="1"/>
  <c r="JQ58" i="1"/>
  <c r="JS55" i="1"/>
  <c r="JQ24" i="1"/>
  <c r="JQ14" i="1"/>
  <c r="JQ30" i="1"/>
  <c r="JS46" i="1"/>
  <c r="JQ45" i="1"/>
  <c r="JS42" i="1"/>
  <c r="JQ57" i="1"/>
  <c r="JQ38" i="1"/>
  <c r="JS26" i="1"/>
  <c r="JQ48" i="1"/>
  <c r="JQ22" i="1"/>
  <c r="JR69" i="1"/>
  <c r="JS17" i="1"/>
  <c r="JQ44" i="1"/>
  <c r="JS12" i="1"/>
  <c r="JQ19" i="1"/>
  <c r="JQ47" i="1"/>
  <c r="JR75" i="1"/>
  <c r="JQ67" i="1"/>
  <c r="JQ15" i="1"/>
  <c r="JQ11" i="1"/>
  <c r="JS52" i="1"/>
  <c r="JR38" i="1"/>
  <c r="JQ35" i="1"/>
  <c r="JQ27" i="1"/>
  <c r="JQ74" i="1"/>
  <c r="JS36" i="1"/>
  <c r="JQ40" i="1"/>
  <c r="JQ49" i="1"/>
  <c r="JQ29" i="1"/>
  <c r="JS38" i="1"/>
  <c r="JR35" i="1"/>
  <c r="JQ12" i="1"/>
  <c r="JQ53" i="1"/>
  <c r="JQ56" i="1"/>
  <c r="JQ72" i="1"/>
  <c r="JQ70" i="1"/>
  <c r="JQ32" i="1"/>
  <c r="JQ25" i="1"/>
  <c r="JS15" i="1"/>
  <c r="JS28" i="1"/>
  <c r="JQ76" i="1"/>
  <c r="JQ26" i="1"/>
  <c r="JQ77" i="1"/>
  <c r="JS69" i="1"/>
  <c r="JS57" i="1"/>
  <c r="JS70" i="1"/>
  <c r="JS13" i="1"/>
  <c r="JS44" i="1"/>
  <c r="JQ21" i="1"/>
  <c r="JS67" i="1"/>
  <c r="JQ20" i="1"/>
  <c r="JS53" i="1"/>
  <c r="JQ16" i="1"/>
  <c r="JQ46" i="1"/>
  <c r="JR68" i="1"/>
  <c r="JQ17" i="1"/>
  <c r="JS10" i="1"/>
  <c r="JQ68" i="1"/>
  <c r="JQ13" i="1"/>
  <c r="JQ42" i="1"/>
  <c r="JR74" i="1"/>
  <c r="JQ50" i="1"/>
  <c r="JR36" i="1"/>
  <c r="JS45" i="1"/>
  <c r="JQ73" i="1"/>
  <c r="JQ59" i="1"/>
  <c r="JS40" i="1"/>
  <c r="JQ36" i="1"/>
  <c r="JQ55" i="1"/>
  <c r="JQ28" i="1"/>
  <c r="ED67" i="1"/>
  <c r="EK67" i="1" s="1"/>
  <c r="DT25" i="1"/>
  <c r="EB25" i="1" s="1"/>
  <c r="DT36" i="1"/>
  <c r="EB36" i="1" s="1"/>
  <c r="DT51" i="1"/>
  <c r="EB51" i="1" s="1"/>
  <c r="DT54" i="1"/>
  <c r="EB54" i="1" s="1"/>
  <c r="DT21" i="1"/>
  <c r="EB21" i="1" s="1"/>
  <c r="DT19" i="1"/>
  <c r="EB19" i="1" s="1"/>
  <c r="DT70" i="1"/>
  <c r="EB70" i="1" s="1"/>
  <c r="DT32" i="1"/>
  <c r="EB32" i="1" s="1"/>
  <c r="DT22" i="1"/>
  <c r="EB22" i="1" s="1"/>
  <c r="DT42" i="1"/>
  <c r="EB42" i="1" s="1"/>
  <c r="DT11" i="1"/>
  <c r="EB11" i="1" s="1"/>
  <c r="DT50" i="1"/>
  <c r="EB50" i="1" s="1"/>
  <c r="DT57" i="1"/>
  <c r="EB57" i="1" s="1"/>
  <c r="DT18" i="1"/>
  <c r="EB18" i="1" s="1"/>
  <c r="DT12" i="1"/>
  <c r="EB12" i="1" s="1"/>
  <c r="DT55" i="1"/>
  <c r="EB55" i="1" s="1"/>
  <c r="DT15" i="1"/>
  <c r="EB15" i="1" s="1"/>
  <c r="DT74" i="1"/>
  <c r="EB74" i="1" s="1"/>
  <c r="DT30" i="1"/>
  <c r="EB30" i="1" s="1"/>
  <c r="DT49" i="1"/>
  <c r="EB49" i="1" s="1"/>
  <c r="DT29" i="1"/>
  <c r="EB29" i="1" s="1"/>
  <c r="DT45" i="1"/>
  <c r="EB45" i="1" s="1"/>
  <c r="HC8" i="1"/>
  <c r="HM8" i="1"/>
  <c r="KZ8" i="1"/>
  <c r="LA8" i="1" s="1"/>
  <c r="LG8" i="1"/>
  <c r="DT58" i="1"/>
  <c r="EB58" i="1" s="1"/>
  <c r="DT20" i="1"/>
  <c r="EB20" i="1" s="1"/>
  <c r="DT75" i="1"/>
  <c r="EB75" i="1" s="1"/>
  <c r="DT47" i="1"/>
  <c r="EB47" i="1" s="1"/>
  <c r="DT73" i="1"/>
  <c r="EB73" i="1" s="1"/>
  <c r="DT16" i="1"/>
  <c r="EB16" i="1" s="1"/>
  <c r="DT43" i="1"/>
  <c r="EB43" i="1" s="1"/>
  <c r="DT46" i="1"/>
  <c r="EB46" i="1" s="1"/>
  <c r="DT17" i="1"/>
  <c r="EB17" i="1" s="1"/>
  <c r="DT31" i="1"/>
  <c r="EB31" i="1" s="1"/>
  <c r="DT26" i="1"/>
  <c r="EB26" i="1" s="1"/>
  <c r="DT27" i="1"/>
  <c r="EB27" i="1" s="1"/>
  <c r="DT53" i="1"/>
  <c r="EB53" i="1" s="1"/>
  <c r="DT24" i="1"/>
  <c r="EB24" i="1" s="1"/>
  <c r="DT38" i="1"/>
  <c r="EB38" i="1" s="1"/>
  <c r="DT14" i="1"/>
  <c r="EB14" i="1" s="1"/>
  <c r="DT69" i="1"/>
  <c r="EB69" i="1" s="1"/>
  <c r="DT28" i="1"/>
  <c r="EB28" i="1" s="1"/>
  <c r="DT76" i="1"/>
  <c r="EB76" i="1" s="1"/>
  <c r="DT23" i="1"/>
  <c r="EB23" i="1" s="1"/>
  <c r="DT44" i="1"/>
  <c r="EB44" i="1" s="1"/>
  <c r="DT13" i="1"/>
  <c r="EB13" i="1" s="1"/>
  <c r="DT68" i="1"/>
  <c r="EB68" i="1" s="1"/>
  <c r="DT56" i="1"/>
  <c r="EB56" i="1" s="1"/>
  <c r="DT52" i="1"/>
  <c r="EB52" i="1" s="1"/>
  <c r="DT48" i="1"/>
  <c r="EB48" i="1" s="1"/>
  <c r="DT59" i="1"/>
  <c r="EB59" i="1" s="1"/>
  <c r="DT41" i="1"/>
  <c r="EB41" i="1" s="1"/>
  <c r="DT35" i="1"/>
  <c r="EB35" i="1" s="1"/>
  <c r="BZ10" i="1"/>
  <c r="CH10" i="1" s="1"/>
  <c r="CH39" i="1" s="1"/>
  <c r="AW81" i="1"/>
  <c r="HG8" i="1"/>
  <c r="BE78" i="1"/>
  <c r="BE8" i="1"/>
  <c r="BM8" i="1"/>
  <c r="BL8" i="1" s="1"/>
  <c r="BO40" i="1"/>
  <c r="BX40" i="1" s="1"/>
  <c r="BX71" i="1" s="1"/>
  <c r="BE79" i="1"/>
  <c r="BM79" i="1" s="1"/>
  <c r="BM80" i="1" s="1"/>
  <c r="BM81" i="1" s="1"/>
  <c r="HP1" i="1"/>
  <c r="HP5" i="1" s="1"/>
  <c r="HW8" i="1" s="1"/>
  <c r="BO5" i="1"/>
  <c r="BX8" i="1" s="1"/>
  <c r="BZ1" i="1"/>
  <c r="JR78" i="1" l="1"/>
  <c r="JR71" i="1"/>
  <c r="JQ39" i="1"/>
  <c r="JQ78" i="1"/>
  <c r="JQ71" i="1"/>
  <c r="JR39" i="1"/>
  <c r="JS39" i="1"/>
  <c r="JS71" i="1"/>
  <c r="JY34" i="1"/>
  <c r="JY65" i="1"/>
  <c r="JY64" i="1"/>
  <c r="JY63" i="1"/>
  <c r="JY62" i="1"/>
  <c r="JY66" i="1"/>
  <c r="JJ81" i="1"/>
  <c r="JV37" i="1"/>
  <c r="JX37" i="1" s="1"/>
  <c r="JI81" i="1"/>
  <c r="JH81" i="1"/>
  <c r="JC82" i="1" s="1"/>
  <c r="EM67" i="1"/>
  <c r="ES67" i="1" s="1"/>
  <c r="EU67" i="1" s="1"/>
  <c r="FA67" i="1" s="1"/>
  <c r="JX60" i="1"/>
  <c r="KD60" i="1" s="1"/>
  <c r="JX33" i="1"/>
  <c r="KD33" i="1" s="1"/>
  <c r="JX61" i="1"/>
  <c r="KD61" i="1" s="1"/>
  <c r="JY33" i="1"/>
  <c r="JY61" i="1"/>
  <c r="JY60" i="1"/>
  <c r="JY37" i="1"/>
  <c r="JZ37" i="1"/>
  <c r="JY75" i="1"/>
  <c r="JY51" i="1"/>
  <c r="JZ35" i="1"/>
  <c r="KA40" i="1"/>
  <c r="JY53" i="1"/>
  <c r="JY76" i="1"/>
  <c r="JY16" i="1"/>
  <c r="JY52" i="1"/>
  <c r="KA70" i="1"/>
  <c r="JY29" i="1"/>
  <c r="KA18" i="1"/>
  <c r="JY40" i="1"/>
  <c r="JZ67" i="1"/>
  <c r="KA46" i="1"/>
  <c r="JY24" i="1"/>
  <c r="JY14" i="1"/>
  <c r="JY17" i="1"/>
  <c r="JY46" i="1"/>
  <c r="KA10" i="1"/>
  <c r="KA15" i="1"/>
  <c r="JY73" i="1"/>
  <c r="JY68" i="1"/>
  <c r="KA57" i="1"/>
  <c r="JY56" i="1"/>
  <c r="JY19" i="1"/>
  <c r="JY28" i="1"/>
  <c r="JY12" i="1"/>
  <c r="JY50" i="1"/>
  <c r="KA67" i="1"/>
  <c r="JY55" i="1"/>
  <c r="KA42" i="1"/>
  <c r="JY47" i="1"/>
  <c r="KA36" i="1"/>
  <c r="JY21" i="1"/>
  <c r="JY30" i="1"/>
  <c r="JY48" i="1"/>
  <c r="KA44" i="1"/>
  <c r="KA12" i="1"/>
  <c r="JY74" i="1"/>
  <c r="JY77" i="1"/>
  <c r="KA55" i="1"/>
  <c r="JY43" i="1"/>
  <c r="JY32" i="1"/>
  <c r="JY44" i="1"/>
  <c r="JY26" i="1"/>
  <c r="JY20" i="1"/>
  <c r="KA53" i="1"/>
  <c r="JZ69" i="1"/>
  <c r="KA38" i="1"/>
  <c r="JZ75" i="1"/>
  <c r="JY79" i="1"/>
  <c r="JY80" i="1" s="1"/>
  <c r="KA17" i="1"/>
  <c r="JY42" i="1"/>
  <c r="JY36" i="1"/>
  <c r="JY10" i="1"/>
  <c r="JY69" i="1"/>
  <c r="KH1" i="1"/>
  <c r="JY58" i="1"/>
  <c r="JY38" i="1"/>
  <c r="KA26" i="1"/>
  <c r="JY59" i="1"/>
  <c r="JZ74" i="1"/>
  <c r="JY13" i="1"/>
  <c r="JZ68" i="1"/>
  <c r="JY35" i="1"/>
  <c r="JY25" i="1"/>
  <c r="JY57" i="1"/>
  <c r="JY45" i="1"/>
  <c r="JY31" i="1"/>
  <c r="JY18" i="1"/>
  <c r="JY54" i="1"/>
  <c r="KA69" i="1"/>
  <c r="KA52" i="1"/>
  <c r="JZ36" i="1"/>
  <c r="JY67" i="1"/>
  <c r="JY27" i="1"/>
  <c r="KA13" i="1"/>
  <c r="JY41" i="1"/>
  <c r="JY49" i="1"/>
  <c r="JY23" i="1"/>
  <c r="JY22" i="1"/>
  <c r="KA28" i="1"/>
  <c r="JY15" i="1"/>
  <c r="JY70" i="1"/>
  <c r="JY11" i="1"/>
  <c r="JZ38" i="1"/>
  <c r="KA45" i="1"/>
  <c r="KA29" i="1"/>
  <c r="JY72" i="1"/>
  <c r="ED17" i="1"/>
  <c r="EK17" i="1" s="1"/>
  <c r="ED19" i="1"/>
  <c r="EK19" i="1" s="1"/>
  <c r="LH8" i="1"/>
  <c r="LI8" i="1" s="1"/>
  <c r="LP8" i="1"/>
  <c r="HL8" i="1"/>
  <c r="HV8" i="1"/>
  <c r="BZ39" i="1"/>
  <c r="BZ72" i="1"/>
  <c r="CH72" i="1" s="1"/>
  <c r="BK8" i="1"/>
  <c r="BW8" i="1"/>
  <c r="HP8" i="1"/>
  <c r="BE80" i="1"/>
  <c r="BO71" i="1"/>
  <c r="BO8" i="1"/>
  <c r="BO77" i="1"/>
  <c r="BX77" i="1" s="1"/>
  <c r="BX78" i="1" s="1"/>
  <c r="HY1" i="1"/>
  <c r="HY5" i="1" s="1"/>
  <c r="IF8" i="1" s="1"/>
  <c r="BZ5" i="1"/>
  <c r="CH8" i="1" s="1"/>
  <c r="CJ1" i="1"/>
  <c r="JR81" i="1" l="1"/>
  <c r="JZ78" i="1"/>
  <c r="JY78" i="1"/>
  <c r="JZ39" i="1"/>
  <c r="KA39" i="1"/>
  <c r="KA71" i="1"/>
  <c r="JZ71" i="1"/>
  <c r="JY39" i="1"/>
  <c r="JY71" i="1"/>
  <c r="KD37" i="1"/>
  <c r="KF37" i="1" s="1"/>
  <c r="JQ81" i="1"/>
  <c r="JL82" i="1" s="1"/>
  <c r="JS81" i="1"/>
  <c r="KG34" i="1"/>
  <c r="KG66" i="1"/>
  <c r="KG64" i="1"/>
  <c r="KG63" i="1"/>
  <c r="KG65" i="1"/>
  <c r="KG62" i="1"/>
  <c r="KF60" i="1"/>
  <c r="KM60" i="1" s="1"/>
  <c r="KF61" i="1"/>
  <c r="KM61" i="1" s="1"/>
  <c r="KF33" i="1"/>
  <c r="KM33" i="1" s="1"/>
  <c r="KG33" i="1"/>
  <c r="KG61" i="1"/>
  <c r="KG60" i="1"/>
  <c r="KG37" i="1"/>
  <c r="KH37" i="1"/>
  <c r="KG73" i="1"/>
  <c r="KG31" i="1"/>
  <c r="KI36" i="1"/>
  <c r="KG69" i="1"/>
  <c r="KG24" i="1"/>
  <c r="KG41" i="1"/>
  <c r="KG44" i="1"/>
  <c r="KQ1" i="1"/>
  <c r="KI57" i="1"/>
  <c r="KG30" i="1"/>
  <c r="KG16" i="1"/>
  <c r="KG15" i="1"/>
  <c r="KI18" i="1"/>
  <c r="KI26" i="1"/>
  <c r="KG23" i="1"/>
  <c r="KG79" i="1"/>
  <c r="KG80" i="1" s="1"/>
  <c r="KG11" i="1"/>
  <c r="KG13" i="1"/>
  <c r="KI67" i="1"/>
  <c r="KI55" i="1"/>
  <c r="KG46" i="1"/>
  <c r="KI44" i="1"/>
  <c r="KG17" i="1"/>
  <c r="KG28" i="1"/>
  <c r="KG43" i="1"/>
  <c r="KI12" i="1"/>
  <c r="KI17" i="1"/>
  <c r="KI38" i="1"/>
  <c r="KH75" i="1"/>
  <c r="KG14" i="1"/>
  <c r="KG48" i="1"/>
  <c r="KG56" i="1"/>
  <c r="KH38" i="1"/>
  <c r="KG53" i="1"/>
  <c r="KG50" i="1"/>
  <c r="KG27" i="1"/>
  <c r="KG72" i="1"/>
  <c r="KG36" i="1"/>
  <c r="KG25" i="1"/>
  <c r="KH74" i="1"/>
  <c r="KI53" i="1"/>
  <c r="KG21" i="1"/>
  <c r="KG10" i="1"/>
  <c r="KH68" i="1"/>
  <c r="KI69" i="1"/>
  <c r="KG35" i="1"/>
  <c r="KG70" i="1"/>
  <c r="KI45" i="1"/>
  <c r="KG19" i="1"/>
  <c r="KG75" i="1"/>
  <c r="KG74" i="1"/>
  <c r="KI42" i="1"/>
  <c r="KG67" i="1"/>
  <c r="KI29" i="1"/>
  <c r="KG54" i="1"/>
  <c r="KG59" i="1"/>
  <c r="KH36" i="1"/>
  <c r="KI10" i="1"/>
  <c r="KH69" i="1"/>
  <c r="KG52" i="1"/>
  <c r="KG32" i="1"/>
  <c r="KG68" i="1"/>
  <c r="KH67" i="1"/>
  <c r="KI28" i="1"/>
  <c r="KG22" i="1"/>
  <c r="KG12" i="1"/>
  <c r="KG55" i="1"/>
  <c r="KI70" i="1"/>
  <c r="KG49" i="1"/>
  <c r="KG58" i="1"/>
  <c r="KG42" i="1"/>
  <c r="KG26" i="1"/>
  <c r="KG40" i="1"/>
  <c r="KG76" i="1"/>
  <c r="KG51" i="1"/>
  <c r="KG45" i="1"/>
  <c r="KG38" i="1"/>
  <c r="KI52" i="1"/>
  <c r="KH35" i="1"/>
  <c r="KG18" i="1"/>
  <c r="KG47" i="1"/>
  <c r="KI40" i="1"/>
  <c r="KG29" i="1"/>
  <c r="KG20" i="1"/>
  <c r="KG57" i="1"/>
  <c r="KI15" i="1"/>
  <c r="KI46" i="1"/>
  <c r="KG77" i="1"/>
  <c r="KI13" i="1"/>
  <c r="ED76" i="1"/>
  <c r="EK76" i="1" s="1"/>
  <c r="ED58" i="1"/>
  <c r="EK58" i="1" s="1"/>
  <c r="ED44" i="1"/>
  <c r="EK44" i="1" s="1"/>
  <c r="ED21" i="1"/>
  <c r="EK21" i="1" s="1"/>
  <c r="ED36" i="1"/>
  <c r="EK36" i="1" s="1"/>
  <c r="ED53" i="1"/>
  <c r="EK53" i="1" s="1"/>
  <c r="ED54" i="1"/>
  <c r="EK54" i="1" s="1"/>
  <c r="ED68" i="1"/>
  <c r="EK68" i="1" s="1"/>
  <c r="ED18" i="1"/>
  <c r="EK18" i="1" s="1"/>
  <c r="ED52" i="1"/>
  <c r="EK52" i="1" s="1"/>
  <c r="ED20" i="1"/>
  <c r="EK20" i="1" s="1"/>
  <c r="ED74" i="1"/>
  <c r="EK74" i="1" s="1"/>
  <c r="ED46" i="1"/>
  <c r="EK46" i="1" s="1"/>
  <c r="ED32" i="1"/>
  <c r="EK32" i="1" s="1"/>
  <c r="ED24" i="1"/>
  <c r="EK24" i="1" s="1"/>
  <c r="ED11" i="1"/>
  <c r="EK11" i="1" s="1"/>
  <c r="ED23" i="1"/>
  <c r="EK23" i="1" s="1"/>
  <c r="ED22" i="1"/>
  <c r="EK22" i="1" s="1"/>
  <c r="ED48" i="1"/>
  <c r="EK48" i="1" s="1"/>
  <c r="ED50" i="1"/>
  <c r="EK50" i="1" s="1"/>
  <c r="ED51" i="1"/>
  <c r="EK51" i="1" s="1"/>
  <c r="ED29" i="1"/>
  <c r="EK29" i="1" s="1"/>
  <c r="ED42" i="1"/>
  <c r="EK42" i="1" s="1"/>
  <c r="ED16" i="1"/>
  <c r="EK16" i="1" s="1"/>
  <c r="ED15" i="1"/>
  <c r="EK15" i="1" s="1"/>
  <c r="ED75" i="1"/>
  <c r="EK75" i="1" s="1"/>
  <c r="ED45" i="1"/>
  <c r="EK45" i="1" s="1"/>
  <c r="ED28" i="1"/>
  <c r="EK28" i="1" s="1"/>
  <c r="ED26" i="1"/>
  <c r="EK26" i="1" s="1"/>
  <c r="ED38" i="1"/>
  <c r="EK38" i="1" s="1"/>
  <c r="ED47" i="1"/>
  <c r="EK47" i="1" s="1"/>
  <c r="ED12" i="1"/>
  <c r="EK12" i="1" s="1"/>
  <c r="ED59" i="1"/>
  <c r="EK59" i="1" s="1"/>
  <c r="ED14" i="1"/>
  <c r="EK14" i="1" s="1"/>
  <c r="ED25" i="1"/>
  <c r="EK25" i="1" s="1"/>
  <c r="ED27" i="1"/>
  <c r="EK27" i="1" s="1"/>
  <c r="ED41" i="1"/>
  <c r="EK41" i="1" s="1"/>
  <c r="ED73" i="1"/>
  <c r="EK73" i="1" s="1"/>
  <c r="ED55" i="1"/>
  <c r="EK55" i="1" s="1"/>
  <c r="ED57" i="1"/>
  <c r="EK57" i="1" s="1"/>
  <c r="ED70" i="1"/>
  <c r="EK70" i="1" s="1"/>
  <c r="ED69" i="1"/>
  <c r="EK69" i="1" s="1"/>
  <c r="ED31" i="1"/>
  <c r="EK31" i="1" s="1"/>
  <c r="ED56" i="1"/>
  <c r="EK56" i="1" s="1"/>
  <c r="ED43" i="1"/>
  <c r="EK43" i="1" s="1"/>
  <c r="ED30" i="1"/>
  <c r="EK30" i="1" s="1"/>
  <c r="ED35" i="1"/>
  <c r="EK35" i="1" s="1"/>
  <c r="ED13" i="1"/>
  <c r="EK13" i="1" s="1"/>
  <c r="ED49" i="1"/>
  <c r="EK49" i="1" s="1"/>
  <c r="EM19" i="1"/>
  <c r="EM17" i="1"/>
  <c r="LQ8" i="1"/>
  <c r="LR8" i="1" s="1"/>
  <c r="LX8" i="1"/>
  <c r="IE8" i="1"/>
  <c r="HU8" i="1"/>
  <c r="CJ10" i="1"/>
  <c r="CQ10" i="1" s="1"/>
  <c r="CQ39" i="1" s="1"/>
  <c r="CG8" i="1"/>
  <c r="BV8" i="1"/>
  <c r="HY8" i="1"/>
  <c r="BE81" i="1"/>
  <c r="FC67" i="1"/>
  <c r="FI67" i="1" s="1"/>
  <c r="BO78" i="1"/>
  <c r="BZ8" i="1"/>
  <c r="BZ40" i="1"/>
  <c r="CH40" i="1" s="1"/>
  <c r="CH71" i="1" s="1"/>
  <c r="BO79" i="1"/>
  <c r="BX79" i="1" s="1"/>
  <c r="BX80" i="1" s="1"/>
  <c r="BX81" i="1" s="1"/>
  <c r="CJ5" i="1"/>
  <c r="CS1" i="1"/>
  <c r="IH1" i="1"/>
  <c r="IH5" i="1" s="1"/>
  <c r="IN8" i="1" s="1"/>
  <c r="KH71" i="1" l="1"/>
  <c r="KI39" i="1"/>
  <c r="KH78" i="1"/>
  <c r="KI71" i="1"/>
  <c r="KH39" i="1"/>
  <c r="KA81" i="1"/>
  <c r="JZ81" i="1"/>
  <c r="JY81" i="1"/>
  <c r="JT82" i="1" s="1"/>
  <c r="KM37" i="1"/>
  <c r="KO37" i="1" s="1"/>
  <c r="KP65" i="1"/>
  <c r="KX65" i="1" s="1"/>
  <c r="KP34" i="1"/>
  <c r="KX34" i="1" s="1"/>
  <c r="KP63" i="1"/>
  <c r="KX63" i="1" s="1"/>
  <c r="KP62" i="1"/>
  <c r="KX62" i="1" s="1"/>
  <c r="KP66" i="1"/>
  <c r="KX66" i="1" s="1"/>
  <c r="KP64" i="1"/>
  <c r="KX64" i="1" s="1"/>
  <c r="EM25" i="1"/>
  <c r="ES25" i="1" s="1"/>
  <c r="EU25" i="1" s="1"/>
  <c r="EM14" i="1"/>
  <c r="ES14" i="1" s="1"/>
  <c r="EU14" i="1" s="1"/>
  <c r="EM29" i="1"/>
  <c r="ES29" i="1" s="1"/>
  <c r="EU29" i="1" s="1"/>
  <c r="EM59" i="1"/>
  <c r="ES59" i="1" s="1"/>
  <c r="EU59" i="1" s="1"/>
  <c r="EM18" i="1"/>
  <c r="ES18" i="1" s="1"/>
  <c r="EU18" i="1" s="1"/>
  <c r="EM56" i="1"/>
  <c r="ES56" i="1" s="1"/>
  <c r="EU56" i="1" s="1"/>
  <c r="EM31" i="1"/>
  <c r="ES31" i="1" s="1"/>
  <c r="EU31" i="1" s="1"/>
  <c r="EM47" i="1"/>
  <c r="ES47" i="1" s="1"/>
  <c r="EU47" i="1" s="1"/>
  <c r="EM54" i="1"/>
  <c r="ES54" i="1" s="1"/>
  <c r="EU54" i="1" s="1"/>
  <c r="EM22" i="1"/>
  <c r="ES22" i="1" s="1"/>
  <c r="EU22" i="1" s="1"/>
  <c r="EM23" i="1"/>
  <c r="ES23" i="1" s="1"/>
  <c r="EU23" i="1" s="1"/>
  <c r="EM55" i="1"/>
  <c r="ES55" i="1" s="1"/>
  <c r="EU55" i="1" s="1"/>
  <c r="EM45" i="1"/>
  <c r="ES45" i="1" s="1"/>
  <c r="EU45" i="1" s="1"/>
  <c r="EM24" i="1"/>
  <c r="ES24" i="1" s="1"/>
  <c r="EU24" i="1" s="1"/>
  <c r="EM44" i="1"/>
  <c r="ES44" i="1" s="1"/>
  <c r="EU44" i="1" s="1"/>
  <c r="EM20" i="1"/>
  <c r="ES20" i="1" s="1"/>
  <c r="EU20" i="1" s="1"/>
  <c r="EM52" i="1"/>
  <c r="ES52" i="1" s="1"/>
  <c r="EU52" i="1" s="1"/>
  <c r="EM51" i="1"/>
  <c r="ES51" i="1" s="1"/>
  <c r="EU51" i="1" s="1"/>
  <c r="EM36" i="1"/>
  <c r="ES36" i="1" s="1"/>
  <c r="EU36" i="1" s="1"/>
  <c r="EM50" i="1"/>
  <c r="ES50" i="1" s="1"/>
  <c r="EU50" i="1" s="1"/>
  <c r="EM48" i="1"/>
  <c r="ES48" i="1" s="1"/>
  <c r="EU48" i="1" s="1"/>
  <c r="EM38" i="1"/>
  <c r="ES38" i="1" s="1"/>
  <c r="EU38" i="1" s="1"/>
  <c r="EM70" i="1"/>
  <c r="ES70" i="1" s="1"/>
  <c r="EU70" i="1" s="1"/>
  <c r="EM35" i="1"/>
  <c r="ES35" i="1" s="1"/>
  <c r="EU35" i="1" s="1"/>
  <c r="EM42" i="1"/>
  <c r="ES42" i="1" s="1"/>
  <c r="EU42" i="1" s="1"/>
  <c r="EM30" i="1"/>
  <c r="ES30" i="1" s="1"/>
  <c r="EU30" i="1" s="1"/>
  <c r="EM43" i="1"/>
  <c r="ES43" i="1" s="1"/>
  <c r="EU43" i="1" s="1"/>
  <c r="EM12" i="1"/>
  <c r="ES12" i="1" s="1"/>
  <c r="EU12" i="1" s="1"/>
  <c r="EM68" i="1"/>
  <c r="ES68" i="1" s="1"/>
  <c r="EU68" i="1" s="1"/>
  <c r="EM69" i="1"/>
  <c r="ES69" i="1" s="1"/>
  <c r="EU69" i="1" s="1"/>
  <c r="EM53" i="1"/>
  <c r="ES53" i="1" s="1"/>
  <c r="EU53" i="1" s="1"/>
  <c r="EM26" i="1"/>
  <c r="ES26" i="1" s="1"/>
  <c r="EU26" i="1" s="1"/>
  <c r="EM57" i="1"/>
  <c r="ES57" i="1" s="1"/>
  <c r="EU57" i="1" s="1"/>
  <c r="EM28" i="1"/>
  <c r="ES28" i="1" s="1"/>
  <c r="EU28" i="1" s="1"/>
  <c r="EM11" i="1"/>
  <c r="ES11" i="1" s="1"/>
  <c r="EU11" i="1" s="1"/>
  <c r="FA11" i="1" s="1"/>
  <c r="EM21" i="1"/>
  <c r="ES21" i="1" s="1"/>
  <c r="EU21" i="1" s="1"/>
  <c r="EM73" i="1"/>
  <c r="ES73" i="1" s="1"/>
  <c r="EU73" i="1" s="1"/>
  <c r="EM75" i="1"/>
  <c r="ES75" i="1" s="1"/>
  <c r="EU75" i="1" s="1"/>
  <c r="EM32" i="1"/>
  <c r="ES32" i="1" s="1"/>
  <c r="EU32" i="1" s="1"/>
  <c r="EM58" i="1"/>
  <c r="ES58" i="1" s="1"/>
  <c r="EU58" i="1" s="1"/>
  <c r="EM49" i="1"/>
  <c r="ES49" i="1" s="1"/>
  <c r="EU49" i="1" s="1"/>
  <c r="EM41" i="1"/>
  <c r="ES41" i="1" s="1"/>
  <c r="EU41" i="1" s="1"/>
  <c r="EM15" i="1"/>
  <c r="ES15" i="1" s="1"/>
  <c r="EU15" i="1" s="1"/>
  <c r="EM46" i="1"/>
  <c r="ES46" i="1" s="1"/>
  <c r="EU46" i="1" s="1"/>
  <c r="EM76" i="1"/>
  <c r="ES76" i="1" s="1"/>
  <c r="EU76" i="1" s="1"/>
  <c r="EM13" i="1"/>
  <c r="ES13" i="1" s="1"/>
  <c r="EU13" i="1" s="1"/>
  <c r="EM27" i="1"/>
  <c r="ES27" i="1" s="1"/>
  <c r="EU27" i="1" s="1"/>
  <c r="EM16" i="1"/>
  <c r="ES16" i="1" s="1"/>
  <c r="EU16" i="1" s="1"/>
  <c r="EM74" i="1"/>
  <c r="ES74" i="1" s="1"/>
  <c r="EU74" i="1" s="1"/>
  <c r="KO60" i="1"/>
  <c r="KV60" i="1" s="1"/>
  <c r="KO61" i="1"/>
  <c r="KV61" i="1" s="1"/>
  <c r="KO33" i="1"/>
  <c r="KV33" i="1" s="1"/>
  <c r="ES19" i="1"/>
  <c r="EU19" i="1" s="1"/>
  <c r="ES17" i="1"/>
  <c r="EU17" i="1" s="1"/>
  <c r="KP61" i="1"/>
  <c r="KP60" i="1"/>
  <c r="KP33" i="1"/>
  <c r="KG39" i="1"/>
  <c r="KG71" i="1"/>
  <c r="KG78" i="1"/>
  <c r="KQ37" i="1"/>
  <c r="KP37" i="1"/>
  <c r="KR36" i="1"/>
  <c r="KQ67" i="1"/>
  <c r="KP55" i="1"/>
  <c r="KQ38" i="1"/>
  <c r="KQ36" i="1"/>
  <c r="KP52" i="1"/>
  <c r="KP35" i="1"/>
  <c r="KR26" i="1"/>
  <c r="KP56" i="1"/>
  <c r="KP30" i="1"/>
  <c r="KP29" i="1"/>
  <c r="KP41" i="1"/>
  <c r="KR18" i="1"/>
  <c r="KP26" i="1"/>
  <c r="KP25" i="1"/>
  <c r="KR15" i="1"/>
  <c r="KQ74" i="1"/>
  <c r="KP21" i="1"/>
  <c r="KR55" i="1"/>
  <c r="KP67" i="1"/>
  <c r="KR28" i="1"/>
  <c r="KP38" i="1"/>
  <c r="KR52" i="1"/>
  <c r="KP73" i="1"/>
  <c r="KP54" i="1"/>
  <c r="KP48" i="1"/>
  <c r="KP40" i="1"/>
  <c r="KP14" i="1"/>
  <c r="KQ35" i="1"/>
  <c r="KR53" i="1"/>
  <c r="KP11" i="1"/>
  <c r="KP42" i="1"/>
  <c r="KP28" i="1"/>
  <c r="KQ69" i="1"/>
  <c r="KP31" i="1"/>
  <c r="KR69" i="1"/>
  <c r="KP79" i="1"/>
  <c r="KP80" i="1" s="1"/>
  <c r="KP59" i="1"/>
  <c r="KP75" i="1"/>
  <c r="KP51" i="1"/>
  <c r="KP50" i="1"/>
  <c r="KP47" i="1"/>
  <c r="KP19" i="1"/>
  <c r="KP10" i="1"/>
  <c r="KQ68" i="1"/>
  <c r="KP44" i="1"/>
  <c r="KR45" i="1"/>
  <c r="KR13" i="1"/>
  <c r="KR10" i="1"/>
  <c r="KP36" i="1"/>
  <c r="KP22" i="1"/>
  <c r="KR46" i="1"/>
  <c r="KP27" i="1"/>
  <c r="KP15" i="1"/>
  <c r="KP45" i="1"/>
  <c r="KP53" i="1"/>
  <c r="KP76" i="1"/>
  <c r="KR29" i="1"/>
  <c r="KR17" i="1"/>
  <c r="KP12" i="1"/>
  <c r="KP16" i="1"/>
  <c r="KR38" i="1"/>
  <c r="KR70" i="1"/>
  <c r="KP24" i="1"/>
  <c r="KP49" i="1"/>
  <c r="KZ1" i="1"/>
  <c r="KP72" i="1"/>
  <c r="KP17" i="1"/>
  <c r="KR12" i="1"/>
  <c r="KQ75" i="1"/>
  <c r="KP20" i="1"/>
  <c r="KP23" i="1"/>
  <c r="KP74" i="1"/>
  <c r="KP69" i="1"/>
  <c r="KR67" i="1"/>
  <c r="KP13" i="1"/>
  <c r="KP18" i="1"/>
  <c r="KP58" i="1"/>
  <c r="KP57" i="1"/>
  <c r="KR44" i="1"/>
  <c r="KP70" i="1"/>
  <c r="KP68" i="1"/>
  <c r="KR40" i="1"/>
  <c r="KR57" i="1"/>
  <c r="KR42" i="1"/>
  <c r="KP46" i="1"/>
  <c r="KP32" i="1"/>
  <c r="KP77" i="1"/>
  <c r="KP43" i="1"/>
  <c r="CF8" i="1"/>
  <c r="CQ8" i="1"/>
  <c r="CP8" i="1" s="1"/>
  <c r="CJ72" i="1"/>
  <c r="CQ72" i="1" s="1"/>
  <c r="LY8" i="1"/>
  <c r="LZ8" i="1" s="1"/>
  <c r="MF8" i="1"/>
  <c r="IM8" i="1"/>
  <c r="ID8" i="1"/>
  <c r="CJ39" i="1"/>
  <c r="IH8" i="1"/>
  <c r="FK67" i="1"/>
  <c r="FQ67" i="1" s="1"/>
  <c r="BO80" i="1"/>
  <c r="BZ71" i="1"/>
  <c r="CJ8" i="1"/>
  <c r="CS10" i="1"/>
  <c r="DA10" i="1" s="1"/>
  <c r="DA39" i="1" s="1"/>
  <c r="BZ77" i="1"/>
  <c r="CH77" i="1" s="1"/>
  <c r="CH78" i="1" s="1"/>
  <c r="CS5" i="1"/>
  <c r="DA8" i="1" s="1"/>
  <c r="DC1" i="1"/>
  <c r="IP1" i="1"/>
  <c r="IP5" i="1" s="1"/>
  <c r="IW8" i="1" s="1"/>
  <c r="KQ39" i="1" l="1"/>
  <c r="KQ78" i="1"/>
  <c r="KP71" i="1"/>
  <c r="KQ71" i="1"/>
  <c r="KR39" i="1"/>
  <c r="KP78" i="1"/>
  <c r="KR71" i="1"/>
  <c r="KI81" i="1"/>
  <c r="KP39" i="1"/>
  <c r="KV37" i="1"/>
  <c r="KX37" i="1" s="1"/>
  <c r="KH81" i="1"/>
  <c r="KY64" i="1"/>
  <c r="KY34" i="1"/>
  <c r="KY66" i="1"/>
  <c r="KY62" i="1"/>
  <c r="KY63" i="1"/>
  <c r="KY65" i="1"/>
  <c r="KX60" i="1"/>
  <c r="KX33" i="1"/>
  <c r="KX61" i="1"/>
  <c r="KY61" i="1"/>
  <c r="KY60" i="1"/>
  <c r="KY33" i="1"/>
  <c r="FA69" i="1"/>
  <c r="FC69" i="1" s="1"/>
  <c r="FA42" i="1"/>
  <c r="FC42" i="1" s="1"/>
  <c r="FA21" i="1"/>
  <c r="FC21" i="1" s="1"/>
  <c r="FA57" i="1"/>
  <c r="FC57" i="1" s="1"/>
  <c r="FA19" i="1"/>
  <c r="FC19" i="1" s="1"/>
  <c r="FA48" i="1"/>
  <c r="FC48" i="1" s="1"/>
  <c r="FA59" i="1"/>
  <c r="FC59" i="1" s="1"/>
  <c r="FA58" i="1"/>
  <c r="FC58" i="1" s="1"/>
  <c r="FA41" i="1"/>
  <c r="FC41" i="1" s="1"/>
  <c r="FA74" i="1"/>
  <c r="FC74" i="1" s="1"/>
  <c r="FA47" i="1"/>
  <c r="FC47" i="1" s="1"/>
  <c r="FA43" i="1"/>
  <c r="FC43" i="1" s="1"/>
  <c r="FA27" i="1"/>
  <c r="FC27" i="1" s="1"/>
  <c r="FA49" i="1"/>
  <c r="FC49" i="1" s="1"/>
  <c r="FA36" i="1"/>
  <c r="FC36" i="1" s="1"/>
  <c r="FA31" i="1"/>
  <c r="FC31" i="1" s="1"/>
  <c r="FA44" i="1"/>
  <c r="FC44" i="1" s="1"/>
  <c r="FA23" i="1"/>
  <c r="FC23" i="1" s="1"/>
  <c r="FA70" i="1"/>
  <c r="FC70" i="1" s="1"/>
  <c r="FA76" i="1"/>
  <c r="FC76" i="1" s="1"/>
  <c r="FA75" i="1"/>
  <c r="FC75" i="1" s="1"/>
  <c r="FA26" i="1"/>
  <c r="FC26" i="1" s="1"/>
  <c r="FA68" i="1"/>
  <c r="FC68" i="1" s="1"/>
  <c r="FA29" i="1"/>
  <c r="FC29" i="1" s="1"/>
  <c r="FA45" i="1"/>
  <c r="FC45" i="1" s="1"/>
  <c r="FA38" i="1"/>
  <c r="FC38" i="1" s="1"/>
  <c r="FA20" i="1"/>
  <c r="FC20" i="1" s="1"/>
  <c r="FA51" i="1"/>
  <c r="FC51" i="1" s="1"/>
  <c r="FA13" i="1"/>
  <c r="FC13" i="1" s="1"/>
  <c r="FA14" i="1"/>
  <c r="FC14" i="1" s="1"/>
  <c r="FA16" i="1"/>
  <c r="FC16" i="1" s="1"/>
  <c r="FA52" i="1"/>
  <c r="FC52" i="1" s="1"/>
  <c r="FA32" i="1"/>
  <c r="FC32" i="1" s="1"/>
  <c r="FA53" i="1"/>
  <c r="FC53" i="1" s="1"/>
  <c r="FA12" i="1"/>
  <c r="FC12" i="1" s="1"/>
  <c r="FA30" i="1"/>
  <c r="FC30" i="1" s="1"/>
  <c r="FA15" i="1"/>
  <c r="FC15" i="1" s="1"/>
  <c r="FA55" i="1"/>
  <c r="FC55" i="1" s="1"/>
  <c r="FA28" i="1"/>
  <c r="FC28" i="1" s="1"/>
  <c r="FA17" i="1"/>
  <c r="FC17" i="1" s="1"/>
  <c r="FA18" i="1"/>
  <c r="FC18" i="1" s="1"/>
  <c r="FA25" i="1"/>
  <c r="FC25" i="1" s="1"/>
  <c r="FA54" i="1"/>
  <c r="FC54" i="1" s="1"/>
  <c r="FA35" i="1"/>
  <c r="FC35" i="1" s="1"/>
  <c r="FA73" i="1"/>
  <c r="FC73" i="1" s="1"/>
  <c r="FA50" i="1"/>
  <c r="FC50" i="1" s="1"/>
  <c r="FA24" i="1"/>
  <c r="FC24" i="1" s="1"/>
  <c r="FA22" i="1"/>
  <c r="FC22" i="1" s="1"/>
  <c r="FA56" i="1"/>
  <c r="FC56" i="1" s="1"/>
  <c r="FA46" i="1"/>
  <c r="FC46" i="1" s="1"/>
  <c r="KG81" i="1"/>
  <c r="KB82" i="1" s="1"/>
  <c r="KZ37" i="1"/>
  <c r="KY37" i="1"/>
  <c r="KY49" i="1"/>
  <c r="LA46" i="1"/>
  <c r="KY79" i="1"/>
  <c r="KY80" i="1" s="1"/>
  <c r="KY20" i="1"/>
  <c r="KY69" i="1"/>
  <c r="LA67" i="1"/>
  <c r="KY54" i="1"/>
  <c r="KY21" i="1"/>
  <c r="KY45" i="1"/>
  <c r="KZ74" i="1"/>
  <c r="KY47" i="1"/>
  <c r="KY56" i="1"/>
  <c r="LA69" i="1"/>
  <c r="KY70" i="1"/>
  <c r="KY23" i="1"/>
  <c r="KY17" i="1"/>
  <c r="KY59" i="1"/>
  <c r="LA70" i="1"/>
  <c r="KY27" i="1"/>
  <c r="LA52" i="1"/>
  <c r="KY72" i="1"/>
  <c r="KY25" i="1"/>
  <c r="KY57" i="1"/>
  <c r="LA42" i="1"/>
  <c r="KY16" i="1"/>
  <c r="KY51" i="1"/>
  <c r="LA26" i="1"/>
  <c r="LA36" i="1"/>
  <c r="LA15" i="1"/>
  <c r="KY11" i="1"/>
  <c r="KY48" i="1"/>
  <c r="KY52" i="1"/>
  <c r="KY15" i="1"/>
  <c r="KY41" i="1"/>
  <c r="KY14" i="1"/>
  <c r="KY40" i="1"/>
  <c r="KZ38" i="1"/>
  <c r="KY77" i="1"/>
  <c r="KY38" i="1"/>
  <c r="KY31" i="1"/>
  <c r="KY13" i="1"/>
  <c r="LA29" i="1"/>
  <c r="KY76" i="1"/>
  <c r="LA53" i="1"/>
  <c r="KY58" i="1"/>
  <c r="KY19" i="1"/>
  <c r="KY22" i="1"/>
  <c r="LA10" i="1"/>
  <c r="KY12" i="1"/>
  <c r="LA18" i="1"/>
  <c r="LA57" i="1"/>
  <c r="KY67" i="1"/>
  <c r="LA17" i="1"/>
  <c r="KY55" i="1"/>
  <c r="LA44" i="1"/>
  <c r="KZ35" i="1"/>
  <c r="KY74" i="1"/>
  <c r="KY18" i="1"/>
  <c r="KZ75" i="1"/>
  <c r="KZ69" i="1"/>
  <c r="KY36" i="1"/>
  <c r="KY50" i="1"/>
  <c r="LA13" i="1"/>
  <c r="KY42" i="1"/>
  <c r="KY35" i="1"/>
  <c r="KY28" i="1"/>
  <c r="LA40" i="1"/>
  <c r="LA12" i="1"/>
  <c r="LA38" i="1"/>
  <c r="KY75" i="1"/>
  <c r="KZ36" i="1"/>
  <c r="LA28" i="1"/>
  <c r="KY10" i="1"/>
  <c r="KY32" i="1"/>
  <c r="KY43" i="1"/>
  <c r="KY29" i="1"/>
  <c r="KY26" i="1"/>
  <c r="KY73" i="1"/>
  <c r="LH1" i="1"/>
  <c r="LA55" i="1"/>
  <c r="KY46" i="1"/>
  <c r="KY44" i="1"/>
  <c r="KY68" i="1"/>
  <c r="KZ68" i="1"/>
  <c r="KY30" i="1"/>
  <c r="LA45" i="1"/>
  <c r="KY53" i="1"/>
  <c r="KY24" i="1"/>
  <c r="KZ67" i="1"/>
  <c r="IV8" i="1"/>
  <c r="IL8" i="1"/>
  <c r="MG8" i="1"/>
  <c r="MH8" i="1" s="1"/>
  <c r="MN8" i="1"/>
  <c r="BO81" i="1"/>
  <c r="CZ8" i="1"/>
  <c r="CS8" i="1"/>
  <c r="CO8" i="1"/>
  <c r="IP8" i="1"/>
  <c r="FS67" i="1"/>
  <c r="GD67" i="1" s="1"/>
  <c r="BZ78" i="1"/>
  <c r="CS39" i="1"/>
  <c r="CS72" i="1"/>
  <c r="DA72" i="1" s="1"/>
  <c r="CJ40" i="1"/>
  <c r="CQ40" i="1" s="1"/>
  <c r="CQ71" i="1" s="1"/>
  <c r="BZ79" i="1"/>
  <c r="CH79" i="1" s="1"/>
  <c r="CH80" i="1" s="1"/>
  <c r="CH81" i="1" s="1"/>
  <c r="DC5" i="1"/>
  <c r="DJ8" i="1" s="1"/>
  <c r="DL1" i="1"/>
  <c r="IY1" i="1"/>
  <c r="LF61" i="1" l="1"/>
  <c r="LF37" i="1"/>
  <c r="LF33" i="1"/>
  <c r="KQ81" i="1"/>
  <c r="KZ71" i="1"/>
  <c r="KR81" i="1"/>
  <c r="LF60" i="1"/>
  <c r="KY39" i="1"/>
  <c r="LA39" i="1"/>
  <c r="KY71" i="1"/>
  <c r="KP81" i="1"/>
  <c r="KK82" i="1" s="1"/>
  <c r="KZ78" i="1"/>
  <c r="KY78" i="1"/>
  <c r="KZ39" i="1"/>
  <c r="LA71" i="1"/>
  <c r="LF66" i="1"/>
  <c r="LF64" i="1"/>
  <c r="LF65" i="1"/>
  <c r="LF62" i="1"/>
  <c r="LF34" i="1"/>
  <c r="LF63" i="1"/>
  <c r="LG34" i="1"/>
  <c r="LG65" i="1"/>
  <c r="LG66" i="1"/>
  <c r="LG64" i="1"/>
  <c r="LG62" i="1"/>
  <c r="LG63" i="1"/>
  <c r="LG61" i="1"/>
  <c r="LG60" i="1"/>
  <c r="LG33" i="1"/>
  <c r="FI16" i="1"/>
  <c r="FK16" i="1" s="1"/>
  <c r="FQ16" i="1" s="1"/>
  <c r="FI74" i="1"/>
  <c r="FK74" i="1" s="1"/>
  <c r="FQ74" i="1" s="1"/>
  <c r="FI17" i="1"/>
  <c r="FK17" i="1" s="1"/>
  <c r="FQ17" i="1" s="1"/>
  <c r="FI14" i="1"/>
  <c r="FK14" i="1" s="1"/>
  <c r="FQ14" i="1" s="1"/>
  <c r="FI46" i="1"/>
  <c r="FK46" i="1" s="1"/>
  <c r="FQ46" i="1" s="1"/>
  <c r="FI70" i="1"/>
  <c r="FK70" i="1" s="1"/>
  <c r="FQ70" i="1" s="1"/>
  <c r="FI56" i="1"/>
  <c r="FK56" i="1" s="1"/>
  <c r="FQ56" i="1" s="1"/>
  <c r="FI51" i="1"/>
  <c r="FK51" i="1" s="1"/>
  <c r="FQ51" i="1" s="1"/>
  <c r="FI22" i="1"/>
  <c r="FK22" i="1" s="1"/>
  <c r="FQ22" i="1" s="1"/>
  <c r="FI55" i="1"/>
  <c r="FK55" i="1" s="1"/>
  <c r="FQ55" i="1" s="1"/>
  <c r="FI44" i="1"/>
  <c r="FK44" i="1" s="1"/>
  <c r="FQ44" i="1" s="1"/>
  <c r="FI59" i="1"/>
  <c r="FK59" i="1" s="1"/>
  <c r="FQ59" i="1" s="1"/>
  <c r="FI24" i="1"/>
  <c r="FK24" i="1" s="1"/>
  <c r="FQ24" i="1" s="1"/>
  <c r="FI15" i="1"/>
  <c r="FK15" i="1" s="1"/>
  <c r="FQ15" i="1" s="1"/>
  <c r="FI31" i="1"/>
  <c r="FK31" i="1" s="1"/>
  <c r="FQ31" i="1" s="1"/>
  <c r="FI48" i="1"/>
  <c r="FK48" i="1" s="1"/>
  <c r="FQ48" i="1" s="1"/>
  <c r="FI50" i="1"/>
  <c r="FK50" i="1" s="1"/>
  <c r="FQ50" i="1" s="1"/>
  <c r="FI30" i="1"/>
  <c r="FK30" i="1" s="1"/>
  <c r="FQ30" i="1" s="1"/>
  <c r="FI38" i="1"/>
  <c r="FK38" i="1" s="1"/>
  <c r="FQ38" i="1" s="1"/>
  <c r="FI19" i="1"/>
  <c r="FK19" i="1" s="1"/>
  <c r="FQ19" i="1" s="1"/>
  <c r="FI76" i="1"/>
  <c r="FK76" i="1" s="1"/>
  <c r="FQ76" i="1" s="1"/>
  <c r="FI23" i="1"/>
  <c r="FK23" i="1" s="1"/>
  <c r="FQ23" i="1" s="1"/>
  <c r="FI53" i="1"/>
  <c r="FK53" i="1" s="1"/>
  <c r="FQ53" i="1" s="1"/>
  <c r="FI29" i="1"/>
  <c r="FK29" i="1" s="1"/>
  <c r="FQ29" i="1" s="1"/>
  <c r="FI49" i="1"/>
  <c r="FK49" i="1" s="1"/>
  <c r="FQ49" i="1" s="1"/>
  <c r="FI58" i="1"/>
  <c r="FK58" i="1" s="1"/>
  <c r="FQ58" i="1" s="1"/>
  <c r="FI12" i="1"/>
  <c r="FK12" i="1" s="1"/>
  <c r="FQ12" i="1" s="1"/>
  <c r="FI45" i="1"/>
  <c r="FK45" i="1" s="1"/>
  <c r="FQ45" i="1" s="1"/>
  <c r="FI57" i="1"/>
  <c r="FK57" i="1" s="1"/>
  <c r="FQ57" i="1" s="1"/>
  <c r="FI35" i="1"/>
  <c r="FK35" i="1" s="1"/>
  <c r="FQ35" i="1" s="1"/>
  <c r="FI68" i="1"/>
  <c r="FK68" i="1" s="1"/>
  <c r="FQ68" i="1" s="1"/>
  <c r="FI27" i="1"/>
  <c r="FK27" i="1" s="1"/>
  <c r="FQ27" i="1" s="1"/>
  <c r="FI18" i="1"/>
  <c r="FK18" i="1" s="1"/>
  <c r="FQ18" i="1" s="1"/>
  <c r="FI13" i="1"/>
  <c r="FK13" i="1" s="1"/>
  <c r="FQ13" i="1" s="1"/>
  <c r="FI54" i="1"/>
  <c r="FK54" i="1" s="1"/>
  <c r="FQ54" i="1" s="1"/>
  <c r="FI26" i="1"/>
  <c r="FK26" i="1" s="1"/>
  <c r="FQ26" i="1" s="1"/>
  <c r="FI43" i="1"/>
  <c r="FK43" i="1" s="1"/>
  <c r="FQ43" i="1" s="1"/>
  <c r="FI42" i="1"/>
  <c r="FK42" i="1" s="1"/>
  <c r="FQ42" i="1" s="1"/>
  <c r="FI25" i="1"/>
  <c r="FK25" i="1" s="1"/>
  <c r="FQ25" i="1" s="1"/>
  <c r="FI52" i="1"/>
  <c r="FK52" i="1" s="1"/>
  <c r="FQ52" i="1" s="1"/>
  <c r="FI47" i="1"/>
  <c r="FK47" i="1" s="1"/>
  <c r="FQ47" i="1" s="1"/>
  <c r="FI69" i="1"/>
  <c r="FK69" i="1" s="1"/>
  <c r="FQ69" i="1" s="1"/>
  <c r="FI32" i="1"/>
  <c r="FK32" i="1" s="1"/>
  <c r="FQ32" i="1" s="1"/>
  <c r="FI36" i="1"/>
  <c r="FK36" i="1" s="1"/>
  <c r="FQ36" i="1" s="1"/>
  <c r="FI73" i="1"/>
  <c r="FK73" i="1" s="1"/>
  <c r="FQ73" i="1" s="1"/>
  <c r="FI20" i="1"/>
  <c r="FK20" i="1" s="1"/>
  <c r="FQ20" i="1" s="1"/>
  <c r="FI21" i="1"/>
  <c r="FK21" i="1" s="1"/>
  <c r="FQ21" i="1" s="1"/>
  <c r="FI28" i="1"/>
  <c r="FK28" i="1" s="1"/>
  <c r="FQ28" i="1" s="1"/>
  <c r="FI75" i="1"/>
  <c r="FK75" i="1" s="1"/>
  <c r="FQ75" i="1" s="1"/>
  <c r="FI41" i="1"/>
  <c r="FK41" i="1" s="1"/>
  <c r="FQ41" i="1" s="1"/>
  <c r="LG37" i="1"/>
  <c r="LH37" i="1"/>
  <c r="LG17" i="1"/>
  <c r="LG55" i="1"/>
  <c r="LI13" i="1"/>
  <c r="LI12" i="1"/>
  <c r="LI29" i="1"/>
  <c r="LG14" i="1"/>
  <c r="LG32" i="1"/>
  <c r="LG13" i="1"/>
  <c r="LI69" i="1"/>
  <c r="LG74" i="1"/>
  <c r="LG53" i="1"/>
  <c r="LG45" i="1"/>
  <c r="LG52" i="1"/>
  <c r="LG73" i="1"/>
  <c r="LG40" i="1"/>
  <c r="LI10" i="1"/>
  <c r="LG49" i="1"/>
  <c r="LG18" i="1"/>
  <c r="LG57" i="1"/>
  <c r="LG35" i="1"/>
  <c r="LG76" i="1"/>
  <c r="LG30" i="1"/>
  <c r="LG29" i="1"/>
  <c r="LI40" i="1"/>
  <c r="LG25" i="1"/>
  <c r="LG72" i="1"/>
  <c r="LH35" i="1"/>
  <c r="LG21" i="1"/>
  <c r="LG44" i="1"/>
  <c r="LG51" i="1"/>
  <c r="LG11" i="1"/>
  <c r="LG15" i="1"/>
  <c r="LG77" i="1"/>
  <c r="LG16" i="1"/>
  <c r="LI57" i="1"/>
  <c r="LG22" i="1"/>
  <c r="LG36" i="1"/>
  <c r="LH75" i="1"/>
  <c r="LG47" i="1"/>
  <c r="LG69" i="1"/>
  <c r="LI44" i="1"/>
  <c r="LI28" i="1"/>
  <c r="LG38" i="1"/>
  <c r="LG46" i="1"/>
  <c r="LG67" i="1"/>
  <c r="LG43" i="1"/>
  <c r="LH38" i="1"/>
  <c r="LI46" i="1"/>
  <c r="LG19" i="1"/>
  <c r="LG41" i="1"/>
  <c r="LG20" i="1"/>
  <c r="LI45" i="1"/>
  <c r="LG28" i="1"/>
  <c r="LI17" i="1"/>
  <c r="LG56" i="1"/>
  <c r="LI38" i="1"/>
  <c r="LG31" i="1"/>
  <c r="LI36" i="1"/>
  <c r="LG10" i="1"/>
  <c r="LG54" i="1"/>
  <c r="LH36" i="1"/>
  <c r="LI52" i="1"/>
  <c r="LG48" i="1"/>
  <c r="LG27" i="1"/>
  <c r="LG75" i="1"/>
  <c r="LI15" i="1"/>
  <c r="LI26" i="1"/>
  <c r="LG26" i="1"/>
  <c r="LG58" i="1"/>
  <c r="LG50" i="1"/>
  <c r="LI67" i="1"/>
  <c r="LQ1" i="1"/>
  <c r="LI70" i="1"/>
  <c r="LG68" i="1"/>
  <c r="LG42" i="1"/>
  <c r="LI53" i="1"/>
  <c r="LH67" i="1"/>
  <c r="LI55" i="1"/>
  <c r="LH69" i="1"/>
  <c r="LG79" i="1"/>
  <c r="LG80" i="1" s="1"/>
  <c r="LI42" i="1"/>
  <c r="LI18" i="1"/>
  <c r="LH74" i="1"/>
  <c r="LH68" i="1"/>
  <c r="LG23" i="1"/>
  <c r="LG70" i="1"/>
  <c r="LG12" i="1"/>
  <c r="LG59" i="1"/>
  <c r="LG24" i="1"/>
  <c r="DI8" i="1"/>
  <c r="MO8" i="1"/>
  <c r="MP8" i="1" s="1"/>
  <c r="MV8" i="1"/>
  <c r="FC11" i="1"/>
  <c r="FI11" i="1" s="1"/>
  <c r="CY8" i="1"/>
  <c r="DC8" i="1"/>
  <c r="GF67" i="1"/>
  <c r="GM67" i="1" s="1"/>
  <c r="BZ80" i="1"/>
  <c r="CJ71" i="1"/>
  <c r="IY5" i="1"/>
  <c r="JE8" i="1" s="1"/>
  <c r="JG1" i="1"/>
  <c r="DC10" i="1"/>
  <c r="DJ10" i="1" s="1"/>
  <c r="DJ39" i="1" s="1"/>
  <c r="CJ77" i="1"/>
  <c r="CQ77" i="1" s="1"/>
  <c r="CQ78" i="1" s="1"/>
  <c r="DT1" i="1"/>
  <c r="DL5" i="1"/>
  <c r="LM63" i="1" l="1"/>
  <c r="KY81" i="1"/>
  <c r="KT82" i="1" s="1"/>
  <c r="LM34" i="1"/>
  <c r="LO34" i="1" s="1"/>
  <c r="LM62" i="1"/>
  <c r="LO62" i="1" s="1"/>
  <c r="LM65" i="1"/>
  <c r="LO65" i="1" s="1"/>
  <c r="LM64" i="1"/>
  <c r="LO64" i="1" s="1"/>
  <c r="LM66" i="1"/>
  <c r="LO66" i="1" s="1"/>
  <c r="LM60" i="1"/>
  <c r="LO60" i="1" s="1"/>
  <c r="LM33" i="1"/>
  <c r="LO33" i="1" s="1"/>
  <c r="LM61" i="1"/>
  <c r="LO61" i="1" s="1"/>
  <c r="LM37" i="1"/>
  <c r="LO37" i="1" s="1"/>
  <c r="LA81" i="1"/>
  <c r="KZ81" i="1"/>
  <c r="LO63" i="1"/>
  <c r="LP34" i="1"/>
  <c r="LP66" i="1"/>
  <c r="LP64" i="1"/>
  <c r="LP63" i="1"/>
  <c r="LP65" i="1"/>
  <c r="LP62" i="1"/>
  <c r="LP61" i="1"/>
  <c r="LP60" i="1"/>
  <c r="LP33" i="1"/>
  <c r="FS36" i="1"/>
  <c r="GD36" i="1" s="1"/>
  <c r="FS19" i="1"/>
  <c r="GD19" i="1" s="1"/>
  <c r="FS51" i="1"/>
  <c r="GD51" i="1" s="1"/>
  <c r="FS42" i="1"/>
  <c r="GD42" i="1" s="1"/>
  <c r="FS58" i="1"/>
  <c r="GD58" i="1" s="1"/>
  <c r="FS74" i="1"/>
  <c r="GD74" i="1" s="1"/>
  <c r="FS57" i="1"/>
  <c r="GD57" i="1" s="1"/>
  <c r="FS41" i="1"/>
  <c r="GD41" i="1" s="1"/>
  <c r="FS75" i="1"/>
  <c r="GD75" i="1" s="1"/>
  <c r="FS28" i="1"/>
  <c r="GD28" i="1" s="1"/>
  <c r="FS56" i="1"/>
  <c r="GD56" i="1" s="1"/>
  <c r="FS20" i="1"/>
  <c r="GD20" i="1" s="1"/>
  <c r="FS26" i="1"/>
  <c r="GD26" i="1" s="1"/>
  <c r="FS31" i="1"/>
  <c r="GD31" i="1" s="1"/>
  <c r="FS46" i="1"/>
  <c r="GD46" i="1" s="1"/>
  <c r="FS73" i="1"/>
  <c r="GD73" i="1" s="1"/>
  <c r="FS54" i="1"/>
  <c r="GD54" i="1" s="1"/>
  <c r="FS49" i="1"/>
  <c r="GD49" i="1" s="1"/>
  <c r="FS48" i="1"/>
  <c r="GD48" i="1" s="1"/>
  <c r="FS13" i="1"/>
  <c r="GD13" i="1" s="1"/>
  <c r="FS29" i="1"/>
  <c r="GD29" i="1" s="1"/>
  <c r="FS17" i="1"/>
  <c r="GD17" i="1" s="1"/>
  <c r="FS25" i="1"/>
  <c r="GD25" i="1" s="1"/>
  <c r="FS30" i="1"/>
  <c r="GD30" i="1" s="1"/>
  <c r="FS18" i="1"/>
  <c r="GD18" i="1" s="1"/>
  <c r="FS53" i="1"/>
  <c r="GD53" i="1" s="1"/>
  <c r="FS24" i="1"/>
  <c r="GD24" i="1" s="1"/>
  <c r="FS21" i="1"/>
  <c r="GD21" i="1" s="1"/>
  <c r="FS32" i="1"/>
  <c r="GD32" i="1" s="1"/>
  <c r="FS23" i="1"/>
  <c r="GD23" i="1" s="1"/>
  <c r="FS59" i="1"/>
  <c r="GD59" i="1" s="1"/>
  <c r="FS12" i="1"/>
  <c r="GD12" i="1" s="1"/>
  <c r="FS69" i="1"/>
  <c r="GD69" i="1" s="1"/>
  <c r="FS27" i="1"/>
  <c r="GD27" i="1" s="1"/>
  <c r="FS76" i="1"/>
  <c r="GD76" i="1" s="1"/>
  <c r="FS44" i="1"/>
  <c r="GD44" i="1" s="1"/>
  <c r="FS16" i="1"/>
  <c r="GD16" i="1" s="1"/>
  <c r="FS70" i="1"/>
  <c r="GD70" i="1" s="1"/>
  <c r="FS47" i="1"/>
  <c r="GD47" i="1" s="1"/>
  <c r="FS68" i="1"/>
  <c r="GD68" i="1" s="1"/>
  <c r="FS55" i="1"/>
  <c r="GD55" i="1" s="1"/>
  <c r="FS38" i="1"/>
  <c r="GD38" i="1" s="1"/>
  <c r="FS45" i="1"/>
  <c r="GD45" i="1" s="1"/>
  <c r="FS50" i="1"/>
  <c r="GD50" i="1" s="1"/>
  <c r="FS52" i="1"/>
  <c r="GD52" i="1" s="1"/>
  <c r="FS35" i="1"/>
  <c r="GD35" i="1" s="1"/>
  <c r="FS22" i="1"/>
  <c r="GD22" i="1" s="1"/>
  <c r="FS43" i="1"/>
  <c r="GD43" i="1" s="1"/>
  <c r="LG78" i="1"/>
  <c r="FS15" i="1"/>
  <c r="GD15" i="1" s="1"/>
  <c r="LQ37" i="1"/>
  <c r="LP37" i="1"/>
  <c r="LP28" i="1"/>
  <c r="LR38" i="1"/>
  <c r="LP19" i="1"/>
  <c r="LR10" i="1"/>
  <c r="LQ68" i="1"/>
  <c r="LP73" i="1"/>
  <c r="LR52" i="1"/>
  <c r="LP10" i="1"/>
  <c r="LP24" i="1"/>
  <c r="LP15" i="1"/>
  <c r="LQ75" i="1"/>
  <c r="LP45" i="1"/>
  <c r="LQ67" i="1"/>
  <c r="LR57" i="1"/>
  <c r="LP74" i="1"/>
  <c r="LP11" i="1"/>
  <c r="LP67" i="1"/>
  <c r="LP29" i="1"/>
  <c r="LP69" i="1"/>
  <c r="LP18" i="1"/>
  <c r="LP35" i="1"/>
  <c r="LP68" i="1"/>
  <c r="LQ35" i="1"/>
  <c r="LP40" i="1"/>
  <c r="LP55" i="1"/>
  <c r="LP76" i="1"/>
  <c r="LP31" i="1"/>
  <c r="LR12" i="1"/>
  <c r="LP75" i="1"/>
  <c r="LR40" i="1"/>
  <c r="LP32" i="1"/>
  <c r="LR18" i="1"/>
  <c r="LP53" i="1"/>
  <c r="LR15" i="1"/>
  <c r="LP17" i="1"/>
  <c r="LP30" i="1"/>
  <c r="LP14" i="1"/>
  <c r="LP13" i="1"/>
  <c r="LP46" i="1"/>
  <c r="LR29" i="1"/>
  <c r="LY1" i="1"/>
  <c r="LR70" i="1"/>
  <c r="LP47" i="1"/>
  <c r="LP25" i="1"/>
  <c r="LP20" i="1"/>
  <c r="LR45" i="1"/>
  <c r="LP52" i="1"/>
  <c r="LP41" i="1"/>
  <c r="LP42" i="1"/>
  <c r="LP27" i="1"/>
  <c r="LP21" i="1"/>
  <c r="LP16" i="1"/>
  <c r="LR69" i="1"/>
  <c r="LP56" i="1"/>
  <c r="LR44" i="1"/>
  <c r="LQ36" i="1"/>
  <c r="LR53" i="1"/>
  <c r="LR26" i="1"/>
  <c r="LP12" i="1"/>
  <c r="LR46" i="1"/>
  <c r="LP58" i="1"/>
  <c r="LP26" i="1"/>
  <c r="LQ69" i="1"/>
  <c r="LR28" i="1"/>
  <c r="LP51" i="1"/>
  <c r="LP79" i="1"/>
  <c r="LP80" i="1" s="1"/>
  <c r="LP23" i="1"/>
  <c r="LQ74" i="1"/>
  <c r="LR42" i="1"/>
  <c r="LP54" i="1"/>
  <c r="LP48" i="1"/>
  <c r="LR55" i="1"/>
  <c r="LP49" i="1"/>
  <c r="LP57" i="1"/>
  <c r="LP70" i="1"/>
  <c r="LQ38" i="1"/>
  <c r="LP50" i="1"/>
  <c r="LP44" i="1"/>
  <c r="LP72" i="1"/>
  <c r="LP59" i="1"/>
  <c r="LR17" i="1"/>
  <c r="LP38" i="1"/>
  <c r="LP22" i="1"/>
  <c r="LR36" i="1"/>
  <c r="LR13" i="1"/>
  <c r="LR67" i="1"/>
  <c r="LP77" i="1"/>
  <c r="LP43" i="1"/>
  <c r="LP36" i="1"/>
  <c r="LG39" i="1"/>
  <c r="LH78" i="1"/>
  <c r="LI71" i="1"/>
  <c r="LH71" i="1"/>
  <c r="LI39" i="1"/>
  <c r="LH39" i="1"/>
  <c r="LG71" i="1"/>
  <c r="IU8" i="1"/>
  <c r="JD8" i="1"/>
  <c r="MW8" i="1"/>
  <c r="MX8" i="1" s="1"/>
  <c r="ND8" i="1"/>
  <c r="DH8" i="1"/>
  <c r="DR8" i="1"/>
  <c r="DQ8" i="1" s="1"/>
  <c r="BZ81" i="1"/>
  <c r="DL8" i="1"/>
  <c r="IY8" i="1"/>
  <c r="GO67" i="1"/>
  <c r="GV67" i="1" s="1"/>
  <c r="DC39" i="1"/>
  <c r="CJ78" i="1"/>
  <c r="JG5" i="1"/>
  <c r="JN8" i="1" s="1"/>
  <c r="JP1" i="1"/>
  <c r="DC72" i="1"/>
  <c r="DJ72" i="1" s="1"/>
  <c r="CS40" i="1"/>
  <c r="DA40" i="1" s="1"/>
  <c r="DA71" i="1" s="1"/>
  <c r="CJ79" i="1"/>
  <c r="CQ79" i="1" s="1"/>
  <c r="CQ80" i="1" s="1"/>
  <c r="CQ81" i="1" s="1"/>
  <c r="ED1" i="1"/>
  <c r="DT5" i="1"/>
  <c r="EB8" i="1" s="1"/>
  <c r="LU34" i="1" l="1"/>
  <c r="LW34" i="1" s="1"/>
  <c r="LU62" i="1"/>
  <c r="LW62" i="1" s="1"/>
  <c r="LU63" i="1"/>
  <c r="LW63" i="1" s="1"/>
  <c r="LU64" i="1"/>
  <c r="LW64" i="1" s="1"/>
  <c r="LU66" i="1"/>
  <c r="LW66" i="1" s="1"/>
  <c r="LU65" i="1"/>
  <c r="LW65" i="1" s="1"/>
  <c r="LX65" i="1"/>
  <c r="MC65" i="1" s="1"/>
  <c r="ME65" i="1" s="1"/>
  <c r="LX34" i="1"/>
  <c r="LX63" i="1"/>
  <c r="LX62" i="1"/>
  <c r="LX64" i="1"/>
  <c r="LX66" i="1"/>
  <c r="LU60" i="1"/>
  <c r="LW60" i="1" s="1"/>
  <c r="LU33" i="1"/>
  <c r="LW33" i="1" s="1"/>
  <c r="LU61" i="1"/>
  <c r="LW61" i="1" s="1"/>
  <c r="GF31" i="1"/>
  <c r="GM31" i="1" s="1"/>
  <c r="GF25" i="1"/>
  <c r="GM25" i="1" s="1"/>
  <c r="GF69" i="1"/>
  <c r="GM69" i="1" s="1"/>
  <c r="GF29" i="1"/>
  <c r="GM29" i="1" s="1"/>
  <c r="GF75" i="1"/>
  <c r="GM75" i="1" s="1"/>
  <c r="GF41" i="1"/>
  <c r="GM41" i="1" s="1"/>
  <c r="GF45" i="1"/>
  <c r="GM45" i="1" s="1"/>
  <c r="GF59" i="1"/>
  <c r="GM59" i="1" s="1"/>
  <c r="GF48" i="1"/>
  <c r="GM48" i="1" s="1"/>
  <c r="GF38" i="1"/>
  <c r="GM38" i="1" s="1"/>
  <c r="GF23" i="1"/>
  <c r="GM23" i="1" s="1"/>
  <c r="GF49" i="1"/>
  <c r="GM49" i="1" s="1"/>
  <c r="GF74" i="1"/>
  <c r="GM74" i="1" s="1"/>
  <c r="GF55" i="1"/>
  <c r="GM55" i="1" s="1"/>
  <c r="GF32" i="1"/>
  <c r="GM32" i="1" s="1"/>
  <c r="GF54" i="1"/>
  <c r="GM54" i="1" s="1"/>
  <c r="GF58" i="1"/>
  <c r="GM58" i="1" s="1"/>
  <c r="GF19" i="1"/>
  <c r="GM19" i="1" s="1"/>
  <c r="GF56" i="1"/>
  <c r="GM56" i="1" s="1"/>
  <c r="GF17" i="1"/>
  <c r="GM17" i="1" s="1"/>
  <c r="GF52" i="1"/>
  <c r="GM52" i="1" s="1"/>
  <c r="GF12" i="1"/>
  <c r="GM12" i="1" s="1"/>
  <c r="GF21" i="1"/>
  <c r="GM21" i="1" s="1"/>
  <c r="GF70" i="1"/>
  <c r="GM70" i="1" s="1"/>
  <c r="GF22" i="1"/>
  <c r="GM22" i="1" s="1"/>
  <c r="GF76" i="1"/>
  <c r="GM76" i="1" s="1"/>
  <c r="GF35" i="1"/>
  <c r="GM35" i="1" s="1"/>
  <c r="GF27" i="1"/>
  <c r="GM27" i="1" s="1"/>
  <c r="GF28" i="1"/>
  <c r="GM28" i="1" s="1"/>
  <c r="GF50" i="1"/>
  <c r="GM50" i="1" s="1"/>
  <c r="GF13" i="1"/>
  <c r="GM13" i="1" s="1"/>
  <c r="GF57" i="1"/>
  <c r="GM57" i="1" s="1"/>
  <c r="GF68" i="1"/>
  <c r="GM68" i="1" s="1"/>
  <c r="GF73" i="1"/>
  <c r="GM73" i="1" s="1"/>
  <c r="GF42" i="1"/>
  <c r="GM42" i="1" s="1"/>
  <c r="GF47" i="1"/>
  <c r="GM47" i="1" s="1"/>
  <c r="GF24" i="1"/>
  <c r="GM24" i="1" s="1"/>
  <c r="GF46" i="1"/>
  <c r="GM46" i="1" s="1"/>
  <c r="GF51" i="1"/>
  <c r="GM51" i="1" s="1"/>
  <c r="GF16" i="1"/>
  <c r="GM16" i="1" s="1"/>
  <c r="GF18" i="1"/>
  <c r="GM18" i="1" s="1"/>
  <c r="GF26" i="1"/>
  <c r="GM26" i="1" s="1"/>
  <c r="GF36" i="1"/>
  <c r="GM36" i="1" s="1"/>
  <c r="GF44" i="1"/>
  <c r="GM44" i="1" s="1"/>
  <c r="GF30" i="1"/>
  <c r="GM30" i="1" s="1"/>
  <c r="GF20" i="1"/>
  <c r="GM20" i="1" s="1"/>
  <c r="GF53" i="1"/>
  <c r="GM53" i="1" s="1"/>
  <c r="LX61" i="1"/>
  <c r="LX60" i="1"/>
  <c r="LX33" i="1"/>
  <c r="LU37" i="1"/>
  <c r="LW37" i="1" s="1"/>
  <c r="LI81" i="1"/>
  <c r="FS14" i="1"/>
  <c r="GD14" i="1" s="1"/>
  <c r="LP78" i="1"/>
  <c r="LG81" i="1"/>
  <c r="LB82" i="1" s="1"/>
  <c r="LQ78" i="1"/>
  <c r="LH81" i="1"/>
  <c r="LP39" i="1"/>
  <c r="LY37" i="1"/>
  <c r="LX37" i="1"/>
  <c r="LZ42" i="1"/>
  <c r="LX54" i="1"/>
  <c r="LZ45" i="1"/>
  <c r="LX28" i="1"/>
  <c r="LX59" i="1"/>
  <c r="LY75" i="1"/>
  <c r="LX57" i="1"/>
  <c r="MG1" i="1"/>
  <c r="LY38" i="1"/>
  <c r="LY36" i="1"/>
  <c r="LX24" i="1"/>
  <c r="LZ29" i="1"/>
  <c r="LZ52" i="1"/>
  <c r="LY35" i="1"/>
  <c r="LX56" i="1"/>
  <c r="LX20" i="1"/>
  <c r="LZ28" i="1"/>
  <c r="LX35" i="1"/>
  <c r="LX76" i="1"/>
  <c r="LX45" i="1"/>
  <c r="LX25" i="1"/>
  <c r="LX15" i="1"/>
  <c r="LX14" i="1"/>
  <c r="LX74" i="1"/>
  <c r="LX10" i="1"/>
  <c r="LZ57" i="1"/>
  <c r="LX79" i="1"/>
  <c r="LX80" i="1" s="1"/>
  <c r="LX47" i="1"/>
  <c r="LZ53" i="1"/>
  <c r="LX40" i="1"/>
  <c r="LX21" i="1"/>
  <c r="LX50" i="1"/>
  <c r="LX17" i="1"/>
  <c r="LX23" i="1"/>
  <c r="LX19" i="1"/>
  <c r="LZ13" i="1"/>
  <c r="LX72" i="1"/>
  <c r="LZ38" i="1"/>
  <c r="LZ46" i="1"/>
  <c r="LX43" i="1"/>
  <c r="LY69" i="1"/>
  <c r="LX46" i="1"/>
  <c r="LY68" i="1"/>
  <c r="LX13" i="1"/>
  <c r="LX68" i="1"/>
  <c r="LX51" i="1"/>
  <c r="LZ12" i="1"/>
  <c r="LZ70" i="1"/>
  <c r="LX73" i="1"/>
  <c r="LZ44" i="1"/>
  <c r="LX29" i="1"/>
  <c r="LX38" i="1"/>
  <c r="LX42" i="1"/>
  <c r="LX36" i="1"/>
  <c r="LX16" i="1"/>
  <c r="LX70" i="1"/>
  <c r="LX22" i="1"/>
  <c r="LZ10" i="1"/>
  <c r="LZ67" i="1"/>
  <c r="LX67" i="1"/>
  <c r="LZ69" i="1"/>
  <c r="LY74" i="1"/>
  <c r="LX32" i="1"/>
  <c r="LX31" i="1"/>
  <c r="LZ36" i="1"/>
  <c r="LX30" i="1"/>
  <c r="LX12" i="1"/>
  <c r="LX49" i="1"/>
  <c r="LY67" i="1"/>
  <c r="LX41" i="1"/>
  <c r="LX52" i="1"/>
  <c r="LX58" i="1"/>
  <c r="LX27" i="1"/>
  <c r="LZ26" i="1"/>
  <c r="LX26" i="1"/>
  <c r="LX55" i="1"/>
  <c r="LX44" i="1"/>
  <c r="LZ55" i="1"/>
  <c r="LX48" i="1"/>
  <c r="LZ18" i="1"/>
  <c r="LZ17" i="1"/>
  <c r="LZ40" i="1"/>
  <c r="LX18" i="1"/>
  <c r="LX75" i="1"/>
  <c r="LX77" i="1"/>
  <c r="LZ15" i="1"/>
  <c r="LX11" i="1"/>
  <c r="LX53" i="1"/>
  <c r="LX69" i="1"/>
  <c r="LR39" i="1"/>
  <c r="LQ71" i="1"/>
  <c r="LP71" i="1"/>
  <c r="LR71" i="1"/>
  <c r="LQ39" i="1"/>
  <c r="JM8" i="1"/>
  <c r="JC8" i="1"/>
  <c r="NE8" i="1"/>
  <c r="NF8" i="1" s="1"/>
  <c r="NL8" i="1"/>
  <c r="FK11" i="1"/>
  <c r="FQ11" i="1" s="1"/>
  <c r="EA8" i="1"/>
  <c r="DP8" i="1"/>
  <c r="DT8" i="1"/>
  <c r="JG8" i="1"/>
  <c r="GX67" i="1"/>
  <c r="HE67" i="1" s="1"/>
  <c r="DL10" i="1"/>
  <c r="DR10" i="1" s="1"/>
  <c r="DR39" i="1" s="1"/>
  <c r="CJ80" i="1"/>
  <c r="CS71" i="1"/>
  <c r="JP5" i="1"/>
  <c r="JV8" i="1" s="1"/>
  <c r="JX1" i="1"/>
  <c r="CS77" i="1"/>
  <c r="DA77" i="1" s="1"/>
  <c r="DA78" i="1" s="1"/>
  <c r="ED5" i="1"/>
  <c r="EK8" i="1" s="1"/>
  <c r="EM1" i="1"/>
  <c r="MC62" i="1" l="1"/>
  <c r="ME62" i="1" s="1"/>
  <c r="MC34" i="1"/>
  <c r="ME34" i="1" s="1"/>
  <c r="MC63" i="1"/>
  <c r="ME63" i="1" s="1"/>
  <c r="MC66" i="1"/>
  <c r="ME66" i="1" s="1"/>
  <c r="MC64" i="1"/>
  <c r="ME64" i="1" s="1"/>
  <c r="MF64" i="1"/>
  <c r="MF34" i="1"/>
  <c r="MF66" i="1"/>
  <c r="MF62" i="1"/>
  <c r="MF65" i="1"/>
  <c r="MK65" i="1" s="1"/>
  <c r="MM65" i="1" s="1"/>
  <c r="MF63" i="1"/>
  <c r="GO44" i="1"/>
  <c r="GV44" i="1" s="1"/>
  <c r="GO57" i="1"/>
  <c r="GV57" i="1" s="1"/>
  <c r="GO17" i="1"/>
  <c r="GV17" i="1" s="1"/>
  <c r="GO59" i="1"/>
  <c r="GV59" i="1" s="1"/>
  <c r="GO36" i="1"/>
  <c r="GV36" i="1" s="1"/>
  <c r="GO13" i="1"/>
  <c r="GV13" i="1" s="1"/>
  <c r="GO56" i="1"/>
  <c r="GV56" i="1" s="1"/>
  <c r="GO45" i="1"/>
  <c r="GV45" i="1" s="1"/>
  <c r="GO30" i="1"/>
  <c r="GV30" i="1" s="1"/>
  <c r="GO26" i="1"/>
  <c r="GV26" i="1" s="1"/>
  <c r="GO50" i="1"/>
  <c r="GV50" i="1" s="1"/>
  <c r="GO19" i="1"/>
  <c r="GV19" i="1" s="1"/>
  <c r="GO41" i="1"/>
  <c r="GV41" i="1" s="1"/>
  <c r="GO52" i="1"/>
  <c r="GV52" i="1" s="1"/>
  <c r="GO18" i="1"/>
  <c r="GV18" i="1" s="1"/>
  <c r="GO28" i="1"/>
  <c r="GV28" i="1" s="1"/>
  <c r="GO58" i="1"/>
  <c r="GV58" i="1" s="1"/>
  <c r="GO75" i="1"/>
  <c r="GV75" i="1" s="1"/>
  <c r="GO16" i="1"/>
  <c r="GV16" i="1" s="1"/>
  <c r="GO27" i="1"/>
  <c r="GV27" i="1" s="1"/>
  <c r="GO54" i="1"/>
  <c r="GV54" i="1" s="1"/>
  <c r="GO29" i="1"/>
  <c r="GV29" i="1" s="1"/>
  <c r="GO51" i="1"/>
  <c r="GV51" i="1" s="1"/>
  <c r="GO35" i="1"/>
  <c r="GV35" i="1" s="1"/>
  <c r="GO32" i="1"/>
  <c r="GV32" i="1" s="1"/>
  <c r="GO69" i="1"/>
  <c r="GV69" i="1" s="1"/>
  <c r="GO46" i="1"/>
  <c r="GV46" i="1" s="1"/>
  <c r="GO76" i="1"/>
  <c r="GV76" i="1" s="1"/>
  <c r="GO55" i="1"/>
  <c r="GV55" i="1" s="1"/>
  <c r="GO25" i="1"/>
  <c r="GV25" i="1" s="1"/>
  <c r="GO24" i="1"/>
  <c r="GV24" i="1" s="1"/>
  <c r="GO22" i="1"/>
  <c r="GV22" i="1" s="1"/>
  <c r="GO74" i="1"/>
  <c r="GV74" i="1" s="1"/>
  <c r="GO31" i="1"/>
  <c r="GV31" i="1" s="1"/>
  <c r="GO47" i="1"/>
  <c r="GV47" i="1" s="1"/>
  <c r="GO70" i="1"/>
  <c r="GV70" i="1" s="1"/>
  <c r="GO49" i="1"/>
  <c r="GV49" i="1" s="1"/>
  <c r="GO68" i="1"/>
  <c r="GV68" i="1" s="1"/>
  <c r="GO53" i="1"/>
  <c r="GV53" i="1" s="1"/>
  <c r="GO42" i="1"/>
  <c r="GV42" i="1" s="1"/>
  <c r="GO21" i="1"/>
  <c r="GV21" i="1" s="1"/>
  <c r="GO23" i="1"/>
  <c r="GV23" i="1" s="1"/>
  <c r="GO48" i="1"/>
  <c r="GV48" i="1" s="1"/>
  <c r="GO20" i="1"/>
  <c r="GV20" i="1" s="1"/>
  <c r="GO73" i="1"/>
  <c r="GV73" i="1" s="1"/>
  <c r="GO12" i="1"/>
  <c r="GV12" i="1" s="1"/>
  <c r="GO38" i="1"/>
  <c r="GV38" i="1" s="1"/>
  <c r="MC61" i="1"/>
  <c r="ME61" i="1" s="1"/>
  <c r="MC60" i="1"/>
  <c r="ME60" i="1" s="1"/>
  <c r="MC33" i="1"/>
  <c r="ME33" i="1" s="1"/>
  <c r="GF14" i="1"/>
  <c r="GM14" i="1" s="1"/>
  <c r="GF43" i="1"/>
  <c r="GM43" i="1" s="1"/>
  <c r="GF15" i="1"/>
  <c r="GM15" i="1" s="1"/>
  <c r="MF60" i="1"/>
  <c r="MF61" i="1"/>
  <c r="MF33" i="1"/>
  <c r="MC37" i="1"/>
  <c r="ME37" i="1" s="1"/>
  <c r="LQ81" i="1"/>
  <c r="LP81" i="1"/>
  <c r="LK82" i="1" s="1"/>
  <c r="MG37" i="1"/>
  <c r="MF37" i="1"/>
  <c r="MH57" i="1"/>
  <c r="MF68" i="1"/>
  <c r="MH52" i="1"/>
  <c r="MF38" i="1"/>
  <c r="MH36" i="1"/>
  <c r="MH26" i="1"/>
  <c r="MF74" i="1"/>
  <c r="MF67" i="1"/>
  <c r="MH53" i="1"/>
  <c r="MF57" i="1"/>
  <c r="MF31" i="1"/>
  <c r="MF28" i="1"/>
  <c r="MH15" i="1"/>
  <c r="MF46" i="1"/>
  <c r="MF54" i="1"/>
  <c r="MH45" i="1"/>
  <c r="MH40" i="1"/>
  <c r="MF27" i="1"/>
  <c r="MG74" i="1"/>
  <c r="MH38" i="1"/>
  <c r="MF23" i="1"/>
  <c r="MH12" i="1"/>
  <c r="MF25" i="1"/>
  <c r="MH55" i="1"/>
  <c r="MF21" i="1"/>
  <c r="MF50" i="1"/>
  <c r="MO1" i="1"/>
  <c r="MF76" i="1"/>
  <c r="MH69" i="1"/>
  <c r="MF55" i="1"/>
  <c r="MF14" i="1"/>
  <c r="MF24" i="1"/>
  <c r="MF10" i="1"/>
  <c r="MH18" i="1"/>
  <c r="MH44" i="1"/>
  <c r="MG75" i="1"/>
  <c r="MF52" i="1"/>
  <c r="MH17" i="1"/>
  <c r="MH13" i="1"/>
  <c r="MF13" i="1"/>
  <c r="MF53" i="1"/>
  <c r="MG38" i="1"/>
  <c r="MF17" i="1"/>
  <c r="MF48" i="1"/>
  <c r="MG69" i="1"/>
  <c r="MG36" i="1"/>
  <c r="MF49" i="1"/>
  <c r="MG35" i="1"/>
  <c r="MF69" i="1"/>
  <c r="MF70" i="1"/>
  <c r="MF16" i="1"/>
  <c r="MF58" i="1"/>
  <c r="MH67" i="1"/>
  <c r="MG68" i="1"/>
  <c r="MF45" i="1"/>
  <c r="MG67" i="1"/>
  <c r="MF19" i="1"/>
  <c r="MH42" i="1"/>
  <c r="MF56" i="1"/>
  <c r="MF79" i="1"/>
  <c r="MF80" i="1" s="1"/>
  <c r="MH70" i="1"/>
  <c r="MF47" i="1"/>
  <c r="MF42" i="1"/>
  <c r="MF36" i="1"/>
  <c r="MF41" i="1"/>
  <c r="MF35" i="1"/>
  <c r="MF15" i="1"/>
  <c r="MH10" i="1"/>
  <c r="MF51" i="1"/>
  <c r="MF20" i="1"/>
  <c r="MF30" i="1"/>
  <c r="MH29" i="1"/>
  <c r="MF29" i="1"/>
  <c r="MF11" i="1"/>
  <c r="MF75" i="1"/>
  <c r="MH46" i="1"/>
  <c r="MF12" i="1"/>
  <c r="MF26" i="1"/>
  <c r="MF32" i="1"/>
  <c r="MF22" i="1"/>
  <c r="MF59" i="1"/>
  <c r="MF18" i="1"/>
  <c r="MF44" i="1"/>
  <c r="MF77" i="1"/>
  <c r="MF72" i="1"/>
  <c r="MH28" i="1"/>
  <c r="MF73" i="1"/>
  <c r="MF43" i="1"/>
  <c r="MF40" i="1"/>
  <c r="LY78" i="1"/>
  <c r="LY39" i="1"/>
  <c r="LX78" i="1"/>
  <c r="LX39" i="1"/>
  <c r="LX71" i="1"/>
  <c r="LR81" i="1"/>
  <c r="LZ39" i="1"/>
  <c r="LZ71" i="1"/>
  <c r="LY71" i="1"/>
  <c r="JU8" i="1"/>
  <c r="JL8" i="1"/>
  <c r="NM8" i="1"/>
  <c r="NN8" i="1" s="1"/>
  <c r="NT8" i="1"/>
  <c r="EJ8" i="1"/>
  <c r="DZ8" i="1"/>
  <c r="DL39" i="1"/>
  <c r="FS11" i="1"/>
  <c r="GD11" i="1" s="1"/>
  <c r="CJ81" i="1"/>
  <c r="ED8" i="1"/>
  <c r="JP8" i="1"/>
  <c r="HG67" i="1"/>
  <c r="HN67" i="1" s="1"/>
  <c r="CS78" i="1"/>
  <c r="DL72" i="1"/>
  <c r="DR72" i="1" s="1"/>
  <c r="EM5" i="1"/>
  <c r="ES8" i="1" s="1"/>
  <c r="EU1" i="1"/>
  <c r="EU5" i="1" s="1"/>
  <c r="FA8" i="1" s="1"/>
  <c r="JX5" i="1"/>
  <c r="KD8" i="1" s="1"/>
  <c r="KF1" i="1"/>
  <c r="CS79" i="1"/>
  <c r="DA79" i="1" s="1"/>
  <c r="DA80" i="1" s="1"/>
  <c r="DA81" i="1" s="1"/>
  <c r="DC40" i="1"/>
  <c r="DJ40" i="1" s="1"/>
  <c r="DJ71" i="1" s="1"/>
  <c r="MK63" i="1" l="1"/>
  <c r="MM63" i="1" s="1"/>
  <c r="MK62" i="1"/>
  <c r="MM62" i="1" s="1"/>
  <c r="MK34" i="1"/>
  <c r="MM34" i="1" s="1"/>
  <c r="MK66" i="1"/>
  <c r="MM66" i="1" s="1"/>
  <c r="MK64" i="1"/>
  <c r="MM64" i="1" s="1"/>
  <c r="MN34" i="1"/>
  <c r="MN65" i="1"/>
  <c r="MS65" i="1" s="1"/>
  <c r="MU65" i="1" s="1"/>
  <c r="MN66" i="1"/>
  <c r="MN64" i="1"/>
  <c r="MN62" i="1"/>
  <c r="MN63" i="1"/>
  <c r="GX70" i="1"/>
  <c r="HE70" i="1" s="1"/>
  <c r="GX38" i="1"/>
  <c r="HE38" i="1" s="1"/>
  <c r="GX47" i="1"/>
  <c r="HE47" i="1" s="1"/>
  <c r="GX51" i="1"/>
  <c r="HE51" i="1" s="1"/>
  <c r="GX50" i="1"/>
  <c r="HE50" i="1" s="1"/>
  <c r="GX19" i="1"/>
  <c r="HE19" i="1" s="1"/>
  <c r="GX12" i="1"/>
  <c r="HE12" i="1" s="1"/>
  <c r="GX31" i="1"/>
  <c r="HE31" i="1" s="1"/>
  <c r="GX29" i="1"/>
  <c r="HE29" i="1" s="1"/>
  <c r="GX26" i="1"/>
  <c r="HE26" i="1" s="1"/>
  <c r="GX35" i="1"/>
  <c r="HE35" i="1" s="1"/>
  <c r="GX73" i="1"/>
  <c r="HE73" i="1" s="1"/>
  <c r="GX74" i="1"/>
  <c r="HE74" i="1" s="1"/>
  <c r="GX54" i="1"/>
  <c r="HE54" i="1" s="1"/>
  <c r="GX30" i="1"/>
  <c r="HE30" i="1" s="1"/>
  <c r="GX20" i="1"/>
  <c r="HE20" i="1" s="1"/>
  <c r="GX22" i="1"/>
  <c r="HE22" i="1" s="1"/>
  <c r="GX27" i="1"/>
  <c r="HE27" i="1" s="1"/>
  <c r="GX45" i="1"/>
  <c r="HE45" i="1" s="1"/>
  <c r="GX48" i="1"/>
  <c r="HE48" i="1" s="1"/>
  <c r="GX24" i="1"/>
  <c r="HE24" i="1" s="1"/>
  <c r="GX16" i="1"/>
  <c r="HE16" i="1" s="1"/>
  <c r="GX56" i="1"/>
  <c r="HE56" i="1" s="1"/>
  <c r="GX75" i="1"/>
  <c r="HE75" i="1" s="1"/>
  <c r="GX23" i="1"/>
  <c r="HE23" i="1" s="1"/>
  <c r="GX25" i="1"/>
  <c r="HE25" i="1" s="1"/>
  <c r="GX13" i="1"/>
  <c r="HE13" i="1" s="1"/>
  <c r="GX21" i="1"/>
  <c r="HE21" i="1" s="1"/>
  <c r="GX55" i="1"/>
  <c r="HE55" i="1" s="1"/>
  <c r="GX58" i="1"/>
  <c r="HE58" i="1" s="1"/>
  <c r="GX36" i="1"/>
  <c r="HE36" i="1" s="1"/>
  <c r="GX76" i="1"/>
  <c r="HE76" i="1" s="1"/>
  <c r="GX28" i="1"/>
  <c r="HE28" i="1" s="1"/>
  <c r="GX42" i="1"/>
  <c r="HE42" i="1" s="1"/>
  <c r="GX59" i="1"/>
  <c r="HE59" i="1" s="1"/>
  <c r="GX53" i="1"/>
  <c r="HE53" i="1" s="1"/>
  <c r="GX46" i="1"/>
  <c r="HE46" i="1" s="1"/>
  <c r="GX18" i="1"/>
  <c r="HE18" i="1" s="1"/>
  <c r="GX17" i="1"/>
  <c r="HE17" i="1" s="1"/>
  <c r="GX68" i="1"/>
  <c r="HE68" i="1" s="1"/>
  <c r="GX69" i="1"/>
  <c r="HE69" i="1" s="1"/>
  <c r="GX52" i="1"/>
  <c r="HE52" i="1" s="1"/>
  <c r="GX57" i="1"/>
  <c r="HE57" i="1" s="1"/>
  <c r="GX49" i="1"/>
  <c r="HE49" i="1" s="1"/>
  <c r="GX32" i="1"/>
  <c r="HE32" i="1" s="1"/>
  <c r="GX41" i="1"/>
  <c r="HE41" i="1" s="1"/>
  <c r="GX44" i="1"/>
  <c r="HE44" i="1" s="1"/>
  <c r="GO15" i="1"/>
  <c r="GV15" i="1" s="1"/>
  <c r="GO43" i="1"/>
  <c r="GV43" i="1" s="1"/>
  <c r="MK61" i="1"/>
  <c r="MM61" i="1" s="1"/>
  <c r="MK60" i="1"/>
  <c r="MM60" i="1" s="1"/>
  <c r="MK33" i="1"/>
  <c r="MM33" i="1" s="1"/>
  <c r="GF11" i="1"/>
  <c r="GM11" i="1" s="1"/>
  <c r="MN61" i="1"/>
  <c r="MN60" i="1"/>
  <c r="MN33" i="1"/>
  <c r="MG78" i="1"/>
  <c r="MK37" i="1"/>
  <c r="MM37" i="1" s="1"/>
  <c r="MF39" i="1"/>
  <c r="LX81" i="1"/>
  <c r="LS82" i="1" s="1"/>
  <c r="MH39" i="1"/>
  <c r="MF71" i="1"/>
  <c r="MH71" i="1"/>
  <c r="LZ81" i="1"/>
  <c r="LY81" i="1"/>
  <c r="MO37" i="1"/>
  <c r="MN37" i="1"/>
  <c r="MN76" i="1"/>
  <c r="MN17" i="1"/>
  <c r="MP70" i="1"/>
  <c r="MP53" i="1"/>
  <c r="MP26" i="1"/>
  <c r="MN54" i="1"/>
  <c r="MN23" i="1"/>
  <c r="MO69" i="1"/>
  <c r="MN72" i="1"/>
  <c r="MP55" i="1"/>
  <c r="MP45" i="1"/>
  <c r="MP15" i="1"/>
  <c r="MN49" i="1"/>
  <c r="MN58" i="1"/>
  <c r="MN53" i="1"/>
  <c r="MP67" i="1"/>
  <c r="MN79" i="1"/>
  <c r="MN80" i="1" s="1"/>
  <c r="MO68" i="1"/>
  <c r="MN74" i="1"/>
  <c r="MP38" i="1"/>
  <c r="MP46" i="1"/>
  <c r="MP52" i="1"/>
  <c r="MN32" i="1"/>
  <c r="MN46" i="1"/>
  <c r="MN19" i="1"/>
  <c r="MN38" i="1"/>
  <c r="MN30" i="1"/>
  <c r="MP13" i="1"/>
  <c r="MN22" i="1"/>
  <c r="MN43" i="1"/>
  <c r="MN16" i="1"/>
  <c r="MN57" i="1"/>
  <c r="MN40" i="1"/>
  <c r="MN47" i="1"/>
  <c r="MN29" i="1"/>
  <c r="MN25" i="1"/>
  <c r="MP17" i="1"/>
  <c r="MW1" i="1"/>
  <c r="MN69" i="1"/>
  <c r="MN13" i="1"/>
  <c r="MN51" i="1"/>
  <c r="MN36" i="1"/>
  <c r="MN41" i="1"/>
  <c r="MP36" i="1"/>
  <c r="MN55" i="1"/>
  <c r="MN27" i="1"/>
  <c r="MN15" i="1"/>
  <c r="MP10" i="1"/>
  <c r="MO74" i="1"/>
  <c r="MN21" i="1"/>
  <c r="MO75" i="1"/>
  <c r="MO35" i="1"/>
  <c r="MN18" i="1"/>
  <c r="MP42" i="1"/>
  <c r="MN10" i="1"/>
  <c r="MN31" i="1"/>
  <c r="MO38" i="1"/>
  <c r="MN67" i="1"/>
  <c r="MP18" i="1"/>
  <c r="MN14" i="1"/>
  <c r="MN45" i="1"/>
  <c r="MN75" i="1"/>
  <c r="MP44" i="1"/>
  <c r="MN56" i="1"/>
  <c r="MN28" i="1"/>
  <c r="MN44" i="1"/>
  <c r="MN35" i="1"/>
  <c r="MN77" i="1"/>
  <c r="MN73" i="1"/>
  <c r="MP57" i="1"/>
  <c r="MP40" i="1"/>
  <c r="MN52" i="1"/>
  <c r="MN24" i="1"/>
  <c r="MN26" i="1"/>
  <c r="MN68" i="1"/>
  <c r="MN70" i="1"/>
  <c r="MO36" i="1"/>
  <c r="MN48" i="1"/>
  <c r="MN20" i="1"/>
  <c r="MP69" i="1"/>
  <c r="MO67" i="1"/>
  <c r="MN50" i="1"/>
  <c r="MN12" i="1"/>
  <c r="MP28" i="1"/>
  <c r="MN42" i="1"/>
  <c r="MP12" i="1"/>
  <c r="MN11" i="1"/>
  <c r="MN59" i="1"/>
  <c r="MP29" i="1"/>
  <c r="MF78" i="1"/>
  <c r="MG39" i="1"/>
  <c r="MG71" i="1"/>
  <c r="DT72" i="1"/>
  <c r="EB72" i="1" s="1"/>
  <c r="JT8" i="1"/>
  <c r="KC8" i="1"/>
  <c r="OB8" i="1"/>
  <c r="NU8" i="1"/>
  <c r="NV8" i="1" s="1"/>
  <c r="EZ8" i="1"/>
  <c r="EI8" i="1"/>
  <c r="ER8" i="1"/>
  <c r="DT10" i="1"/>
  <c r="EB10" i="1" s="1"/>
  <c r="EB39" i="1" s="1"/>
  <c r="JX8" i="1"/>
  <c r="EM8" i="1"/>
  <c r="EU8" i="1"/>
  <c r="HP67" i="1"/>
  <c r="HW67" i="1" s="1"/>
  <c r="DC71" i="1"/>
  <c r="CS80" i="1"/>
  <c r="KO1" i="1"/>
  <c r="KF5" i="1"/>
  <c r="KM8" i="1" s="1"/>
  <c r="DC77" i="1"/>
  <c r="DJ77" i="1" s="1"/>
  <c r="DJ78" i="1" s="1"/>
  <c r="MS64" i="1" l="1"/>
  <c r="MU64" i="1" s="1"/>
  <c r="MS63" i="1"/>
  <c r="MU63" i="1" s="1"/>
  <c r="MS62" i="1"/>
  <c r="MU62" i="1" s="1"/>
  <c r="MS66" i="1"/>
  <c r="MU66" i="1" s="1"/>
  <c r="MS34" i="1"/>
  <c r="MU34" i="1" s="1"/>
  <c r="MV34" i="1"/>
  <c r="MV66" i="1"/>
  <c r="MV64" i="1"/>
  <c r="MV63" i="1"/>
  <c r="MV62" i="1"/>
  <c r="MV65" i="1"/>
  <c r="NA65" i="1" s="1"/>
  <c r="NC65" i="1" s="1"/>
  <c r="HY67" i="1"/>
  <c r="IF67" i="1" s="1"/>
  <c r="HG75" i="1"/>
  <c r="HN75" i="1" s="1"/>
  <c r="HG32" i="1"/>
  <c r="HN32" i="1" s="1"/>
  <c r="HG49" i="1"/>
  <c r="HN49" i="1" s="1"/>
  <c r="HG45" i="1"/>
  <c r="HN45" i="1" s="1"/>
  <c r="HG69" i="1"/>
  <c r="HN69" i="1" s="1"/>
  <c r="HG55" i="1"/>
  <c r="HN55" i="1" s="1"/>
  <c r="HG22" i="1"/>
  <c r="HN22" i="1" s="1"/>
  <c r="HG50" i="1"/>
  <c r="HN50" i="1" s="1"/>
  <c r="HG53" i="1"/>
  <c r="HN53" i="1" s="1"/>
  <c r="HG73" i="1"/>
  <c r="HN73" i="1" s="1"/>
  <c r="HG44" i="1"/>
  <c r="HN44" i="1" s="1"/>
  <c r="HG56" i="1"/>
  <c r="HN56" i="1" s="1"/>
  <c r="HG35" i="1"/>
  <c r="HN35" i="1" s="1"/>
  <c r="HG41" i="1"/>
  <c r="HN41" i="1" s="1"/>
  <c r="HG16" i="1"/>
  <c r="HN16" i="1" s="1"/>
  <c r="HG26" i="1"/>
  <c r="HN26" i="1" s="1"/>
  <c r="HG28" i="1"/>
  <c r="HN28" i="1" s="1"/>
  <c r="HG29" i="1"/>
  <c r="HN29" i="1" s="1"/>
  <c r="HG76" i="1"/>
  <c r="HN76" i="1" s="1"/>
  <c r="HG48" i="1"/>
  <c r="HN48" i="1" s="1"/>
  <c r="HG31" i="1"/>
  <c r="HN31" i="1" s="1"/>
  <c r="HG57" i="1"/>
  <c r="HN57" i="1" s="1"/>
  <c r="HG36" i="1"/>
  <c r="HN36" i="1" s="1"/>
  <c r="HG12" i="1"/>
  <c r="HN12" i="1" s="1"/>
  <c r="HG52" i="1"/>
  <c r="HN52" i="1" s="1"/>
  <c r="HG58" i="1"/>
  <c r="HN58" i="1" s="1"/>
  <c r="HG27" i="1"/>
  <c r="HN27" i="1" s="1"/>
  <c r="HG19" i="1"/>
  <c r="HN19" i="1" s="1"/>
  <c r="HG68" i="1"/>
  <c r="HN68" i="1" s="1"/>
  <c r="HG21" i="1"/>
  <c r="HN21" i="1" s="1"/>
  <c r="HG20" i="1"/>
  <c r="HN20" i="1" s="1"/>
  <c r="HG51" i="1"/>
  <c r="HN51" i="1" s="1"/>
  <c r="HG17" i="1"/>
  <c r="HN17" i="1" s="1"/>
  <c r="HG13" i="1"/>
  <c r="HN13" i="1" s="1"/>
  <c r="HG30" i="1"/>
  <c r="HN30" i="1" s="1"/>
  <c r="HG47" i="1"/>
  <c r="HN47" i="1" s="1"/>
  <c r="HG59" i="1"/>
  <c r="HN59" i="1" s="1"/>
  <c r="HG42" i="1"/>
  <c r="HN42" i="1" s="1"/>
  <c r="HG24" i="1"/>
  <c r="HN24" i="1" s="1"/>
  <c r="HG18" i="1"/>
  <c r="HN18" i="1" s="1"/>
  <c r="HG25" i="1"/>
  <c r="HN25" i="1" s="1"/>
  <c r="HG54" i="1"/>
  <c r="HN54" i="1" s="1"/>
  <c r="HG38" i="1"/>
  <c r="HN38" i="1" s="1"/>
  <c r="HG46" i="1"/>
  <c r="HN46" i="1" s="1"/>
  <c r="HG23" i="1"/>
  <c r="HN23" i="1" s="1"/>
  <c r="HG74" i="1"/>
  <c r="HN74" i="1" s="1"/>
  <c r="HG70" i="1"/>
  <c r="HN70" i="1" s="1"/>
  <c r="GX15" i="1"/>
  <c r="HE15" i="1" s="1"/>
  <c r="GX43" i="1"/>
  <c r="HE43" i="1" s="1"/>
  <c r="MS61" i="1"/>
  <c r="MU61" i="1" s="1"/>
  <c r="GO11" i="1"/>
  <c r="GV11" i="1" s="1"/>
  <c r="GO14" i="1"/>
  <c r="GV14" i="1" s="1"/>
  <c r="MS60" i="1"/>
  <c r="MU60" i="1" s="1"/>
  <c r="MO71" i="1"/>
  <c r="MS33" i="1"/>
  <c r="MU33" i="1" s="1"/>
  <c r="MG81" i="1"/>
  <c r="MV61" i="1"/>
  <c r="MV60" i="1"/>
  <c r="MV33" i="1"/>
  <c r="MF81" i="1"/>
  <c r="MA82" i="1" s="1"/>
  <c r="MH81" i="1"/>
  <c r="MS37" i="1"/>
  <c r="MU37" i="1" s="1"/>
  <c r="MO39" i="1"/>
  <c r="MP39" i="1"/>
  <c r="MP71" i="1"/>
  <c r="MO78" i="1"/>
  <c r="MN71" i="1"/>
  <c r="MN78" i="1"/>
  <c r="MW37" i="1"/>
  <c r="MV37" i="1"/>
  <c r="MW69" i="1"/>
  <c r="MV53" i="1"/>
  <c r="MV76" i="1"/>
  <c r="MV50" i="1"/>
  <c r="MV31" i="1"/>
  <c r="MW38" i="1"/>
  <c r="MV74" i="1"/>
  <c r="MX69" i="1"/>
  <c r="MV43" i="1"/>
  <c r="MX12" i="1"/>
  <c r="MV22" i="1"/>
  <c r="MV75" i="1"/>
  <c r="MV79" i="1"/>
  <c r="MV80" i="1" s="1"/>
  <c r="MV17" i="1"/>
  <c r="MX70" i="1"/>
  <c r="MV73" i="1"/>
  <c r="MV45" i="1"/>
  <c r="MV72" i="1"/>
  <c r="MV26" i="1"/>
  <c r="MV32" i="1"/>
  <c r="MX44" i="1"/>
  <c r="MV44" i="1"/>
  <c r="MV48" i="1"/>
  <c r="MV56" i="1"/>
  <c r="MW35" i="1"/>
  <c r="MW67" i="1"/>
  <c r="MV18" i="1"/>
  <c r="MX36" i="1"/>
  <c r="MV21" i="1"/>
  <c r="MX45" i="1"/>
  <c r="MV67" i="1"/>
  <c r="MV59" i="1"/>
  <c r="MV58" i="1"/>
  <c r="MV35" i="1"/>
  <c r="MV49" i="1"/>
  <c r="MX10" i="1"/>
  <c r="MX13" i="1"/>
  <c r="MV24" i="1"/>
  <c r="MV12" i="1"/>
  <c r="MV16" i="1"/>
  <c r="MX18" i="1"/>
  <c r="MV13" i="1"/>
  <c r="MX29" i="1"/>
  <c r="MV30" i="1"/>
  <c r="MV29" i="1"/>
  <c r="MV55" i="1"/>
  <c r="MV38" i="1"/>
  <c r="MX42" i="1"/>
  <c r="MV14" i="1"/>
  <c r="MV40" i="1"/>
  <c r="MV10" i="1"/>
  <c r="MV19" i="1"/>
  <c r="MX40" i="1"/>
  <c r="MV68" i="1"/>
  <c r="MV15" i="1"/>
  <c r="MV11" i="1"/>
  <c r="MW68" i="1"/>
  <c r="MX17" i="1"/>
  <c r="MX55" i="1"/>
  <c r="MW36" i="1"/>
  <c r="MV25" i="1"/>
  <c r="MV57" i="1"/>
  <c r="MX57" i="1"/>
  <c r="MV41" i="1"/>
  <c r="MX26" i="1"/>
  <c r="MX52" i="1"/>
  <c r="MW74" i="1"/>
  <c r="MX15" i="1"/>
  <c r="MX53" i="1"/>
  <c r="MV51" i="1"/>
  <c r="MV28" i="1"/>
  <c r="MV47" i="1"/>
  <c r="MV23" i="1"/>
  <c r="MX38" i="1"/>
  <c r="MX28" i="1"/>
  <c r="MX67" i="1"/>
  <c r="MV20" i="1"/>
  <c r="MV46" i="1"/>
  <c r="MX46" i="1"/>
  <c r="MV77" i="1"/>
  <c r="MV42" i="1"/>
  <c r="MV69" i="1"/>
  <c r="MV27" i="1"/>
  <c r="MV70" i="1"/>
  <c r="MV36" i="1"/>
  <c r="MV52" i="1"/>
  <c r="MV54" i="1"/>
  <c r="NE1" i="1"/>
  <c r="MW75" i="1"/>
  <c r="MN39" i="1"/>
  <c r="OC8" i="1"/>
  <c r="OD8" i="1" s="1"/>
  <c r="OJ8" i="1"/>
  <c r="KB8" i="1"/>
  <c r="KL8" i="1"/>
  <c r="DT39" i="1"/>
  <c r="CS81" i="1"/>
  <c r="KF8" i="1"/>
  <c r="DL40" i="1"/>
  <c r="DR40" i="1" s="1"/>
  <c r="DR71" i="1" s="1"/>
  <c r="DC78" i="1"/>
  <c r="KO5" i="1"/>
  <c r="KV8" i="1" s="1"/>
  <c r="KX1" i="1"/>
  <c r="DC79" i="1"/>
  <c r="DJ79" i="1" s="1"/>
  <c r="DJ80" i="1" s="1"/>
  <c r="DJ81" i="1" s="1"/>
  <c r="NA64" i="1" l="1"/>
  <c r="NC64" i="1" s="1"/>
  <c r="NA34" i="1"/>
  <c r="NC34" i="1" s="1"/>
  <c r="NA63" i="1"/>
  <c r="NC63" i="1" s="1"/>
  <c r="NA62" i="1"/>
  <c r="NC62" i="1" s="1"/>
  <c r="NA66" i="1"/>
  <c r="NC66" i="1" s="1"/>
  <c r="ND65" i="1"/>
  <c r="NI65" i="1" s="1"/>
  <c r="NK65" i="1" s="1"/>
  <c r="ND34" i="1"/>
  <c r="ND63" i="1"/>
  <c r="ND64" i="1"/>
  <c r="ND62" i="1"/>
  <c r="ND66" i="1"/>
  <c r="HP53" i="1"/>
  <c r="HW53" i="1" s="1"/>
  <c r="HP48" i="1"/>
  <c r="HW48" i="1" s="1"/>
  <c r="HP38" i="1"/>
  <c r="HW38" i="1" s="1"/>
  <c r="HP47" i="1"/>
  <c r="HW47" i="1" s="1"/>
  <c r="HP12" i="1"/>
  <c r="HW12" i="1" s="1"/>
  <c r="HP56" i="1"/>
  <c r="HW56" i="1" s="1"/>
  <c r="HP70" i="1"/>
  <c r="HW70" i="1" s="1"/>
  <c r="HP30" i="1"/>
  <c r="HW30" i="1" s="1"/>
  <c r="HP36" i="1"/>
  <c r="HW36" i="1" s="1"/>
  <c r="HP44" i="1"/>
  <c r="HW44" i="1" s="1"/>
  <c r="HP74" i="1"/>
  <c r="HW74" i="1" s="1"/>
  <c r="HP13" i="1"/>
  <c r="HW13" i="1" s="1"/>
  <c r="HP57" i="1"/>
  <c r="HW57" i="1" s="1"/>
  <c r="HP73" i="1"/>
  <c r="HW73" i="1" s="1"/>
  <c r="HP46" i="1"/>
  <c r="HW46" i="1" s="1"/>
  <c r="HP54" i="1"/>
  <c r="HW54" i="1" s="1"/>
  <c r="HP28" i="1"/>
  <c r="HW28" i="1" s="1"/>
  <c r="HP24" i="1"/>
  <c r="HW24" i="1" s="1"/>
  <c r="HP27" i="1"/>
  <c r="HW27" i="1" s="1"/>
  <c r="HP16" i="1"/>
  <c r="HW16" i="1" s="1"/>
  <c r="HP49" i="1"/>
  <c r="HW49" i="1" s="1"/>
  <c r="HP17" i="1"/>
  <c r="HW17" i="1" s="1"/>
  <c r="HP51" i="1"/>
  <c r="HW51" i="1" s="1"/>
  <c r="HP29" i="1"/>
  <c r="HW29" i="1" s="1"/>
  <c r="HP25" i="1"/>
  <c r="HW25" i="1" s="1"/>
  <c r="HP26" i="1"/>
  <c r="HW26" i="1" s="1"/>
  <c r="HP42" i="1"/>
  <c r="HW42" i="1" s="1"/>
  <c r="HP58" i="1"/>
  <c r="HW58" i="1" s="1"/>
  <c r="HP41" i="1"/>
  <c r="HW41" i="1" s="1"/>
  <c r="HP32" i="1"/>
  <c r="HW32" i="1" s="1"/>
  <c r="HP23" i="1"/>
  <c r="HW23" i="1" s="1"/>
  <c r="HP31" i="1"/>
  <c r="HW31" i="1" s="1"/>
  <c r="HP50" i="1"/>
  <c r="HW50" i="1" s="1"/>
  <c r="HP20" i="1"/>
  <c r="HW20" i="1" s="1"/>
  <c r="HP76" i="1"/>
  <c r="HW76" i="1" s="1"/>
  <c r="HP22" i="1"/>
  <c r="HW22" i="1" s="1"/>
  <c r="HP21" i="1"/>
  <c r="HW21" i="1" s="1"/>
  <c r="HP55" i="1"/>
  <c r="HW55" i="1" s="1"/>
  <c r="HP68" i="1"/>
  <c r="HW68" i="1" s="1"/>
  <c r="HP69" i="1"/>
  <c r="HW69" i="1" s="1"/>
  <c r="HP18" i="1"/>
  <c r="HW18" i="1" s="1"/>
  <c r="HP19" i="1"/>
  <c r="HW19" i="1" s="1"/>
  <c r="HP45" i="1"/>
  <c r="HW45" i="1" s="1"/>
  <c r="HP59" i="1"/>
  <c r="HW59" i="1" s="1"/>
  <c r="HP52" i="1"/>
  <c r="HW52" i="1" s="1"/>
  <c r="HP35" i="1"/>
  <c r="HW35" i="1" s="1"/>
  <c r="HP75" i="1"/>
  <c r="HW75" i="1" s="1"/>
  <c r="HG43" i="1"/>
  <c r="HN43" i="1" s="1"/>
  <c r="HG15" i="1"/>
  <c r="HN15" i="1" s="1"/>
  <c r="GX14" i="1"/>
  <c r="HE14" i="1" s="1"/>
  <c r="GX11" i="1"/>
  <c r="HE11" i="1" s="1"/>
  <c r="NA61" i="1"/>
  <c r="NC61" i="1" s="1"/>
  <c r="NA60" i="1"/>
  <c r="NC60" i="1" s="1"/>
  <c r="NA33" i="1"/>
  <c r="NC33" i="1" s="1"/>
  <c r="ND61" i="1"/>
  <c r="ND60" i="1"/>
  <c r="ND33" i="1"/>
  <c r="MO81" i="1"/>
  <c r="MW78" i="1"/>
  <c r="MP81" i="1"/>
  <c r="MW71" i="1"/>
  <c r="MW39" i="1"/>
  <c r="NA37" i="1"/>
  <c r="NC37" i="1" s="1"/>
  <c r="MN81" i="1"/>
  <c r="MI82" i="1" s="1"/>
  <c r="MV71" i="1"/>
  <c r="MX39" i="1"/>
  <c r="MV39" i="1"/>
  <c r="MV78" i="1"/>
  <c r="MX71" i="1"/>
  <c r="NE37" i="1"/>
  <c r="ND37" i="1"/>
  <c r="ND32" i="1"/>
  <c r="ND41" i="1"/>
  <c r="NF15" i="1"/>
  <c r="ND15" i="1"/>
  <c r="ND11" i="1"/>
  <c r="ND46" i="1"/>
  <c r="NE38" i="1"/>
  <c r="ND26" i="1"/>
  <c r="ND13" i="1"/>
  <c r="ND23" i="1"/>
  <c r="NF40" i="1"/>
  <c r="NE35" i="1"/>
  <c r="NE36" i="1"/>
  <c r="NF12" i="1"/>
  <c r="ND68" i="1"/>
  <c r="NF57" i="1"/>
  <c r="ND56" i="1"/>
  <c r="NM1" i="1"/>
  <c r="ND17" i="1"/>
  <c r="NF13" i="1"/>
  <c r="NE75" i="1"/>
  <c r="ND40" i="1"/>
  <c r="NF29" i="1"/>
  <c r="NE74" i="1"/>
  <c r="NF67" i="1"/>
  <c r="ND25" i="1"/>
  <c r="ND27" i="1"/>
  <c r="ND58" i="1"/>
  <c r="NF53" i="1"/>
  <c r="ND73" i="1"/>
  <c r="NF10" i="1"/>
  <c r="ND29" i="1"/>
  <c r="ND10" i="1"/>
  <c r="ND24" i="1"/>
  <c r="NF52" i="1"/>
  <c r="NF26" i="1"/>
  <c r="ND49" i="1"/>
  <c r="NF36" i="1"/>
  <c r="NF46" i="1"/>
  <c r="ND59" i="1"/>
  <c r="NE69" i="1"/>
  <c r="NF69" i="1"/>
  <c r="ND18" i="1"/>
  <c r="ND19" i="1"/>
  <c r="ND79" i="1"/>
  <c r="ND80" i="1" s="1"/>
  <c r="ND36" i="1"/>
  <c r="NF42" i="1"/>
  <c r="NF17" i="1"/>
  <c r="NF38" i="1"/>
  <c r="ND74" i="1"/>
  <c r="ND21" i="1"/>
  <c r="NE67" i="1"/>
  <c r="NF18" i="1"/>
  <c r="ND52" i="1"/>
  <c r="ND77" i="1"/>
  <c r="NF44" i="1"/>
  <c r="ND72" i="1"/>
  <c r="ND70" i="1"/>
  <c r="ND30" i="1"/>
  <c r="ND50" i="1"/>
  <c r="ND55" i="1"/>
  <c r="ND12" i="1"/>
  <c r="ND16" i="1"/>
  <c r="ND47" i="1"/>
  <c r="NF45" i="1"/>
  <c r="ND20" i="1"/>
  <c r="ND48" i="1"/>
  <c r="ND28" i="1"/>
  <c r="ND54" i="1"/>
  <c r="ND57" i="1"/>
  <c r="ND35" i="1"/>
  <c r="ND69" i="1"/>
  <c r="ND43" i="1"/>
  <c r="ND22" i="1"/>
  <c r="ND51" i="1"/>
  <c r="NF28" i="1"/>
  <c r="ND38" i="1"/>
  <c r="NF55" i="1"/>
  <c r="ND42" i="1"/>
  <c r="ND45" i="1"/>
  <c r="ND31" i="1"/>
  <c r="ND75" i="1"/>
  <c r="ND53" i="1"/>
  <c r="NF70" i="1"/>
  <c r="ND44" i="1"/>
  <c r="ND14" i="1"/>
  <c r="NE68" i="1"/>
  <c r="ND76" i="1"/>
  <c r="ND67" i="1"/>
  <c r="OR8" i="1"/>
  <c r="OK8" i="1"/>
  <c r="OL8" i="1" s="1"/>
  <c r="KK8" i="1"/>
  <c r="KU8" i="1"/>
  <c r="DL71" i="1"/>
  <c r="ED10" i="1"/>
  <c r="EK10" i="1" s="1"/>
  <c r="EK39" i="1" s="1"/>
  <c r="KO8" i="1"/>
  <c r="IH67" i="1"/>
  <c r="IN67" i="1" s="1"/>
  <c r="DL77" i="1"/>
  <c r="DR77" i="1" s="1"/>
  <c r="DR78" i="1" s="1"/>
  <c r="DC80" i="1"/>
  <c r="ED72" i="1"/>
  <c r="EK72" i="1" s="1"/>
  <c r="KX5" i="1"/>
  <c r="LF1" i="1"/>
  <c r="LO1" i="1" s="1"/>
  <c r="NI64" i="1" l="1"/>
  <c r="NK64" i="1" s="1"/>
  <c r="NI34" i="1"/>
  <c r="NK34" i="1" s="1"/>
  <c r="NI63" i="1"/>
  <c r="NK63" i="1" s="1"/>
  <c r="NI62" i="1"/>
  <c r="NK62" i="1" s="1"/>
  <c r="NI66" i="1"/>
  <c r="NK66" i="1" s="1"/>
  <c r="NL64" i="1"/>
  <c r="NQ64" i="1" s="1"/>
  <c r="NS64" i="1" s="1"/>
  <c r="NL34" i="1"/>
  <c r="NL66" i="1"/>
  <c r="NL63" i="1"/>
  <c r="NL62" i="1"/>
  <c r="NL65" i="1"/>
  <c r="NQ65" i="1" s="1"/>
  <c r="NS65" i="1" s="1"/>
  <c r="HY22" i="1"/>
  <c r="IF22" i="1" s="1"/>
  <c r="HY29" i="1"/>
  <c r="IF29" i="1" s="1"/>
  <c r="HY13" i="1"/>
  <c r="IF13" i="1" s="1"/>
  <c r="HY75" i="1"/>
  <c r="IF75" i="1" s="1"/>
  <c r="HY76" i="1"/>
  <c r="IF76" i="1" s="1"/>
  <c r="HY51" i="1"/>
  <c r="IF51" i="1" s="1"/>
  <c r="HY74" i="1"/>
  <c r="IF74" i="1" s="1"/>
  <c r="HY35" i="1"/>
  <c r="IF35" i="1" s="1"/>
  <c r="HY20" i="1"/>
  <c r="IF20" i="1" s="1"/>
  <c r="HY17" i="1"/>
  <c r="IF17" i="1" s="1"/>
  <c r="HY44" i="1"/>
  <c r="IF44" i="1" s="1"/>
  <c r="HY52" i="1"/>
  <c r="IF52" i="1" s="1"/>
  <c r="HY50" i="1"/>
  <c r="IF50" i="1" s="1"/>
  <c r="HY49" i="1"/>
  <c r="IF49" i="1" s="1"/>
  <c r="HY36" i="1"/>
  <c r="IF36" i="1" s="1"/>
  <c r="HY59" i="1"/>
  <c r="IF59" i="1" s="1"/>
  <c r="HY31" i="1"/>
  <c r="IF31" i="1" s="1"/>
  <c r="HY16" i="1"/>
  <c r="IF16" i="1" s="1"/>
  <c r="HY30" i="1"/>
  <c r="IF30" i="1" s="1"/>
  <c r="HY45" i="1"/>
  <c r="IF45" i="1" s="1"/>
  <c r="HY23" i="1"/>
  <c r="IF23" i="1" s="1"/>
  <c r="HY27" i="1"/>
  <c r="IF27" i="1" s="1"/>
  <c r="HY70" i="1"/>
  <c r="IF70" i="1" s="1"/>
  <c r="HY19" i="1"/>
  <c r="IF19" i="1" s="1"/>
  <c r="HY32" i="1"/>
  <c r="IF32" i="1" s="1"/>
  <c r="HY24" i="1"/>
  <c r="IF24" i="1" s="1"/>
  <c r="HY56" i="1"/>
  <c r="IF56" i="1" s="1"/>
  <c r="HY18" i="1"/>
  <c r="IF18" i="1" s="1"/>
  <c r="HY41" i="1"/>
  <c r="IF41" i="1" s="1"/>
  <c r="HY28" i="1"/>
  <c r="IF28" i="1" s="1"/>
  <c r="HY12" i="1"/>
  <c r="IF12" i="1" s="1"/>
  <c r="HY69" i="1"/>
  <c r="IF69" i="1" s="1"/>
  <c r="HY58" i="1"/>
  <c r="IF58" i="1" s="1"/>
  <c r="HY54" i="1"/>
  <c r="IF54" i="1" s="1"/>
  <c r="HY47" i="1"/>
  <c r="IF47" i="1" s="1"/>
  <c r="HY68" i="1"/>
  <c r="IF68" i="1" s="1"/>
  <c r="HY42" i="1"/>
  <c r="IF42" i="1" s="1"/>
  <c r="HY46" i="1"/>
  <c r="IF46" i="1" s="1"/>
  <c r="HY38" i="1"/>
  <c r="IF38" i="1" s="1"/>
  <c r="HY55" i="1"/>
  <c r="IF55" i="1" s="1"/>
  <c r="HY26" i="1"/>
  <c r="IF26" i="1" s="1"/>
  <c r="HY73" i="1"/>
  <c r="IF73" i="1" s="1"/>
  <c r="HY48" i="1"/>
  <c r="IF48" i="1" s="1"/>
  <c r="HY21" i="1"/>
  <c r="IF21" i="1" s="1"/>
  <c r="HY25" i="1"/>
  <c r="IF25" i="1" s="1"/>
  <c r="HY57" i="1"/>
  <c r="IF57" i="1" s="1"/>
  <c r="HY53" i="1"/>
  <c r="IF53" i="1" s="1"/>
  <c r="HP15" i="1"/>
  <c r="HW15" i="1" s="1"/>
  <c r="HP43" i="1"/>
  <c r="HW43" i="1" s="1"/>
  <c r="HG11" i="1"/>
  <c r="HN11" i="1" s="1"/>
  <c r="HG14" i="1"/>
  <c r="HN14" i="1" s="1"/>
  <c r="NI61" i="1"/>
  <c r="NK61" i="1" s="1"/>
  <c r="NI60" i="1"/>
  <c r="NK60" i="1" s="1"/>
  <c r="NI33" i="1"/>
  <c r="NK33" i="1" s="1"/>
  <c r="MW81" i="1"/>
  <c r="NL61" i="1"/>
  <c r="NL60" i="1"/>
  <c r="NL33" i="1"/>
  <c r="OS8" i="1"/>
  <c r="OT8" i="1" s="1"/>
  <c r="OZ8" i="1"/>
  <c r="MV81" i="1"/>
  <c r="MQ82" i="1" s="1"/>
  <c r="MX81" i="1"/>
  <c r="NE78" i="1"/>
  <c r="NI37" i="1"/>
  <c r="NK37" i="1" s="1"/>
  <c r="NE39" i="1"/>
  <c r="ND71" i="1"/>
  <c r="NF39" i="1"/>
  <c r="NM37" i="1"/>
  <c r="NL37" i="1"/>
  <c r="NL30" i="1"/>
  <c r="NL41" i="1"/>
  <c r="NN40" i="1"/>
  <c r="NL36" i="1"/>
  <c r="NL44" i="1"/>
  <c r="NN42" i="1"/>
  <c r="NN10" i="1"/>
  <c r="NN70" i="1"/>
  <c r="NL26" i="1"/>
  <c r="NL35" i="1"/>
  <c r="NN29" i="1"/>
  <c r="NN38" i="1"/>
  <c r="NN26" i="1"/>
  <c r="NL29" i="1"/>
  <c r="NL76" i="1"/>
  <c r="NL28" i="1"/>
  <c r="NN67" i="1"/>
  <c r="NL10" i="1"/>
  <c r="NN36" i="1"/>
  <c r="NL23" i="1"/>
  <c r="NL52" i="1"/>
  <c r="NL73" i="1"/>
  <c r="NN53" i="1"/>
  <c r="NL58" i="1"/>
  <c r="NL46" i="1"/>
  <c r="NL57" i="1"/>
  <c r="NL53" i="1"/>
  <c r="NM75" i="1"/>
  <c r="NN44" i="1"/>
  <c r="NN55" i="1"/>
  <c r="NN46" i="1"/>
  <c r="NM35" i="1"/>
  <c r="NL20" i="1"/>
  <c r="NL32" i="1"/>
  <c r="NM38" i="1"/>
  <c r="NL75" i="1"/>
  <c r="NM67" i="1"/>
  <c r="NL31" i="1"/>
  <c r="NL40" i="1"/>
  <c r="NL42" i="1"/>
  <c r="NM36" i="1"/>
  <c r="NL79" i="1"/>
  <c r="NL80" i="1" s="1"/>
  <c r="NL22" i="1"/>
  <c r="NN28" i="1"/>
  <c r="NN15" i="1"/>
  <c r="NL68" i="1"/>
  <c r="NN57" i="1"/>
  <c r="NL19" i="1"/>
  <c r="NL54" i="1"/>
  <c r="NL50" i="1"/>
  <c r="NN45" i="1"/>
  <c r="NL70" i="1"/>
  <c r="NN17" i="1"/>
  <c r="NL25" i="1"/>
  <c r="NL72" i="1"/>
  <c r="NL15" i="1"/>
  <c r="NL24" i="1"/>
  <c r="NL27" i="1"/>
  <c r="NL38" i="1"/>
  <c r="NN13" i="1"/>
  <c r="NL21" i="1"/>
  <c r="NN52" i="1"/>
  <c r="NL67" i="1"/>
  <c r="NL43" i="1"/>
  <c r="NN18" i="1"/>
  <c r="NL47" i="1"/>
  <c r="NL18" i="1"/>
  <c r="NU1" i="1"/>
  <c r="NN12" i="1"/>
  <c r="NL16" i="1"/>
  <c r="NL56" i="1"/>
  <c r="NL55" i="1"/>
  <c r="NL59" i="1"/>
  <c r="NL49" i="1"/>
  <c r="NL14" i="1"/>
  <c r="NL69" i="1"/>
  <c r="NL77" i="1"/>
  <c r="NL74" i="1"/>
  <c r="NL11" i="1"/>
  <c r="NM74" i="1"/>
  <c r="NM69" i="1"/>
  <c r="NL51" i="1"/>
  <c r="NN69" i="1"/>
  <c r="NM68" i="1"/>
  <c r="NL17" i="1"/>
  <c r="NL13" i="1"/>
  <c r="NL12" i="1"/>
  <c r="NL45" i="1"/>
  <c r="NL48" i="1"/>
  <c r="ND78" i="1"/>
  <c r="NF71" i="1"/>
  <c r="ND39" i="1"/>
  <c r="NE71" i="1"/>
  <c r="DC81" i="1"/>
  <c r="LC8" i="1"/>
  <c r="KT8" i="1"/>
  <c r="DL78" i="1"/>
  <c r="ED39" i="1"/>
  <c r="LO5" i="1"/>
  <c r="LW1" i="1"/>
  <c r="KX8" i="1"/>
  <c r="IP67" i="1"/>
  <c r="IW67" i="1" s="1"/>
  <c r="DL79" i="1"/>
  <c r="DR79" i="1" s="1"/>
  <c r="DR80" i="1" s="1"/>
  <c r="DR81" i="1" s="1"/>
  <c r="DT40" i="1"/>
  <c r="EB40" i="1" s="1"/>
  <c r="EB71" i="1" s="1"/>
  <c r="LF5" i="1"/>
  <c r="LM8" i="1" s="1"/>
  <c r="NQ63" i="1" l="1"/>
  <c r="NS63" i="1" s="1"/>
  <c r="NQ62" i="1"/>
  <c r="NS62" i="1" s="1"/>
  <c r="NQ34" i="1"/>
  <c r="NS34" i="1" s="1"/>
  <c r="NQ66" i="1"/>
  <c r="NS66" i="1" s="1"/>
  <c r="NT34" i="1"/>
  <c r="NT65" i="1"/>
  <c r="NY65" i="1" s="1"/>
  <c r="OA65" i="1" s="1"/>
  <c r="NT66" i="1"/>
  <c r="NT62" i="1"/>
  <c r="NT64" i="1"/>
  <c r="NY64" i="1" s="1"/>
  <c r="OA64" i="1" s="1"/>
  <c r="NT63" i="1"/>
  <c r="IH35" i="1"/>
  <c r="IH53" i="1"/>
  <c r="IH47" i="1"/>
  <c r="IH70" i="1"/>
  <c r="IH44" i="1"/>
  <c r="IH73" i="1"/>
  <c r="IH52" i="1"/>
  <c r="IH57" i="1"/>
  <c r="IH54" i="1"/>
  <c r="IH27" i="1"/>
  <c r="IH17" i="1"/>
  <c r="IH19" i="1"/>
  <c r="IH58" i="1"/>
  <c r="IH23" i="1"/>
  <c r="IH20" i="1"/>
  <c r="IH16" i="1"/>
  <c r="IH21" i="1"/>
  <c r="IH69" i="1"/>
  <c r="IH45" i="1"/>
  <c r="IH51" i="1"/>
  <c r="IH68" i="1"/>
  <c r="IH29" i="1"/>
  <c r="IH48" i="1"/>
  <c r="IH12" i="1"/>
  <c r="IH30" i="1"/>
  <c r="IH74" i="1"/>
  <c r="IH32" i="1"/>
  <c r="IH31" i="1"/>
  <c r="IH76" i="1"/>
  <c r="IH13" i="1"/>
  <c r="IH55" i="1"/>
  <c r="IH18" i="1"/>
  <c r="IH59" i="1"/>
  <c r="IH75" i="1"/>
  <c r="IH26" i="1"/>
  <c r="IH36" i="1"/>
  <c r="IH38" i="1"/>
  <c r="IH56" i="1"/>
  <c r="IH24" i="1"/>
  <c r="IH41" i="1"/>
  <c r="IH49" i="1"/>
  <c r="IH46" i="1"/>
  <c r="IH28" i="1"/>
  <c r="IH50" i="1"/>
  <c r="IH42" i="1"/>
  <c r="IH22" i="1"/>
  <c r="IH25" i="1"/>
  <c r="HY15" i="1"/>
  <c r="IF15" i="1" s="1"/>
  <c r="HY43" i="1"/>
  <c r="IF43" i="1" s="1"/>
  <c r="HP14" i="1"/>
  <c r="HW14" i="1" s="1"/>
  <c r="HP11" i="1"/>
  <c r="HW11" i="1" s="1"/>
  <c r="NQ61" i="1"/>
  <c r="NS61" i="1" s="1"/>
  <c r="NQ60" i="1"/>
  <c r="NS60" i="1" s="1"/>
  <c r="NQ33" i="1"/>
  <c r="NS33" i="1" s="1"/>
  <c r="NT33" i="1"/>
  <c r="NT61" i="1"/>
  <c r="NT60" i="1"/>
  <c r="PA8" i="1"/>
  <c r="PB8" i="1" s="1"/>
  <c r="PH8" i="1"/>
  <c r="NE81" i="1"/>
  <c r="NQ37" i="1"/>
  <c r="NS37" i="1" s="1"/>
  <c r="NF81" i="1"/>
  <c r="NM71" i="1"/>
  <c r="ND81" i="1"/>
  <c r="MY82" i="1" s="1"/>
  <c r="NL71" i="1"/>
  <c r="NM39" i="1"/>
  <c r="NN39" i="1"/>
  <c r="NN71" i="1"/>
  <c r="NM78" i="1"/>
  <c r="NU37" i="1"/>
  <c r="NT37" i="1"/>
  <c r="NT32" i="1"/>
  <c r="NT73" i="1"/>
  <c r="NT18" i="1"/>
  <c r="NT11" i="1"/>
  <c r="NT13" i="1"/>
  <c r="NV40" i="1"/>
  <c r="NU35" i="1"/>
  <c r="OC1" i="1"/>
  <c r="NT77" i="1"/>
  <c r="NT40" i="1"/>
  <c r="NT52" i="1"/>
  <c r="NT44" i="1"/>
  <c r="NT41" i="1"/>
  <c r="NT27" i="1"/>
  <c r="NT69" i="1"/>
  <c r="NV69" i="1"/>
  <c r="NV44" i="1"/>
  <c r="NT50" i="1"/>
  <c r="NT28" i="1"/>
  <c r="NV42" i="1"/>
  <c r="NU75" i="1"/>
  <c r="NT68" i="1"/>
  <c r="NT20" i="1"/>
  <c r="NU67" i="1"/>
  <c r="NT24" i="1"/>
  <c r="NT25" i="1"/>
  <c r="NT57" i="1"/>
  <c r="NU38" i="1"/>
  <c r="NV38" i="1"/>
  <c r="NV36" i="1"/>
  <c r="NV28" i="1"/>
  <c r="NT79" i="1"/>
  <c r="NT80" i="1" s="1"/>
  <c r="NT75" i="1"/>
  <c r="NV52" i="1"/>
  <c r="NT59" i="1"/>
  <c r="NV53" i="1"/>
  <c r="NT17" i="1"/>
  <c r="NT23" i="1"/>
  <c r="NT29" i="1"/>
  <c r="NT55" i="1"/>
  <c r="NT31" i="1"/>
  <c r="NT46" i="1"/>
  <c r="NT76" i="1"/>
  <c r="NU74" i="1"/>
  <c r="NT47" i="1"/>
  <c r="NV29" i="1"/>
  <c r="NT22" i="1"/>
  <c r="NV46" i="1"/>
  <c r="NT67" i="1"/>
  <c r="NV70" i="1"/>
  <c r="NT56" i="1"/>
  <c r="NT70" i="1"/>
  <c r="NT58" i="1"/>
  <c r="NT51" i="1"/>
  <c r="NV17" i="1"/>
  <c r="NT12" i="1"/>
  <c r="NT49" i="1"/>
  <c r="NT54" i="1"/>
  <c r="NV57" i="1"/>
  <c r="NT43" i="1"/>
  <c r="NU69" i="1"/>
  <c r="NV55" i="1"/>
  <c r="NT16" i="1"/>
  <c r="NV15" i="1"/>
  <c r="NV10" i="1"/>
  <c r="NT38" i="1"/>
  <c r="NU36" i="1"/>
  <c r="NT48" i="1"/>
  <c r="NT42" i="1"/>
  <c r="NT30" i="1"/>
  <c r="NT21" i="1"/>
  <c r="NT15" i="1"/>
  <c r="NU68" i="1"/>
  <c r="NV26" i="1"/>
  <c r="NT10" i="1"/>
  <c r="NV18" i="1"/>
  <c r="NT35" i="1"/>
  <c r="NT19" i="1"/>
  <c r="NT74" i="1"/>
  <c r="NT72" i="1"/>
  <c r="NV13" i="1"/>
  <c r="NV67" i="1"/>
  <c r="NT36" i="1"/>
  <c r="NT26" i="1"/>
  <c r="NT53" i="1"/>
  <c r="NT14" i="1"/>
  <c r="NV45" i="1"/>
  <c r="NV12" i="1"/>
  <c r="NT45" i="1"/>
  <c r="NL78" i="1"/>
  <c r="NL39" i="1"/>
  <c r="LL8" i="1"/>
  <c r="LB8" i="1"/>
  <c r="LK8" i="1"/>
  <c r="LU8" i="1"/>
  <c r="LT8" i="1" s="1"/>
  <c r="DL80" i="1"/>
  <c r="DT71" i="1"/>
  <c r="EM10" i="1"/>
  <c r="LW5" i="1"/>
  <c r="ME1" i="1"/>
  <c r="LO8" i="1"/>
  <c r="LF8" i="1"/>
  <c r="IY67" i="1"/>
  <c r="JE67" i="1" s="1"/>
  <c r="DT77" i="1"/>
  <c r="EB77" i="1" s="1"/>
  <c r="EB78" i="1" s="1"/>
  <c r="EM72" i="1"/>
  <c r="NY63" i="1" l="1"/>
  <c r="OA63" i="1" s="1"/>
  <c r="NY62" i="1"/>
  <c r="OA62" i="1" s="1"/>
  <c r="NY34" i="1"/>
  <c r="OA34" i="1" s="1"/>
  <c r="NY66" i="1"/>
  <c r="OA66" i="1" s="1"/>
  <c r="OB34" i="1"/>
  <c r="OB66" i="1"/>
  <c r="OB64" i="1"/>
  <c r="OG64" i="1" s="1"/>
  <c r="OI64" i="1" s="1"/>
  <c r="OB63" i="1"/>
  <c r="OB62" i="1"/>
  <c r="OB65" i="1"/>
  <c r="OG65" i="1" s="1"/>
  <c r="OI65" i="1" s="1"/>
  <c r="IN51" i="1"/>
  <c r="IP51" i="1" s="1"/>
  <c r="IW51" i="1" s="1"/>
  <c r="IN28" i="1"/>
  <c r="IP28" i="1" s="1"/>
  <c r="IW28" i="1" s="1"/>
  <c r="IN69" i="1"/>
  <c r="IP69" i="1" s="1"/>
  <c r="IW69" i="1" s="1"/>
  <c r="IN41" i="1"/>
  <c r="IP41" i="1" s="1"/>
  <c r="IW41" i="1" s="1"/>
  <c r="IN73" i="1"/>
  <c r="IP73" i="1" s="1"/>
  <c r="IW73" i="1" s="1"/>
  <c r="IN58" i="1"/>
  <c r="IP58" i="1" s="1"/>
  <c r="IW58" i="1" s="1"/>
  <c r="IN26" i="1"/>
  <c r="IP26" i="1" s="1"/>
  <c r="IW26" i="1" s="1"/>
  <c r="IN48" i="1"/>
  <c r="IP48" i="1" s="1"/>
  <c r="IW48" i="1" s="1"/>
  <c r="IN19" i="1"/>
  <c r="IP19" i="1" s="1"/>
  <c r="IW19" i="1" s="1"/>
  <c r="IN30" i="1"/>
  <c r="IP30" i="1" s="1"/>
  <c r="IW30" i="1" s="1"/>
  <c r="IN22" i="1"/>
  <c r="IP22" i="1" s="1"/>
  <c r="IW22" i="1" s="1"/>
  <c r="IN75" i="1"/>
  <c r="IP75" i="1" s="1"/>
  <c r="IW75" i="1" s="1"/>
  <c r="IN29" i="1"/>
  <c r="IP29" i="1" s="1"/>
  <c r="IW29" i="1" s="1"/>
  <c r="IN17" i="1"/>
  <c r="IP17" i="1" s="1"/>
  <c r="IW17" i="1" s="1"/>
  <c r="IN21" i="1"/>
  <c r="IP21" i="1" s="1"/>
  <c r="IW21" i="1" s="1"/>
  <c r="IN42" i="1"/>
  <c r="IP42" i="1" s="1"/>
  <c r="IW42" i="1" s="1"/>
  <c r="IN59" i="1"/>
  <c r="IP59" i="1" s="1"/>
  <c r="IW59" i="1" s="1"/>
  <c r="IN68" i="1"/>
  <c r="IP68" i="1" s="1"/>
  <c r="IW68" i="1" s="1"/>
  <c r="IN27" i="1"/>
  <c r="IP27" i="1" s="1"/>
  <c r="IW27" i="1" s="1"/>
  <c r="IY27" i="1" s="1"/>
  <c r="IN20" i="1"/>
  <c r="IP20" i="1" s="1"/>
  <c r="IW20" i="1" s="1"/>
  <c r="IN50" i="1"/>
  <c r="IP50" i="1" s="1"/>
  <c r="IW50" i="1" s="1"/>
  <c r="IN18" i="1"/>
  <c r="IP18" i="1" s="1"/>
  <c r="IW18" i="1" s="1"/>
  <c r="IN54" i="1"/>
  <c r="IP54" i="1" s="1"/>
  <c r="IW54" i="1" s="1"/>
  <c r="IN25" i="1"/>
  <c r="IP25" i="1" s="1"/>
  <c r="IW25" i="1" s="1"/>
  <c r="IN55" i="1"/>
  <c r="IP55" i="1" s="1"/>
  <c r="IW55" i="1" s="1"/>
  <c r="IN45" i="1"/>
  <c r="IP45" i="1" s="1"/>
  <c r="IW45" i="1" s="1"/>
  <c r="IN57" i="1"/>
  <c r="IP57" i="1" s="1"/>
  <c r="IW57" i="1" s="1"/>
  <c r="IN52" i="1"/>
  <c r="IP52" i="1" s="1"/>
  <c r="IW52" i="1" s="1"/>
  <c r="IN46" i="1"/>
  <c r="IP46" i="1" s="1"/>
  <c r="IW46" i="1" s="1"/>
  <c r="IN13" i="1"/>
  <c r="IP13" i="1" s="1"/>
  <c r="IW13" i="1" s="1"/>
  <c r="IN32" i="1"/>
  <c r="IP32" i="1" s="1"/>
  <c r="IW32" i="1" s="1"/>
  <c r="IN49" i="1"/>
  <c r="IP49" i="1" s="1"/>
  <c r="IW49" i="1" s="1"/>
  <c r="IN76" i="1"/>
  <c r="IP76" i="1" s="1"/>
  <c r="IW76" i="1" s="1"/>
  <c r="IN44" i="1"/>
  <c r="IP44" i="1" s="1"/>
  <c r="IW44" i="1" s="1"/>
  <c r="IN31" i="1"/>
  <c r="IP31" i="1" s="1"/>
  <c r="IW31" i="1" s="1"/>
  <c r="IN16" i="1"/>
  <c r="IP16" i="1" s="1"/>
  <c r="IW16" i="1" s="1"/>
  <c r="IN70" i="1"/>
  <c r="IP70" i="1" s="1"/>
  <c r="IW70" i="1" s="1"/>
  <c r="IN24" i="1"/>
  <c r="IP24" i="1" s="1"/>
  <c r="IW24" i="1" s="1"/>
  <c r="IN47" i="1"/>
  <c r="IP47" i="1" s="1"/>
  <c r="IW47" i="1" s="1"/>
  <c r="IN56" i="1"/>
  <c r="IP56" i="1" s="1"/>
  <c r="IW56" i="1" s="1"/>
  <c r="IN74" i="1"/>
  <c r="IP74" i="1" s="1"/>
  <c r="IW74" i="1" s="1"/>
  <c r="IN23" i="1"/>
  <c r="IP23" i="1" s="1"/>
  <c r="IW23" i="1" s="1"/>
  <c r="IN12" i="1"/>
  <c r="IP12" i="1" s="1"/>
  <c r="IW12" i="1" s="1"/>
  <c r="IN38" i="1"/>
  <c r="IP38" i="1" s="1"/>
  <c r="IW38" i="1" s="1"/>
  <c r="IN53" i="1"/>
  <c r="IP53" i="1" s="1"/>
  <c r="IW53" i="1" s="1"/>
  <c r="IN36" i="1"/>
  <c r="IP36" i="1" s="1"/>
  <c r="IW36" i="1" s="1"/>
  <c r="IN35" i="1"/>
  <c r="IP35" i="1" s="1"/>
  <c r="IW35" i="1" s="1"/>
  <c r="IH43" i="1"/>
  <c r="IH15" i="1"/>
  <c r="HY11" i="1"/>
  <c r="IF11" i="1" s="1"/>
  <c r="HY14" i="1"/>
  <c r="IF14" i="1" s="1"/>
  <c r="NY60" i="1"/>
  <c r="OA60" i="1" s="1"/>
  <c r="NY61" i="1"/>
  <c r="OA61" i="1" s="1"/>
  <c r="NY33" i="1"/>
  <c r="OA33" i="1" s="1"/>
  <c r="ES72" i="1"/>
  <c r="ES10" i="1"/>
  <c r="ES39" i="1" s="1"/>
  <c r="NN81" i="1"/>
  <c r="NY37" i="1"/>
  <c r="OA37" i="1" s="1"/>
  <c r="PI8" i="1"/>
  <c r="PJ8" i="1" s="1"/>
  <c r="PP8" i="1"/>
  <c r="OB33" i="1"/>
  <c r="OB61" i="1"/>
  <c r="OB60" i="1"/>
  <c r="NL81" i="1"/>
  <c r="NG82" i="1" s="1"/>
  <c r="NM81" i="1"/>
  <c r="NU78" i="1"/>
  <c r="NT71" i="1"/>
  <c r="OC37" i="1"/>
  <c r="OB37" i="1"/>
  <c r="OB45" i="1"/>
  <c r="OB77" i="1"/>
  <c r="OB31" i="1"/>
  <c r="OB12" i="1"/>
  <c r="OB38" i="1"/>
  <c r="OD28" i="1"/>
  <c r="OB16" i="1"/>
  <c r="OB14" i="1"/>
  <c r="OC38" i="1"/>
  <c r="OB26" i="1"/>
  <c r="OD45" i="1"/>
  <c r="OB70" i="1"/>
  <c r="OB48" i="1"/>
  <c r="OB17" i="1"/>
  <c r="OD29" i="1"/>
  <c r="OB57" i="1"/>
  <c r="OB54" i="1"/>
  <c r="OD42" i="1"/>
  <c r="OD40" i="1"/>
  <c r="OB13" i="1"/>
  <c r="OD36" i="1"/>
  <c r="OD44" i="1"/>
  <c r="OD26" i="1"/>
  <c r="OB73" i="1"/>
  <c r="OB42" i="1"/>
  <c r="OC68" i="1"/>
  <c r="OB19" i="1"/>
  <c r="OB68" i="1"/>
  <c r="OB30" i="1"/>
  <c r="OB58" i="1"/>
  <c r="OB50" i="1"/>
  <c r="OB35" i="1"/>
  <c r="OB53" i="1"/>
  <c r="OB27" i="1"/>
  <c r="OC74" i="1"/>
  <c r="OC69" i="1"/>
  <c r="OB79" i="1"/>
  <c r="OB80" i="1" s="1"/>
  <c r="OB18" i="1"/>
  <c r="OD55" i="1"/>
  <c r="OD52" i="1"/>
  <c r="OD17" i="1"/>
  <c r="OB22" i="1"/>
  <c r="OB75" i="1"/>
  <c r="OD15" i="1"/>
  <c r="OB59" i="1"/>
  <c r="OC36" i="1"/>
  <c r="OB29" i="1"/>
  <c r="OD38" i="1"/>
  <c r="OC35" i="1"/>
  <c r="OB56" i="1"/>
  <c r="OD10" i="1"/>
  <c r="OD46" i="1"/>
  <c r="OB67" i="1"/>
  <c r="OD13" i="1"/>
  <c r="OC67" i="1"/>
  <c r="OB11" i="1"/>
  <c r="OB46" i="1"/>
  <c r="OB74" i="1"/>
  <c r="OB40" i="1"/>
  <c r="OB23" i="1"/>
  <c r="OB76" i="1"/>
  <c r="OB32" i="1"/>
  <c r="OB28" i="1"/>
  <c r="OD18" i="1"/>
  <c r="OB36" i="1"/>
  <c r="OB49" i="1"/>
  <c r="OB72" i="1"/>
  <c r="OD57" i="1"/>
  <c r="OB52" i="1"/>
  <c r="OB55" i="1"/>
  <c r="OD67" i="1"/>
  <c r="OD12" i="1"/>
  <c r="OB43" i="1"/>
  <c r="OB25" i="1"/>
  <c r="OB44" i="1"/>
  <c r="OB20" i="1"/>
  <c r="OC75" i="1"/>
  <c r="OB15" i="1"/>
  <c r="OD70" i="1"/>
  <c r="OB24" i="1"/>
  <c r="OB41" i="1"/>
  <c r="OD69" i="1"/>
  <c r="OB69" i="1"/>
  <c r="OB47" i="1"/>
  <c r="OB21" i="1"/>
  <c r="OB51" i="1"/>
  <c r="OD53" i="1"/>
  <c r="OK1" i="1"/>
  <c r="OB10" i="1"/>
  <c r="NU39" i="1"/>
  <c r="NU71" i="1"/>
  <c r="NV71" i="1"/>
  <c r="NT39" i="1"/>
  <c r="NT78" i="1"/>
  <c r="NV39" i="1"/>
  <c r="DL81" i="1"/>
  <c r="LS8" i="1"/>
  <c r="MC8" i="1"/>
  <c r="MB8" i="1" s="1"/>
  <c r="EM39" i="1"/>
  <c r="DT78" i="1"/>
  <c r="ME5" i="1"/>
  <c r="MM1" i="1"/>
  <c r="LW8" i="1"/>
  <c r="JG67" i="1"/>
  <c r="ED40" i="1"/>
  <c r="EK40" i="1" s="1"/>
  <c r="EK71" i="1" s="1"/>
  <c r="DT79" i="1"/>
  <c r="EB79" i="1" s="1"/>
  <c r="EB80" i="1" s="1"/>
  <c r="EB81" i="1" s="1"/>
  <c r="OG63" i="1" l="1"/>
  <c r="OI63" i="1" s="1"/>
  <c r="OG62" i="1"/>
  <c r="OI62" i="1" s="1"/>
  <c r="OG34" i="1"/>
  <c r="OI34" i="1" s="1"/>
  <c r="OG66" i="1"/>
  <c r="OI66" i="1" s="1"/>
  <c r="OJ65" i="1"/>
  <c r="OO65" i="1" s="1"/>
  <c r="OQ65" i="1" s="1"/>
  <c r="OJ34" i="1"/>
  <c r="OJ63" i="1"/>
  <c r="OJ66" i="1"/>
  <c r="OJ64" i="1"/>
  <c r="OO64" i="1" s="1"/>
  <c r="OQ64" i="1" s="1"/>
  <c r="OJ62" i="1"/>
  <c r="JN67" i="1"/>
  <c r="JP67" i="1" s="1"/>
  <c r="JV67" i="1" s="1"/>
  <c r="IY22" i="1"/>
  <c r="IY18" i="1"/>
  <c r="IY19" i="1"/>
  <c r="IY48" i="1"/>
  <c r="IY16" i="1"/>
  <c r="IY25" i="1"/>
  <c r="IY75" i="1"/>
  <c r="IY35" i="1"/>
  <c r="IY76" i="1"/>
  <c r="IY36" i="1"/>
  <c r="IY32" i="1"/>
  <c r="IY52" i="1"/>
  <c r="IY41" i="1"/>
  <c r="IY31" i="1"/>
  <c r="IY53" i="1"/>
  <c r="IY21" i="1"/>
  <c r="IY69" i="1"/>
  <c r="IY44" i="1"/>
  <c r="IY20" i="1"/>
  <c r="IY24" i="1"/>
  <c r="IY17" i="1"/>
  <c r="IY28" i="1"/>
  <c r="IY54" i="1"/>
  <c r="IY30" i="1"/>
  <c r="IY50" i="1"/>
  <c r="IY38" i="1"/>
  <c r="IY49" i="1"/>
  <c r="IY12" i="1"/>
  <c r="IY26" i="1"/>
  <c r="IY23" i="1"/>
  <c r="IY13" i="1"/>
  <c r="IY68" i="1"/>
  <c r="IY58" i="1"/>
  <c r="IY74" i="1"/>
  <c r="IY46" i="1"/>
  <c r="IY59" i="1"/>
  <c r="IY73" i="1"/>
  <c r="IY56" i="1"/>
  <c r="IY47" i="1"/>
  <c r="IY57" i="1"/>
  <c r="IY45" i="1"/>
  <c r="IY70" i="1"/>
  <c r="IY55" i="1"/>
  <c r="IY29" i="1"/>
  <c r="IY51" i="1"/>
  <c r="IN15" i="1"/>
  <c r="IP15" i="1" s="1"/>
  <c r="IW15" i="1" s="1"/>
  <c r="IN43" i="1"/>
  <c r="IP43" i="1" s="1"/>
  <c r="IW43" i="1" s="1"/>
  <c r="IH14" i="1"/>
  <c r="IH11" i="1"/>
  <c r="OG61" i="1"/>
  <c r="OI61" i="1" s="1"/>
  <c r="OG60" i="1"/>
  <c r="OI60" i="1" s="1"/>
  <c r="OG33" i="1"/>
  <c r="OI33" i="1" s="1"/>
  <c r="OJ60" i="1"/>
  <c r="OJ61" i="1"/>
  <c r="OJ33" i="1"/>
  <c r="PQ8" i="1"/>
  <c r="PR8" i="1" s="1"/>
  <c r="PX8" i="1"/>
  <c r="OC39" i="1"/>
  <c r="OG37" i="1"/>
  <c r="OI37" i="1" s="1"/>
  <c r="NU81" i="1"/>
  <c r="NT81" i="1"/>
  <c r="NO82" i="1" s="1"/>
  <c r="OK37" i="1"/>
  <c r="OJ37" i="1"/>
  <c r="OJ10" i="1"/>
  <c r="OJ53" i="1"/>
  <c r="OL12" i="1"/>
  <c r="OL36" i="1"/>
  <c r="OL44" i="1"/>
  <c r="OJ30" i="1"/>
  <c r="OK38" i="1"/>
  <c r="OJ73" i="1"/>
  <c r="OJ55" i="1"/>
  <c r="OJ22" i="1"/>
  <c r="OJ35" i="1"/>
  <c r="OK69" i="1"/>
  <c r="OJ26" i="1"/>
  <c r="OL18" i="1"/>
  <c r="OL29" i="1"/>
  <c r="OL55" i="1"/>
  <c r="OK67" i="1"/>
  <c r="OL13" i="1"/>
  <c r="OJ36" i="1"/>
  <c r="OL17" i="1"/>
  <c r="OJ69" i="1"/>
  <c r="OJ56" i="1"/>
  <c r="OS1" i="1"/>
  <c r="OL46" i="1"/>
  <c r="OJ28" i="1"/>
  <c r="OJ45" i="1"/>
  <c r="OL57" i="1"/>
  <c r="OL26" i="1"/>
  <c r="OK75" i="1"/>
  <c r="OJ13" i="1"/>
  <c r="OJ38" i="1"/>
  <c r="OL38" i="1"/>
  <c r="OJ67" i="1"/>
  <c r="OJ43" i="1"/>
  <c r="OJ44" i="1"/>
  <c r="OJ18" i="1"/>
  <c r="OJ24" i="1"/>
  <c r="OK36" i="1"/>
  <c r="OJ14" i="1"/>
  <c r="OJ21" i="1"/>
  <c r="OJ70" i="1"/>
  <c r="OJ57" i="1"/>
  <c r="OL67" i="1"/>
  <c r="OJ11" i="1"/>
  <c r="OJ47" i="1"/>
  <c r="OL10" i="1"/>
  <c r="OJ72" i="1"/>
  <c r="OJ40" i="1"/>
  <c r="OJ77" i="1"/>
  <c r="OJ15" i="1"/>
  <c r="OJ52" i="1"/>
  <c r="OJ48" i="1"/>
  <c r="OJ51" i="1"/>
  <c r="OJ54" i="1"/>
  <c r="OJ42" i="1"/>
  <c r="OL42" i="1"/>
  <c r="OJ49" i="1"/>
  <c r="OJ32" i="1"/>
  <c r="OL28" i="1"/>
  <c r="OJ27" i="1"/>
  <c r="OL15" i="1"/>
  <c r="OL52" i="1"/>
  <c r="OJ79" i="1"/>
  <c r="OJ80" i="1" s="1"/>
  <c r="OJ76" i="1"/>
  <c r="OK68" i="1"/>
  <c r="OJ58" i="1"/>
  <c r="OJ31" i="1"/>
  <c r="OL53" i="1"/>
  <c r="OJ16" i="1"/>
  <c r="OK74" i="1"/>
  <c r="OJ74" i="1"/>
  <c r="OJ29" i="1"/>
  <c r="OJ12" i="1"/>
  <c r="OJ20" i="1"/>
  <c r="OJ75" i="1"/>
  <c r="OJ41" i="1"/>
  <c r="OJ59" i="1"/>
  <c r="OJ50" i="1"/>
  <c r="OJ17" i="1"/>
  <c r="OL70" i="1"/>
  <c r="OL45" i="1"/>
  <c r="OL40" i="1"/>
  <c r="OJ25" i="1"/>
  <c r="OJ19" i="1"/>
  <c r="OJ68" i="1"/>
  <c r="OL69" i="1"/>
  <c r="OK35" i="1"/>
  <c r="OJ23" i="1"/>
  <c r="OJ46" i="1"/>
  <c r="OD39" i="1"/>
  <c r="OB71" i="1"/>
  <c r="OC78" i="1"/>
  <c r="OB39" i="1"/>
  <c r="NV81" i="1"/>
  <c r="OB78" i="1"/>
  <c r="OC71" i="1"/>
  <c r="OD71" i="1"/>
  <c r="MM5" i="1"/>
  <c r="MM8" i="1" s="1"/>
  <c r="MU1" i="1"/>
  <c r="MK8" i="1"/>
  <c r="MJ8" i="1" s="1"/>
  <c r="MA8" i="1"/>
  <c r="DT80" i="1"/>
  <c r="ED71" i="1"/>
  <c r="EU10" i="1"/>
  <c r="FA10" i="1" s="1"/>
  <c r="FA39" i="1" s="1"/>
  <c r="ME8" i="1"/>
  <c r="ED77" i="1"/>
  <c r="EK77" i="1" s="1"/>
  <c r="EK78" i="1" s="1"/>
  <c r="EU72" i="1"/>
  <c r="FA72" i="1" s="1"/>
  <c r="OO63" i="1" l="1"/>
  <c r="OQ63" i="1" s="1"/>
  <c r="OO62" i="1"/>
  <c r="OQ62" i="1" s="1"/>
  <c r="OO34" i="1"/>
  <c r="OQ34" i="1" s="1"/>
  <c r="OO66" i="1"/>
  <c r="OQ66" i="1" s="1"/>
  <c r="OR64" i="1"/>
  <c r="OW64" i="1" s="1"/>
  <c r="OY64" i="1" s="1"/>
  <c r="OR34" i="1"/>
  <c r="OR66" i="1"/>
  <c r="OR62" i="1"/>
  <c r="OR63" i="1"/>
  <c r="OR65" i="1"/>
  <c r="OW65" i="1" s="1"/>
  <c r="OY65" i="1" s="1"/>
  <c r="JE28" i="1"/>
  <c r="JG28" i="1" s="1"/>
  <c r="JE51" i="1"/>
  <c r="JG51" i="1" s="1"/>
  <c r="JE58" i="1"/>
  <c r="JG58" i="1" s="1"/>
  <c r="JE76" i="1"/>
  <c r="JG76" i="1" s="1"/>
  <c r="JE24" i="1"/>
  <c r="JG24" i="1" s="1"/>
  <c r="JE55" i="1"/>
  <c r="JG55" i="1" s="1"/>
  <c r="JE13" i="1"/>
  <c r="JG13" i="1" s="1"/>
  <c r="JE75" i="1"/>
  <c r="JG75" i="1" s="1"/>
  <c r="JE70" i="1"/>
  <c r="JG70" i="1" s="1"/>
  <c r="JE23" i="1"/>
  <c r="JG23" i="1" s="1"/>
  <c r="JE25" i="1"/>
  <c r="JG25" i="1" s="1"/>
  <c r="JE45" i="1"/>
  <c r="JG45" i="1" s="1"/>
  <c r="JE26" i="1"/>
  <c r="JG26" i="1" s="1"/>
  <c r="JE16" i="1"/>
  <c r="JG16" i="1" s="1"/>
  <c r="JE21" i="1"/>
  <c r="JG21" i="1" s="1"/>
  <c r="JE47" i="1"/>
  <c r="JG47" i="1" s="1"/>
  <c r="JE49" i="1"/>
  <c r="JG49" i="1" s="1"/>
  <c r="JE48" i="1"/>
  <c r="JG48" i="1" s="1"/>
  <c r="JE31" i="1"/>
  <c r="JG31" i="1" s="1"/>
  <c r="JE46" i="1"/>
  <c r="JG46" i="1" s="1"/>
  <c r="JE54" i="1"/>
  <c r="JG54" i="1" s="1"/>
  <c r="JE32" i="1"/>
  <c r="JG32" i="1" s="1"/>
  <c r="JE74" i="1"/>
  <c r="JG74" i="1" s="1"/>
  <c r="JE36" i="1"/>
  <c r="JG36" i="1" s="1"/>
  <c r="JE17" i="1"/>
  <c r="JG17" i="1" s="1"/>
  <c r="JE29" i="1"/>
  <c r="JG29" i="1" s="1"/>
  <c r="JE68" i="1"/>
  <c r="JG68" i="1" s="1"/>
  <c r="JE35" i="1"/>
  <c r="JG35" i="1" s="1"/>
  <c r="JE20" i="1"/>
  <c r="JG20" i="1" s="1"/>
  <c r="JE44" i="1"/>
  <c r="JG44" i="1" s="1"/>
  <c r="JE69" i="1"/>
  <c r="JG69" i="1" s="1"/>
  <c r="JE57" i="1"/>
  <c r="JG57" i="1" s="1"/>
  <c r="JE12" i="1"/>
  <c r="JG12" i="1" s="1"/>
  <c r="JE27" i="1"/>
  <c r="JG27" i="1" s="1"/>
  <c r="JE53" i="1"/>
  <c r="JG53" i="1" s="1"/>
  <c r="JE56" i="1"/>
  <c r="JG56" i="1" s="1"/>
  <c r="JE38" i="1"/>
  <c r="JG38" i="1" s="1"/>
  <c r="JE19" i="1"/>
  <c r="JG19" i="1" s="1"/>
  <c r="JE73" i="1"/>
  <c r="JG73" i="1" s="1"/>
  <c r="JE50" i="1"/>
  <c r="JG50" i="1" s="1"/>
  <c r="JE41" i="1"/>
  <c r="JG41" i="1" s="1"/>
  <c r="JE18" i="1"/>
  <c r="JG18" i="1" s="1"/>
  <c r="JE59" i="1"/>
  <c r="JG59" i="1" s="1"/>
  <c r="JE30" i="1"/>
  <c r="JG30" i="1" s="1"/>
  <c r="JE52" i="1"/>
  <c r="JG52" i="1" s="1"/>
  <c r="JE22" i="1"/>
  <c r="JG22" i="1" s="1"/>
  <c r="IY43" i="1"/>
  <c r="IY42" i="1"/>
  <c r="IY15" i="1"/>
  <c r="IN11" i="1"/>
  <c r="IP11" i="1" s="1"/>
  <c r="IW11" i="1" s="1"/>
  <c r="IN14" i="1"/>
  <c r="IP14" i="1" s="1"/>
  <c r="IW14" i="1" s="1"/>
  <c r="OO61" i="1"/>
  <c r="OQ61" i="1" s="1"/>
  <c r="OO60" i="1"/>
  <c r="OQ60" i="1" s="1"/>
  <c r="OO33" i="1"/>
  <c r="OQ33" i="1" s="1"/>
  <c r="PA1" i="1"/>
  <c r="OR61" i="1"/>
  <c r="OR60" i="1"/>
  <c r="OR33" i="1"/>
  <c r="QF8" i="1"/>
  <c r="PY8" i="1"/>
  <c r="PZ8" i="1" s="1"/>
  <c r="OC81" i="1"/>
  <c r="OO37" i="1"/>
  <c r="OQ37" i="1" s="1"/>
  <c r="OB81" i="1"/>
  <c r="NW82" i="1" s="1"/>
  <c r="OK39" i="1"/>
  <c r="OJ39" i="1"/>
  <c r="OK71" i="1"/>
  <c r="OJ71" i="1"/>
  <c r="OJ78" i="1"/>
  <c r="OS37" i="1"/>
  <c r="OR37" i="1"/>
  <c r="OS38" i="1"/>
  <c r="OR17" i="1"/>
  <c r="OR24" i="1"/>
  <c r="OT52" i="1"/>
  <c r="OT44" i="1"/>
  <c r="OS74" i="1"/>
  <c r="OR32" i="1"/>
  <c r="OR20" i="1"/>
  <c r="OR56" i="1"/>
  <c r="OR58" i="1"/>
  <c r="OR27" i="1"/>
  <c r="OR21" i="1"/>
  <c r="OT45" i="1"/>
  <c r="OR43" i="1"/>
  <c r="OS35" i="1"/>
  <c r="OT12" i="1"/>
  <c r="OR19" i="1"/>
  <c r="OR74" i="1"/>
  <c r="OR79" i="1"/>
  <c r="OR80" i="1" s="1"/>
  <c r="OR77" i="1"/>
  <c r="OR13" i="1"/>
  <c r="OT18" i="1"/>
  <c r="OR31" i="1"/>
  <c r="OT29" i="1"/>
  <c r="OR41" i="1"/>
  <c r="OT55" i="1"/>
  <c r="OR38" i="1"/>
  <c r="OR16" i="1"/>
  <c r="OR10" i="1"/>
  <c r="OR22" i="1"/>
  <c r="OR53" i="1"/>
  <c r="OT10" i="1"/>
  <c r="OR76" i="1"/>
  <c r="OR75" i="1"/>
  <c r="OR50" i="1"/>
  <c r="OS69" i="1"/>
  <c r="OS67" i="1"/>
  <c r="OT17" i="1"/>
  <c r="OT15" i="1"/>
  <c r="OR15" i="1"/>
  <c r="OR11" i="1"/>
  <c r="OT69" i="1"/>
  <c r="OR51" i="1"/>
  <c r="OR49" i="1"/>
  <c r="OR23" i="1"/>
  <c r="OR45" i="1"/>
  <c r="OT26" i="1"/>
  <c r="OT42" i="1"/>
  <c r="OR72" i="1"/>
  <c r="OR36" i="1"/>
  <c r="OR40" i="1"/>
  <c r="OR52" i="1"/>
  <c r="OR46" i="1"/>
  <c r="OR18" i="1"/>
  <c r="OR57" i="1"/>
  <c r="OT67" i="1"/>
  <c r="OR28" i="1"/>
  <c r="OR26" i="1"/>
  <c r="OR47" i="1"/>
  <c r="OS36" i="1"/>
  <c r="OT38" i="1"/>
  <c r="OT36" i="1"/>
  <c r="OT53" i="1"/>
  <c r="OR48" i="1"/>
  <c r="OS68" i="1"/>
  <c r="OS75" i="1"/>
  <c r="OR70" i="1"/>
  <c r="OT28" i="1"/>
  <c r="OR30" i="1"/>
  <c r="OR73" i="1"/>
  <c r="OR12" i="1"/>
  <c r="OT46" i="1"/>
  <c r="OR42" i="1"/>
  <c r="OT13" i="1"/>
  <c r="OT40" i="1"/>
  <c r="OT70" i="1"/>
  <c r="OR55" i="1"/>
  <c r="OR67" i="1"/>
  <c r="OR35" i="1"/>
  <c r="OR14" i="1"/>
  <c r="OT57" i="1"/>
  <c r="OR68" i="1"/>
  <c r="OR69" i="1"/>
  <c r="OR44" i="1"/>
  <c r="OR25" i="1"/>
  <c r="OR29" i="1"/>
  <c r="OR59" i="1"/>
  <c r="OR54" i="1"/>
  <c r="OD81" i="1"/>
  <c r="OL71" i="1"/>
  <c r="OK78" i="1"/>
  <c r="OL39" i="1"/>
  <c r="DT81" i="1"/>
  <c r="MU5" i="1"/>
  <c r="NC1" i="1"/>
  <c r="MI8" i="1"/>
  <c r="MS8" i="1"/>
  <c r="MR8" i="1" s="1"/>
  <c r="EU39" i="1"/>
  <c r="ED78" i="1"/>
  <c r="JX67" i="1"/>
  <c r="KD67" i="1" s="1"/>
  <c r="EM40" i="1"/>
  <c r="ED79" i="1"/>
  <c r="EK79" i="1" s="1"/>
  <c r="EK80" i="1" s="1"/>
  <c r="EK81" i="1" s="1"/>
  <c r="OW63" i="1" l="1"/>
  <c r="OY63" i="1" s="1"/>
  <c r="OW66" i="1"/>
  <c r="OY66" i="1" s="1"/>
  <c r="OW62" i="1"/>
  <c r="OY62" i="1" s="1"/>
  <c r="OW34" i="1"/>
  <c r="OY34" i="1" s="1"/>
  <c r="OZ34" i="1"/>
  <c r="OZ65" i="1"/>
  <c r="PE65" i="1" s="1"/>
  <c r="PG65" i="1" s="1"/>
  <c r="OZ62" i="1"/>
  <c r="OZ63" i="1"/>
  <c r="OZ66" i="1"/>
  <c r="OZ64" i="1"/>
  <c r="PE64" i="1" s="1"/>
  <c r="PG64" i="1" s="1"/>
  <c r="JN56" i="1"/>
  <c r="JP56" i="1" s="1"/>
  <c r="JN45" i="1"/>
  <c r="JP45" i="1" s="1"/>
  <c r="JN36" i="1"/>
  <c r="JP36" i="1" s="1"/>
  <c r="JN22" i="1"/>
  <c r="JP22" i="1" s="1"/>
  <c r="JN53" i="1"/>
  <c r="JP53" i="1" s="1"/>
  <c r="JN74" i="1"/>
  <c r="JP74" i="1" s="1"/>
  <c r="JN25" i="1"/>
  <c r="JP25" i="1" s="1"/>
  <c r="JN52" i="1"/>
  <c r="JP52" i="1" s="1"/>
  <c r="JN27" i="1"/>
  <c r="JP27" i="1" s="1"/>
  <c r="JN32" i="1"/>
  <c r="JP32" i="1" s="1"/>
  <c r="JN23" i="1"/>
  <c r="JP23" i="1" s="1"/>
  <c r="JN30" i="1"/>
  <c r="JP30" i="1" s="1"/>
  <c r="JN12" i="1"/>
  <c r="JP12" i="1" s="1"/>
  <c r="JN54" i="1"/>
  <c r="JP54" i="1" s="1"/>
  <c r="JN70" i="1"/>
  <c r="JP70" i="1" s="1"/>
  <c r="JN59" i="1"/>
  <c r="JP59" i="1" s="1"/>
  <c r="JN57" i="1"/>
  <c r="JP57" i="1" s="1"/>
  <c r="JN46" i="1"/>
  <c r="JP46" i="1" s="1"/>
  <c r="JN75" i="1"/>
  <c r="JP75" i="1" s="1"/>
  <c r="JN18" i="1"/>
  <c r="JP18" i="1" s="1"/>
  <c r="JN69" i="1"/>
  <c r="JP69" i="1" s="1"/>
  <c r="JN31" i="1"/>
  <c r="JP31" i="1" s="1"/>
  <c r="JN13" i="1"/>
  <c r="JP13" i="1" s="1"/>
  <c r="JN41" i="1"/>
  <c r="JP41" i="1" s="1"/>
  <c r="JN44" i="1"/>
  <c r="JP44" i="1" s="1"/>
  <c r="JN48" i="1"/>
  <c r="JP48" i="1" s="1"/>
  <c r="JN55" i="1"/>
  <c r="JP55" i="1" s="1"/>
  <c r="JN50" i="1"/>
  <c r="JP50" i="1" s="1"/>
  <c r="JN20" i="1"/>
  <c r="JP20" i="1" s="1"/>
  <c r="JN49" i="1"/>
  <c r="JP49" i="1" s="1"/>
  <c r="JN24" i="1"/>
  <c r="JP24" i="1" s="1"/>
  <c r="JN73" i="1"/>
  <c r="JP73" i="1" s="1"/>
  <c r="JN35" i="1"/>
  <c r="JP35" i="1" s="1"/>
  <c r="JN47" i="1"/>
  <c r="JP47" i="1" s="1"/>
  <c r="JN76" i="1"/>
  <c r="JP76" i="1" s="1"/>
  <c r="JN19" i="1"/>
  <c r="JP19" i="1" s="1"/>
  <c r="JN68" i="1"/>
  <c r="JP68" i="1" s="1"/>
  <c r="JN21" i="1"/>
  <c r="JP21" i="1" s="1"/>
  <c r="JN58" i="1"/>
  <c r="JP58" i="1" s="1"/>
  <c r="JN38" i="1"/>
  <c r="JP38" i="1" s="1"/>
  <c r="JN29" i="1"/>
  <c r="JP29" i="1" s="1"/>
  <c r="JN16" i="1"/>
  <c r="JP16" i="1" s="1"/>
  <c r="JN51" i="1"/>
  <c r="JP51" i="1" s="1"/>
  <c r="JN17" i="1"/>
  <c r="JP17" i="1" s="1"/>
  <c r="JN26" i="1"/>
  <c r="JP26" i="1" s="1"/>
  <c r="JN28" i="1"/>
  <c r="JP28" i="1" s="1"/>
  <c r="JE15" i="1"/>
  <c r="JG15" i="1" s="1"/>
  <c r="JE42" i="1"/>
  <c r="JG42" i="1" s="1"/>
  <c r="JE43" i="1"/>
  <c r="JG43" i="1" s="1"/>
  <c r="IY11" i="1"/>
  <c r="IY14" i="1"/>
  <c r="QG8" i="1"/>
  <c r="QH8" i="1" s="1"/>
  <c r="QN8" i="1"/>
  <c r="OW61" i="1"/>
  <c r="OY61" i="1" s="1"/>
  <c r="OW60" i="1"/>
  <c r="OY60" i="1" s="1"/>
  <c r="OW33" i="1"/>
  <c r="OY33" i="1" s="1"/>
  <c r="ES40" i="1"/>
  <c r="ES71" i="1" s="1"/>
  <c r="OS71" i="1"/>
  <c r="OZ69" i="1"/>
  <c r="OZ57" i="1"/>
  <c r="PA36" i="1"/>
  <c r="OZ16" i="1"/>
  <c r="OZ36" i="1"/>
  <c r="OZ30" i="1"/>
  <c r="PB55" i="1"/>
  <c r="OZ51" i="1"/>
  <c r="OZ46" i="1"/>
  <c r="PB40" i="1"/>
  <c r="PB28" i="1"/>
  <c r="OZ24" i="1"/>
  <c r="OZ70" i="1"/>
  <c r="OZ60" i="1"/>
  <c r="PB45" i="1"/>
  <c r="OZ19" i="1"/>
  <c r="OZ14" i="1"/>
  <c r="OZ76" i="1"/>
  <c r="PB70" i="1"/>
  <c r="OZ41" i="1"/>
  <c r="PA67" i="1"/>
  <c r="OZ26" i="1"/>
  <c r="OZ21" i="1"/>
  <c r="OZ45" i="1"/>
  <c r="PB13" i="1"/>
  <c r="PI1" i="1"/>
  <c r="OZ55" i="1"/>
  <c r="PB36" i="1"/>
  <c r="OZ43" i="1"/>
  <c r="PB69" i="1"/>
  <c r="PB53" i="1"/>
  <c r="OZ28" i="1"/>
  <c r="OZ17" i="1"/>
  <c r="OZ79" i="1"/>
  <c r="OZ80" i="1" s="1"/>
  <c r="OZ58" i="1"/>
  <c r="PB26" i="1"/>
  <c r="OZ67" i="1"/>
  <c r="PB38" i="1"/>
  <c r="PA38" i="1"/>
  <c r="OZ31" i="1"/>
  <c r="OZ72" i="1"/>
  <c r="OZ77" i="1"/>
  <c r="OZ50" i="1"/>
  <c r="OZ37" i="1"/>
  <c r="PB18" i="1"/>
  <c r="OZ12" i="1"/>
  <c r="OZ23" i="1"/>
  <c r="OZ18" i="1"/>
  <c r="PA69" i="1"/>
  <c r="PA74" i="1"/>
  <c r="OZ53" i="1"/>
  <c r="OZ11" i="1"/>
  <c r="OZ74" i="1"/>
  <c r="OZ33" i="1"/>
  <c r="PB52" i="1"/>
  <c r="OZ48" i="1"/>
  <c r="OZ68" i="1"/>
  <c r="PB67" i="1"/>
  <c r="PB57" i="1"/>
  <c r="PA37" i="1"/>
  <c r="PA75" i="1"/>
  <c r="OZ32" i="1"/>
  <c r="OZ22" i="1"/>
  <c r="OZ73" i="1"/>
  <c r="OZ61" i="1"/>
  <c r="OZ44" i="1"/>
  <c r="OZ15" i="1"/>
  <c r="OZ47" i="1"/>
  <c r="OZ56" i="1"/>
  <c r="OZ13" i="1"/>
  <c r="PA68" i="1"/>
  <c r="PA35" i="1"/>
  <c r="OZ10" i="1"/>
  <c r="OZ38" i="1"/>
  <c r="PB44" i="1"/>
  <c r="OZ54" i="1"/>
  <c r="OZ35" i="1"/>
  <c r="OZ49" i="1"/>
  <c r="OZ29" i="1"/>
  <c r="PB46" i="1"/>
  <c r="PB17" i="1"/>
  <c r="OZ59" i="1"/>
  <c r="OZ27" i="1"/>
  <c r="PB29" i="1"/>
  <c r="PB15" i="1"/>
  <c r="OZ75" i="1"/>
  <c r="OZ25" i="1"/>
  <c r="OZ42" i="1"/>
  <c r="PB12" i="1"/>
  <c r="OZ40" i="1"/>
  <c r="PB42" i="1"/>
  <c r="OZ52" i="1"/>
  <c r="PB10" i="1"/>
  <c r="OZ20" i="1"/>
  <c r="OW37" i="1"/>
  <c r="OY37" i="1" s="1"/>
  <c r="OR78" i="1"/>
  <c r="OJ81" i="1"/>
  <c r="OE82" i="1" s="1"/>
  <c r="OT71" i="1"/>
  <c r="OR71" i="1"/>
  <c r="OS39" i="1"/>
  <c r="OK81" i="1"/>
  <c r="OT39" i="1"/>
  <c r="OS78" i="1"/>
  <c r="OL81" i="1"/>
  <c r="OR39" i="1"/>
  <c r="FC10" i="1"/>
  <c r="NC5" i="1"/>
  <c r="NK1" i="1"/>
  <c r="MU8" i="1"/>
  <c r="NA8" i="1"/>
  <c r="MZ8" i="1" s="1"/>
  <c r="MQ8" i="1"/>
  <c r="ED80" i="1"/>
  <c r="EM71" i="1"/>
  <c r="KF67" i="1"/>
  <c r="KM67" i="1" s="1"/>
  <c r="EM77" i="1"/>
  <c r="FC72" i="1"/>
  <c r="FI72" i="1" s="1"/>
  <c r="PE63" i="1" l="1"/>
  <c r="PG63" i="1" s="1"/>
  <c r="PE66" i="1"/>
  <c r="PG66" i="1" s="1"/>
  <c r="PE62" i="1"/>
  <c r="PG62" i="1" s="1"/>
  <c r="PE34" i="1"/>
  <c r="PG34" i="1" s="1"/>
  <c r="PH34" i="1"/>
  <c r="PH66" i="1"/>
  <c r="PH64" i="1"/>
  <c r="PM64" i="1" s="1"/>
  <c r="PO64" i="1" s="1"/>
  <c r="PH65" i="1"/>
  <c r="PM65" i="1" s="1"/>
  <c r="PO65" i="1" s="1"/>
  <c r="PH62" i="1"/>
  <c r="PH63" i="1"/>
  <c r="JN43" i="1"/>
  <c r="JP43" i="1" s="1"/>
  <c r="JN42" i="1"/>
  <c r="JP42" i="1" s="1"/>
  <c r="JN15" i="1"/>
  <c r="JP15" i="1" s="1"/>
  <c r="JV59" i="1"/>
  <c r="JX59" i="1" s="1"/>
  <c r="KD59" i="1" s="1"/>
  <c r="JV68" i="1"/>
  <c r="JX68" i="1" s="1"/>
  <c r="KD68" i="1" s="1"/>
  <c r="JV28" i="1"/>
  <c r="JX28" i="1" s="1"/>
  <c r="KD28" i="1" s="1"/>
  <c r="JV23" i="1"/>
  <c r="JX23" i="1" s="1"/>
  <c r="KD23" i="1" s="1"/>
  <c r="JV41" i="1"/>
  <c r="JV29" i="1"/>
  <c r="JX29" i="1" s="1"/>
  <c r="KD29" i="1" s="1"/>
  <c r="JV35" i="1"/>
  <c r="JX35" i="1" s="1"/>
  <c r="KD35" i="1" s="1"/>
  <c r="JV69" i="1"/>
  <c r="JX69" i="1" s="1"/>
  <c r="KD69" i="1" s="1"/>
  <c r="JV25" i="1"/>
  <c r="JX25" i="1" s="1"/>
  <c r="KD25" i="1" s="1"/>
  <c r="JV50" i="1"/>
  <c r="JX50" i="1" s="1"/>
  <c r="KD50" i="1" s="1"/>
  <c r="JV54" i="1"/>
  <c r="JX54" i="1" s="1"/>
  <c r="KD54" i="1" s="1"/>
  <c r="JV22" i="1"/>
  <c r="JV19" i="1"/>
  <c r="JX19" i="1" s="1"/>
  <c r="KD19" i="1" s="1"/>
  <c r="JV55" i="1"/>
  <c r="JX55" i="1" s="1"/>
  <c r="KD55" i="1" s="1"/>
  <c r="JV44" i="1"/>
  <c r="JX44" i="1" s="1"/>
  <c r="KD44" i="1" s="1"/>
  <c r="JV46" i="1"/>
  <c r="JX46" i="1" s="1"/>
  <c r="KD46" i="1" s="1"/>
  <c r="JV36" i="1"/>
  <c r="JX36" i="1" s="1"/>
  <c r="KD36" i="1" s="1"/>
  <c r="JV21" i="1"/>
  <c r="JX21" i="1" s="1"/>
  <c r="KD21" i="1" s="1"/>
  <c r="JV70" i="1"/>
  <c r="JX70" i="1" s="1"/>
  <c r="KD70" i="1" s="1"/>
  <c r="JV48" i="1"/>
  <c r="JX48" i="1" s="1"/>
  <c r="KD48" i="1" s="1"/>
  <c r="JV26" i="1"/>
  <c r="JX26" i="1" s="1"/>
  <c r="KD26" i="1" s="1"/>
  <c r="JV12" i="1"/>
  <c r="JX12" i="1" s="1"/>
  <c r="KD12" i="1" s="1"/>
  <c r="JV17" i="1"/>
  <c r="JX17" i="1" s="1"/>
  <c r="KD17" i="1" s="1"/>
  <c r="JV74" i="1"/>
  <c r="JX74" i="1" s="1"/>
  <c r="KD74" i="1" s="1"/>
  <c r="JV30" i="1"/>
  <c r="JX30" i="1" s="1"/>
  <c r="KD30" i="1" s="1"/>
  <c r="JV51" i="1"/>
  <c r="JX51" i="1" s="1"/>
  <c r="KD51" i="1" s="1"/>
  <c r="JV76" i="1"/>
  <c r="JX76" i="1" s="1"/>
  <c r="KD76" i="1" s="1"/>
  <c r="JV13" i="1"/>
  <c r="JX13" i="1" s="1"/>
  <c r="KD13" i="1" s="1"/>
  <c r="JV32" i="1"/>
  <c r="JX32" i="1" s="1"/>
  <c r="KD32" i="1" s="1"/>
  <c r="JV16" i="1"/>
  <c r="JX16" i="1" s="1"/>
  <c r="KD16" i="1" s="1"/>
  <c r="JV47" i="1"/>
  <c r="JX47" i="1" s="1"/>
  <c r="KD47" i="1" s="1"/>
  <c r="JV31" i="1"/>
  <c r="JX31" i="1" s="1"/>
  <c r="KD31" i="1" s="1"/>
  <c r="JV27" i="1"/>
  <c r="JX27" i="1" s="1"/>
  <c r="KD27" i="1" s="1"/>
  <c r="JV38" i="1"/>
  <c r="JX38" i="1" s="1"/>
  <c r="KD38" i="1" s="1"/>
  <c r="JV73" i="1"/>
  <c r="JX73" i="1" s="1"/>
  <c r="KD73" i="1" s="1"/>
  <c r="JV18" i="1"/>
  <c r="JX18" i="1" s="1"/>
  <c r="KD18" i="1" s="1"/>
  <c r="JV52" i="1"/>
  <c r="JX52" i="1" s="1"/>
  <c r="KD52" i="1" s="1"/>
  <c r="JV24" i="1"/>
  <c r="JX24" i="1" s="1"/>
  <c r="KD24" i="1" s="1"/>
  <c r="JV75" i="1"/>
  <c r="JX75" i="1" s="1"/>
  <c r="KD75" i="1" s="1"/>
  <c r="JV45" i="1"/>
  <c r="JX45" i="1" s="1"/>
  <c r="KD45" i="1" s="1"/>
  <c r="JV53" i="1"/>
  <c r="JX53" i="1" s="1"/>
  <c r="KD53" i="1" s="1"/>
  <c r="JV49" i="1"/>
  <c r="JX49" i="1" s="1"/>
  <c r="KD49" i="1" s="1"/>
  <c r="JV58" i="1"/>
  <c r="JX58" i="1" s="1"/>
  <c r="KD58" i="1" s="1"/>
  <c r="JV20" i="1"/>
  <c r="JX20" i="1" s="1"/>
  <c r="KD20" i="1" s="1"/>
  <c r="JV57" i="1"/>
  <c r="JX57" i="1" s="1"/>
  <c r="KD57" i="1" s="1"/>
  <c r="JV56" i="1"/>
  <c r="JX56" i="1" s="1"/>
  <c r="KD56" i="1" s="1"/>
  <c r="JE14" i="1"/>
  <c r="JG14" i="1" s="1"/>
  <c r="JE11" i="1"/>
  <c r="JG11" i="1" s="1"/>
  <c r="QV8" i="1"/>
  <c r="QO8" i="1"/>
  <c r="QP8" i="1" s="1"/>
  <c r="PE61" i="1"/>
  <c r="PG61" i="1" s="1"/>
  <c r="PE60" i="1"/>
  <c r="PG60" i="1" s="1"/>
  <c r="PE33" i="1"/>
  <c r="PG33" i="1" s="1"/>
  <c r="OT81" i="1"/>
  <c r="ES77" i="1"/>
  <c r="ES78" i="1" s="1"/>
  <c r="PH59" i="1"/>
  <c r="PJ70" i="1"/>
  <c r="PH57" i="1"/>
  <c r="PJ52" i="1"/>
  <c r="PH29" i="1"/>
  <c r="PH16" i="1"/>
  <c r="PH79" i="1"/>
  <c r="PH80" i="1" s="1"/>
  <c r="PI74" i="1"/>
  <c r="PJ69" i="1"/>
  <c r="PH56" i="1"/>
  <c r="PJ42" i="1"/>
  <c r="PH38" i="1"/>
  <c r="PH28" i="1"/>
  <c r="PH19" i="1"/>
  <c r="PH10" i="1"/>
  <c r="PH75" i="1"/>
  <c r="PH48" i="1"/>
  <c r="PJ38" i="1"/>
  <c r="PJ28" i="1"/>
  <c r="PJ15" i="1"/>
  <c r="PH70" i="1"/>
  <c r="PH52" i="1"/>
  <c r="PH43" i="1"/>
  <c r="PI38" i="1"/>
  <c r="PH33" i="1"/>
  <c r="PH24" i="1"/>
  <c r="PH11" i="1"/>
  <c r="PH74" i="1"/>
  <c r="PI69" i="1"/>
  <c r="PH60" i="1"/>
  <c r="PJ55" i="1"/>
  <c r="PJ46" i="1"/>
  <c r="PI68" i="1"/>
  <c r="PJ45" i="1"/>
  <c r="PH76" i="1"/>
  <c r="PH53" i="1"/>
  <c r="PH36" i="1"/>
  <c r="PH30" i="1"/>
  <c r="PH14" i="1"/>
  <c r="PJ57" i="1"/>
  <c r="PJ40" i="1"/>
  <c r="PJ18" i="1"/>
  <c r="PH13" i="1"/>
  <c r="PH67" i="1"/>
  <c r="PH51" i="1"/>
  <c r="PH40" i="1"/>
  <c r="PH18" i="1"/>
  <c r="PH45" i="1"/>
  <c r="PH22" i="1"/>
  <c r="PH12" i="1"/>
  <c r="PH55" i="1"/>
  <c r="PI37" i="1"/>
  <c r="PH77" i="1"/>
  <c r="PH21" i="1"/>
  <c r="PH68" i="1"/>
  <c r="PH58" i="1"/>
  <c r="PH41" i="1"/>
  <c r="PJ13" i="1"/>
  <c r="PJ67" i="1"/>
  <c r="PH35" i="1"/>
  <c r="PI67" i="1"/>
  <c r="PH46" i="1"/>
  <c r="PH23" i="1"/>
  <c r="PJ12" i="1"/>
  <c r="PJ26" i="1"/>
  <c r="PH17" i="1"/>
  <c r="PH72" i="1"/>
  <c r="PH50" i="1"/>
  <c r="PH44" i="1"/>
  <c r="PH26" i="1"/>
  <c r="PH31" i="1"/>
  <c r="PJ53" i="1"/>
  <c r="PJ36" i="1"/>
  <c r="PH25" i="1"/>
  <c r="PH37" i="1"/>
  <c r="PH69" i="1"/>
  <c r="PQ1" i="1"/>
  <c r="PI36" i="1"/>
  <c r="PJ29" i="1"/>
  <c r="PH20" i="1"/>
  <c r="PI35" i="1"/>
  <c r="PH73" i="1"/>
  <c r="PJ10" i="1"/>
  <c r="PH61" i="1"/>
  <c r="PI75" i="1"/>
  <c r="PH47" i="1"/>
  <c r="PJ17" i="1"/>
  <c r="PH42" i="1"/>
  <c r="PJ44" i="1"/>
  <c r="PH54" i="1"/>
  <c r="PH49" i="1"/>
  <c r="PH32" i="1"/>
  <c r="PH15" i="1"/>
  <c r="PH27" i="1"/>
  <c r="OZ39" i="1"/>
  <c r="PA78" i="1"/>
  <c r="PA39" i="1"/>
  <c r="OZ78" i="1"/>
  <c r="PE37" i="1"/>
  <c r="PG37" i="1" s="1"/>
  <c r="OZ71" i="1"/>
  <c r="PB71" i="1"/>
  <c r="PB39" i="1"/>
  <c r="PA71" i="1"/>
  <c r="OR81" i="1"/>
  <c r="OM82" i="1" s="1"/>
  <c r="FC39" i="1"/>
  <c r="FI10" i="1"/>
  <c r="FI39" i="1" s="1"/>
  <c r="OS81" i="1"/>
  <c r="ED81" i="1"/>
  <c r="NK5" i="1"/>
  <c r="NS1" i="1"/>
  <c r="MY8" i="1"/>
  <c r="NI8" i="1"/>
  <c r="NH8" i="1" s="1"/>
  <c r="NC8" i="1"/>
  <c r="EM78" i="1"/>
  <c r="KO67" i="1"/>
  <c r="KV67" i="1" s="1"/>
  <c r="EM79" i="1"/>
  <c r="EU40" i="1"/>
  <c r="FA40" i="1" s="1"/>
  <c r="FA71" i="1" s="1"/>
  <c r="PM66" i="1" l="1"/>
  <c r="PO66" i="1" s="1"/>
  <c r="PM63" i="1"/>
  <c r="PO63" i="1" s="1"/>
  <c r="PM62" i="1"/>
  <c r="PO62" i="1" s="1"/>
  <c r="PM34" i="1"/>
  <c r="PO34" i="1" s="1"/>
  <c r="JX22" i="1"/>
  <c r="PP65" i="1"/>
  <c r="PU65" i="1" s="1"/>
  <c r="PW65" i="1" s="1"/>
  <c r="PP34" i="1"/>
  <c r="PP63" i="1"/>
  <c r="PP66" i="1"/>
  <c r="PU66" i="1" s="1"/>
  <c r="PW66" i="1" s="1"/>
  <c r="PP62" i="1"/>
  <c r="PP64" i="1"/>
  <c r="PU64" i="1" s="1"/>
  <c r="PW64" i="1" s="1"/>
  <c r="KF47" i="1"/>
  <c r="KF29" i="1"/>
  <c r="KF57" i="1"/>
  <c r="KF27" i="1"/>
  <c r="KF26" i="1"/>
  <c r="KF25" i="1"/>
  <c r="KF20" i="1"/>
  <c r="KF31" i="1"/>
  <c r="KF48" i="1"/>
  <c r="KF69" i="1"/>
  <c r="KF53" i="1"/>
  <c r="KF68" i="1"/>
  <c r="KF35" i="1"/>
  <c r="KF36" i="1"/>
  <c r="KF45" i="1"/>
  <c r="KF52" i="1"/>
  <c r="KF19" i="1"/>
  <c r="KF59" i="1"/>
  <c r="KF58" i="1"/>
  <c r="KF16" i="1"/>
  <c r="KF23" i="1"/>
  <c r="KF49" i="1"/>
  <c r="KF32" i="1"/>
  <c r="KF13" i="1"/>
  <c r="KF17" i="1"/>
  <c r="KF54" i="1"/>
  <c r="KF70" i="1"/>
  <c r="KF21" i="1"/>
  <c r="KF46" i="1"/>
  <c r="KF75" i="1"/>
  <c r="KF76" i="1"/>
  <c r="KF44" i="1"/>
  <c r="KF28" i="1"/>
  <c r="KF24" i="1"/>
  <c r="KF51" i="1"/>
  <c r="KF55" i="1"/>
  <c r="KF30" i="1"/>
  <c r="KF18" i="1"/>
  <c r="KF74" i="1"/>
  <c r="KF73" i="1"/>
  <c r="KF56" i="1"/>
  <c r="KF38" i="1"/>
  <c r="KF12" i="1"/>
  <c r="KF50" i="1"/>
  <c r="JN11" i="1"/>
  <c r="JP11" i="1" s="1"/>
  <c r="JN14" i="1"/>
  <c r="JV43" i="1"/>
  <c r="JX43" i="1" s="1"/>
  <c r="KD43" i="1" s="1"/>
  <c r="JV15" i="1"/>
  <c r="JX15" i="1" s="1"/>
  <c r="KD15" i="1" s="1"/>
  <c r="JV42" i="1"/>
  <c r="JX42" i="1" s="1"/>
  <c r="KD42" i="1" s="1"/>
  <c r="JX41" i="1"/>
  <c r="KD41" i="1" s="1"/>
  <c r="QW8" i="1"/>
  <c r="QX8" i="1" s="1"/>
  <c r="RD8" i="1"/>
  <c r="PM61" i="1"/>
  <c r="PO61" i="1" s="1"/>
  <c r="PM60" i="1"/>
  <c r="PO60" i="1" s="1"/>
  <c r="PM33" i="1"/>
  <c r="PO33" i="1" s="1"/>
  <c r="PI78" i="1"/>
  <c r="ES79" i="1"/>
  <c r="ES80" i="1" s="1"/>
  <c r="ES81" i="1" s="1"/>
  <c r="PI39" i="1"/>
  <c r="PH78" i="1"/>
  <c r="PJ71" i="1"/>
  <c r="PH39" i="1"/>
  <c r="OZ81" i="1"/>
  <c r="OU82" i="1" s="1"/>
  <c r="PA81" i="1"/>
  <c r="PI71" i="1"/>
  <c r="PB81" i="1"/>
  <c r="PJ39" i="1"/>
  <c r="PP69" i="1"/>
  <c r="PY1" i="1"/>
  <c r="PP70" i="1"/>
  <c r="PP58" i="1"/>
  <c r="PP48" i="1"/>
  <c r="PR40" i="1"/>
  <c r="PQ36" i="1"/>
  <c r="PP28" i="1"/>
  <c r="PP18" i="1"/>
  <c r="PQ69" i="1"/>
  <c r="PP17" i="1"/>
  <c r="PR13" i="1"/>
  <c r="PP77" i="1"/>
  <c r="PP51" i="1"/>
  <c r="PP36" i="1"/>
  <c r="PP21" i="1"/>
  <c r="PP14" i="1"/>
  <c r="PR69" i="1"/>
  <c r="PR57" i="1"/>
  <c r="PP31" i="1"/>
  <c r="PP24" i="1"/>
  <c r="PP57" i="1"/>
  <c r="PR53" i="1"/>
  <c r="PP43" i="1"/>
  <c r="PP79" i="1"/>
  <c r="PP80" i="1" s="1"/>
  <c r="PP33" i="1"/>
  <c r="PP26" i="1"/>
  <c r="PP16" i="1"/>
  <c r="PP12" i="1"/>
  <c r="PP74" i="1"/>
  <c r="PR67" i="1"/>
  <c r="PR18" i="1"/>
  <c r="PP53" i="1"/>
  <c r="PR52" i="1"/>
  <c r="PP76" i="1"/>
  <c r="PR36" i="1"/>
  <c r="PP41" i="1"/>
  <c r="PP55" i="1"/>
  <c r="PQ67" i="1"/>
  <c r="PR38" i="1"/>
  <c r="PR26" i="1"/>
  <c r="PP67" i="1"/>
  <c r="PQ38" i="1"/>
  <c r="PP37" i="1"/>
  <c r="PP11" i="1"/>
  <c r="PP72" i="1"/>
  <c r="PP30" i="1"/>
  <c r="PR45" i="1"/>
  <c r="PR28" i="1"/>
  <c r="PP50" i="1"/>
  <c r="PP19" i="1"/>
  <c r="PR70" i="1"/>
  <c r="PP60" i="1"/>
  <c r="PR55" i="1"/>
  <c r="PP46" i="1"/>
  <c r="PP68" i="1"/>
  <c r="PP23" i="1"/>
  <c r="PQ74" i="1"/>
  <c r="PP45" i="1"/>
  <c r="PP22" i="1"/>
  <c r="PR44" i="1"/>
  <c r="PP40" i="1"/>
  <c r="PP47" i="1"/>
  <c r="PQ68" i="1"/>
  <c r="PR15" i="1"/>
  <c r="PP25" i="1"/>
  <c r="PP35" i="1"/>
  <c r="PP54" i="1"/>
  <c r="PR42" i="1"/>
  <c r="PQ37" i="1"/>
  <c r="PR10" i="1"/>
  <c r="PQ75" i="1"/>
  <c r="PP56" i="1"/>
  <c r="PR17" i="1"/>
  <c r="PP27" i="1"/>
  <c r="PP75" i="1"/>
  <c r="PP10" i="1"/>
  <c r="PR12" i="1"/>
  <c r="PP38" i="1"/>
  <c r="PP29" i="1"/>
  <c r="PP49" i="1"/>
  <c r="PP73" i="1"/>
  <c r="PP52" i="1"/>
  <c r="PP61" i="1"/>
  <c r="PP44" i="1"/>
  <c r="PP20" i="1"/>
  <c r="PR46" i="1"/>
  <c r="PP32" i="1"/>
  <c r="PP15" i="1"/>
  <c r="PP59" i="1"/>
  <c r="PP13" i="1"/>
  <c r="PR29" i="1"/>
  <c r="PQ35" i="1"/>
  <c r="PP42" i="1"/>
  <c r="PM37" i="1"/>
  <c r="PO37" i="1" s="1"/>
  <c r="PH71" i="1"/>
  <c r="FK10" i="1"/>
  <c r="FQ10" i="1" s="1"/>
  <c r="FQ39" i="1" s="1"/>
  <c r="NS5" i="1"/>
  <c r="OA1" i="1"/>
  <c r="NK8" i="1"/>
  <c r="NG8" i="1"/>
  <c r="NQ8" i="1"/>
  <c r="NP8" i="1" s="1"/>
  <c r="EU71" i="1"/>
  <c r="EM80" i="1"/>
  <c r="KX67" i="1"/>
  <c r="EU77" i="1"/>
  <c r="FA77" i="1" s="1"/>
  <c r="FA78" i="1" s="1"/>
  <c r="FK72" i="1"/>
  <c r="FQ72" i="1" s="1"/>
  <c r="PU62" i="1" l="1"/>
  <c r="PW62" i="1" s="1"/>
  <c r="PU63" i="1"/>
  <c r="PW63" i="1" s="1"/>
  <c r="PU34" i="1"/>
  <c r="PW34" i="1" s="1"/>
  <c r="KD22" i="1"/>
  <c r="KF22" i="1" s="1"/>
  <c r="KM22" i="1" s="1"/>
  <c r="KO22" i="1" s="1"/>
  <c r="KV22" i="1" s="1"/>
  <c r="KM13" i="1"/>
  <c r="KO13" i="1" s="1"/>
  <c r="KV13" i="1" s="1"/>
  <c r="KM47" i="1"/>
  <c r="KO47" i="1" s="1"/>
  <c r="KV47" i="1" s="1"/>
  <c r="KM68" i="1"/>
  <c r="KO68" i="1" s="1"/>
  <c r="KV68" i="1" s="1"/>
  <c r="KM74" i="1"/>
  <c r="KO74" i="1" s="1"/>
  <c r="KV74" i="1" s="1"/>
  <c r="KM70" i="1"/>
  <c r="KO70" i="1" s="1"/>
  <c r="KV70" i="1" s="1"/>
  <c r="KM52" i="1"/>
  <c r="KO52" i="1" s="1"/>
  <c r="KV52" i="1" s="1"/>
  <c r="KM27" i="1"/>
  <c r="KO27" i="1" s="1"/>
  <c r="KV27" i="1" s="1"/>
  <c r="KM55" i="1"/>
  <c r="KO55" i="1" s="1"/>
  <c r="KV55" i="1" s="1"/>
  <c r="KM35" i="1"/>
  <c r="KO35" i="1" s="1"/>
  <c r="KV35" i="1" s="1"/>
  <c r="KM53" i="1"/>
  <c r="KO53" i="1" s="1"/>
  <c r="KV53" i="1" s="1"/>
  <c r="KM18" i="1"/>
  <c r="KO18" i="1" s="1"/>
  <c r="KV18" i="1" s="1"/>
  <c r="KM54" i="1"/>
  <c r="KO54" i="1" s="1"/>
  <c r="KV54" i="1" s="1"/>
  <c r="KM45" i="1"/>
  <c r="KO45" i="1" s="1"/>
  <c r="KV45" i="1" s="1"/>
  <c r="KM57" i="1"/>
  <c r="KO57" i="1" s="1"/>
  <c r="KV57" i="1" s="1"/>
  <c r="KM30" i="1"/>
  <c r="KO30" i="1" s="1"/>
  <c r="KV30" i="1" s="1"/>
  <c r="KM17" i="1"/>
  <c r="KO17" i="1" s="1"/>
  <c r="KV17" i="1" s="1"/>
  <c r="KM36" i="1"/>
  <c r="KO36" i="1" s="1"/>
  <c r="KV36" i="1" s="1"/>
  <c r="KM29" i="1"/>
  <c r="KO29" i="1" s="1"/>
  <c r="KV29" i="1" s="1"/>
  <c r="KM28" i="1"/>
  <c r="KO28" i="1" s="1"/>
  <c r="KV28" i="1" s="1"/>
  <c r="KM69" i="1"/>
  <c r="KO69" i="1" s="1"/>
  <c r="KV69" i="1" s="1"/>
  <c r="KM51" i="1"/>
  <c r="KO51" i="1" s="1"/>
  <c r="KV51" i="1" s="1"/>
  <c r="KM50" i="1"/>
  <c r="KO50" i="1" s="1"/>
  <c r="KV50" i="1" s="1"/>
  <c r="KM44" i="1"/>
  <c r="KO44" i="1" s="1"/>
  <c r="KV44" i="1" s="1"/>
  <c r="KM23" i="1"/>
  <c r="KO23" i="1" s="1"/>
  <c r="KV23" i="1" s="1"/>
  <c r="KM48" i="1"/>
  <c r="KO48" i="1" s="1"/>
  <c r="KV48" i="1" s="1"/>
  <c r="KM12" i="1"/>
  <c r="KO12" i="1" s="1"/>
  <c r="KV12" i="1" s="1"/>
  <c r="KM76" i="1"/>
  <c r="KO76" i="1" s="1"/>
  <c r="KV76" i="1" s="1"/>
  <c r="KM16" i="1"/>
  <c r="KO16" i="1" s="1"/>
  <c r="KV16" i="1" s="1"/>
  <c r="KM31" i="1"/>
  <c r="KO31" i="1" s="1"/>
  <c r="KV31" i="1" s="1"/>
  <c r="KM24" i="1"/>
  <c r="KO24" i="1" s="1"/>
  <c r="KV24" i="1" s="1"/>
  <c r="KM38" i="1"/>
  <c r="KO38" i="1" s="1"/>
  <c r="KV38" i="1" s="1"/>
  <c r="KM75" i="1"/>
  <c r="KO75" i="1" s="1"/>
  <c r="KV75" i="1" s="1"/>
  <c r="KM58" i="1"/>
  <c r="KO58" i="1" s="1"/>
  <c r="KV58" i="1" s="1"/>
  <c r="KM20" i="1"/>
  <c r="KO20" i="1" s="1"/>
  <c r="KV20" i="1" s="1"/>
  <c r="KM49" i="1"/>
  <c r="KO49" i="1" s="1"/>
  <c r="KV49" i="1" s="1"/>
  <c r="KM56" i="1"/>
  <c r="KO56" i="1" s="1"/>
  <c r="KV56" i="1" s="1"/>
  <c r="KM46" i="1"/>
  <c r="KO46" i="1" s="1"/>
  <c r="KV46" i="1" s="1"/>
  <c r="KM59" i="1"/>
  <c r="KO59" i="1" s="1"/>
  <c r="KV59" i="1" s="1"/>
  <c r="KM25" i="1"/>
  <c r="KO25" i="1" s="1"/>
  <c r="KV25" i="1" s="1"/>
  <c r="KM32" i="1"/>
  <c r="KO32" i="1" s="1"/>
  <c r="KV32" i="1" s="1"/>
  <c r="KM73" i="1"/>
  <c r="KO73" i="1" s="1"/>
  <c r="KV73" i="1" s="1"/>
  <c r="KM21" i="1"/>
  <c r="KO21" i="1" s="1"/>
  <c r="KV21" i="1" s="1"/>
  <c r="KM19" i="1"/>
  <c r="KO19" i="1" s="1"/>
  <c r="KV19" i="1" s="1"/>
  <c r="KM26" i="1"/>
  <c r="KO26" i="1" s="1"/>
  <c r="KV26" i="1" s="1"/>
  <c r="PX64" i="1"/>
  <c r="QC64" i="1" s="1"/>
  <c r="QE64" i="1" s="1"/>
  <c r="PX34" i="1"/>
  <c r="PX66" i="1"/>
  <c r="QC66" i="1" s="1"/>
  <c r="QE66" i="1" s="1"/>
  <c r="PX62" i="1"/>
  <c r="QC62" i="1" s="1"/>
  <c r="QE62" i="1" s="1"/>
  <c r="PX63" i="1"/>
  <c r="PX65" i="1"/>
  <c r="QC65" i="1" s="1"/>
  <c r="QE65" i="1" s="1"/>
  <c r="KF41" i="1"/>
  <c r="KF43" i="1"/>
  <c r="KF42" i="1"/>
  <c r="KF15" i="1"/>
  <c r="JV11" i="1"/>
  <c r="JX11" i="1" s="1"/>
  <c r="KD11" i="1" s="1"/>
  <c r="JP14" i="1"/>
  <c r="RL8" i="1"/>
  <c r="RE8" i="1"/>
  <c r="RF8" i="1" s="1"/>
  <c r="PU61" i="1"/>
  <c r="PW61" i="1" s="1"/>
  <c r="PU60" i="1"/>
  <c r="PW60" i="1" s="1"/>
  <c r="PU33" i="1"/>
  <c r="PW33" i="1" s="1"/>
  <c r="PI81" i="1"/>
  <c r="PH81" i="1"/>
  <c r="PC82" i="1" s="1"/>
  <c r="PJ81" i="1"/>
  <c r="PR71" i="1"/>
  <c r="PQ78" i="1"/>
  <c r="PP39" i="1"/>
  <c r="PU37" i="1"/>
  <c r="PW37" i="1" s="1"/>
  <c r="PR39" i="1"/>
  <c r="PP78" i="1"/>
  <c r="PQ39" i="1"/>
  <c r="PQ71" i="1"/>
  <c r="PP71" i="1"/>
  <c r="PX76" i="1"/>
  <c r="PZ67" i="1"/>
  <c r="PZ36" i="1"/>
  <c r="PZ28" i="1"/>
  <c r="PZ57" i="1"/>
  <c r="PX55" i="1"/>
  <c r="PX23" i="1"/>
  <c r="PX21" i="1"/>
  <c r="PY75" i="1"/>
  <c r="PX73" i="1"/>
  <c r="PZ44" i="1"/>
  <c r="PX42" i="1"/>
  <c r="PZ10" i="1"/>
  <c r="PY67" i="1"/>
  <c r="PZ55" i="1"/>
  <c r="PZ45" i="1"/>
  <c r="PX43" i="1"/>
  <c r="PY36" i="1"/>
  <c r="PX33" i="1"/>
  <c r="PX67" i="1"/>
  <c r="PX60" i="1"/>
  <c r="PX50" i="1"/>
  <c r="PX48" i="1"/>
  <c r="PX36" i="1"/>
  <c r="PX28" i="1"/>
  <c r="PX11" i="1"/>
  <c r="PZ18" i="1"/>
  <c r="PX16" i="1"/>
  <c r="PX44" i="1"/>
  <c r="PX35" i="1"/>
  <c r="PZ29" i="1"/>
  <c r="PZ12" i="1"/>
  <c r="PX10" i="1"/>
  <c r="PY74" i="1"/>
  <c r="PX15" i="1"/>
  <c r="PX54" i="1"/>
  <c r="PX17" i="1"/>
  <c r="PX75" i="1"/>
  <c r="PY68" i="1"/>
  <c r="PY35" i="1"/>
  <c r="PX22" i="1"/>
  <c r="PX56" i="1"/>
  <c r="PX74" i="1"/>
  <c r="PX27" i="1"/>
  <c r="PX61" i="1"/>
  <c r="PX49" i="1"/>
  <c r="PY37" i="1"/>
  <c r="PX29" i="1"/>
  <c r="PZ17" i="1"/>
  <c r="PX47" i="1"/>
  <c r="QG1" i="1"/>
  <c r="PX46" i="1"/>
  <c r="PZ38" i="1"/>
  <c r="PZ26" i="1"/>
  <c r="PX41" i="1"/>
  <c r="PX32" i="1"/>
  <c r="PX53" i="1"/>
  <c r="PX13" i="1"/>
  <c r="PZ53" i="1"/>
  <c r="PZ40" i="1"/>
  <c r="PX52" i="1"/>
  <c r="PX51" i="1"/>
  <c r="PZ52" i="1"/>
  <c r="PY38" i="1"/>
  <c r="PX12" i="1"/>
  <c r="PX14" i="1"/>
  <c r="PZ13" i="1"/>
  <c r="PZ15" i="1"/>
  <c r="PZ69" i="1"/>
  <c r="PX20" i="1"/>
  <c r="PX24" i="1"/>
  <c r="PX38" i="1"/>
  <c r="PX40" i="1"/>
  <c r="PX59" i="1"/>
  <c r="PX19" i="1"/>
  <c r="PX58" i="1"/>
  <c r="PX45" i="1"/>
  <c r="PX70" i="1"/>
  <c r="PX25" i="1"/>
  <c r="PX69" i="1"/>
  <c r="PZ46" i="1"/>
  <c r="PX72" i="1"/>
  <c r="PX77" i="1"/>
  <c r="PZ70" i="1"/>
  <c r="PX79" i="1"/>
  <c r="PX80" i="1" s="1"/>
  <c r="PX57" i="1"/>
  <c r="PY69" i="1"/>
  <c r="PX68" i="1"/>
  <c r="PX18" i="1"/>
  <c r="PX31" i="1"/>
  <c r="PX26" i="1"/>
  <c r="PX30" i="1"/>
  <c r="PZ42" i="1"/>
  <c r="PX37" i="1"/>
  <c r="FK39" i="1"/>
  <c r="EM81" i="1"/>
  <c r="OA5" i="1"/>
  <c r="OI1" i="1"/>
  <c r="NO8" i="1"/>
  <c r="NS8" i="1"/>
  <c r="NY8" i="1"/>
  <c r="NX8" i="1" s="1"/>
  <c r="EU78" i="1"/>
  <c r="LF67" i="1"/>
  <c r="LM67" i="1" s="1"/>
  <c r="EU79" i="1"/>
  <c r="FA79" i="1" s="1"/>
  <c r="FA80" i="1" s="1"/>
  <c r="FA81" i="1" s="1"/>
  <c r="FC40" i="1"/>
  <c r="FI40" i="1" s="1"/>
  <c r="FI71" i="1" s="1"/>
  <c r="QC63" i="1" l="1"/>
  <c r="QE63" i="1" s="1"/>
  <c r="QC34" i="1"/>
  <c r="QE34" i="1" s="1"/>
  <c r="KX21" i="1"/>
  <c r="KX70" i="1"/>
  <c r="KX32" i="1"/>
  <c r="KX76" i="1"/>
  <c r="KX46" i="1"/>
  <c r="KX56" i="1"/>
  <c r="KX54" i="1"/>
  <c r="KX18" i="1"/>
  <c r="KX20" i="1"/>
  <c r="KX50" i="1"/>
  <c r="KX53" i="1"/>
  <c r="KX29" i="1"/>
  <c r="KX74" i="1"/>
  <c r="KX13" i="1"/>
  <c r="KX58" i="1"/>
  <c r="KX51" i="1"/>
  <c r="KX35" i="1"/>
  <c r="KX24" i="1"/>
  <c r="KX52" i="1"/>
  <c r="KX73" i="1"/>
  <c r="KX36" i="1"/>
  <c r="KX16" i="1"/>
  <c r="KX25" i="1"/>
  <c r="KX68" i="1"/>
  <c r="KX57" i="1"/>
  <c r="KX45" i="1"/>
  <c r="KX22" i="1"/>
  <c r="KX49" i="1"/>
  <c r="KX26" i="1"/>
  <c r="KX75" i="1"/>
  <c r="KX69" i="1"/>
  <c r="KX55" i="1"/>
  <c r="KX31" i="1"/>
  <c r="KX17" i="1"/>
  <c r="KX30" i="1"/>
  <c r="KX12" i="1"/>
  <c r="KX48" i="1"/>
  <c r="KX23" i="1"/>
  <c r="KX44" i="1"/>
  <c r="KX19" i="1"/>
  <c r="KX38" i="1"/>
  <c r="KX28" i="1"/>
  <c r="KX27" i="1"/>
  <c r="KX59" i="1"/>
  <c r="KX47" i="1"/>
  <c r="KM15" i="1"/>
  <c r="KO15" i="1" s="1"/>
  <c r="KV15" i="1" s="1"/>
  <c r="KM42" i="1"/>
  <c r="KO42" i="1" s="1"/>
  <c r="KV42" i="1" s="1"/>
  <c r="KM43" i="1"/>
  <c r="KO43" i="1" s="1"/>
  <c r="KV43" i="1" s="1"/>
  <c r="KM41" i="1"/>
  <c r="KO41" i="1" s="1"/>
  <c r="KV41" i="1" s="1"/>
  <c r="QO1" i="1"/>
  <c r="QP44" i="1" s="1"/>
  <c r="QF34" i="1"/>
  <c r="QF65" i="1"/>
  <c r="QK65" i="1" s="1"/>
  <c r="QM65" i="1" s="1"/>
  <c r="QF62" i="1"/>
  <c r="QK62" i="1" s="1"/>
  <c r="QM62" i="1" s="1"/>
  <c r="QF64" i="1"/>
  <c r="QK64" i="1" s="1"/>
  <c r="QM64" i="1" s="1"/>
  <c r="QF63" i="1"/>
  <c r="QF66" i="1"/>
  <c r="QK66" i="1" s="1"/>
  <c r="QM66" i="1" s="1"/>
  <c r="KF11" i="1"/>
  <c r="JV14" i="1"/>
  <c r="JX14" i="1" s="1"/>
  <c r="KD14" i="1" s="1"/>
  <c r="RM8" i="1"/>
  <c r="RN8" i="1" s="1"/>
  <c r="RT8" i="1"/>
  <c r="QC61" i="1"/>
  <c r="QE61" i="1" s="1"/>
  <c r="QC60" i="1"/>
  <c r="QE60" i="1" s="1"/>
  <c r="QC33" i="1"/>
  <c r="QE33" i="1" s="1"/>
  <c r="PY78" i="1"/>
  <c r="PP81" i="1"/>
  <c r="PK82" i="1" s="1"/>
  <c r="QC37" i="1"/>
  <c r="QE37" i="1" s="1"/>
  <c r="PZ39" i="1"/>
  <c r="PY39" i="1"/>
  <c r="PY71" i="1"/>
  <c r="QF60" i="1"/>
  <c r="QF56" i="1"/>
  <c r="QF74" i="1"/>
  <c r="QH17" i="1"/>
  <c r="QF12" i="1"/>
  <c r="QF72" i="1"/>
  <c r="QF52" i="1"/>
  <c r="QF53" i="1"/>
  <c r="QH55" i="1"/>
  <c r="QH67" i="1"/>
  <c r="QF16" i="1"/>
  <c r="QG69" i="1"/>
  <c r="QF70" i="1"/>
  <c r="QF13" i="1"/>
  <c r="QF26" i="1"/>
  <c r="QF36" i="1"/>
  <c r="QG67" i="1"/>
  <c r="QF32" i="1"/>
  <c r="QH28" i="1"/>
  <c r="QH44" i="1"/>
  <c r="QF68" i="1"/>
  <c r="QF59" i="1"/>
  <c r="QF27" i="1"/>
  <c r="QF57" i="1"/>
  <c r="QF38" i="1"/>
  <c r="QH10" i="1"/>
  <c r="QF37" i="1"/>
  <c r="QG38" i="1"/>
  <c r="QF21" i="1"/>
  <c r="QF35" i="1"/>
  <c r="QF51" i="1"/>
  <c r="QH53" i="1"/>
  <c r="QF15" i="1"/>
  <c r="QH29" i="1"/>
  <c r="QF24" i="1"/>
  <c r="QG74" i="1"/>
  <c r="QF11" i="1"/>
  <c r="QF28" i="1"/>
  <c r="QF19" i="1"/>
  <c r="QH57" i="1"/>
  <c r="QH13" i="1"/>
  <c r="QH70" i="1"/>
  <c r="QF50" i="1"/>
  <c r="QG36" i="1"/>
  <c r="QH38" i="1"/>
  <c r="QH18" i="1"/>
  <c r="QF17" i="1"/>
  <c r="QF75" i="1"/>
  <c r="QF25" i="1"/>
  <c r="QF45" i="1"/>
  <c r="QG68" i="1"/>
  <c r="QH40" i="1"/>
  <c r="QF54" i="1"/>
  <c r="QH45" i="1"/>
  <c r="QF61" i="1"/>
  <c r="QF10" i="1"/>
  <c r="QG37" i="1"/>
  <c r="QF47" i="1"/>
  <c r="QF69" i="1"/>
  <c r="QF46" i="1"/>
  <c r="QF48" i="1"/>
  <c r="QF44" i="1"/>
  <c r="QF55" i="1"/>
  <c r="QG75" i="1"/>
  <c r="QF76" i="1"/>
  <c r="QF41" i="1"/>
  <c r="QF77" i="1"/>
  <c r="QF40" i="1"/>
  <c r="QF42" i="1"/>
  <c r="QF49" i="1"/>
  <c r="QH69" i="1"/>
  <c r="QH42" i="1"/>
  <c r="QF29" i="1"/>
  <c r="QF79" i="1"/>
  <c r="QF80" i="1" s="1"/>
  <c r="QF23" i="1"/>
  <c r="QF43" i="1"/>
  <c r="QF58" i="1"/>
  <c r="QF33" i="1"/>
  <c r="QH36" i="1"/>
  <c r="QH52" i="1"/>
  <c r="QF20" i="1"/>
  <c r="QG35" i="1"/>
  <c r="QF30" i="1"/>
  <c r="QF31" i="1"/>
  <c r="QH12" i="1"/>
  <c r="QH46" i="1"/>
  <c r="QH26" i="1"/>
  <c r="QF67" i="1"/>
  <c r="QF18" i="1"/>
  <c r="QF14" i="1"/>
  <c r="QF73" i="1"/>
  <c r="QF22" i="1"/>
  <c r="QH15" i="1"/>
  <c r="PX78" i="1"/>
  <c r="PX39" i="1"/>
  <c r="PQ81" i="1"/>
  <c r="PX71" i="1"/>
  <c r="PZ71" i="1"/>
  <c r="PR81" i="1"/>
  <c r="FS10" i="1"/>
  <c r="GD10" i="1" s="1"/>
  <c r="GD39" i="1" s="1"/>
  <c r="OI5" i="1"/>
  <c r="OQ1" i="1"/>
  <c r="NW8" i="1"/>
  <c r="OG8" i="1"/>
  <c r="OF8" i="1" s="1"/>
  <c r="OA8" i="1"/>
  <c r="FC71" i="1"/>
  <c r="EU80" i="1"/>
  <c r="EU81" i="1" s="1"/>
  <c r="LO67" i="1"/>
  <c r="FC77" i="1"/>
  <c r="FI77" i="1" s="1"/>
  <c r="FI78" i="1" s="1"/>
  <c r="FS72" i="1"/>
  <c r="GD72" i="1" s="1"/>
  <c r="QN59" i="1" l="1"/>
  <c r="QK63" i="1"/>
  <c r="QM63" i="1" s="1"/>
  <c r="QK34" i="1"/>
  <c r="QM34" i="1" s="1"/>
  <c r="LF50" i="1"/>
  <c r="LF31" i="1"/>
  <c r="LF20" i="1"/>
  <c r="LF18" i="1"/>
  <c r="LF52" i="1"/>
  <c r="LF45" i="1"/>
  <c r="QN45" i="1"/>
  <c r="LF12" i="1"/>
  <c r="LF68" i="1"/>
  <c r="LF29" i="1"/>
  <c r="QN51" i="1"/>
  <c r="LF30" i="1"/>
  <c r="LF25" i="1"/>
  <c r="LF53" i="1"/>
  <c r="LF59" i="1"/>
  <c r="LF54" i="1"/>
  <c r="LF28" i="1"/>
  <c r="LF75" i="1"/>
  <c r="LF24" i="1"/>
  <c r="LF56" i="1"/>
  <c r="LF36" i="1"/>
  <c r="LF55" i="1"/>
  <c r="LF38" i="1"/>
  <c r="LF26" i="1"/>
  <c r="LF35" i="1"/>
  <c r="LF46" i="1"/>
  <c r="QN19" i="1"/>
  <c r="LF19" i="1"/>
  <c r="LF49" i="1"/>
  <c r="LF51" i="1"/>
  <c r="LF76" i="1"/>
  <c r="LF47" i="1"/>
  <c r="LF27" i="1"/>
  <c r="QN53" i="1"/>
  <c r="LF44" i="1"/>
  <c r="LF22" i="1"/>
  <c r="LF58" i="1"/>
  <c r="LF32" i="1"/>
  <c r="LF17" i="1"/>
  <c r="LF73" i="1"/>
  <c r="LF23" i="1"/>
  <c r="LF13" i="1"/>
  <c r="LF70" i="1"/>
  <c r="LF69" i="1"/>
  <c r="QN26" i="1"/>
  <c r="LF48" i="1"/>
  <c r="LF57" i="1"/>
  <c r="LF74" i="1"/>
  <c r="LF21" i="1"/>
  <c r="QN21" i="1"/>
  <c r="KX41" i="1"/>
  <c r="KX43" i="1"/>
  <c r="KX42" i="1"/>
  <c r="KX15" i="1"/>
  <c r="QP70" i="1"/>
  <c r="QN14" i="1"/>
  <c r="QN35" i="1"/>
  <c r="QN74" i="1"/>
  <c r="QN79" i="1"/>
  <c r="QN80" i="1" s="1"/>
  <c r="QO38" i="1"/>
  <c r="QN37" i="1"/>
  <c r="QN72" i="1"/>
  <c r="QN25" i="1"/>
  <c r="QO67" i="1"/>
  <c r="QP12" i="1"/>
  <c r="QN46" i="1"/>
  <c r="QN10" i="1"/>
  <c r="QO35" i="1"/>
  <c r="QW1" i="1"/>
  <c r="QV66" i="1" s="1"/>
  <c r="QP55" i="1"/>
  <c r="QN24" i="1"/>
  <c r="QN30" i="1"/>
  <c r="QO68" i="1"/>
  <c r="QN55" i="1"/>
  <c r="QN61" i="1"/>
  <c r="QP18" i="1"/>
  <c r="QP29" i="1"/>
  <c r="QN57" i="1"/>
  <c r="QN68" i="1"/>
  <c r="QN76" i="1"/>
  <c r="QN69" i="1"/>
  <c r="QP38" i="1"/>
  <c r="QP46" i="1"/>
  <c r="QP36" i="1"/>
  <c r="QP53" i="1"/>
  <c r="QN70" i="1"/>
  <c r="QN77" i="1"/>
  <c r="QN27" i="1"/>
  <c r="QN33" i="1"/>
  <c r="QP28" i="1"/>
  <c r="QP40" i="1"/>
  <c r="QP10" i="1"/>
  <c r="QN13" i="1"/>
  <c r="QN23" i="1"/>
  <c r="QN40" i="1"/>
  <c r="QN15" i="1"/>
  <c r="QP69" i="1"/>
  <c r="QN73" i="1"/>
  <c r="QO37" i="1"/>
  <c r="QN42" i="1"/>
  <c r="QN75" i="1"/>
  <c r="QP67" i="1"/>
  <c r="QN17" i="1"/>
  <c r="QP26" i="1"/>
  <c r="QO69" i="1"/>
  <c r="QN60" i="1"/>
  <c r="QN54" i="1"/>
  <c r="QP13" i="1"/>
  <c r="QP42" i="1"/>
  <c r="QN58" i="1"/>
  <c r="QO75" i="1"/>
  <c r="QN20" i="1"/>
  <c r="KM11" i="1"/>
  <c r="KO11" i="1" s="1"/>
  <c r="KV11" i="1" s="1"/>
  <c r="QN47" i="1"/>
  <c r="QN52" i="1"/>
  <c r="QN41" i="1"/>
  <c r="QP52" i="1"/>
  <c r="QP17" i="1"/>
  <c r="QN67" i="1"/>
  <c r="QN28" i="1"/>
  <c r="QN48" i="1"/>
  <c r="QP15" i="1"/>
  <c r="QN11" i="1"/>
  <c r="QN32" i="1"/>
  <c r="QN44" i="1"/>
  <c r="QN50" i="1"/>
  <c r="QN56" i="1"/>
  <c r="QN49" i="1"/>
  <c r="QN12" i="1"/>
  <c r="QP57" i="1"/>
  <c r="QN22" i="1"/>
  <c r="QN16" i="1"/>
  <c r="QP45" i="1"/>
  <c r="QN18" i="1"/>
  <c r="QN31" i="1"/>
  <c r="QN38" i="1"/>
  <c r="QN43" i="1"/>
  <c r="QO74" i="1"/>
  <c r="QN29" i="1"/>
  <c r="QN36" i="1"/>
  <c r="QO36" i="1"/>
  <c r="QN34" i="1"/>
  <c r="QN66" i="1"/>
  <c r="QS66" i="1" s="1"/>
  <c r="QU66" i="1" s="1"/>
  <c r="QN64" i="1"/>
  <c r="QS64" i="1" s="1"/>
  <c r="QU64" i="1" s="1"/>
  <c r="QN65" i="1"/>
  <c r="QS65" i="1" s="1"/>
  <c r="QU65" i="1" s="1"/>
  <c r="QN62" i="1"/>
  <c r="QN63" i="1"/>
  <c r="KF14" i="1"/>
  <c r="SB8" i="1"/>
  <c r="RU8" i="1"/>
  <c r="RV8" i="1" s="1"/>
  <c r="QV35" i="1"/>
  <c r="QV69" i="1"/>
  <c r="QK61" i="1"/>
  <c r="QM61" i="1" s="1"/>
  <c r="QK60" i="1"/>
  <c r="QM60" i="1" s="1"/>
  <c r="QK33" i="1"/>
  <c r="QM33" i="1" s="1"/>
  <c r="FS39" i="1"/>
  <c r="OQ5" i="1"/>
  <c r="OQ8" i="1" s="1"/>
  <c r="OY1" i="1"/>
  <c r="QG71" i="1"/>
  <c r="PZ81" i="1"/>
  <c r="PY81" i="1"/>
  <c r="QG39" i="1"/>
  <c r="PX81" i="1"/>
  <c r="PS82" i="1" s="1"/>
  <c r="QF39" i="1"/>
  <c r="QF71" i="1"/>
  <c r="QH39" i="1"/>
  <c r="QF78" i="1"/>
  <c r="QH71" i="1"/>
  <c r="QK37" i="1"/>
  <c r="QM37" i="1" s="1"/>
  <c r="QG78" i="1"/>
  <c r="OE8" i="1"/>
  <c r="OI8" i="1"/>
  <c r="OO8" i="1"/>
  <c r="ON8" i="1" s="1"/>
  <c r="LU67" i="1"/>
  <c r="LW67" i="1" s="1"/>
  <c r="MC67" i="1" s="1"/>
  <c r="ME67" i="1" s="1"/>
  <c r="MK67" i="1" s="1"/>
  <c r="FC78" i="1"/>
  <c r="FK40" i="1"/>
  <c r="FQ40" i="1" s="1"/>
  <c r="FQ71" i="1" s="1"/>
  <c r="FC79" i="1"/>
  <c r="FI79" i="1" s="1"/>
  <c r="FI80" i="1" s="1"/>
  <c r="FI81" i="1" s="1"/>
  <c r="LM24" i="1" l="1"/>
  <c r="LO24" i="1" s="1"/>
  <c r="LU24" i="1" s="1"/>
  <c r="LW24" i="1" s="1"/>
  <c r="MC24" i="1" s="1"/>
  <c r="ME24" i="1" s="1"/>
  <c r="MK24" i="1" s="1"/>
  <c r="MM24" i="1" s="1"/>
  <c r="MS24" i="1" s="1"/>
  <c r="MU24" i="1" s="1"/>
  <c r="NA24" i="1" s="1"/>
  <c r="NC24" i="1" s="1"/>
  <c r="NI24" i="1" s="1"/>
  <c r="NK24" i="1" s="1"/>
  <c r="NQ24" i="1" s="1"/>
  <c r="NS24" i="1" s="1"/>
  <c r="NY24" i="1" s="1"/>
  <c r="OA24" i="1" s="1"/>
  <c r="OG24" i="1" s="1"/>
  <c r="OI24" i="1" s="1"/>
  <c r="OO24" i="1" s="1"/>
  <c r="OQ24" i="1" s="1"/>
  <c r="OW24" i="1" s="1"/>
  <c r="OY24" i="1" s="1"/>
  <c r="PE24" i="1" s="1"/>
  <c r="PG24" i="1" s="1"/>
  <c r="PM24" i="1" s="1"/>
  <c r="PO24" i="1" s="1"/>
  <c r="PU24" i="1" s="1"/>
  <c r="PW24" i="1" s="1"/>
  <c r="QC24" i="1" s="1"/>
  <c r="QE24" i="1" s="1"/>
  <c r="QK24" i="1" s="1"/>
  <c r="QM24" i="1" s="1"/>
  <c r="QS24" i="1" s="1"/>
  <c r="QU24" i="1" s="1"/>
  <c r="LM23" i="1"/>
  <c r="LO23" i="1" s="1"/>
  <c r="LU23" i="1" s="1"/>
  <c r="LW23" i="1" s="1"/>
  <c r="MC23" i="1" s="1"/>
  <c r="ME23" i="1" s="1"/>
  <c r="MK23" i="1" s="1"/>
  <c r="MM23" i="1" s="1"/>
  <c r="MS23" i="1" s="1"/>
  <c r="MU23" i="1" s="1"/>
  <c r="NA23" i="1" s="1"/>
  <c r="NC23" i="1" s="1"/>
  <c r="NI23" i="1" s="1"/>
  <c r="NK23" i="1" s="1"/>
  <c r="NQ23" i="1" s="1"/>
  <c r="NS23" i="1" s="1"/>
  <c r="NY23" i="1" s="1"/>
  <c r="OA23" i="1" s="1"/>
  <c r="OG23" i="1" s="1"/>
  <c r="OI23" i="1" s="1"/>
  <c r="OO23" i="1" s="1"/>
  <c r="OQ23" i="1" s="1"/>
  <c r="OW23" i="1" s="1"/>
  <c r="OY23" i="1" s="1"/>
  <c r="PE23" i="1" s="1"/>
  <c r="PG23" i="1" s="1"/>
  <c r="PM23" i="1" s="1"/>
  <c r="PO23" i="1" s="1"/>
  <c r="PU23" i="1" s="1"/>
  <c r="PW23" i="1" s="1"/>
  <c r="QC23" i="1" s="1"/>
  <c r="QE23" i="1" s="1"/>
  <c r="QK23" i="1" s="1"/>
  <c r="QM23" i="1" s="1"/>
  <c r="QS23" i="1" s="1"/>
  <c r="QU23" i="1" s="1"/>
  <c r="LM49" i="1"/>
  <c r="LO49" i="1" s="1"/>
  <c r="LU49" i="1" s="1"/>
  <c r="LW49" i="1" s="1"/>
  <c r="MC49" i="1" s="1"/>
  <c r="ME49" i="1" s="1"/>
  <c r="MK49" i="1" s="1"/>
  <c r="MM49" i="1" s="1"/>
  <c r="MS49" i="1" s="1"/>
  <c r="MU49" i="1" s="1"/>
  <c r="NA49" i="1" s="1"/>
  <c r="NC49" i="1" s="1"/>
  <c r="NI49" i="1" s="1"/>
  <c r="NK49" i="1" s="1"/>
  <c r="NQ49" i="1" s="1"/>
  <c r="NS49" i="1" s="1"/>
  <c r="NY49" i="1" s="1"/>
  <c r="OA49" i="1" s="1"/>
  <c r="OG49" i="1" s="1"/>
  <c r="OI49" i="1" s="1"/>
  <c r="OO49" i="1" s="1"/>
  <c r="OQ49" i="1" s="1"/>
  <c r="OW49" i="1" s="1"/>
  <c r="OY49" i="1" s="1"/>
  <c r="PE49" i="1" s="1"/>
  <c r="PG49" i="1" s="1"/>
  <c r="PM49" i="1" s="1"/>
  <c r="PO49" i="1" s="1"/>
  <c r="PU49" i="1" s="1"/>
  <c r="PW49" i="1" s="1"/>
  <c r="QC49" i="1" s="1"/>
  <c r="QE49" i="1" s="1"/>
  <c r="QK49" i="1" s="1"/>
  <c r="QM49" i="1" s="1"/>
  <c r="QS49" i="1" s="1"/>
  <c r="QU49" i="1" s="1"/>
  <c r="LM28" i="1"/>
  <c r="LO28" i="1" s="1"/>
  <c r="LU28" i="1" s="1"/>
  <c r="LW28" i="1" s="1"/>
  <c r="MC28" i="1" s="1"/>
  <c r="ME28" i="1" s="1"/>
  <c r="MK28" i="1" s="1"/>
  <c r="MM28" i="1" s="1"/>
  <c r="MS28" i="1" s="1"/>
  <c r="MU28" i="1" s="1"/>
  <c r="NA28" i="1" s="1"/>
  <c r="NC28" i="1" s="1"/>
  <c r="NI28" i="1" s="1"/>
  <c r="NK28" i="1" s="1"/>
  <c r="NQ28" i="1" s="1"/>
  <c r="NS28" i="1" s="1"/>
  <c r="NY28" i="1" s="1"/>
  <c r="OA28" i="1" s="1"/>
  <c r="OG28" i="1" s="1"/>
  <c r="OI28" i="1" s="1"/>
  <c r="OO28" i="1" s="1"/>
  <c r="OQ28" i="1" s="1"/>
  <c r="OW28" i="1" s="1"/>
  <c r="OY28" i="1" s="1"/>
  <c r="PE28" i="1" s="1"/>
  <c r="PG28" i="1" s="1"/>
  <c r="PM28" i="1" s="1"/>
  <c r="PO28" i="1" s="1"/>
  <c r="PU28" i="1" s="1"/>
  <c r="PW28" i="1" s="1"/>
  <c r="QC28" i="1" s="1"/>
  <c r="QE28" i="1" s="1"/>
  <c r="QK28" i="1" s="1"/>
  <c r="QM28" i="1" s="1"/>
  <c r="QS28" i="1" s="1"/>
  <c r="QU28" i="1" s="1"/>
  <c r="LM52" i="1"/>
  <c r="LO52" i="1" s="1"/>
  <c r="LU52" i="1" s="1"/>
  <c r="LW52" i="1" s="1"/>
  <c r="MC52" i="1" s="1"/>
  <c r="ME52" i="1" s="1"/>
  <c r="MK52" i="1" s="1"/>
  <c r="MM52" i="1" s="1"/>
  <c r="MS52" i="1" s="1"/>
  <c r="MU52" i="1" s="1"/>
  <c r="NA52" i="1" s="1"/>
  <c r="NC52" i="1" s="1"/>
  <c r="NI52" i="1" s="1"/>
  <c r="NK52" i="1" s="1"/>
  <c r="NQ52" i="1" s="1"/>
  <c r="NS52" i="1" s="1"/>
  <c r="NY52" i="1" s="1"/>
  <c r="OA52" i="1" s="1"/>
  <c r="OG52" i="1" s="1"/>
  <c r="OI52" i="1" s="1"/>
  <c r="OO52" i="1" s="1"/>
  <c r="OQ52" i="1" s="1"/>
  <c r="OW52" i="1" s="1"/>
  <c r="OY52" i="1" s="1"/>
  <c r="PE52" i="1" s="1"/>
  <c r="PG52" i="1" s="1"/>
  <c r="PM52" i="1" s="1"/>
  <c r="PO52" i="1" s="1"/>
  <c r="PU52" i="1" s="1"/>
  <c r="PW52" i="1" s="1"/>
  <c r="QC52" i="1" s="1"/>
  <c r="QE52" i="1" s="1"/>
  <c r="QK52" i="1" s="1"/>
  <c r="QM52" i="1" s="1"/>
  <c r="QS52" i="1" s="1"/>
  <c r="QU52" i="1" s="1"/>
  <c r="LM12" i="1"/>
  <c r="LO12" i="1" s="1"/>
  <c r="LU12" i="1" s="1"/>
  <c r="LW12" i="1" s="1"/>
  <c r="MC12" i="1" s="1"/>
  <c r="ME12" i="1" s="1"/>
  <c r="MK12" i="1" s="1"/>
  <c r="MM12" i="1" s="1"/>
  <c r="MS12" i="1" s="1"/>
  <c r="MU12" i="1" s="1"/>
  <c r="NA12" i="1" s="1"/>
  <c r="NC12" i="1" s="1"/>
  <c r="NI12" i="1" s="1"/>
  <c r="NK12" i="1" s="1"/>
  <c r="NQ12" i="1" s="1"/>
  <c r="NS12" i="1" s="1"/>
  <c r="NY12" i="1" s="1"/>
  <c r="OA12" i="1" s="1"/>
  <c r="OG12" i="1" s="1"/>
  <c r="OI12" i="1" s="1"/>
  <c r="OO12" i="1" s="1"/>
  <c r="OQ12" i="1" s="1"/>
  <c r="OW12" i="1" s="1"/>
  <c r="OY12" i="1" s="1"/>
  <c r="PE12" i="1" s="1"/>
  <c r="PG12" i="1" s="1"/>
  <c r="PM12" i="1" s="1"/>
  <c r="PO12" i="1" s="1"/>
  <c r="PU12" i="1" s="1"/>
  <c r="PW12" i="1" s="1"/>
  <c r="QC12" i="1" s="1"/>
  <c r="QE12" i="1" s="1"/>
  <c r="QK12" i="1" s="1"/>
  <c r="QM12" i="1" s="1"/>
  <c r="QS12" i="1" s="1"/>
  <c r="QU12" i="1" s="1"/>
  <c r="LM45" i="1"/>
  <c r="LO45" i="1" s="1"/>
  <c r="LU45" i="1" s="1"/>
  <c r="LW45" i="1" s="1"/>
  <c r="MC45" i="1" s="1"/>
  <c r="ME45" i="1" s="1"/>
  <c r="MK45" i="1" s="1"/>
  <c r="MM45" i="1" s="1"/>
  <c r="MS45" i="1" s="1"/>
  <c r="MU45" i="1" s="1"/>
  <c r="NA45" i="1" s="1"/>
  <c r="NC45" i="1" s="1"/>
  <c r="NI45" i="1" s="1"/>
  <c r="NK45" i="1" s="1"/>
  <c r="NQ45" i="1" s="1"/>
  <c r="NS45" i="1" s="1"/>
  <c r="NY45" i="1" s="1"/>
  <c r="OA45" i="1" s="1"/>
  <c r="OG45" i="1" s="1"/>
  <c r="OI45" i="1" s="1"/>
  <c r="OO45" i="1" s="1"/>
  <c r="OQ45" i="1" s="1"/>
  <c r="OW45" i="1" s="1"/>
  <c r="OY45" i="1" s="1"/>
  <c r="PE45" i="1" s="1"/>
  <c r="PG45" i="1" s="1"/>
  <c r="PM45" i="1" s="1"/>
  <c r="PO45" i="1" s="1"/>
  <c r="PU45" i="1" s="1"/>
  <c r="PW45" i="1" s="1"/>
  <c r="QC45" i="1" s="1"/>
  <c r="QE45" i="1" s="1"/>
  <c r="QK45" i="1" s="1"/>
  <c r="QM45" i="1" s="1"/>
  <c r="QS45" i="1" s="1"/>
  <c r="QU45" i="1" s="1"/>
  <c r="LM73" i="1"/>
  <c r="LO73" i="1" s="1"/>
  <c r="LU73" i="1" s="1"/>
  <c r="LW73" i="1" s="1"/>
  <c r="MC73" i="1" s="1"/>
  <c r="ME73" i="1" s="1"/>
  <c r="MK73" i="1" s="1"/>
  <c r="MM73" i="1" s="1"/>
  <c r="MS73" i="1" s="1"/>
  <c r="MU73" i="1" s="1"/>
  <c r="NA73" i="1" s="1"/>
  <c r="NC73" i="1" s="1"/>
  <c r="NI73" i="1" s="1"/>
  <c r="NK73" i="1" s="1"/>
  <c r="LM19" i="1"/>
  <c r="LO19" i="1" s="1"/>
  <c r="LU19" i="1" s="1"/>
  <c r="LW19" i="1" s="1"/>
  <c r="MC19" i="1" s="1"/>
  <c r="ME19" i="1" s="1"/>
  <c r="MK19" i="1" s="1"/>
  <c r="MM19" i="1" s="1"/>
  <c r="MS19" i="1" s="1"/>
  <c r="MU19" i="1" s="1"/>
  <c r="NA19" i="1" s="1"/>
  <c r="NC19" i="1" s="1"/>
  <c r="NI19" i="1" s="1"/>
  <c r="NK19" i="1" s="1"/>
  <c r="NQ19" i="1" s="1"/>
  <c r="NS19" i="1" s="1"/>
  <c r="NY19" i="1" s="1"/>
  <c r="OA19" i="1" s="1"/>
  <c r="OG19" i="1" s="1"/>
  <c r="OI19" i="1" s="1"/>
  <c r="OO19" i="1" s="1"/>
  <c r="OQ19" i="1" s="1"/>
  <c r="OW19" i="1" s="1"/>
  <c r="OY19" i="1" s="1"/>
  <c r="PE19" i="1" s="1"/>
  <c r="PG19" i="1" s="1"/>
  <c r="PM19" i="1" s="1"/>
  <c r="PO19" i="1" s="1"/>
  <c r="PU19" i="1" s="1"/>
  <c r="PW19" i="1" s="1"/>
  <c r="QC19" i="1" s="1"/>
  <c r="QE19" i="1" s="1"/>
  <c r="QK19" i="1" s="1"/>
  <c r="QM19" i="1" s="1"/>
  <c r="QS19" i="1" s="1"/>
  <c r="QU19" i="1" s="1"/>
  <c r="LM54" i="1"/>
  <c r="LO54" i="1" s="1"/>
  <c r="LU54" i="1" s="1"/>
  <c r="LW54" i="1" s="1"/>
  <c r="MC54" i="1" s="1"/>
  <c r="ME54" i="1" s="1"/>
  <c r="MK54" i="1" s="1"/>
  <c r="MM54" i="1" s="1"/>
  <c r="MS54" i="1" s="1"/>
  <c r="MU54" i="1" s="1"/>
  <c r="NA54" i="1" s="1"/>
  <c r="NC54" i="1" s="1"/>
  <c r="NI54" i="1" s="1"/>
  <c r="NK54" i="1" s="1"/>
  <c r="NQ54" i="1" s="1"/>
  <c r="NS54" i="1" s="1"/>
  <c r="NY54" i="1" s="1"/>
  <c r="OA54" i="1" s="1"/>
  <c r="OG54" i="1" s="1"/>
  <c r="OI54" i="1" s="1"/>
  <c r="OO54" i="1" s="1"/>
  <c r="OQ54" i="1" s="1"/>
  <c r="OW54" i="1" s="1"/>
  <c r="OY54" i="1" s="1"/>
  <c r="PE54" i="1" s="1"/>
  <c r="PG54" i="1" s="1"/>
  <c r="PM54" i="1" s="1"/>
  <c r="PO54" i="1" s="1"/>
  <c r="PU54" i="1" s="1"/>
  <c r="PW54" i="1" s="1"/>
  <c r="QC54" i="1" s="1"/>
  <c r="QE54" i="1" s="1"/>
  <c r="QK54" i="1" s="1"/>
  <c r="QM54" i="1" s="1"/>
  <c r="QS54" i="1" s="1"/>
  <c r="QU54" i="1" s="1"/>
  <c r="LM18" i="1"/>
  <c r="LO18" i="1" s="1"/>
  <c r="LU18" i="1" s="1"/>
  <c r="LW18" i="1" s="1"/>
  <c r="MC18" i="1" s="1"/>
  <c r="ME18" i="1" s="1"/>
  <c r="MK18" i="1" s="1"/>
  <c r="MM18" i="1" s="1"/>
  <c r="MS18" i="1" s="1"/>
  <c r="MU18" i="1" s="1"/>
  <c r="NA18" i="1" s="1"/>
  <c r="NC18" i="1" s="1"/>
  <c r="NI18" i="1" s="1"/>
  <c r="NK18" i="1" s="1"/>
  <c r="NQ18" i="1" s="1"/>
  <c r="NS18" i="1" s="1"/>
  <c r="NY18" i="1" s="1"/>
  <c r="OA18" i="1" s="1"/>
  <c r="OG18" i="1" s="1"/>
  <c r="OI18" i="1" s="1"/>
  <c r="OO18" i="1" s="1"/>
  <c r="OQ18" i="1" s="1"/>
  <c r="OW18" i="1" s="1"/>
  <c r="OY18" i="1" s="1"/>
  <c r="PE18" i="1" s="1"/>
  <c r="PG18" i="1" s="1"/>
  <c r="PM18" i="1" s="1"/>
  <c r="PO18" i="1" s="1"/>
  <c r="PU18" i="1" s="1"/>
  <c r="PW18" i="1" s="1"/>
  <c r="QC18" i="1" s="1"/>
  <c r="QE18" i="1" s="1"/>
  <c r="QK18" i="1" s="1"/>
  <c r="QM18" i="1" s="1"/>
  <c r="QS18" i="1" s="1"/>
  <c r="QU18" i="1" s="1"/>
  <c r="LM27" i="1"/>
  <c r="LO27" i="1" s="1"/>
  <c r="LU27" i="1" s="1"/>
  <c r="LW27" i="1" s="1"/>
  <c r="MC27" i="1" s="1"/>
  <c r="ME27" i="1" s="1"/>
  <c r="MK27" i="1" s="1"/>
  <c r="MM27" i="1" s="1"/>
  <c r="MS27" i="1" s="1"/>
  <c r="MU27" i="1" s="1"/>
  <c r="NA27" i="1" s="1"/>
  <c r="NC27" i="1" s="1"/>
  <c r="NI27" i="1" s="1"/>
  <c r="NK27" i="1" s="1"/>
  <c r="NQ27" i="1" s="1"/>
  <c r="NS27" i="1" s="1"/>
  <c r="NY27" i="1" s="1"/>
  <c r="OA27" i="1" s="1"/>
  <c r="OG27" i="1" s="1"/>
  <c r="OI27" i="1" s="1"/>
  <c r="OO27" i="1" s="1"/>
  <c r="OQ27" i="1" s="1"/>
  <c r="OW27" i="1" s="1"/>
  <c r="OY27" i="1" s="1"/>
  <c r="PE27" i="1" s="1"/>
  <c r="PG27" i="1" s="1"/>
  <c r="PM27" i="1" s="1"/>
  <c r="PO27" i="1" s="1"/>
  <c r="PU27" i="1" s="1"/>
  <c r="PW27" i="1" s="1"/>
  <c r="QC27" i="1" s="1"/>
  <c r="QE27" i="1" s="1"/>
  <c r="QK27" i="1" s="1"/>
  <c r="QM27" i="1" s="1"/>
  <c r="QS27" i="1" s="1"/>
  <c r="QU27" i="1" s="1"/>
  <c r="LM17" i="1"/>
  <c r="LO17" i="1" s="1"/>
  <c r="LU17" i="1" s="1"/>
  <c r="LW17" i="1" s="1"/>
  <c r="MC17" i="1" s="1"/>
  <c r="ME17" i="1" s="1"/>
  <c r="MK17" i="1" s="1"/>
  <c r="MM17" i="1" s="1"/>
  <c r="MS17" i="1" s="1"/>
  <c r="MU17" i="1" s="1"/>
  <c r="NA17" i="1" s="1"/>
  <c r="NC17" i="1" s="1"/>
  <c r="NI17" i="1" s="1"/>
  <c r="NK17" i="1" s="1"/>
  <c r="NQ17" i="1" s="1"/>
  <c r="NS17" i="1" s="1"/>
  <c r="NY17" i="1" s="1"/>
  <c r="OA17" i="1" s="1"/>
  <c r="OG17" i="1" s="1"/>
  <c r="OI17" i="1" s="1"/>
  <c r="OO17" i="1" s="1"/>
  <c r="OQ17" i="1" s="1"/>
  <c r="OW17" i="1" s="1"/>
  <c r="OY17" i="1" s="1"/>
  <c r="PE17" i="1" s="1"/>
  <c r="PG17" i="1" s="1"/>
  <c r="PM17" i="1" s="1"/>
  <c r="PO17" i="1" s="1"/>
  <c r="PU17" i="1" s="1"/>
  <c r="PW17" i="1" s="1"/>
  <c r="QC17" i="1" s="1"/>
  <c r="QE17" i="1" s="1"/>
  <c r="QK17" i="1" s="1"/>
  <c r="QM17" i="1" s="1"/>
  <c r="QS17" i="1" s="1"/>
  <c r="QU17" i="1" s="1"/>
  <c r="LM20" i="1"/>
  <c r="LO20" i="1" s="1"/>
  <c r="LU20" i="1" s="1"/>
  <c r="LW20" i="1" s="1"/>
  <c r="MC20" i="1" s="1"/>
  <c r="ME20" i="1" s="1"/>
  <c r="MK20" i="1" s="1"/>
  <c r="MM20" i="1" s="1"/>
  <c r="MS20" i="1" s="1"/>
  <c r="MU20" i="1" s="1"/>
  <c r="NA20" i="1" s="1"/>
  <c r="NC20" i="1" s="1"/>
  <c r="NI20" i="1" s="1"/>
  <c r="NK20" i="1" s="1"/>
  <c r="NQ20" i="1" s="1"/>
  <c r="NS20" i="1" s="1"/>
  <c r="NY20" i="1" s="1"/>
  <c r="OA20" i="1" s="1"/>
  <c r="OG20" i="1" s="1"/>
  <c r="OI20" i="1" s="1"/>
  <c r="OO20" i="1" s="1"/>
  <c r="OQ20" i="1" s="1"/>
  <c r="OW20" i="1" s="1"/>
  <c r="OY20" i="1" s="1"/>
  <c r="PE20" i="1" s="1"/>
  <c r="PG20" i="1" s="1"/>
  <c r="PM20" i="1" s="1"/>
  <c r="PO20" i="1" s="1"/>
  <c r="PU20" i="1" s="1"/>
  <c r="PW20" i="1" s="1"/>
  <c r="QC20" i="1" s="1"/>
  <c r="QE20" i="1" s="1"/>
  <c r="QK20" i="1" s="1"/>
  <c r="QM20" i="1" s="1"/>
  <c r="QS20" i="1" s="1"/>
  <c r="QU20" i="1" s="1"/>
  <c r="LM32" i="1"/>
  <c r="LO32" i="1" s="1"/>
  <c r="LU32" i="1" s="1"/>
  <c r="LW32" i="1" s="1"/>
  <c r="MC32" i="1" s="1"/>
  <c r="ME32" i="1" s="1"/>
  <c r="MK32" i="1" s="1"/>
  <c r="MM32" i="1" s="1"/>
  <c r="MS32" i="1" s="1"/>
  <c r="MU32" i="1" s="1"/>
  <c r="NA32" i="1" s="1"/>
  <c r="NC32" i="1" s="1"/>
  <c r="NI32" i="1" s="1"/>
  <c r="NK32" i="1" s="1"/>
  <c r="NQ32" i="1" s="1"/>
  <c r="NS32" i="1" s="1"/>
  <c r="NY32" i="1" s="1"/>
  <c r="OA32" i="1" s="1"/>
  <c r="OG32" i="1" s="1"/>
  <c r="OI32" i="1" s="1"/>
  <c r="OO32" i="1" s="1"/>
  <c r="OQ32" i="1" s="1"/>
  <c r="OW32" i="1" s="1"/>
  <c r="OY32" i="1" s="1"/>
  <c r="PE32" i="1" s="1"/>
  <c r="PG32" i="1" s="1"/>
  <c r="PM32" i="1" s="1"/>
  <c r="PO32" i="1" s="1"/>
  <c r="PU32" i="1" s="1"/>
  <c r="PW32" i="1" s="1"/>
  <c r="QC32" i="1" s="1"/>
  <c r="QE32" i="1" s="1"/>
  <c r="QK32" i="1" s="1"/>
  <c r="QM32" i="1" s="1"/>
  <c r="QS32" i="1" s="1"/>
  <c r="QU32" i="1" s="1"/>
  <c r="LM46" i="1"/>
  <c r="LO46" i="1" s="1"/>
  <c r="LU46" i="1" s="1"/>
  <c r="LW46" i="1" s="1"/>
  <c r="MC46" i="1" s="1"/>
  <c r="ME46" i="1" s="1"/>
  <c r="MK46" i="1" s="1"/>
  <c r="MM46" i="1" s="1"/>
  <c r="MS46" i="1" s="1"/>
  <c r="MU46" i="1" s="1"/>
  <c r="NA46" i="1" s="1"/>
  <c r="NC46" i="1" s="1"/>
  <c r="NI46" i="1" s="1"/>
  <c r="NK46" i="1" s="1"/>
  <c r="NQ46" i="1" s="1"/>
  <c r="NS46" i="1" s="1"/>
  <c r="NY46" i="1" s="1"/>
  <c r="OA46" i="1" s="1"/>
  <c r="OG46" i="1" s="1"/>
  <c r="OI46" i="1" s="1"/>
  <c r="OO46" i="1" s="1"/>
  <c r="OQ46" i="1" s="1"/>
  <c r="OW46" i="1" s="1"/>
  <c r="OY46" i="1" s="1"/>
  <c r="PE46" i="1" s="1"/>
  <c r="PG46" i="1" s="1"/>
  <c r="PM46" i="1" s="1"/>
  <c r="PO46" i="1" s="1"/>
  <c r="PU46" i="1" s="1"/>
  <c r="PW46" i="1" s="1"/>
  <c r="QC46" i="1" s="1"/>
  <c r="QE46" i="1" s="1"/>
  <c r="QK46" i="1" s="1"/>
  <c r="QM46" i="1" s="1"/>
  <c r="QS46" i="1" s="1"/>
  <c r="QU46" i="1" s="1"/>
  <c r="LM53" i="1"/>
  <c r="LO53" i="1" s="1"/>
  <c r="LU53" i="1" s="1"/>
  <c r="LW53" i="1" s="1"/>
  <c r="MC53" i="1" s="1"/>
  <c r="ME53" i="1" s="1"/>
  <c r="MK53" i="1" s="1"/>
  <c r="MM53" i="1" s="1"/>
  <c r="MS53" i="1" s="1"/>
  <c r="MU53" i="1" s="1"/>
  <c r="NA53" i="1" s="1"/>
  <c r="NC53" i="1" s="1"/>
  <c r="NI53" i="1" s="1"/>
  <c r="NK53" i="1" s="1"/>
  <c r="NQ53" i="1" s="1"/>
  <c r="NS53" i="1" s="1"/>
  <c r="NY53" i="1" s="1"/>
  <c r="OA53" i="1" s="1"/>
  <c r="OG53" i="1" s="1"/>
  <c r="OI53" i="1" s="1"/>
  <c r="OO53" i="1" s="1"/>
  <c r="OQ53" i="1" s="1"/>
  <c r="OW53" i="1" s="1"/>
  <c r="OY53" i="1" s="1"/>
  <c r="PE53" i="1" s="1"/>
  <c r="PG53" i="1" s="1"/>
  <c r="PM53" i="1" s="1"/>
  <c r="PO53" i="1" s="1"/>
  <c r="PU53" i="1" s="1"/>
  <c r="PW53" i="1" s="1"/>
  <c r="QC53" i="1" s="1"/>
  <c r="QE53" i="1" s="1"/>
  <c r="QK53" i="1" s="1"/>
  <c r="QM53" i="1" s="1"/>
  <c r="QS53" i="1" s="1"/>
  <c r="QU53" i="1" s="1"/>
  <c r="LM31" i="1"/>
  <c r="LO31" i="1" s="1"/>
  <c r="LU31" i="1" s="1"/>
  <c r="LW31" i="1" s="1"/>
  <c r="MC31" i="1" s="1"/>
  <c r="ME31" i="1" s="1"/>
  <c r="MK31" i="1" s="1"/>
  <c r="MM31" i="1" s="1"/>
  <c r="MS31" i="1" s="1"/>
  <c r="MU31" i="1" s="1"/>
  <c r="NA31" i="1" s="1"/>
  <c r="NC31" i="1" s="1"/>
  <c r="NI31" i="1" s="1"/>
  <c r="NK31" i="1" s="1"/>
  <c r="NQ31" i="1" s="1"/>
  <c r="NS31" i="1" s="1"/>
  <c r="NY31" i="1" s="1"/>
  <c r="OA31" i="1" s="1"/>
  <c r="OG31" i="1" s="1"/>
  <c r="OI31" i="1" s="1"/>
  <c r="OO31" i="1" s="1"/>
  <c r="OQ31" i="1" s="1"/>
  <c r="OW31" i="1" s="1"/>
  <c r="OY31" i="1" s="1"/>
  <c r="PE31" i="1" s="1"/>
  <c r="PG31" i="1" s="1"/>
  <c r="PM31" i="1" s="1"/>
  <c r="PO31" i="1" s="1"/>
  <c r="PU31" i="1" s="1"/>
  <c r="PW31" i="1" s="1"/>
  <c r="QC31" i="1" s="1"/>
  <c r="QE31" i="1" s="1"/>
  <c r="QK31" i="1" s="1"/>
  <c r="QM31" i="1" s="1"/>
  <c r="QS31" i="1" s="1"/>
  <c r="QU31" i="1" s="1"/>
  <c r="LM36" i="1"/>
  <c r="LO36" i="1" s="1"/>
  <c r="LU36" i="1" s="1"/>
  <c r="LW36" i="1" s="1"/>
  <c r="MC36" i="1" s="1"/>
  <c r="ME36" i="1" s="1"/>
  <c r="MK36" i="1" s="1"/>
  <c r="MM36" i="1" s="1"/>
  <c r="MS36" i="1" s="1"/>
  <c r="MU36" i="1" s="1"/>
  <c r="NA36" i="1" s="1"/>
  <c r="NC36" i="1" s="1"/>
  <c r="NI36" i="1" s="1"/>
  <c r="NK36" i="1" s="1"/>
  <c r="NQ36" i="1" s="1"/>
  <c r="NS36" i="1" s="1"/>
  <c r="NY36" i="1" s="1"/>
  <c r="OA36" i="1" s="1"/>
  <c r="OG36" i="1" s="1"/>
  <c r="OI36" i="1" s="1"/>
  <c r="OO36" i="1" s="1"/>
  <c r="OQ36" i="1" s="1"/>
  <c r="OW36" i="1" s="1"/>
  <c r="OY36" i="1" s="1"/>
  <c r="PE36" i="1" s="1"/>
  <c r="PG36" i="1" s="1"/>
  <c r="PM36" i="1" s="1"/>
  <c r="PO36" i="1" s="1"/>
  <c r="PU36" i="1" s="1"/>
  <c r="PW36" i="1" s="1"/>
  <c r="QC36" i="1" s="1"/>
  <c r="QE36" i="1" s="1"/>
  <c r="QK36" i="1" s="1"/>
  <c r="QM36" i="1" s="1"/>
  <c r="QS36" i="1" s="1"/>
  <c r="QU36" i="1" s="1"/>
  <c r="QV51" i="1"/>
  <c r="LM21" i="1"/>
  <c r="LO21" i="1" s="1"/>
  <c r="LU21" i="1" s="1"/>
  <c r="LW21" i="1" s="1"/>
  <c r="MC21" i="1" s="1"/>
  <c r="ME21" i="1" s="1"/>
  <c r="MK21" i="1" s="1"/>
  <c r="MM21" i="1" s="1"/>
  <c r="MS21" i="1" s="1"/>
  <c r="MU21" i="1" s="1"/>
  <c r="NA21" i="1" s="1"/>
  <c r="NC21" i="1" s="1"/>
  <c r="NI21" i="1" s="1"/>
  <c r="NK21" i="1" s="1"/>
  <c r="NQ21" i="1" s="1"/>
  <c r="NS21" i="1" s="1"/>
  <c r="NY21" i="1" s="1"/>
  <c r="OA21" i="1" s="1"/>
  <c r="OG21" i="1" s="1"/>
  <c r="OI21" i="1" s="1"/>
  <c r="OO21" i="1" s="1"/>
  <c r="OQ21" i="1" s="1"/>
  <c r="OW21" i="1" s="1"/>
  <c r="OY21" i="1" s="1"/>
  <c r="PE21" i="1" s="1"/>
  <c r="PG21" i="1" s="1"/>
  <c r="PM21" i="1" s="1"/>
  <c r="PO21" i="1" s="1"/>
  <c r="PU21" i="1" s="1"/>
  <c r="PW21" i="1" s="1"/>
  <c r="QC21" i="1" s="1"/>
  <c r="QE21" i="1" s="1"/>
  <c r="QK21" i="1" s="1"/>
  <c r="QM21" i="1" s="1"/>
  <c r="QS21" i="1" s="1"/>
  <c r="QU21" i="1" s="1"/>
  <c r="LM58" i="1"/>
  <c r="LO58" i="1" s="1"/>
  <c r="LU58" i="1" s="1"/>
  <c r="LW58" i="1" s="1"/>
  <c r="MC58" i="1" s="1"/>
  <c r="ME58" i="1" s="1"/>
  <c r="MK58" i="1" s="1"/>
  <c r="MM58" i="1" s="1"/>
  <c r="MS58" i="1" s="1"/>
  <c r="MU58" i="1" s="1"/>
  <c r="NA58" i="1" s="1"/>
  <c r="NC58" i="1" s="1"/>
  <c r="NI58" i="1" s="1"/>
  <c r="NK58" i="1" s="1"/>
  <c r="NQ58" i="1" s="1"/>
  <c r="NS58" i="1" s="1"/>
  <c r="NY58" i="1" s="1"/>
  <c r="OA58" i="1" s="1"/>
  <c r="OG58" i="1" s="1"/>
  <c r="OI58" i="1" s="1"/>
  <c r="OO58" i="1" s="1"/>
  <c r="OQ58" i="1" s="1"/>
  <c r="OW58" i="1" s="1"/>
  <c r="OY58" i="1" s="1"/>
  <c r="PE58" i="1" s="1"/>
  <c r="PG58" i="1" s="1"/>
  <c r="PM58" i="1" s="1"/>
  <c r="PO58" i="1" s="1"/>
  <c r="PU58" i="1" s="1"/>
  <c r="PW58" i="1" s="1"/>
  <c r="QC58" i="1" s="1"/>
  <c r="QE58" i="1" s="1"/>
  <c r="QK58" i="1" s="1"/>
  <c r="QM58" i="1" s="1"/>
  <c r="QS58" i="1" s="1"/>
  <c r="QU58" i="1" s="1"/>
  <c r="LM35" i="1"/>
  <c r="LO35" i="1" s="1"/>
  <c r="LU35" i="1" s="1"/>
  <c r="LW35" i="1" s="1"/>
  <c r="MC35" i="1" s="1"/>
  <c r="ME35" i="1" s="1"/>
  <c r="MK35" i="1" s="1"/>
  <c r="MM35" i="1" s="1"/>
  <c r="MS35" i="1" s="1"/>
  <c r="MU35" i="1" s="1"/>
  <c r="NA35" i="1" s="1"/>
  <c r="NC35" i="1" s="1"/>
  <c r="NI35" i="1" s="1"/>
  <c r="NK35" i="1" s="1"/>
  <c r="NQ35" i="1" s="1"/>
  <c r="NS35" i="1" s="1"/>
  <c r="NY35" i="1" s="1"/>
  <c r="OA35" i="1" s="1"/>
  <c r="OG35" i="1" s="1"/>
  <c r="OI35" i="1" s="1"/>
  <c r="OO35" i="1" s="1"/>
  <c r="OQ35" i="1" s="1"/>
  <c r="OW35" i="1" s="1"/>
  <c r="OY35" i="1" s="1"/>
  <c r="PE35" i="1" s="1"/>
  <c r="PG35" i="1" s="1"/>
  <c r="PM35" i="1" s="1"/>
  <c r="PO35" i="1" s="1"/>
  <c r="PU35" i="1" s="1"/>
  <c r="PW35" i="1" s="1"/>
  <c r="QC35" i="1" s="1"/>
  <c r="QE35" i="1" s="1"/>
  <c r="QK35" i="1" s="1"/>
  <c r="QM35" i="1" s="1"/>
  <c r="QS35" i="1" s="1"/>
  <c r="QU35" i="1" s="1"/>
  <c r="LM25" i="1"/>
  <c r="LO25" i="1" s="1"/>
  <c r="LU25" i="1" s="1"/>
  <c r="LW25" i="1" s="1"/>
  <c r="MC25" i="1" s="1"/>
  <c r="ME25" i="1" s="1"/>
  <c r="MK25" i="1" s="1"/>
  <c r="MM25" i="1" s="1"/>
  <c r="MS25" i="1" s="1"/>
  <c r="MU25" i="1" s="1"/>
  <c r="NA25" i="1" s="1"/>
  <c r="NC25" i="1" s="1"/>
  <c r="NI25" i="1" s="1"/>
  <c r="NK25" i="1" s="1"/>
  <c r="NQ25" i="1" s="1"/>
  <c r="NS25" i="1" s="1"/>
  <c r="NY25" i="1" s="1"/>
  <c r="OA25" i="1" s="1"/>
  <c r="OG25" i="1" s="1"/>
  <c r="OI25" i="1" s="1"/>
  <c r="OO25" i="1" s="1"/>
  <c r="OQ25" i="1" s="1"/>
  <c r="OW25" i="1" s="1"/>
  <c r="OY25" i="1" s="1"/>
  <c r="PE25" i="1" s="1"/>
  <c r="PG25" i="1" s="1"/>
  <c r="PM25" i="1" s="1"/>
  <c r="PO25" i="1" s="1"/>
  <c r="PU25" i="1" s="1"/>
  <c r="PW25" i="1" s="1"/>
  <c r="QC25" i="1" s="1"/>
  <c r="QE25" i="1" s="1"/>
  <c r="QK25" i="1" s="1"/>
  <c r="QM25" i="1" s="1"/>
  <c r="QS25" i="1" s="1"/>
  <c r="QU25" i="1" s="1"/>
  <c r="LM50" i="1"/>
  <c r="LO50" i="1" s="1"/>
  <c r="LU50" i="1" s="1"/>
  <c r="LW50" i="1" s="1"/>
  <c r="MC50" i="1" s="1"/>
  <c r="ME50" i="1" s="1"/>
  <c r="MK50" i="1" s="1"/>
  <c r="MM50" i="1" s="1"/>
  <c r="MS50" i="1" s="1"/>
  <c r="MU50" i="1" s="1"/>
  <c r="NA50" i="1" s="1"/>
  <c r="NC50" i="1" s="1"/>
  <c r="NI50" i="1" s="1"/>
  <c r="NK50" i="1" s="1"/>
  <c r="NQ50" i="1" s="1"/>
  <c r="NS50" i="1" s="1"/>
  <c r="NY50" i="1" s="1"/>
  <c r="OA50" i="1" s="1"/>
  <c r="OG50" i="1" s="1"/>
  <c r="OI50" i="1" s="1"/>
  <c r="OO50" i="1" s="1"/>
  <c r="OQ50" i="1" s="1"/>
  <c r="OW50" i="1" s="1"/>
  <c r="OY50" i="1" s="1"/>
  <c r="PE50" i="1" s="1"/>
  <c r="PG50" i="1" s="1"/>
  <c r="PM50" i="1" s="1"/>
  <c r="PO50" i="1" s="1"/>
  <c r="PU50" i="1" s="1"/>
  <c r="PW50" i="1" s="1"/>
  <c r="QC50" i="1" s="1"/>
  <c r="QE50" i="1" s="1"/>
  <c r="QK50" i="1" s="1"/>
  <c r="QM50" i="1" s="1"/>
  <c r="QS50" i="1" s="1"/>
  <c r="QU50" i="1" s="1"/>
  <c r="LM76" i="1"/>
  <c r="LO76" i="1" s="1"/>
  <c r="LU76" i="1" s="1"/>
  <c r="LW76" i="1" s="1"/>
  <c r="MC76" i="1" s="1"/>
  <c r="ME76" i="1" s="1"/>
  <c r="MK76" i="1" s="1"/>
  <c r="MM76" i="1" s="1"/>
  <c r="MS76" i="1" s="1"/>
  <c r="MU76" i="1" s="1"/>
  <c r="NA76" i="1" s="1"/>
  <c r="NC76" i="1" s="1"/>
  <c r="NI76" i="1" s="1"/>
  <c r="NK76" i="1" s="1"/>
  <c r="NQ76" i="1" s="1"/>
  <c r="NS76" i="1" s="1"/>
  <c r="NY76" i="1" s="1"/>
  <c r="OA76" i="1" s="1"/>
  <c r="OG76" i="1" s="1"/>
  <c r="OI76" i="1" s="1"/>
  <c r="OO76" i="1" s="1"/>
  <c r="OQ76" i="1" s="1"/>
  <c r="OW76" i="1" s="1"/>
  <c r="OY76" i="1" s="1"/>
  <c r="PE76" i="1" s="1"/>
  <c r="PG76" i="1" s="1"/>
  <c r="PM76" i="1" s="1"/>
  <c r="PO76" i="1" s="1"/>
  <c r="PU76" i="1" s="1"/>
  <c r="PW76" i="1" s="1"/>
  <c r="QC76" i="1" s="1"/>
  <c r="QE76" i="1" s="1"/>
  <c r="QK76" i="1" s="1"/>
  <c r="QM76" i="1" s="1"/>
  <c r="QS76" i="1" s="1"/>
  <c r="QU76" i="1" s="1"/>
  <c r="LM13" i="1"/>
  <c r="LO13" i="1" s="1"/>
  <c r="LU13" i="1" s="1"/>
  <c r="LW13" i="1" s="1"/>
  <c r="MC13" i="1" s="1"/>
  <c r="ME13" i="1" s="1"/>
  <c r="MK13" i="1" s="1"/>
  <c r="MM13" i="1" s="1"/>
  <c r="MS13" i="1" s="1"/>
  <c r="MU13" i="1" s="1"/>
  <c r="NA13" i="1" s="1"/>
  <c r="NC13" i="1" s="1"/>
  <c r="NI13" i="1" s="1"/>
  <c r="NK13" i="1" s="1"/>
  <c r="NQ13" i="1" s="1"/>
  <c r="NS13" i="1" s="1"/>
  <c r="NY13" i="1" s="1"/>
  <c r="OA13" i="1" s="1"/>
  <c r="OG13" i="1" s="1"/>
  <c r="OI13" i="1" s="1"/>
  <c r="OO13" i="1" s="1"/>
  <c r="OQ13" i="1" s="1"/>
  <c r="OW13" i="1" s="1"/>
  <c r="OY13" i="1" s="1"/>
  <c r="PE13" i="1" s="1"/>
  <c r="PG13" i="1" s="1"/>
  <c r="PM13" i="1" s="1"/>
  <c r="PO13" i="1" s="1"/>
  <c r="PU13" i="1" s="1"/>
  <c r="PW13" i="1" s="1"/>
  <c r="QC13" i="1" s="1"/>
  <c r="QE13" i="1" s="1"/>
  <c r="QK13" i="1" s="1"/>
  <c r="QM13" i="1" s="1"/>
  <c r="QS13" i="1" s="1"/>
  <c r="QU13" i="1" s="1"/>
  <c r="LM74" i="1"/>
  <c r="LO74" i="1" s="1"/>
  <c r="LU74" i="1" s="1"/>
  <c r="LW74" i="1" s="1"/>
  <c r="MC74" i="1" s="1"/>
  <c r="ME74" i="1" s="1"/>
  <c r="MK74" i="1" s="1"/>
  <c r="MM74" i="1" s="1"/>
  <c r="MS74" i="1" s="1"/>
  <c r="MU74" i="1" s="1"/>
  <c r="NA74" i="1" s="1"/>
  <c r="NC74" i="1" s="1"/>
  <c r="NI74" i="1" s="1"/>
  <c r="NK74" i="1" s="1"/>
  <c r="NQ74" i="1" s="1"/>
  <c r="NS74" i="1" s="1"/>
  <c r="NY74" i="1" s="1"/>
  <c r="OA74" i="1" s="1"/>
  <c r="OG74" i="1" s="1"/>
  <c r="OI74" i="1" s="1"/>
  <c r="OO74" i="1" s="1"/>
  <c r="OQ74" i="1" s="1"/>
  <c r="OW74" i="1" s="1"/>
  <c r="OY74" i="1" s="1"/>
  <c r="PE74" i="1" s="1"/>
  <c r="PG74" i="1" s="1"/>
  <c r="PM74" i="1" s="1"/>
  <c r="PO74" i="1" s="1"/>
  <c r="PU74" i="1" s="1"/>
  <c r="PW74" i="1" s="1"/>
  <c r="QC74" i="1" s="1"/>
  <c r="QE74" i="1" s="1"/>
  <c r="QK74" i="1" s="1"/>
  <c r="QM74" i="1" s="1"/>
  <c r="QS74" i="1" s="1"/>
  <c r="QU74" i="1" s="1"/>
  <c r="LM22" i="1"/>
  <c r="LO22" i="1" s="1"/>
  <c r="LU22" i="1" s="1"/>
  <c r="LW22" i="1" s="1"/>
  <c r="MC22" i="1" s="1"/>
  <c r="ME22" i="1" s="1"/>
  <c r="MK22" i="1" s="1"/>
  <c r="MM22" i="1" s="1"/>
  <c r="MS22" i="1" s="1"/>
  <c r="MU22" i="1" s="1"/>
  <c r="NA22" i="1" s="1"/>
  <c r="NC22" i="1" s="1"/>
  <c r="NI22" i="1" s="1"/>
  <c r="NK22" i="1" s="1"/>
  <c r="NQ22" i="1" s="1"/>
  <c r="NS22" i="1" s="1"/>
  <c r="NY22" i="1" s="1"/>
  <c r="OA22" i="1" s="1"/>
  <c r="OG22" i="1" s="1"/>
  <c r="OI22" i="1" s="1"/>
  <c r="OO22" i="1" s="1"/>
  <c r="OQ22" i="1" s="1"/>
  <c r="OW22" i="1" s="1"/>
  <c r="OY22" i="1" s="1"/>
  <c r="PE22" i="1" s="1"/>
  <c r="PG22" i="1" s="1"/>
  <c r="PM22" i="1" s="1"/>
  <c r="PO22" i="1" s="1"/>
  <c r="PU22" i="1" s="1"/>
  <c r="PW22" i="1" s="1"/>
  <c r="QC22" i="1" s="1"/>
  <c r="QE22" i="1" s="1"/>
  <c r="QK22" i="1" s="1"/>
  <c r="QM22" i="1" s="1"/>
  <c r="QS22" i="1" s="1"/>
  <c r="QU22" i="1" s="1"/>
  <c r="LM26" i="1"/>
  <c r="LO26" i="1" s="1"/>
  <c r="LU26" i="1" s="1"/>
  <c r="LW26" i="1" s="1"/>
  <c r="MC26" i="1" s="1"/>
  <c r="ME26" i="1" s="1"/>
  <c r="MK26" i="1" s="1"/>
  <c r="MM26" i="1" s="1"/>
  <c r="MS26" i="1" s="1"/>
  <c r="MU26" i="1" s="1"/>
  <c r="NA26" i="1" s="1"/>
  <c r="NC26" i="1" s="1"/>
  <c r="NI26" i="1" s="1"/>
  <c r="NK26" i="1" s="1"/>
  <c r="NQ26" i="1" s="1"/>
  <c r="NS26" i="1" s="1"/>
  <c r="NY26" i="1" s="1"/>
  <c r="OA26" i="1" s="1"/>
  <c r="OG26" i="1" s="1"/>
  <c r="OI26" i="1" s="1"/>
  <c r="OO26" i="1" s="1"/>
  <c r="OQ26" i="1" s="1"/>
  <c r="OW26" i="1" s="1"/>
  <c r="OY26" i="1" s="1"/>
  <c r="PE26" i="1" s="1"/>
  <c r="PG26" i="1" s="1"/>
  <c r="PM26" i="1" s="1"/>
  <c r="PO26" i="1" s="1"/>
  <c r="PU26" i="1" s="1"/>
  <c r="PW26" i="1" s="1"/>
  <c r="QC26" i="1" s="1"/>
  <c r="QE26" i="1" s="1"/>
  <c r="QK26" i="1" s="1"/>
  <c r="QM26" i="1" s="1"/>
  <c r="QS26" i="1" s="1"/>
  <c r="QU26" i="1" s="1"/>
  <c r="LM30" i="1"/>
  <c r="LO30" i="1" s="1"/>
  <c r="LU30" i="1" s="1"/>
  <c r="LW30" i="1" s="1"/>
  <c r="MC30" i="1" s="1"/>
  <c r="ME30" i="1" s="1"/>
  <c r="MK30" i="1" s="1"/>
  <c r="MM30" i="1" s="1"/>
  <c r="MS30" i="1" s="1"/>
  <c r="MU30" i="1" s="1"/>
  <c r="NA30" i="1" s="1"/>
  <c r="NC30" i="1" s="1"/>
  <c r="NI30" i="1" s="1"/>
  <c r="NK30" i="1" s="1"/>
  <c r="NQ30" i="1" s="1"/>
  <c r="NS30" i="1" s="1"/>
  <c r="NY30" i="1" s="1"/>
  <c r="OA30" i="1" s="1"/>
  <c r="OG30" i="1" s="1"/>
  <c r="OI30" i="1" s="1"/>
  <c r="OO30" i="1" s="1"/>
  <c r="OQ30" i="1" s="1"/>
  <c r="OW30" i="1" s="1"/>
  <c r="OY30" i="1" s="1"/>
  <c r="PE30" i="1" s="1"/>
  <c r="PG30" i="1" s="1"/>
  <c r="PM30" i="1" s="1"/>
  <c r="PO30" i="1" s="1"/>
  <c r="PU30" i="1" s="1"/>
  <c r="PW30" i="1" s="1"/>
  <c r="QC30" i="1" s="1"/>
  <c r="QE30" i="1" s="1"/>
  <c r="QK30" i="1" s="1"/>
  <c r="QM30" i="1" s="1"/>
  <c r="QS30" i="1" s="1"/>
  <c r="QU30" i="1" s="1"/>
  <c r="LM75" i="1"/>
  <c r="LO75" i="1" s="1"/>
  <c r="LU75" i="1" s="1"/>
  <c r="LW75" i="1" s="1"/>
  <c r="MC75" i="1" s="1"/>
  <c r="ME75" i="1" s="1"/>
  <c r="MK75" i="1" s="1"/>
  <c r="MM75" i="1" s="1"/>
  <c r="MS75" i="1" s="1"/>
  <c r="MU75" i="1" s="1"/>
  <c r="NA75" i="1" s="1"/>
  <c r="NC75" i="1" s="1"/>
  <c r="NI75" i="1" s="1"/>
  <c r="NK75" i="1" s="1"/>
  <c r="NQ75" i="1" s="1"/>
  <c r="NS75" i="1" s="1"/>
  <c r="NY75" i="1" s="1"/>
  <c r="OA75" i="1" s="1"/>
  <c r="OG75" i="1" s="1"/>
  <c r="OI75" i="1" s="1"/>
  <c r="OO75" i="1" s="1"/>
  <c r="OQ75" i="1" s="1"/>
  <c r="OW75" i="1" s="1"/>
  <c r="OY75" i="1" s="1"/>
  <c r="PE75" i="1" s="1"/>
  <c r="PG75" i="1" s="1"/>
  <c r="PM75" i="1" s="1"/>
  <c r="PO75" i="1" s="1"/>
  <c r="PU75" i="1" s="1"/>
  <c r="PW75" i="1" s="1"/>
  <c r="QC75" i="1" s="1"/>
  <c r="QE75" i="1" s="1"/>
  <c r="QK75" i="1" s="1"/>
  <c r="QM75" i="1" s="1"/>
  <c r="QS75" i="1" s="1"/>
  <c r="QU75" i="1" s="1"/>
  <c r="LM68" i="1"/>
  <c r="LO68" i="1" s="1"/>
  <c r="LU68" i="1" s="1"/>
  <c r="LW68" i="1" s="1"/>
  <c r="MC68" i="1" s="1"/>
  <c r="ME68" i="1" s="1"/>
  <c r="MK68" i="1" s="1"/>
  <c r="MM68" i="1" s="1"/>
  <c r="MS68" i="1" s="1"/>
  <c r="MU68" i="1" s="1"/>
  <c r="NA68" i="1" s="1"/>
  <c r="NC68" i="1" s="1"/>
  <c r="NI68" i="1" s="1"/>
  <c r="NK68" i="1" s="1"/>
  <c r="NQ68" i="1" s="1"/>
  <c r="NS68" i="1" s="1"/>
  <c r="NY68" i="1" s="1"/>
  <c r="OA68" i="1" s="1"/>
  <c r="OG68" i="1" s="1"/>
  <c r="OI68" i="1" s="1"/>
  <c r="OO68" i="1" s="1"/>
  <c r="OQ68" i="1" s="1"/>
  <c r="OW68" i="1" s="1"/>
  <c r="OY68" i="1" s="1"/>
  <c r="PE68" i="1" s="1"/>
  <c r="PG68" i="1" s="1"/>
  <c r="PM68" i="1" s="1"/>
  <c r="PO68" i="1" s="1"/>
  <c r="PU68" i="1" s="1"/>
  <c r="PW68" i="1" s="1"/>
  <c r="QC68" i="1" s="1"/>
  <c r="QE68" i="1" s="1"/>
  <c r="QK68" i="1" s="1"/>
  <c r="QM68" i="1" s="1"/>
  <c r="QS68" i="1" s="1"/>
  <c r="QU68" i="1" s="1"/>
  <c r="LM69" i="1"/>
  <c r="LO69" i="1" s="1"/>
  <c r="LU69" i="1" s="1"/>
  <c r="LW69" i="1" s="1"/>
  <c r="MC69" i="1" s="1"/>
  <c r="ME69" i="1" s="1"/>
  <c r="MK69" i="1" s="1"/>
  <c r="MM69" i="1" s="1"/>
  <c r="MS69" i="1" s="1"/>
  <c r="MU69" i="1" s="1"/>
  <c r="NA69" i="1" s="1"/>
  <c r="NC69" i="1" s="1"/>
  <c r="NI69" i="1" s="1"/>
  <c r="NK69" i="1" s="1"/>
  <c r="NQ69" i="1" s="1"/>
  <c r="NS69" i="1" s="1"/>
  <c r="NY69" i="1" s="1"/>
  <c r="OA69" i="1" s="1"/>
  <c r="OG69" i="1" s="1"/>
  <c r="OI69" i="1" s="1"/>
  <c r="OO69" i="1" s="1"/>
  <c r="OQ69" i="1" s="1"/>
  <c r="OW69" i="1" s="1"/>
  <c r="OY69" i="1" s="1"/>
  <c r="PE69" i="1" s="1"/>
  <c r="PG69" i="1" s="1"/>
  <c r="PM69" i="1" s="1"/>
  <c r="PO69" i="1" s="1"/>
  <c r="PU69" i="1" s="1"/>
  <c r="PW69" i="1" s="1"/>
  <c r="QC69" i="1" s="1"/>
  <c r="QE69" i="1" s="1"/>
  <c r="QK69" i="1" s="1"/>
  <c r="QM69" i="1" s="1"/>
  <c r="QS69" i="1" s="1"/>
  <c r="QU69" i="1" s="1"/>
  <c r="LM47" i="1"/>
  <c r="LO47" i="1" s="1"/>
  <c r="LU47" i="1" s="1"/>
  <c r="LW47" i="1" s="1"/>
  <c r="MC47" i="1" s="1"/>
  <c r="ME47" i="1" s="1"/>
  <c r="MK47" i="1" s="1"/>
  <c r="MM47" i="1" s="1"/>
  <c r="MS47" i="1" s="1"/>
  <c r="MU47" i="1" s="1"/>
  <c r="NA47" i="1" s="1"/>
  <c r="NC47" i="1" s="1"/>
  <c r="NI47" i="1" s="1"/>
  <c r="NK47" i="1" s="1"/>
  <c r="NQ47" i="1" s="1"/>
  <c r="NS47" i="1" s="1"/>
  <c r="NY47" i="1" s="1"/>
  <c r="OA47" i="1" s="1"/>
  <c r="OG47" i="1" s="1"/>
  <c r="OI47" i="1" s="1"/>
  <c r="OO47" i="1" s="1"/>
  <c r="OQ47" i="1" s="1"/>
  <c r="OW47" i="1" s="1"/>
  <c r="OY47" i="1" s="1"/>
  <c r="PE47" i="1" s="1"/>
  <c r="PG47" i="1" s="1"/>
  <c r="PM47" i="1" s="1"/>
  <c r="PO47" i="1" s="1"/>
  <c r="PU47" i="1" s="1"/>
  <c r="PW47" i="1" s="1"/>
  <c r="QC47" i="1" s="1"/>
  <c r="QE47" i="1" s="1"/>
  <c r="QK47" i="1" s="1"/>
  <c r="QM47" i="1" s="1"/>
  <c r="QS47" i="1" s="1"/>
  <c r="QU47" i="1" s="1"/>
  <c r="LM56" i="1"/>
  <c r="LO56" i="1" s="1"/>
  <c r="LU56" i="1" s="1"/>
  <c r="LW56" i="1" s="1"/>
  <c r="MC56" i="1" s="1"/>
  <c r="ME56" i="1" s="1"/>
  <c r="MK56" i="1" s="1"/>
  <c r="MM56" i="1" s="1"/>
  <c r="MS56" i="1" s="1"/>
  <c r="MU56" i="1" s="1"/>
  <c r="NA56" i="1" s="1"/>
  <c r="NC56" i="1" s="1"/>
  <c r="NI56" i="1" s="1"/>
  <c r="NK56" i="1" s="1"/>
  <c r="NQ56" i="1" s="1"/>
  <c r="NS56" i="1" s="1"/>
  <c r="NY56" i="1" s="1"/>
  <c r="OA56" i="1" s="1"/>
  <c r="OG56" i="1" s="1"/>
  <c r="OI56" i="1" s="1"/>
  <c r="OO56" i="1" s="1"/>
  <c r="OQ56" i="1" s="1"/>
  <c r="OW56" i="1" s="1"/>
  <c r="OY56" i="1" s="1"/>
  <c r="PE56" i="1" s="1"/>
  <c r="PG56" i="1" s="1"/>
  <c r="PM56" i="1" s="1"/>
  <c r="PO56" i="1" s="1"/>
  <c r="PU56" i="1" s="1"/>
  <c r="PW56" i="1" s="1"/>
  <c r="QC56" i="1" s="1"/>
  <c r="QE56" i="1" s="1"/>
  <c r="QK56" i="1" s="1"/>
  <c r="QM56" i="1" s="1"/>
  <c r="QS56" i="1" s="1"/>
  <c r="QU56" i="1" s="1"/>
  <c r="LM70" i="1"/>
  <c r="LO70" i="1" s="1"/>
  <c r="LU70" i="1" s="1"/>
  <c r="LW70" i="1" s="1"/>
  <c r="MC70" i="1" s="1"/>
  <c r="ME70" i="1" s="1"/>
  <c r="MK70" i="1" s="1"/>
  <c r="MM70" i="1" s="1"/>
  <c r="MS70" i="1" s="1"/>
  <c r="MU70" i="1" s="1"/>
  <c r="NA70" i="1" s="1"/>
  <c r="NC70" i="1" s="1"/>
  <c r="NI70" i="1" s="1"/>
  <c r="NK70" i="1" s="1"/>
  <c r="NQ70" i="1" s="1"/>
  <c r="NS70" i="1" s="1"/>
  <c r="NY70" i="1" s="1"/>
  <c r="OA70" i="1" s="1"/>
  <c r="OG70" i="1" s="1"/>
  <c r="OI70" i="1" s="1"/>
  <c r="OO70" i="1" s="1"/>
  <c r="OQ70" i="1" s="1"/>
  <c r="OW70" i="1" s="1"/>
  <c r="OY70" i="1" s="1"/>
  <c r="PE70" i="1" s="1"/>
  <c r="PG70" i="1" s="1"/>
  <c r="PM70" i="1" s="1"/>
  <c r="PO70" i="1" s="1"/>
  <c r="PU70" i="1" s="1"/>
  <c r="PW70" i="1" s="1"/>
  <c r="QC70" i="1" s="1"/>
  <c r="QE70" i="1" s="1"/>
  <c r="QK70" i="1" s="1"/>
  <c r="QM70" i="1" s="1"/>
  <c r="QS70" i="1" s="1"/>
  <c r="QU70" i="1" s="1"/>
  <c r="LM51" i="1"/>
  <c r="LO51" i="1" s="1"/>
  <c r="LU51" i="1" s="1"/>
  <c r="LW51" i="1" s="1"/>
  <c r="MC51" i="1" s="1"/>
  <c r="ME51" i="1" s="1"/>
  <c r="MK51" i="1" s="1"/>
  <c r="MM51" i="1" s="1"/>
  <c r="MS51" i="1" s="1"/>
  <c r="MU51" i="1" s="1"/>
  <c r="NA51" i="1" s="1"/>
  <c r="NC51" i="1" s="1"/>
  <c r="NI51" i="1" s="1"/>
  <c r="NK51" i="1" s="1"/>
  <c r="NQ51" i="1" s="1"/>
  <c r="NS51" i="1" s="1"/>
  <c r="NY51" i="1" s="1"/>
  <c r="OA51" i="1" s="1"/>
  <c r="OG51" i="1" s="1"/>
  <c r="OI51" i="1" s="1"/>
  <c r="OO51" i="1" s="1"/>
  <c r="OQ51" i="1" s="1"/>
  <c r="OW51" i="1" s="1"/>
  <c r="OY51" i="1" s="1"/>
  <c r="PE51" i="1" s="1"/>
  <c r="PG51" i="1" s="1"/>
  <c r="PM51" i="1" s="1"/>
  <c r="PO51" i="1" s="1"/>
  <c r="PU51" i="1" s="1"/>
  <c r="PW51" i="1" s="1"/>
  <c r="QC51" i="1" s="1"/>
  <c r="QE51" i="1" s="1"/>
  <c r="QK51" i="1" s="1"/>
  <c r="QM51" i="1" s="1"/>
  <c r="QS51" i="1" s="1"/>
  <c r="QU51" i="1" s="1"/>
  <c r="LM59" i="1"/>
  <c r="LO59" i="1" s="1"/>
  <c r="LU59" i="1" s="1"/>
  <c r="LW59" i="1" s="1"/>
  <c r="MC59" i="1" s="1"/>
  <c r="ME59" i="1" s="1"/>
  <c r="MK59" i="1" s="1"/>
  <c r="MM59" i="1" s="1"/>
  <c r="MS59" i="1" s="1"/>
  <c r="MU59" i="1" s="1"/>
  <c r="NA59" i="1" s="1"/>
  <c r="NC59" i="1" s="1"/>
  <c r="NI59" i="1" s="1"/>
  <c r="NK59" i="1" s="1"/>
  <c r="NQ59" i="1" s="1"/>
  <c r="NS59" i="1" s="1"/>
  <c r="NY59" i="1" s="1"/>
  <c r="OA59" i="1" s="1"/>
  <c r="OG59" i="1" s="1"/>
  <c r="OI59" i="1" s="1"/>
  <c r="OO59" i="1" s="1"/>
  <c r="OQ59" i="1" s="1"/>
  <c r="OW59" i="1" s="1"/>
  <c r="OY59" i="1" s="1"/>
  <c r="PE59" i="1" s="1"/>
  <c r="PG59" i="1" s="1"/>
  <c r="PM59" i="1" s="1"/>
  <c r="PO59" i="1" s="1"/>
  <c r="PU59" i="1" s="1"/>
  <c r="PW59" i="1" s="1"/>
  <c r="QC59" i="1" s="1"/>
  <c r="QE59" i="1" s="1"/>
  <c r="QK59" i="1" s="1"/>
  <c r="QM59" i="1" s="1"/>
  <c r="QS59" i="1" s="1"/>
  <c r="QU59" i="1" s="1"/>
  <c r="LM57" i="1"/>
  <c r="LO57" i="1" s="1"/>
  <c r="LU57" i="1" s="1"/>
  <c r="LW57" i="1" s="1"/>
  <c r="MC57" i="1" s="1"/>
  <c r="ME57" i="1" s="1"/>
  <c r="MK57" i="1" s="1"/>
  <c r="MM57" i="1" s="1"/>
  <c r="MS57" i="1" s="1"/>
  <c r="MU57" i="1" s="1"/>
  <c r="NA57" i="1" s="1"/>
  <c r="NC57" i="1" s="1"/>
  <c r="NI57" i="1" s="1"/>
  <c r="NK57" i="1" s="1"/>
  <c r="NQ57" i="1" s="1"/>
  <c r="NS57" i="1" s="1"/>
  <c r="NY57" i="1" s="1"/>
  <c r="OA57" i="1" s="1"/>
  <c r="OG57" i="1" s="1"/>
  <c r="OI57" i="1" s="1"/>
  <c r="OO57" i="1" s="1"/>
  <c r="OQ57" i="1" s="1"/>
  <c r="OW57" i="1" s="1"/>
  <c r="OY57" i="1" s="1"/>
  <c r="PE57" i="1" s="1"/>
  <c r="PG57" i="1" s="1"/>
  <c r="PM57" i="1" s="1"/>
  <c r="PO57" i="1" s="1"/>
  <c r="PU57" i="1" s="1"/>
  <c r="PW57" i="1" s="1"/>
  <c r="QC57" i="1" s="1"/>
  <c r="QE57" i="1" s="1"/>
  <c r="QK57" i="1" s="1"/>
  <c r="QM57" i="1" s="1"/>
  <c r="QS57" i="1" s="1"/>
  <c r="QU57" i="1" s="1"/>
  <c r="LM44" i="1"/>
  <c r="LO44" i="1" s="1"/>
  <c r="LU44" i="1" s="1"/>
  <c r="LW44" i="1" s="1"/>
  <c r="MC44" i="1" s="1"/>
  <c r="ME44" i="1" s="1"/>
  <c r="MK44" i="1" s="1"/>
  <c r="MM44" i="1" s="1"/>
  <c r="MS44" i="1" s="1"/>
  <c r="MU44" i="1" s="1"/>
  <c r="NA44" i="1" s="1"/>
  <c r="NC44" i="1" s="1"/>
  <c r="NI44" i="1" s="1"/>
  <c r="NK44" i="1" s="1"/>
  <c r="NQ44" i="1" s="1"/>
  <c r="NS44" i="1" s="1"/>
  <c r="NY44" i="1" s="1"/>
  <c r="OA44" i="1" s="1"/>
  <c r="OG44" i="1" s="1"/>
  <c r="OI44" i="1" s="1"/>
  <c r="OO44" i="1" s="1"/>
  <c r="OQ44" i="1" s="1"/>
  <c r="OW44" i="1" s="1"/>
  <c r="OY44" i="1" s="1"/>
  <c r="PE44" i="1" s="1"/>
  <c r="PG44" i="1" s="1"/>
  <c r="PM44" i="1" s="1"/>
  <c r="PO44" i="1" s="1"/>
  <c r="PU44" i="1" s="1"/>
  <c r="PW44" i="1" s="1"/>
  <c r="QC44" i="1" s="1"/>
  <c r="QE44" i="1" s="1"/>
  <c r="QK44" i="1" s="1"/>
  <c r="QM44" i="1" s="1"/>
  <c r="QS44" i="1" s="1"/>
  <c r="QU44" i="1" s="1"/>
  <c r="LM38" i="1"/>
  <c r="LO38" i="1" s="1"/>
  <c r="LU38" i="1" s="1"/>
  <c r="LW38" i="1" s="1"/>
  <c r="MC38" i="1" s="1"/>
  <c r="ME38" i="1" s="1"/>
  <c r="MK38" i="1" s="1"/>
  <c r="MM38" i="1" s="1"/>
  <c r="MS38" i="1" s="1"/>
  <c r="MU38" i="1" s="1"/>
  <c r="NA38" i="1" s="1"/>
  <c r="NC38" i="1" s="1"/>
  <c r="NI38" i="1" s="1"/>
  <c r="NK38" i="1" s="1"/>
  <c r="NQ38" i="1" s="1"/>
  <c r="NS38" i="1" s="1"/>
  <c r="NY38" i="1" s="1"/>
  <c r="OA38" i="1" s="1"/>
  <c r="OG38" i="1" s="1"/>
  <c r="OI38" i="1" s="1"/>
  <c r="OO38" i="1" s="1"/>
  <c r="OQ38" i="1" s="1"/>
  <c r="OW38" i="1" s="1"/>
  <c r="OY38" i="1" s="1"/>
  <c r="PE38" i="1" s="1"/>
  <c r="PG38" i="1" s="1"/>
  <c r="PM38" i="1" s="1"/>
  <c r="PO38" i="1" s="1"/>
  <c r="PU38" i="1" s="1"/>
  <c r="PW38" i="1" s="1"/>
  <c r="QC38" i="1" s="1"/>
  <c r="QE38" i="1" s="1"/>
  <c r="QK38" i="1" s="1"/>
  <c r="QM38" i="1" s="1"/>
  <c r="QS38" i="1" s="1"/>
  <c r="QU38" i="1" s="1"/>
  <c r="LM48" i="1"/>
  <c r="LO48" i="1" s="1"/>
  <c r="LU48" i="1" s="1"/>
  <c r="LW48" i="1" s="1"/>
  <c r="MC48" i="1" s="1"/>
  <c r="ME48" i="1" s="1"/>
  <c r="MK48" i="1" s="1"/>
  <c r="MM48" i="1" s="1"/>
  <c r="MS48" i="1" s="1"/>
  <c r="MU48" i="1" s="1"/>
  <c r="NA48" i="1" s="1"/>
  <c r="NC48" i="1" s="1"/>
  <c r="NI48" i="1" s="1"/>
  <c r="NK48" i="1" s="1"/>
  <c r="NQ48" i="1" s="1"/>
  <c r="NS48" i="1" s="1"/>
  <c r="NY48" i="1" s="1"/>
  <c r="OA48" i="1" s="1"/>
  <c r="OG48" i="1" s="1"/>
  <c r="OI48" i="1" s="1"/>
  <c r="OO48" i="1" s="1"/>
  <c r="OQ48" i="1" s="1"/>
  <c r="OW48" i="1" s="1"/>
  <c r="OY48" i="1" s="1"/>
  <c r="PE48" i="1" s="1"/>
  <c r="PG48" i="1" s="1"/>
  <c r="PM48" i="1" s="1"/>
  <c r="PO48" i="1" s="1"/>
  <c r="PU48" i="1" s="1"/>
  <c r="PW48" i="1" s="1"/>
  <c r="QC48" i="1" s="1"/>
  <c r="QE48" i="1" s="1"/>
  <c r="QK48" i="1" s="1"/>
  <c r="QM48" i="1" s="1"/>
  <c r="QS48" i="1" s="1"/>
  <c r="QU48" i="1" s="1"/>
  <c r="LM55" i="1"/>
  <c r="LO55" i="1" s="1"/>
  <c r="LU55" i="1" s="1"/>
  <c r="LW55" i="1" s="1"/>
  <c r="MC55" i="1" s="1"/>
  <c r="ME55" i="1" s="1"/>
  <c r="MK55" i="1" s="1"/>
  <c r="MM55" i="1" s="1"/>
  <c r="MS55" i="1" s="1"/>
  <c r="MU55" i="1" s="1"/>
  <c r="NA55" i="1" s="1"/>
  <c r="NC55" i="1" s="1"/>
  <c r="NI55" i="1" s="1"/>
  <c r="NK55" i="1" s="1"/>
  <c r="NQ55" i="1" s="1"/>
  <c r="NS55" i="1" s="1"/>
  <c r="NY55" i="1" s="1"/>
  <c r="OA55" i="1" s="1"/>
  <c r="OG55" i="1" s="1"/>
  <c r="OI55" i="1" s="1"/>
  <c r="OO55" i="1" s="1"/>
  <c r="OQ55" i="1" s="1"/>
  <c r="OW55" i="1" s="1"/>
  <c r="OY55" i="1" s="1"/>
  <c r="PE55" i="1" s="1"/>
  <c r="PG55" i="1" s="1"/>
  <c r="PM55" i="1" s="1"/>
  <c r="PO55" i="1" s="1"/>
  <c r="PU55" i="1" s="1"/>
  <c r="PW55" i="1" s="1"/>
  <c r="QC55" i="1" s="1"/>
  <c r="QE55" i="1" s="1"/>
  <c r="QK55" i="1" s="1"/>
  <c r="QM55" i="1" s="1"/>
  <c r="QS55" i="1" s="1"/>
  <c r="QU55" i="1" s="1"/>
  <c r="LM29" i="1"/>
  <c r="LO29" i="1" s="1"/>
  <c r="LU29" i="1" s="1"/>
  <c r="LW29" i="1" s="1"/>
  <c r="MC29" i="1" s="1"/>
  <c r="ME29" i="1" s="1"/>
  <c r="MK29" i="1" s="1"/>
  <c r="MM29" i="1" s="1"/>
  <c r="MS29" i="1" s="1"/>
  <c r="MU29" i="1" s="1"/>
  <c r="NA29" i="1" s="1"/>
  <c r="NC29" i="1" s="1"/>
  <c r="NI29" i="1" s="1"/>
  <c r="NK29" i="1" s="1"/>
  <c r="NQ29" i="1" s="1"/>
  <c r="NS29" i="1" s="1"/>
  <c r="NY29" i="1" s="1"/>
  <c r="OA29" i="1" s="1"/>
  <c r="OG29" i="1" s="1"/>
  <c r="OI29" i="1" s="1"/>
  <c r="OO29" i="1" s="1"/>
  <c r="OQ29" i="1" s="1"/>
  <c r="OW29" i="1" s="1"/>
  <c r="OY29" i="1" s="1"/>
  <c r="PE29" i="1" s="1"/>
  <c r="PG29" i="1" s="1"/>
  <c r="PM29" i="1" s="1"/>
  <c r="PO29" i="1" s="1"/>
  <c r="PU29" i="1" s="1"/>
  <c r="PW29" i="1" s="1"/>
  <c r="QC29" i="1" s="1"/>
  <c r="QE29" i="1" s="1"/>
  <c r="QK29" i="1" s="1"/>
  <c r="QM29" i="1" s="1"/>
  <c r="QS29" i="1" s="1"/>
  <c r="QU29" i="1" s="1"/>
  <c r="QS63" i="1"/>
  <c r="QU63" i="1" s="1"/>
  <c r="QV23" i="1"/>
  <c r="QW68" i="1"/>
  <c r="QX29" i="1"/>
  <c r="QX12" i="1"/>
  <c r="QV28" i="1"/>
  <c r="QV77" i="1"/>
  <c r="QV60" i="1"/>
  <c r="QV20" i="1"/>
  <c r="QV76" i="1"/>
  <c r="QV19" i="1"/>
  <c r="QV72" i="1"/>
  <c r="QX55" i="1"/>
  <c r="QV21" i="1"/>
  <c r="QW35" i="1"/>
  <c r="LF15" i="1"/>
  <c r="QX17" i="1"/>
  <c r="LF42" i="1"/>
  <c r="LF16" i="1"/>
  <c r="RE1" i="1"/>
  <c r="RD20" i="1" s="1"/>
  <c r="QV36" i="1"/>
  <c r="QV26" i="1"/>
  <c r="LF43" i="1"/>
  <c r="QV16" i="1"/>
  <c r="LF41" i="1"/>
  <c r="QV57" i="1"/>
  <c r="QX46" i="1"/>
  <c r="QW75" i="1"/>
  <c r="QV22" i="1"/>
  <c r="QV52" i="1"/>
  <c r="QX52" i="1"/>
  <c r="QV29" i="1"/>
  <c r="QV58" i="1"/>
  <c r="QX40" i="1"/>
  <c r="QV56" i="1"/>
  <c r="QX67" i="1"/>
  <c r="QV46" i="1"/>
  <c r="QW74" i="1"/>
  <c r="QV68" i="1"/>
  <c r="QV24" i="1"/>
  <c r="QV33" i="1"/>
  <c r="QV50" i="1"/>
  <c r="QX44" i="1"/>
  <c r="QV40" i="1"/>
  <c r="QW36" i="1"/>
  <c r="QV30" i="1"/>
  <c r="QW37" i="1"/>
  <c r="QX42" i="1"/>
  <c r="QV59" i="1"/>
  <c r="QV70" i="1"/>
  <c r="QV10" i="1"/>
  <c r="QX45" i="1"/>
  <c r="QV17" i="1"/>
  <c r="QV64" i="1"/>
  <c r="RA64" i="1" s="1"/>
  <c r="RC64" i="1" s="1"/>
  <c r="QW69" i="1"/>
  <c r="QX57" i="1"/>
  <c r="QV42" i="1"/>
  <c r="QV62" i="1"/>
  <c r="QV55" i="1"/>
  <c r="QW67" i="1"/>
  <c r="QV47" i="1"/>
  <c r="QV53" i="1"/>
  <c r="QV38" i="1"/>
  <c r="QV43" i="1"/>
  <c r="QX13" i="1"/>
  <c r="QX10" i="1"/>
  <c r="QV48" i="1"/>
  <c r="QV63" i="1"/>
  <c r="QX53" i="1"/>
  <c r="QX28" i="1"/>
  <c r="QX26" i="1"/>
  <c r="QX36" i="1"/>
  <c r="QV79" i="1"/>
  <c r="QV80" i="1" s="1"/>
  <c r="QW38" i="1"/>
  <c r="QV32" i="1"/>
  <c r="QV14" i="1"/>
  <c r="QV73" i="1"/>
  <c r="QV34" i="1"/>
  <c r="QV44" i="1"/>
  <c r="QV25" i="1"/>
  <c r="QV31" i="1"/>
  <c r="QV45" i="1"/>
  <c r="QV37" i="1"/>
  <c r="QV75" i="1"/>
  <c r="QX15" i="1"/>
  <c r="QV27" i="1"/>
  <c r="QV65" i="1"/>
  <c r="RA65" i="1" s="1"/>
  <c r="RC65" i="1" s="1"/>
  <c r="QX18" i="1"/>
  <c r="QX70" i="1"/>
  <c r="QV61" i="1"/>
  <c r="QV74" i="1"/>
  <c r="QX69" i="1"/>
  <c r="QV15" i="1"/>
  <c r="QV13" i="1"/>
  <c r="QV18" i="1"/>
  <c r="QV12" i="1"/>
  <c r="QV41" i="1"/>
  <c r="QX38" i="1"/>
  <c r="QV67" i="1"/>
  <c r="QV49" i="1"/>
  <c r="QV54" i="1"/>
  <c r="QV11" i="1"/>
  <c r="KX11" i="1"/>
  <c r="QS60" i="1"/>
  <c r="QU60" i="1" s="1"/>
  <c r="RA60" i="1" s="1"/>
  <c r="RC60" i="1" s="1"/>
  <c r="QO71" i="1"/>
  <c r="QS33" i="1"/>
  <c r="QU33" i="1" s="1"/>
  <c r="QP71" i="1"/>
  <c r="QN78" i="1"/>
  <c r="QO78" i="1"/>
  <c r="QP39" i="1"/>
  <c r="QO39" i="1"/>
  <c r="QS37" i="1"/>
  <c r="QU37" i="1" s="1"/>
  <c r="QS61" i="1"/>
  <c r="QU61" i="1" s="1"/>
  <c r="KM14" i="1"/>
  <c r="KO14" i="1" s="1"/>
  <c r="KV14" i="1" s="1"/>
  <c r="QN39" i="1"/>
  <c r="QN71" i="1"/>
  <c r="RA66" i="1"/>
  <c r="RC66" i="1" s="1"/>
  <c r="QS34" i="1"/>
  <c r="QU34" i="1" s="1"/>
  <c r="QS62" i="1"/>
  <c r="QU62" i="1" s="1"/>
  <c r="RD34" i="1"/>
  <c r="RD66" i="1"/>
  <c r="RD62" i="1"/>
  <c r="RD63" i="1"/>
  <c r="RD65" i="1"/>
  <c r="RD46" i="1"/>
  <c r="RF13" i="1"/>
  <c r="RD17" i="1"/>
  <c r="RD13" i="1"/>
  <c r="RE74" i="1"/>
  <c r="RD52" i="1"/>
  <c r="RD22" i="1"/>
  <c r="RF15" i="1"/>
  <c r="RD14" i="1"/>
  <c r="RF10" i="1"/>
  <c r="RD74" i="1"/>
  <c r="RD18" i="1"/>
  <c r="RD15" i="1"/>
  <c r="RD10" i="1"/>
  <c r="RD11" i="1"/>
  <c r="RD12" i="1"/>
  <c r="RE38" i="1"/>
  <c r="RD53" i="1"/>
  <c r="RF42" i="1"/>
  <c r="RD42" i="1"/>
  <c r="RF28" i="1"/>
  <c r="RD79" i="1"/>
  <c r="RD80" i="1" s="1"/>
  <c r="RE35" i="1"/>
  <c r="RE68" i="1"/>
  <c r="RD37" i="1"/>
  <c r="RF70" i="1"/>
  <c r="RD33" i="1"/>
  <c r="RD21" i="1"/>
  <c r="RD50" i="1"/>
  <c r="RD40" i="1"/>
  <c r="RD28" i="1"/>
  <c r="RD47" i="1"/>
  <c r="RE37" i="1"/>
  <c r="RF67" i="1"/>
  <c r="RF12" i="1"/>
  <c r="RD44" i="1"/>
  <c r="RD76" i="1"/>
  <c r="RD30" i="1"/>
  <c r="RF53" i="1"/>
  <c r="RE69" i="1"/>
  <c r="RF45" i="1"/>
  <c r="RD49" i="1"/>
  <c r="RD41" i="1"/>
  <c r="RD73" i="1"/>
  <c r="RD27" i="1"/>
  <c r="RF44" i="1"/>
  <c r="RD16" i="1"/>
  <c r="RD36" i="1"/>
  <c r="RD68" i="1"/>
  <c r="RD24" i="1"/>
  <c r="RF36" i="1"/>
  <c r="RD77" i="1"/>
  <c r="RD43" i="1"/>
  <c r="RD45" i="1"/>
  <c r="RF17" i="1"/>
  <c r="RD75" i="1"/>
  <c r="RD32" i="1"/>
  <c r="RD60" i="1"/>
  <c r="RF69" i="1"/>
  <c r="RF29" i="1"/>
  <c r="RF18" i="1"/>
  <c r="RF38" i="1"/>
  <c r="RD72" i="1"/>
  <c r="RD29" i="1"/>
  <c r="RD57" i="1"/>
  <c r="RF55" i="1"/>
  <c r="RF26" i="1"/>
  <c r="RD61" i="1"/>
  <c r="RD69" i="1"/>
  <c r="RD19" i="1"/>
  <c r="RD70" i="1"/>
  <c r="RD26" i="1"/>
  <c r="RD54" i="1"/>
  <c r="RF52" i="1"/>
  <c r="RE75" i="1"/>
  <c r="RD38" i="1"/>
  <c r="RD48" i="1"/>
  <c r="RD58" i="1"/>
  <c r="RD31" i="1"/>
  <c r="RD56" i="1"/>
  <c r="RD67" i="1"/>
  <c r="RD23" i="1"/>
  <c r="RD51" i="1"/>
  <c r="RF46" i="1"/>
  <c r="RE67" i="1"/>
  <c r="RF57" i="1"/>
  <c r="RE36" i="1"/>
  <c r="RD35" i="1"/>
  <c r="RD25" i="1"/>
  <c r="RD59" i="1"/>
  <c r="RF40" i="1"/>
  <c r="SC8" i="1"/>
  <c r="SD8" i="1" s="1"/>
  <c r="SJ8" i="1"/>
  <c r="QH81" i="1"/>
  <c r="OW8" i="1"/>
  <c r="OV8" i="1" s="1"/>
  <c r="OM8" i="1"/>
  <c r="OY5" i="1"/>
  <c r="PG1" i="1"/>
  <c r="QG81" i="1"/>
  <c r="QF81" i="1"/>
  <c r="QA82" i="1" s="1"/>
  <c r="GF10" i="1"/>
  <c r="GM10" i="1" s="1"/>
  <c r="GM39" i="1" s="1"/>
  <c r="FC80" i="1"/>
  <c r="FC81" i="1" s="1"/>
  <c r="FK71" i="1"/>
  <c r="MM67" i="1"/>
  <c r="MS67" i="1" s="1"/>
  <c r="MU67" i="1" s="1"/>
  <c r="NA67" i="1" s="1"/>
  <c r="NC67" i="1" s="1"/>
  <c r="NI67" i="1" s="1"/>
  <c r="NK67" i="1" s="1"/>
  <c r="NQ67" i="1" s="1"/>
  <c r="NS67" i="1" s="1"/>
  <c r="NY67" i="1" s="1"/>
  <c r="OA67" i="1" s="1"/>
  <c r="OG67" i="1" s="1"/>
  <c r="OI67" i="1" s="1"/>
  <c r="OO67" i="1" s="1"/>
  <c r="OQ67" i="1" s="1"/>
  <c r="OW67" i="1" s="1"/>
  <c r="OY67" i="1" s="1"/>
  <c r="PE67" i="1" s="1"/>
  <c r="PG67" i="1" s="1"/>
  <c r="PM67" i="1" s="1"/>
  <c r="PO67" i="1" s="1"/>
  <c r="PU67" i="1" s="1"/>
  <c r="PW67" i="1" s="1"/>
  <c r="QC67" i="1" s="1"/>
  <c r="QE67" i="1" s="1"/>
  <c r="QK67" i="1" s="1"/>
  <c r="QM67" i="1" s="1"/>
  <c r="QS67" i="1" s="1"/>
  <c r="QU67" i="1" s="1"/>
  <c r="FK77" i="1"/>
  <c r="FQ77" i="1" s="1"/>
  <c r="FQ78" i="1" s="1"/>
  <c r="GF72" i="1"/>
  <c r="GM72" i="1" s="1"/>
  <c r="RA48" i="1" l="1"/>
  <c r="RC48" i="1" s="1"/>
  <c r="RA19" i="1"/>
  <c r="RC19" i="1" s="1"/>
  <c r="RA44" i="1"/>
  <c r="RC44" i="1" s="1"/>
  <c r="RI44" i="1" s="1"/>
  <c r="RK44" i="1" s="1"/>
  <c r="RA51" i="1"/>
  <c r="RC51" i="1" s="1"/>
  <c r="RI51" i="1" s="1"/>
  <c r="RK51" i="1" s="1"/>
  <c r="RA23" i="1"/>
  <c r="RC23" i="1" s="1"/>
  <c r="RI23" i="1" s="1"/>
  <c r="RK23" i="1" s="1"/>
  <c r="RA50" i="1"/>
  <c r="RC50" i="1" s="1"/>
  <c r="RA63" i="1"/>
  <c r="RC63" i="1" s="1"/>
  <c r="LM15" i="1"/>
  <c r="LO15" i="1" s="1"/>
  <c r="LU15" i="1" s="1"/>
  <c r="LW15" i="1" s="1"/>
  <c r="MC15" i="1" s="1"/>
  <c r="ME15" i="1" s="1"/>
  <c r="MK15" i="1" s="1"/>
  <c r="MM15" i="1" s="1"/>
  <c r="MS15" i="1" s="1"/>
  <c r="MU15" i="1" s="1"/>
  <c r="NA15" i="1" s="1"/>
  <c r="NC15" i="1" s="1"/>
  <c r="NI15" i="1" s="1"/>
  <c r="NK15" i="1" s="1"/>
  <c r="NQ15" i="1" s="1"/>
  <c r="NS15" i="1" s="1"/>
  <c r="NY15" i="1" s="1"/>
  <c r="OA15" i="1" s="1"/>
  <c r="OG15" i="1" s="1"/>
  <c r="OI15" i="1" s="1"/>
  <c r="OO15" i="1" s="1"/>
  <c r="OQ15" i="1" s="1"/>
  <c r="OW15" i="1" s="1"/>
  <c r="OY15" i="1" s="1"/>
  <c r="PE15" i="1" s="1"/>
  <c r="PG15" i="1" s="1"/>
  <c r="PM15" i="1" s="1"/>
  <c r="PO15" i="1" s="1"/>
  <c r="PU15" i="1" s="1"/>
  <c r="PW15" i="1" s="1"/>
  <c r="QC15" i="1" s="1"/>
  <c r="QE15" i="1" s="1"/>
  <c r="QK15" i="1" s="1"/>
  <c r="QM15" i="1" s="1"/>
  <c r="QS15" i="1" s="1"/>
  <c r="QU15" i="1" s="1"/>
  <c r="RA15" i="1" s="1"/>
  <c r="RC15" i="1" s="1"/>
  <c r="RI15" i="1" s="1"/>
  <c r="RK15" i="1" s="1"/>
  <c r="LM41" i="1"/>
  <c r="LO41" i="1" s="1"/>
  <c r="LU41" i="1" s="1"/>
  <c r="LW41" i="1" s="1"/>
  <c r="MC41" i="1" s="1"/>
  <c r="ME41" i="1" s="1"/>
  <c r="MK41" i="1" s="1"/>
  <c r="MM41" i="1" s="1"/>
  <c r="MS41" i="1" s="1"/>
  <c r="MU41" i="1" s="1"/>
  <c r="NA41" i="1" s="1"/>
  <c r="NC41" i="1" s="1"/>
  <c r="NI41" i="1" s="1"/>
  <c r="NK41" i="1" s="1"/>
  <c r="NQ41" i="1" s="1"/>
  <c r="NS41" i="1" s="1"/>
  <c r="NY41" i="1" s="1"/>
  <c r="OA41" i="1" s="1"/>
  <c r="OG41" i="1" s="1"/>
  <c r="OI41" i="1" s="1"/>
  <c r="OO41" i="1" s="1"/>
  <c r="OQ41" i="1" s="1"/>
  <c r="OW41" i="1" s="1"/>
  <c r="OY41" i="1" s="1"/>
  <c r="PE41" i="1" s="1"/>
  <c r="PG41" i="1" s="1"/>
  <c r="PM41" i="1" s="1"/>
  <c r="PO41" i="1" s="1"/>
  <c r="PU41" i="1" s="1"/>
  <c r="PW41" i="1" s="1"/>
  <c r="QC41" i="1" s="1"/>
  <c r="QE41" i="1" s="1"/>
  <c r="QK41" i="1" s="1"/>
  <c r="QM41" i="1" s="1"/>
  <c r="QS41" i="1" s="1"/>
  <c r="QU41" i="1" s="1"/>
  <c r="RA41" i="1" s="1"/>
  <c r="RC41" i="1" s="1"/>
  <c r="RI41" i="1" s="1"/>
  <c r="RK41" i="1" s="1"/>
  <c r="LM42" i="1"/>
  <c r="LO42" i="1" s="1"/>
  <c r="LU42" i="1" s="1"/>
  <c r="LW42" i="1" s="1"/>
  <c r="MC42" i="1" s="1"/>
  <c r="ME42" i="1" s="1"/>
  <c r="MK42" i="1" s="1"/>
  <c r="MM42" i="1" s="1"/>
  <c r="MS42" i="1" s="1"/>
  <c r="MU42" i="1" s="1"/>
  <c r="NA42" i="1" s="1"/>
  <c r="NC42" i="1" s="1"/>
  <c r="NI42" i="1" s="1"/>
  <c r="NK42" i="1" s="1"/>
  <c r="NQ42" i="1" s="1"/>
  <c r="NS42" i="1" s="1"/>
  <c r="NY42" i="1" s="1"/>
  <c r="OA42" i="1" s="1"/>
  <c r="OG42" i="1" s="1"/>
  <c r="OI42" i="1" s="1"/>
  <c r="OO42" i="1" s="1"/>
  <c r="OQ42" i="1" s="1"/>
  <c r="OW42" i="1" s="1"/>
  <c r="OY42" i="1" s="1"/>
  <c r="PE42" i="1" s="1"/>
  <c r="PG42" i="1" s="1"/>
  <c r="PM42" i="1" s="1"/>
  <c r="PO42" i="1" s="1"/>
  <c r="PU42" i="1" s="1"/>
  <c r="PW42" i="1" s="1"/>
  <c r="QC42" i="1" s="1"/>
  <c r="QE42" i="1" s="1"/>
  <c r="QK42" i="1" s="1"/>
  <c r="QM42" i="1" s="1"/>
  <c r="QS42" i="1" s="1"/>
  <c r="QU42" i="1" s="1"/>
  <c r="RA42" i="1" s="1"/>
  <c r="RC42" i="1" s="1"/>
  <c r="RI42" i="1" s="1"/>
  <c r="RK42" i="1" s="1"/>
  <c r="LM43" i="1"/>
  <c r="LO43" i="1" s="1"/>
  <c r="LU43" i="1" s="1"/>
  <c r="LW43" i="1" s="1"/>
  <c r="MC43" i="1" s="1"/>
  <c r="ME43" i="1" s="1"/>
  <c r="MK43" i="1" s="1"/>
  <c r="MM43" i="1" s="1"/>
  <c r="MS43" i="1" s="1"/>
  <c r="MU43" i="1" s="1"/>
  <c r="NA43" i="1" s="1"/>
  <c r="NC43" i="1" s="1"/>
  <c r="NI43" i="1" s="1"/>
  <c r="NK43" i="1" s="1"/>
  <c r="NQ43" i="1" s="1"/>
  <c r="NS43" i="1" s="1"/>
  <c r="NY43" i="1" s="1"/>
  <c r="OA43" i="1" s="1"/>
  <c r="OG43" i="1" s="1"/>
  <c r="OI43" i="1" s="1"/>
  <c r="OO43" i="1" s="1"/>
  <c r="OQ43" i="1" s="1"/>
  <c r="OW43" i="1" s="1"/>
  <c r="OY43" i="1" s="1"/>
  <c r="PE43" i="1" s="1"/>
  <c r="PG43" i="1" s="1"/>
  <c r="PM43" i="1" s="1"/>
  <c r="PO43" i="1" s="1"/>
  <c r="PU43" i="1" s="1"/>
  <c r="PW43" i="1" s="1"/>
  <c r="QC43" i="1" s="1"/>
  <c r="QE43" i="1" s="1"/>
  <c r="QK43" i="1" s="1"/>
  <c r="QM43" i="1" s="1"/>
  <c r="QS43" i="1" s="1"/>
  <c r="QU43" i="1" s="1"/>
  <c r="RA43" i="1" s="1"/>
  <c r="RC43" i="1" s="1"/>
  <c r="RI43" i="1" s="1"/>
  <c r="RK43" i="1" s="1"/>
  <c r="LM16" i="1"/>
  <c r="LO16" i="1" s="1"/>
  <c r="LU16" i="1" s="1"/>
  <c r="LW16" i="1" s="1"/>
  <c r="MC16" i="1" s="1"/>
  <c r="ME16" i="1" s="1"/>
  <c r="MK16" i="1" s="1"/>
  <c r="MM16" i="1" s="1"/>
  <c r="MS16" i="1" s="1"/>
  <c r="MU16" i="1" s="1"/>
  <c r="NA16" i="1" s="1"/>
  <c r="NC16" i="1" s="1"/>
  <c r="NI16" i="1" s="1"/>
  <c r="NK16" i="1" s="1"/>
  <c r="NQ16" i="1" s="1"/>
  <c r="NS16" i="1" s="1"/>
  <c r="NY16" i="1" s="1"/>
  <c r="OA16" i="1" s="1"/>
  <c r="OG16" i="1" s="1"/>
  <c r="OI16" i="1" s="1"/>
  <c r="OO16" i="1" s="1"/>
  <c r="OQ16" i="1" s="1"/>
  <c r="OW16" i="1" s="1"/>
  <c r="OY16" i="1" s="1"/>
  <c r="PE16" i="1" s="1"/>
  <c r="PG16" i="1" s="1"/>
  <c r="PM16" i="1" s="1"/>
  <c r="PO16" i="1" s="1"/>
  <c r="PU16" i="1" s="1"/>
  <c r="PW16" i="1" s="1"/>
  <c r="QC16" i="1" s="1"/>
  <c r="QE16" i="1" s="1"/>
  <c r="QK16" i="1" s="1"/>
  <c r="QM16" i="1" s="1"/>
  <c r="QS16" i="1" s="1"/>
  <c r="QU16" i="1" s="1"/>
  <c r="RA16" i="1" s="1"/>
  <c r="RC16" i="1" s="1"/>
  <c r="RI16" i="1" s="1"/>
  <c r="RK16" i="1" s="1"/>
  <c r="RA59" i="1"/>
  <c r="RC59" i="1" s="1"/>
  <c r="RI59" i="1" s="1"/>
  <c r="RK59" i="1" s="1"/>
  <c r="RA20" i="1"/>
  <c r="RC20" i="1" s="1"/>
  <c r="RI20" i="1" s="1"/>
  <c r="RK20" i="1" s="1"/>
  <c r="RA52" i="1"/>
  <c r="RC52" i="1" s="1"/>
  <c r="RI52" i="1" s="1"/>
  <c r="RK52" i="1" s="1"/>
  <c r="RA34" i="1"/>
  <c r="RC34" i="1" s="1"/>
  <c r="RI34" i="1" s="1"/>
  <c r="RK34" i="1" s="1"/>
  <c r="RA24" i="1"/>
  <c r="RC24" i="1" s="1"/>
  <c r="RI24" i="1" s="1"/>
  <c r="RK24" i="1" s="1"/>
  <c r="RA75" i="1"/>
  <c r="RC75" i="1" s="1"/>
  <c r="RI75" i="1" s="1"/>
  <c r="RK75" i="1" s="1"/>
  <c r="RA12" i="1"/>
  <c r="RC12" i="1" s="1"/>
  <c r="RI12" i="1" s="1"/>
  <c r="RK12" i="1" s="1"/>
  <c r="RA49" i="1"/>
  <c r="RC49" i="1" s="1"/>
  <c r="RI49" i="1" s="1"/>
  <c r="RK49" i="1" s="1"/>
  <c r="QW78" i="1"/>
  <c r="RA46" i="1"/>
  <c r="RC46" i="1" s="1"/>
  <c r="RI46" i="1" s="1"/>
  <c r="RK46" i="1" s="1"/>
  <c r="RA74" i="1"/>
  <c r="RC74" i="1" s="1"/>
  <c r="RI74" i="1" s="1"/>
  <c r="RK74" i="1" s="1"/>
  <c r="QV78" i="1"/>
  <c r="RA68" i="1"/>
  <c r="RC68" i="1" s="1"/>
  <c r="RI68" i="1" s="1"/>
  <c r="RK68" i="1" s="1"/>
  <c r="RA76" i="1"/>
  <c r="RC76" i="1" s="1"/>
  <c r="RI76" i="1" s="1"/>
  <c r="RK76" i="1" s="1"/>
  <c r="QX39" i="1"/>
  <c r="RA32" i="1"/>
  <c r="RC32" i="1" s="1"/>
  <c r="RI32" i="1" s="1"/>
  <c r="RK32" i="1" s="1"/>
  <c r="RA17" i="1"/>
  <c r="RC17" i="1" s="1"/>
  <c r="RI17" i="1" s="1"/>
  <c r="RK17" i="1" s="1"/>
  <c r="RA33" i="1"/>
  <c r="RC33" i="1" s="1"/>
  <c r="RI33" i="1" s="1"/>
  <c r="RK33" i="1" s="1"/>
  <c r="RA21" i="1"/>
  <c r="RC21" i="1" s="1"/>
  <c r="RI21" i="1" s="1"/>
  <c r="RK21" i="1" s="1"/>
  <c r="RA70" i="1"/>
  <c r="RC70" i="1" s="1"/>
  <c r="RI70" i="1" s="1"/>
  <c r="RK70" i="1" s="1"/>
  <c r="RA67" i="1"/>
  <c r="RC67" i="1" s="1"/>
  <c r="RI67" i="1" s="1"/>
  <c r="RK67" i="1" s="1"/>
  <c r="RA54" i="1"/>
  <c r="RC54" i="1" s="1"/>
  <c r="RI54" i="1" s="1"/>
  <c r="RK54" i="1" s="1"/>
  <c r="RA47" i="1"/>
  <c r="RC47" i="1" s="1"/>
  <c r="RI47" i="1" s="1"/>
  <c r="RK47" i="1" s="1"/>
  <c r="RA22" i="1"/>
  <c r="RC22" i="1" s="1"/>
  <c r="RI22" i="1" s="1"/>
  <c r="RK22" i="1" s="1"/>
  <c r="RD55" i="1"/>
  <c r="RM1" i="1"/>
  <c r="RD64" i="1"/>
  <c r="RI64" i="1" s="1"/>
  <c r="RK64" i="1" s="1"/>
  <c r="QX71" i="1"/>
  <c r="QW71" i="1"/>
  <c r="RA57" i="1"/>
  <c r="RC57" i="1" s="1"/>
  <c r="RI57" i="1" s="1"/>
  <c r="RK57" i="1" s="1"/>
  <c r="RA29" i="1"/>
  <c r="RC29" i="1" s="1"/>
  <c r="RI29" i="1" s="1"/>
  <c r="RK29" i="1" s="1"/>
  <c r="RA35" i="1"/>
  <c r="RC35" i="1" s="1"/>
  <c r="RI35" i="1" s="1"/>
  <c r="RK35" i="1" s="1"/>
  <c r="LF11" i="1"/>
  <c r="QV39" i="1"/>
  <c r="RA28" i="1"/>
  <c r="RC28" i="1" s="1"/>
  <c r="RI28" i="1" s="1"/>
  <c r="RK28" i="1" s="1"/>
  <c r="RA27" i="1"/>
  <c r="RC27" i="1" s="1"/>
  <c r="RI27" i="1" s="1"/>
  <c r="RK27" i="1" s="1"/>
  <c r="RA36" i="1"/>
  <c r="RC36" i="1" s="1"/>
  <c r="RI36" i="1" s="1"/>
  <c r="RK36" i="1" s="1"/>
  <c r="QW39" i="1"/>
  <c r="RA69" i="1"/>
  <c r="RC69" i="1" s="1"/>
  <c r="RI69" i="1" s="1"/>
  <c r="RK69" i="1" s="1"/>
  <c r="RA13" i="1"/>
  <c r="RC13" i="1" s="1"/>
  <c r="RI13" i="1" s="1"/>
  <c r="RK13" i="1" s="1"/>
  <c r="RA53" i="1"/>
  <c r="RC53" i="1" s="1"/>
  <c r="RI53" i="1" s="1"/>
  <c r="RK53" i="1" s="1"/>
  <c r="RA45" i="1"/>
  <c r="RC45" i="1" s="1"/>
  <c r="RI45" i="1" s="1"/>
  <c r="RK45" i="1" s="1"/>
  <c r="QV71" i="1"/>
  <c r="RA58" i="1"/>
  <c r="RC58" i="1" s="1"/>
  <c r="RI58" i="1" s="1"/>
  <c r="RK58" i="1" s="1"/>
  <c r="RA30" i="1"/>
  <c r="RC30" i="1" s="1"/>
  <c r="RI30" i="1" s="1"/>
  <c r="RK30" i="1" s="1"/>
  <c r="RA25" i="1"/>
  <c r="RC25" i="1" s="1"/>
  <c r="RI25" i="1" s="1"/>
  <c r="RK25" i="1" s="1"/>
  <c r="RA38" i="1"/>
  <c r="RC38" i="1" s="1"/>
  <c r="RI38" i="1" s="1"/>
  <c r="RK38" i="1" s="1"/>
  <c r="RA55" i="1"/>
  <c r="RC55" i="1" s="1"/>
  <c r="RA18" i="1"/>
  <c r="RC18" i="1" s="1"/>
  <c r="RI18" i="1" s="1"/>
  <c r="RK18" i="1" s="1"/>
  <c r="RA26" i="1"/>
  <c r="RC26" i="1" s="1"/>
  <c r="RI26" i="1" s="1"/>
  <c r="RK26" i="1" s="1"/>
  <c r="RA61" i="1"/>
  <c r="RC61" i="1" s="1"/>
  <c r="RI61" i="1" s="1"/>
  <c r="RK61" i="1" s="1"/>
  <c r="RA56" i="1"/>
  <c r="RC56" i="1" s="1"/>
  <c r="RI56" i="1" s="1"/>
  <c r="RK56" i="1" s="1"/>
  <c r="RA31" i="1"/>
  <c r="RC31" i="1" s="1"/>
  <c r="RI31" i="1" s="1"/>
  <c r="RK31" i="1" s="1"/>
  <c r="RA37" i="1"/>
  <c r="RC37" i="1" s="1"/>
  <c r="RI37" i="1" s="1"/>
  <c r="RK37" i="1" s="1"/>
  <c r="RA62" i="1"/>
  <c r="RC62" i="1" s="1"/>
  <c r="RI62" i="1" s="1"/>
  <c r="RK62" i="1" s="1"/>
  <c r="QO81" i="1"/>
  <c r="KX14" i="1"/>
  <c r="QP81" i="1"/>
  <c r="QN81" i="1"/>
  <c r="QI82" i="1" s="1"/>
  <c r="RI63" i="1"/>
  <c r="RK63" i="1" s="1"/>
  <c r="RI66" i="1"/>
  <c r="RK66" i="1" s="1"/>
  <c r="RI65" i="1"/>
  <c r="RK65" i="1" s="1"/>
  <c r="RL34" i="1"/>
  <c r="RL65" i="1"/>
  <c r="RL63" i="1"/>
  <c r="RL64" i="1"/>
  <c r="RL66" i="1"/>
  <c r="RL62" i="1"/>
  <c r="RI50" i="1"/>
  <c r="RK50" i="1" s="1"/>
  <c r="RI60" i="1"/>
  <c r="RK60" i="1" s="1"/>
  <c r="RI48" i="1"/>
  <c r="RK48" i="1" s="1"/>
  <c r="RI19" i="1"/>
  <c r="RK19" i="1" s="1"/>
  <c r="RE78" i="1"/>
  <c r="RD78" i="1"/>
  <c r="RL29" i="1"/>
  <c r="RU1" i="1"/>
  <c r="RL18" i="1"/>
  <c r="RN45" i="1"/>
  <c r="RL11" i="1"/>
  <c r="RL36" i="1"/>
  <c r="RL12" i="1"/>
  <c r="RL75" i="1"/>
  <c r="RL59" i="1"/>
  <c r="RL56" i="1"/>
  <c r="RN42" i="1"/>
  <c r="RN40" i="1"/>
  <c r="RL69" i="1"/>
  <c r="RL28" i="1"/>
  <c r="RM36" i="1"/>
  <c r="RL42" i="1"/>
  <c r="RL50" i="1"/>
  <c r="RL21" i="1"/>
  <c r="RN38" i="1"/>
  <c r="RL61" i="1"/>
  <c r="RM68" i="1"/>
  <c r="RL37" i="1"/>
  <c r="RN28" i="1"/>
  <c r="RL58" i="1"/>
  <c r="RL33" i="1"/>
  <c r="RL55" i="1"/>
  <c r="RL52" i="1"/>
  <c r="RM74" i="1"/>
  <c r="RL46" i="1"/>
  <c r="RL60" i="1"/>
  <c r="RN46" i="1"/>
  <c r="RL45" i="1"/>
  <c r="RL25" i="1"/>
  <c r="RL22" i="1"/>
  <c r="RN70" i="1"/>
  <c r="RN67" i="1"/>
  <c r="RN53" i="1"/>
  <c r="RL26" i="1"/>
  <c r="RL31" i="1"/>
  <c r="RL70" i="1"/>
  <c r="RL67" i="1"/>
  <c r="RM37" i="1"/>
  <c r="RL76" i="1"/>
  <c r="RL73" i="1"/>
  <c r="RL43" i="1"/>
  <c r="RL74" i="1"/>
  <c r="RL44" i="1"/>
  <c r="RL72" i="1"/>
  <c r="RN13" i="1"/>
  <c r="RL30" i="1"/>
  <c r="RL49" i="1"/>
  <c r="RN36" i="1"/>
  <c r="RN15" i="1"/>
  <c r="RL47" i="1"/>
  <c r="RL14" i="1"/>
  <c r="RN10" i="1"/>
  <c r="RL16" i="1"/>
  <c r="RN44" i="1"/>
  <c r="RL10" i="1"/>
  <c r="RL13" i="1"/>
  <c r="RN57" i="1"/>
  <c r="RN12" i="1"/>
  <c r="RL68" i="1"/>
  <c r="RN17" i="1"/>
  <c r="RM69" i="1"/>
  <c r="RN18" i="1"/>
  <c r="RL17" i="1"/>
  <c r="RL19" i="1"/>
  <c r="RM38" i="1"/>
  <c r="RL57" i="1"/>
  <c r="RL32" i="1"/>
  <c r="RN69" i="1"/>
  <c r="RM35" i="1"/>
  <c r="RL40" i="1"/>
  <c r="RN29" i="1"/>
  <c r="RL54" i="1"/>
  <c r="RL51" i="1"/>
  <c r="RM75" i="1"/>
  <c r="RL27" i="1"/>
  <c r="RM67" i="1"/>
  <c r="RL20" i="1"/>
  <c r="RL23" i="1"/>
  <c r="RL41" i="1"/>
  <c r="RN55" i="1"/>
  <c r="RL79" i="1"/>
  <c r="RL80" i="1" s="1"/>
  <c r="RL38" i="1"/>
  <c r="RN26" i="1"/>
  <c r="RL53" i="1"/>
  <c r="RL24" i="1"/>
  <c r="RN52" i="1"/>
  <c r="RL77" i="1"/>
  <c r="RL48" i="1"/>
  <c r="RL15" i="1"/>
  <c r="RL35" i="1"/>
  <c r="RD39" i="1"/>
  <c r="RE39" i="1"/>
  <c r="RE71" i="1"/>
  <c r="RF39" i="1"/>
  <c r="RF71" i="1"/>
  <c r="SR8" i="1"/>
  <c r="SK8" i="1"/>
  <c r="SL8" i="1" s="1"/>
  <c r="GF39" i="1"/>
  <c r="PO1" i="1"/>
  <c r="PG5" i="1"/>
  <c r="PE8" i="1"/>
  <c r="PD8" i="1" s="1"/>
  <c r="OY8" i="1"/>
  <c r="OU8" i="1"/>
  <c r="NQ73" i="1"/>
  <c r="FK78" i="1"/>
  <c r="FS40" i="1"/>
  <c r="GD40" i="1" s="1"/>
  <c r="GD71" i="1" s="1"/>
  <c r="FK79" i="1"/>
  <c r="FQ79" i="1" s="1"/>
  <c r="FQ80" i="1" s="1"/>
  <c r="FQ81" i="1" s="1"/>
  <c r="LM11" i="1" l="1"/>
  <c r="LO11" i="1" s="1"/>
  <c r="LU11" i="1" s="1"/>
  <c r="LW11" i="1" s="1"/>
  <c r="MC11" i="1" s="1"/>
  <c r="ME11" i="1" s="1"/>
  <c r="MK11" i="1" s="1"/>
  <c r="MM11" i="1" s="1"/>
  <c r="MS11" i="1" s="1"/>
  <c r="MU11" i="1" s="1"/>
  <c r="NA11" i="1" s="1"/>
  <c r="NC11" i="1" s="1"/>
  <c r="NI11" i="1" s="1"/>
  <c r="NK11" i="1" s="1"/>
  <c r="NQ11" i="1" s="1"/>
  <c r="NS11" i="1" s="1"/>
  <c r="NY11" i="1" s="1"/>
  <c r="OA11" i="1" s="1"/>
  <c r="OG11" i="1" s="1"/>
  <c r="OI11" i="1" s="1"/>
  <c r="OO11" i="1" s="1"/>
  <c r="OQ11" i="1" s="1"/>
  <c r="OW11" i="1" s="1"/>
  <c r="OY11" i="1" s="1"/>
  <c r="PE11" i="1" s="1"/>
  <c r="PG11" i="1" s="1"/>
  <c r="PM11" i="1" s="1"/>
  <c r="PO11" i="1" s="1"/>
  <c r="PU11" i="1" s="1"/>
  <c r="PW11" i="1" s="1"/>
  <c r="QC11" i="1" s="1"/>
  <c r="QE11" i="1" s="1"/>
  <c r="QK11" i="1" s="1"/>
  <c r="QM11" i="1" s="1"/>
  <c r="QS11" i="1" s="1"/>
  <c r="QU11" i="1" s="1"/>
  <c r="RA11" i="1" s="1"/>
  <c r="RC11" i="1" s="1"/>
  <c r="RI11" i="1" s="1"/>
  <c r="RK11" i="1" s="1"/>
  <c r="RQ11" i="1" s="1"/>
  <c r="RS11" i="1" s="1"/>
  <c r="RD71" i="1"/>
  <c r="RD81" i="1" s="1"/>
  <c r="QY82" i="1" s="1"/>
  <c r="QX81" i="1"/>
  <c r="RI55" i="1"/>
  <c r="RK55" i="1" s="1"/>
  <c r="RQ55" i="1" s="1"/>
  <c r="RS55" i="1" s="1"/>
  <c r="QV81" i="1"/>
  <c r="QQ82" i="1" s="1"/>
  <c r="QW81" i="1"/>
  <c r="LF14" i="1"/>
  <c r="RQ33" i="1"/>
  <c r="RS33" i="1" s="1"/>
  <c r="RQ54" i="1"/>
  <c r="RS54" i="1" s="1"/>
  <c r="RQ21" i="1"/>
  <c r="RS21" i="1" s="1"/>
  <c r="RQ64" i="1"/>
  <c r="RS64" i="1" s="1"/>
  <c r="RQ63" i="1"/>
  <c r="RS63" i="1" s="1"/>
  <c r="RQ66" i="1"/>
  <c r="RS66" i="1" s="1"/>
  <c r="RQ65" i="1"/>
  <c r="RS65" i="1" s="1"/>
  <c r="RQ34" i="1"/>
  <c r="RS34" i="1" s="1"/>
  <c r="RQ62" i="1"/>
  <c r="RS62" i="1" s="1"/>
  <c r="RT34" i="1"/>
  <c r="RT66" i="1"/>
  <c r="RT64" i="1"/>
  <c r="RT65" i="1"/>
  <c r="RT62" i="1"/>
  <c r="RT63" i="1"/>
  <c r="RQ22" i="1"/>
  <c r="RS22" i="1" s="1"/>
  <c r="RQ27" i="1"/>
  <c r="RS27" i="1" s="1"/>
  <c r="RQ24" i="1"/>
  <c r="RS24" i="1" s="1"/>
  <c r="RQ49" i="1"/>
  <c r="RS49" i="1" s="1"/>
  <c r="RQ48" i="1"/>
  <c r="RS48" i="1" s="1"/>
  <c r="RQ50" i="1"/>
  <c r="RS50" i="1" s="1"/>
  <c r="RQ58" i="1"/>
  <c r="RS58" i="1" s="1"/>
  <c r="RQ60" i="1"/>
  <c r="RS60" i="1" s="1"/>
  <c r="RQ20" i="1"/>
  <c r="RS20" i="1" s="1"/>
  <c r="RQ76" i="1"/>
  <c r="RS76" i="1" s="1"/>
  <c r="RQ51" i="1"/>
  <c r="RS51" i="1" s="1"/>
  <c r="RQ32" i="1"/>
  <c r="RS32" i="1" s="1"/>
  <c r="RQ41" i="1"/>
  <c r="RS41" i="1" s="1"/>
  <c r="RQ44" i="1"/>
  <c r="RS44" i="1" s="1"/>
  <c r="RQ31" i="1"/>
  <c r="RS31" i="1" s="1"/>
  <c r="RQ70" i="1"/>
  <c r="RS70" i="1" s="1"/>
  <c r="RQ43" i="1"/>
  <c r="RS43" i="1" s="1"/>
  <c r="RQ47" i="1"/>
  <c r="RS47" i="1" s="1"/>
  <c r="RQ68" i="1"/>
  <c r="RS68" i="1" s="1"/>
  <c r="RQ23" i="1"/>
  <c r="RS23" i="1" s="1"/>
  <c r="RQ61" i="1"/>
  <c r="RS61" i="1" s="1"/>
  <c r="RL78" i="1"/>
  <c r="RQ56" i="1"/>
  <c r="RS56" i="1" s="1"/>
  <c r="RQ45" i="1"/>
  <c r="RS45" i="1" s="1"/>
  <c r="RQ19" i="1"/>
  <c r="RS19" i="1" s="1"/>
  <c r="RQ59" i="1"/>
  <c r="RS59" i="1" s="1"/>
  <c r="RQ30" i="1"/>
  <c r="RS30" i="1" s="1"/>
  <c r="RF81" i="1"/>
  <c r="RQ26" i="1"/>
  <c r="RS26" i="1" s="1"/>
  <c r="RQ29" i="1"/>
  <c r="RS29" i="1" s="1"/>
  <c r="RQ38" i="1"/>
  <c r="RS38" i="1" s="1"/>
  <c r="RQ13" i="1"/>
  <c r="RS13" i="1" s="1"/>
  <c r="RQ16" i="1"/>
  <c r="RS16" i="1" s="1"/>
  <c r="RQ37" i="1"/>
  <c r="RS37" i="1" s="1"/>
  <c r="RQ15" i="1"/>
  <c r="RS15" i="1" s="1"/>
  <c r="RQ46" i="1"/>
  <c r="RS46" i="1" s="1"/>
  <c r="RQ74" i="1"/>
  <c r="RS74" i="1" s="1"/>
  <c r="RQ42" i="1"/>
  <c r="RS42" i="1" s="1"/>
  <c r="RQ36" i="1"/>
  <c r="RS36" i="1" s="1"/>
  <c r="RQ28" i="1"/>
  <c r="RS28" i="1" s="1"/>
  <c r="RQ53" i="1"/>
  <c r="RS53" i="1" s="1"/>
  <c r="RQ67" i="1"/>
  <c r="RS67" i="1" s="1"/>
  <c r="RQ75" i="1"/>
  <c r="RS75" i="1" s="1"/>
  <c r="RQ69" i="1"/>
  <c r="RS69" i="1" s="1"/>
  <c r="RQ35" i="1"/>
  <c r="RS35" i="1" s="1"/>
  <c r="RQ17" i="1"/>
  <c r="RS17" i="1" s="1"/>
  <c r="RQ12" i="1"/>
  <c r="RS12" i="1" s="1"/>
  <c r="RT41" i="1"/>
  <c r="RU69" i="1"/>
  <c r="RT44" i="1"/>
  <c r="RT10" i="1"/>
  <c r="RT17" i="1"/>
  <c r="RV15" i="1"/>
  <c r="RU74" i="1"/>
  <c r="RT19" i="1"/>
  <c r="RT43" i="1"/>
  <c r="RV42" i="1"/>
  <c r="RT42" i="1"/>
  <c r="RV52" i="1"/>
  <c r="RU75" i="1"/>
  <c r="RT36" i="1"/>
  <c r="RT16" i="1"/>
  <c r="RV12" i="1"/>
  <c r="RU68" i="1"/>
  <c r="RV46" i="1"/>
  <c r="RU67" i="1"/>
  <c r="RT79" i="1"/>
  <c r="RT80" i="1" s="1"/>
  <c r="RT14" i="1"/>
  <c r="RT47" i="1"/>
  <c r="RT37" i="1"/>
  <c r="RT67" i="1"/>
  <c r="RU37" i="1"/>
  <c r="RT33" i="1"/>
  <c r="RV40" i="1"/>
  <c r="RU36" i="1"/>
  <c r="RT75" i="1"/>
  <c r="RT26" i="1"/>
  <c r="RT61" i="1"/>
  <c r="RT76" i="1"/>
  <c r="RT30" i="1"/>
  <c r="RV38" i="1"/>
  <c r="RT74" i="1"/>
  <c r="RT72" i="1"/>
  <c r="SC1" i="1"/>
  <c r="RT32" i="1"/>
  <c r="RV13" i="1"/>
  <c r="RT73" i="1"/>
  <c r="RT27" i="1"/>
  <c r="RV28" i="1"/>
  <c r="RT69" i="1"/>
  <c r="RT46" i="1"/>
  <c r="RT31" i="1"/>
  <c r="RT56" i="1"/>
  <c r="RT70" i="1"/>
  <c r="RT68" i="1"/>
  <c r="RT24" i="1"/>
  <c r="RV70" i="1"/>
  <c r="RT23" i="1"/>
  <c r="RU38" i="1"/>
  <c r="RT55" i="1"/>
  <c r="RT40" i="1"/>
  <c r="RT60" i="1"/>
  <c r="RT21" i="1"/>
  <c r="RV67" i="1"/>
  <c r="RT52" i="1"/>
  <c r="RV18" i="1"/>
  <c r="RT53" i="1"/>
  <c r="RT35" i="1"/>
  <c r="RT57" i="1"/>
  <c r="RT18" i="1"/>
  <c r="RV53" i="1"/>
  <c r="RT20" i="1"/>
  <c r="RT77" i="1"/>
  <c r="RU35" i="1"/>
  <c r="RV10" i="1"/>
  <c r="RT54" i="1"/>
  <c r="RT15" i="1"/>
  <c r="RV44" i="1"/>
  <c r="RT13" i="1"/>
  <c r="RT50" i="1"/>
  <c r="RT28" i="1"/>
  <c r="RT59" i="1"/>
  <c r="RV45" i="1"/>
  <c r="RV55" i="1"/>
  <c r="RV26" i="1"/>
  <c r="RV17" i="1"/>
  <c r="RT51" i="1"/>
  <c r="RT12" i="1"/>
  <c r="RV36" i="1"/>
  <c r="RT22" i="1"/>
  <c r="RT49" i="1"/>
  <c r="RT25" i="1"/>
  <c r="RT58" i="1"/>
  <c r="RV57" i="1"/>
  <c r="RT48" i="1"/>
  <c r="RV69" i="1"/>
  <c r="RV29" i="1"/>
  <c r="RT11" i="1"/>
  <c r="RT38" i="1"/>
  <c r="RT29" i="1"/>
  <c r="RT45" i="1"/>
  <c r="RN71" i="1"/>
  <c r="RQ18" i="1"/>
  <c r="RS18" i="1" s="1"/>
  <c r="SS8" i="1"/>
  <c r="ST8" i="1" s="1"/>
  <c r="SZ8" i="1"/>
  <c r="RQ52" i="1"/>
  <c r="RS52" i="1" s="1"/>
  <c r="RL39" i="1"/>
  <c r="RE81" i="1"/>
  <c r="RQ57" i="1"/>
  <c r="RS57" i="1" s="1"/>
  <c r="RM71" i="1"/>
  <c r="RN39" i="1"/>
  <c r="RQ25" i="1"/>
  <c r="RS25" i="1" s="1"/>
  <c r="RL71" i="1"/>
  <c r="RM39" i="1"/>
  <c r="RM78" i="1"/>
  <c r="PC8" i="1"/>
  <c r="PM8" i="1"/>
  <c r="PL8" i="1" s="1"/>
  <c r="PG8" i="1"/>
  <c r="PO5" i="1"/>
  <c r="PW1" i="1"/>
  <c r="GO10" i="1"/>
  <c r="GV10" i="1" s="1"/>
  <c r="GV39" i="1" s="1"/>
  <c r="NS73" i="1"/>
  <c r="NY73" i="1" s="1"/>
  <c r="OA73" i="1" s="1"/>
  <c r="OG73" i="1" s="1"/>
  <c r="OI73" i="1" s="1"/>
  <c r="OO73" i="1" s="1"/>
  <c r="OQ73" i="1" s="1"/>
  <c r="OW73" i="1" s="1"/>
  <c r="OY73" i="1" s="1"/>
  <c r="PE73" i="1" s="1"/>
  <c r="PG73" i="1" s="1"/>
  <c r="PM73" i="1" s="1"/>
  <c r="PO73" i="1" s="1"/>
  <c r="PU73" i="1" s="1"/>
  <c r="PW73" i="1" s="1"/>
  <c r="QC73" i="1" s="1"/>
  <c r="QE73" i="1" s="1"/>
  <c r="QK73" i="1" s="1"/>
  <c r="QM73" i="1" s="1"/>
  <c r="QS73" i="1" s="1"/>
  <c r="QU73" i="1" s="1"/>
  <c r="RA73" i="1" s="1"/>
  <c r="RC73" i="1" s="1"/>
  <c r="RI73" i="1" s="1"/>
  <c r="RK73" i="1" s="1"/>
  <c r="RQ73" i="1" s="1"/>
  <c r="RS73" i="1" s="1"/>
  <c r="FS71" i="1"/>
  <c r="FK80" i="1"/>
  <c r="FS77" i="1"/>
  <c r="GD77" i="1" s="1"/>
  <c r="GD78" i="1" s="1"/>
  <c r="GO72" i="1"/>
  <c r="GV72" i="1" s="1"/>
  <c r="LM14" i="1" l="1"/>
  <c r="LO14" i="1" s="1"/>
  <c r="LU14" i="1" s="1"/>
  <c r="LW14" i="1" s="1"/>
  <c r="MC14" i="1" s="1"/>
  <c r="ME14" i="1" s="1"/>
  <c r="MK14" i="1" s="1"/>
  <c r="MM14" i="1" s="1"/>
  <c r="MS14" i="1" s="1"/>
  <c r="MU14" i="1" s="1"/>
  <c r="NA14" i="1" s="1"/>
  <c r="NC14" i="1" s="1"/>
  <c r="NI14" i="1" s="1"/>
  <c r="NK14" i="1" s="1"/>
  <c r="NQ14" i="1" s="1"/>
  <c r="NS14" i="1" s="1"/>
  <c r="NY14" i="1" s="1"/>
  <c r="OA14" i="1" s="1"/>
  <c r="OG14" i="1" s="1"/>
  <c r="OI14" i="1" s="1"/>
  <c r="OO14" i="1" s="1"/>
  <c r="OQ14" i="1" s="1"/>
  <c r="OW14" i="1" s="1"/>
  <c r="OY14" i="1" s="1"/>
  <c r="PE14" i="1" s="1"/>
  <c r="PG14" i="1" s="1"/>
  <c r="PM14" i="1" s="1"/>
  <c r="PO14" i="1" s="1"/>
  <c r="PU14" i="1" s="1"/>
  <c r="PW14" i="1" s="1"/>
  <c r="QC14" i="1" s="1"/>
  <c r="QE14" i="1" s="1"/>
  <c r="QK14" i="1" s="1"/>
  <c r="QM14" i="1" s="1"/>
  <c r="QS14" i="1" s="1"/>
  <c r="QU14" i="1" s="1"/>
  <c r="RA14" i="1" s="1"/>
  <c r="RC14" i="1" s="1"/>
  <c r="RI14" i="1" s="1"/>
  <c r="RK14" i="1" s="1"/>
  <c r="RQ14" i="1" s="1"/>
  <c r="RS14" i="1" s="1"/>
  <c r="RY14" i="1" s="1"/>
  <c r="SA14" i="1" s="1"/>
  <c r="RY33" i="1"/>
  <c r="SA33" i="1" s="1"/>
  <c r="RY54" i="1"/>
  <c r="SA54" i="1" s="1"/>
  <c r="RY21" i="1"/>
  <c r="SA21" i="1" s="1"/>
  <c r="RY64" i="1"/>
  <c r="SA64" i="1" s="1"/>
  <c r="RY63" i="1"/>
  <c r="SA63" i="1" s="1"/>
  <c r="RY66" i="1"/>
  <c r="SA66" i="1" s="1"/>
  <c r="RY65" i="1"/>
  <c r="SA65" i="1" s="1"/>
  <c r="RY22" i="1"/>
  <c r="SA22" i="1" s="1"/>
  <c r="RY62" i="1"/>
  <c r="SA62" i="1" s="1"/>
  <c r="RY34" i="1"/>
  <c r="SA34" i="1" s="1"/>
  <c r="SB65" i="1"/>
  <c r="SB34" i="1"/>
  <c r="SB63" i="1"/>
  <c r="SB62" i="1"/>
  <c r="SB66" i="1"/>
  <c r="SB64" i="1"/>
  <c r="TA8" i="1"/>
  <c r="TB8" i="1" s="1"/>
  <c r="TH8" i="1"/>
  <c r="RY24" i="1"/>
  <c r="SA24" i="1" s="1"/>
  <c r="RY27" i="1"/>
  <c r="SA27" i="1" s="1"/>
  <c r="RY49" i="1"/>
  <c r="SA49" i="1" s="1"/>
  <c r="RY50" i="1"/>
  <c r="SA50" i="1" s="1"/>
  <c r="RY76" i="1"/>
  <c r="SA76" i="1" s="1"/>
  <c r="RY61" i="1"/>
  <c r="SA61" i="1" s="1"/>
  <c r="RY60" i="1"/>
  <c r="SA60" i="1" s="1"/>
  <c r="RY48" i="1"/>
  <c r="SA48" i="1" s="1"/>
  <c r="RY58" i="1"/>
  <c r="SA58" i="1" s="1"/>
  <c r="RY20" i="1"/>
  <c r="SA20" i="1" s="1"/>
  <c r="RY41" i="1"/>
  <c r="SA41" i="1" s="1"/>
  <c r="RY32" i="1"/>
  <c r="SA32" i="1" s="1"/>
  <c r="RY51" i="1"/>
  <c r="SA51" i="1" s="1"/>
  <c r="RY45" i="1"/>
  <c r="SA45" i="1" s="1"/>
  <c r="RY47" i="1"/>
  <c r="SA47" i="1" s="1"/>
  <c r="RY31" i="1"/>
  <c r="SA31" i="1" s="1"/>
  <c r="RY56" i="1"/>
  <c r="SA56" i="1" s="1"/>
  <c r="RY43" i="1"/>
  <c r="SA43" i="1" s="1"/>
  <c r="RY23" i="1"/>
  <c r="SA23" i="1" s="1"/>
  <c r="RY13" i="1"/>
  <c r="SA13" i="1" s="1"/>
  <c r="RY53" i="1"/>
  <c r="SA53" i="1" s="1"/>
  <c r="RY19" i="1"/>
  <c r="SA19" i="1" s="1"/>
  <c r="RY59" i="1"/>
  <c r="SA59" i="1" s="1"/>
  <c r="RY44" i="1"/>
  <c r="SA44" i="1" s="1"/>
  <c r="RY30" i="1"/>
  <c r="SA30" i="1" s="1"/>
  <c r="RY16" i="1"/>
  <c r="SA16" i="1" s="1"/>
  <c r="RN81" i="1"/>
  <c r="RY46" i="1"/>
  <c r="SA46" i="1" s="1"/>
  <c r="RY42" i="1"/>
  <c r="SA42" i="1" s="1"/>
  <c r="RM81" i="1"/>
  <c r="RY74" i="1"/>
  <c r="SA74" i="1" s="1"/>
  <c r="RY11" i="1"/>
  <c r="SA11" i="1" s="1"/>
  <c r="RY68" i="1"/>
  <c r="SA68" i="1" s="1"/>
  <c r="RT78" i="1"/>
  <c r="RY67" i="1"/>
  <c r="SA67" i="1" s="1"/>
  <c r="RY37" i="1"/>
  <c r="SA37" i="1" s="1"/>
  <c r="RY15" i="1"/>
  <c r="SA15" i="1" s="1"/>
  <c r="RY29" i="1"/>
  <c r="SA29" i="1" s="1"/>
  <c r="RY69" i="1"/>
  <c r="SA69" i="1" s="1"/>
  <c r="RY75" i="1"/>
  <c r="SA75" i="1" s="1"/>
  <c r="RY12" i="1"/>
  <c r="SA12" i="1" s="1"/>
  <c r="RL81" i="1"/>
  <c r="RG82" i="1" s="1"/>
  <c r="RY38" i="1"/>
  <c r="SA38" i="1" s="1"/>
  <c r="RY26" i="1"/>
  <c r="SA26" i="1" s="1"/>
  <c r="RY17" i="1"/>
  <c r="SA17" i="1" s="1"/>
  <c r="RY28" i="1"/>
  <c r="SA28" i="1" s="1"/>
  <c r="RY36" i="1"/>
  <c r="SA36" i="1" s="1"/>
  <c r="RY55" i="1"/>
  <c r="SA55" i="1" s="1"/>
  <c r="RY70" i="1"/>
  <c r="SA70" i="1" s="1"/>
  <c r="RY73" i="1"/>
  <c r="SA73" i="1" s="1"/>
  <c r="RY18" i="1"/>
  <c r="SA18" i="1" s="1"/>
  <c r="RY35" i="1"/>
  <c r="SA35" i="1" s="1"/>
  <c r="RU78" i="1"/>
  <c r="RY25" i="1"/>
  <c r="SA25" i="1" s="1"/>
  <c r="RY57" i="1"/>
  <c r="SA57" i="1" s="1"/>
  <c r="RV39" i="1"/>
  <c r="RU39" i="1"/>
  <c r="RU71" i="1"/>
  <c r="RY52" i="1"/>
  <c r="SA52" i="1" s="1"/>
  <c r="RT71" i="1"/>
  <c r="RT39" i="1"/>
  <c r="RV71" i="1"/>
  <c r="SC74" i="1"/>
  <c r="SB49" i="1"/>
  <c r="SD53" i="1"/>
  <c r="SB68" i="1"/>
  <c r="SB24" i="1"/>
  <c r="SD12" i="1"/>
  <c r="SB29" i="1"/>
  <c r="SB44" i="1"/>
  <c r="SC69" i="1"/>
  <c r="SB46" i="1"/>
  <c r="SD44" i="1"/>
  <c r="SB60" i="1"/>
  <c r="SD69" i="1"/>
  <c r="SB20" i="1"/>
  <c r="SD15" i="1"/>
  <c r="SB23" i="1"/>
  <c r="SB57" i="1"/>
  <c r="SB70" i="1"/>
  <c r="SB15" i="1"/>
  <c r="SD52" i="1"/>
  <c r="SB36" i="1"/>
  <c r="SD46" i="1"/>
  <c r="SD45" i="1"/>
  <c r="SD40" i="1"/>
  <c r="SB32" i="1"/>
  <c r="SB50" i="1"/>
  <c r="SD28" i="1"/>
  <c r="SB16" i="1"/>
  <c r="SD67" i="1"/>
  <c r="SB73" i="1"/>
  <c r="SC38" i="1"/>
  <c r="SB43" i="1"/>
  <c r="SD36" i="1"/>
  <c r="SD55" i="1"/>
  <c r="SB10" i="1"/>
  <c r="SD13" i="1"/>
  <c r="SB56" i="1"/>
  <c r="SB26" i="1"/>
  <c r="SK1" i="1"/>
  <c r="SB72" i="1"/>
  <c r="SC35" i="1"/>
  <c r="SB40" i="1"/>
  <c r="SD29" i="1"/>
  <c r="SB54" i="1"/>
  <c r="SD57" i="1"/>
  <c r="SD18" i="1"/>
  <c r="SB11" i="1"/>
  <c r="SB21" i="1"/>
  <c r="SB52" i="1"/>
  <c r="SB79" i="1"/>
  <c r="SB80" i="1" s="1"/>
  <c r="SB38" i="1"/>
  <c r="SD26" i="1"/>
  <c r="SB51" i="1"/>
  <c r="SB59" i="1"/>
  <c r="SB41" i="1"/>
  <c r="SB77" i="1"/>
  <c r="SB35" i="1"/>
  <c r="SC75" i="1"/>
  <c r="SB48" i="1"/>
  <c r="SB67" i="1"/>
  <c r="SB75" i="1"/>
  <c r="SD42" i="1"/>
  <c r="SB74" i="1"/>
  <c r="SB31" i="1"/>
  <c r="SC67" i="1"/>
  <c r="SB45" i="1"/>
  <c r="SD38" i="1"/>
  <c r="SB30" i="1"/>
  <c r="SB69" i="1"/>
  <c r="SB28" i="1"/>
  <c r="SC36" i="1"/>
  <c r="SB42" i="1"/>
  <c r="SB18" i="1"/>
  <c r="SB61" i="1"/>
  <c r="SB25" i="1"/>
  <c r="SC68" i="1"/>
  <c r="SB37" i="1"/>
  <c r="SB53" i="1"/>
  <c r="SD17" i="1"/>
  <c r="SB19" i="1"/>
  <c r="SB13" i="1"/>
  <c r="SB14" i="1"/>
  <c r="SB58" i="1"/>
  <c r="SB22" i="1"/>
  <c r="SC37" i="1"/>
  <c r="SB33" i="1"/>
  <c r="SB47" i="1"/>
  <c r="SB12" i="1"/>
  <c r="SB17" i="1"/>
  <c r="SD10" i="1"/>
  <c r="SB27" i="1"/>
  <c r="SB55" i="1"/>
  <c r="SD70" i="1"/>
  <c r="SB76" i="1"/>
  <c r="GO39" i="1"/>
  <c r="PW5" i="1"/>
  <c r="QE1" i="1"/>
  <c r="PK8" i="1"/>
  <c r="PU8" i="1"/>
  <c r="PT8" i="1" s="1"/>
  <c r="PO8" i="1"/>
  <c r="FK81" i="1"/>
  <c r="FS78" i="1"/>
  <c r="GF40" i="1"/>
  <c r="GM40" i="1" s="1"/>
  <c r="GM71" i="1" s="1"/>
  <c r="FS79" i="1"/>
  <c r="GD79" i="1" s="1"/>
  <c r="GD80" i="1" s="1"/>
  <c r="GD81" i="1" s="1"/>
  <c r="SG64" i="1" l="1"/>
  <c r="SI64" i="1" s="1"/>
  <c r="SG33" i="1"/>
  <c r="SI33" i="1" s="1"/>
  <c r="SG54" i="1"/>
  <c r="SI54" i="1" s="1"/>
  <c r="SG21" i="1"/>
  <c r="SI21" i="1" s="1"/>
  <c r="SG63" i="1"/>
  <c r="SI63" i="1" s="1"/>
  <c r="SG66" i="1"/>
  <c r="SI66" i="1" s="1"/>
  <c r="SG22" i="1"/>
  <c r="SI22" i="1" s="1"/>
  <c r="SG65" i="1"/>
  <c r="SI65" i="1" s="1"/>
  <c r="SJ64" i="1"/>
  <c r="SJ34" i="1"/>
  <c r="SJ66" i="1"/>
  <c r="SJ62" i="1"/>
  <c r="SJ63" i="1"/>
  <c r="SJ65" i="1"/>
  <c r="SG34" i="1"/>
  <c r="SI34" i="1" s="1"/>
  <c r="SG62" i="1"/>
  <c r="SI62" i="1" s="1"/>
  <c r="TP8" i="1"/>
  <c r="TI8" i="1"/>
  <c r="TJ8" i="1" s="1"/>
  <c r="SG24" i="1"/>
  <c r="SI24" i="1" s="1"/>
  <c r="SG27" i="1"/>
  <c r="SI27" i="1" s="1"/>
  <c r="SG76" i="1"/>
  <c r="SI76" i="1" s="1"/>
  <c r="SG49" i="1"/>
  <c r="SI49" i="1" s="1"/>
  <c r="SG19" i="1"/>
  <c r="SI19" i="1" s="1"/>
  <c r="SG60" i="1"/>
  <c r="SI60" i="1" s="1"/>
  <c r="SG58" i="1"/>
  <c r="SI58" i="1" s="1"/>
  <c r="SG48" i="1"/>
  <c r="SI48" i="1" s="1"/>
  <c r="SG50" i="1"/>
  <c r="SI50" i="1" s="1"/>
  <c r="SG14" i="1"/>
  <c r="SI14" i="1" s="1"/>
  <c r="SG32" i="1"/>
  <c r="SI32" i="1" s="1"/>
  <c r="SG61" i="1"/>
  <c r="SI61" i="1" s="1"/>
  <c r="SG20" i="1"/>
  <c r="SI20" i="1" s="1"/>
  <c r="SG51" i="1"/>
  <c r="SI51" i="1" s="1"/>
  <c r="SG41" i="1"/>
  <c r="SI41" i="1" s="1"/>
  <c r="SG31" i="1"/>
  <c r="SI31" i="1" s="1"/>
  <c r="SG47" i="1"/>
  <c r="SI47" i="1" s="1"/>
  <c r="SG43" i="1"/>
  <c r="SI43" i="1" s="1"/>
  <c r="RU81" i="1"/>
  <c r="SG56" i="1"/>
  <c r="SI56" i="1" s="1"/>
  <c r="SG59" i="1"/>
  <c r="SI59" i="1" s="1"/>
  <c r="SG16" i="1"/>
  <c r="SI16" i="1" s="1"/>
  <c r="SG23" i="1"/>
  <c r="SI23" i="1" s="1"/>
  <c r="SG30" i="1"/>
  <c r="SI30" i="1" s="1"/>
  <c r="SG28" i="1"/>
  <c r="SI28" i="1" s="1"/>
  <c r="SG74" i="1"/>
  <c r="SI74" i="1" s="1"/>
  <c r="SG11" i="1"/>
  <c r="SI11" i="1" s="1"/>
  <c r="SG53" i="1"/>
  <c r="SI53" i="1" s="1"/>
  <c r="SG45" i="1"/>
  <c r="SI45" i="1" s="1"/>
  <c r="SG13" i="1"/>
  <c r="SI13" i="1" s="1"/>
  <c r="SG18" i="1"/>
  <c r="SI18" i="1" s="1"/>
  <c r="SG75" i="1"/>
  <c r="SI75" i="1" s="1"/>
  <c r="SG37" i="1"/>
  <c r="SI37" i="1" s="1"/>
  <c r="SG38" i="1"/>
  <c r="SI38" i="1" s="1"/>
  <c r="SG46" i="1"/>
  <c r="SI46" i="1" s="1"/>
  <c r="SG70" i="1"/>
  <c r="SI70" i="1" s="1"/>
  <c r="SG73" i="1"/>
  <c r="SI73" i="1" s="1"/>
  <c r="SG17" i="1"/>
  <c r="SI17" i="1" s="1"/>
  <c r="SG55" i="1"/>
  <c r="SI55" i="1" s="1"/>
  <c r="SG35" i="1"/>
  <c r="SI35" i="1" s="1"/>
  <c r="SG44" i="1"/>
  <c r="SI44" i="1" s="1"/>
  <c r="SG69" i="1"/>
  <c r="SI69" i="1" s="1"/>
  <c r="SG36" i="1"/>
  <c r="SI36" i="1" s="1"/>
  <c r="SG15" i="1"/>
  <c r="SI15" i="1" s="1"/>
  <c r="SG29" i="1"/>
  <c r="SI29" i="1" s="1"/>
  <c r="RT81" i="1"/>
  <c r="RO82" i="1" s="1"/>
  <c r="SG12" i="1"/>
  <c r="SI12" i="1" s="1"/>
  <c r="SG68" i="1"/>
  <c r="SI68" i="1" s="1"/>
  <c r="SG26" i="1"/>
  <c r="SI26" i="1" s="1"/>
  <c r="SG25" i="1"/>
  <c r="SI25" i="1" s="1"/>
  <c r="SG42" i="1"/>
  <c r="SI42" i="1" s="1"/>
  <c r="SG67" i="1"/>
  <c r="SI67" i="1" s="1"/>
  <c r="SD39" i="1"/>
  <c r="SC39" i="1"/>
  <c r="SB78" i="1"/>
  <c r="SB71" i="1"/>
  <c r="SC71" i="1"/>
  <c r="SJ72" i="1"/>
  <c r="SJ29" i="1"/>
  <c r="SJ73" i="1"/>
  <c r="SJ27" i="1"/>
  <c r="SJ43" i="1"/>
  <c r="SJ10" i="1"/>
  <c r="SJ20" i="1"/>
  <c r="SL52" i="1"/>
  <c r="SL10" i="1"/>
  <c r="SJ15" i="1"/>
  <c r="SJ42" i="1"/>
  <c r="SJ70" i="1"/>
  <c r="SJ26" i="1"/>
  <c r="SJ68" i="1"/>
  <c r="SJ24" i="1"/>
  <c r="SJ40" i="1"/>
  <c r="SL26" i="1"/>
  <c r="SJ22" i="1"/>
  <c r="SJ21" i="1"/>
  <c r="SL17" i="1"/>
  <c r="SJ67" i="1"/>
  <c r="SJ23" i="1"/>
  <c r="SJ60" i="1"/>
  <c r="SJ79" i="1"/>
  <c r="SJ80" i="1" s="1"/>
  <c r="SJ38" i="1"/>
  <c r="SJ17" i="1"/>
  <c r="SL53" i="1"/>
  <c r="SL38" i="1"/>
  <c r="SJ59" i="1"/>
  <c r="SL57" i="1"/>
  <c r="SJ57" i="1"/>
  <c r="SJ77" i="1"/>
  <c r="SJ35" i="1"/>
  <c r="SL29" i="1"/>
  <c r="SL44" i="1"/>
  <c r="SL55" i="1"/>
  <c r="SJ11" i="1"/>
  <c r="SJ44" i="1"/>
  <c r="SJ30" i="1"/>
  <c r="SJ56" i="1"/>
  <c r="SL45" i="1"/>
  <c r="SJ54" i="1"/>
  <c r="SJ74" i="1"/>
  <c r="SJ31" i="1"/>
  <c r="SL13" i="1"/>
  <c r="SJ13" i="1"/>
  <c r="SJ18" i="1"/>
  <c r="SK67" i="1"/>
  <c r="SJ14" i="1"/>
  <c r="SJ53" i="1"/>
  <c r="SL42" i="1"/>
  <c r="SJ51" i="1"/>
  <c r="SJ69" i="1"/>
  <c r="SJ28" i="1"/>
  <c r="SK69" i="1"/>
  <c r="SS1" i="1"/>
  <c r="SL70" i="1"/>
  <c r="SL28" i="1"/>
  <c r="SJ12" i="1"/>
  <c r="SL12" i="1"/>
  <c r="SL67" i="1"/>
  <c r="SJ16" i="1"/>
  <c r="SJ75" i="1"/>
  <c r="SL36" i="1"/>
  <c r="SJ50" i="1"/>
  <c r="SL18" i="1"/>
  <c r="SJ48" i="1"/>
  <c r="SJ61" i="1"/>
  <c r="SJ25" i="1"/>
  <c r="SJ55" i="1"/>
  <c r="SJ32" i="1"/>
  <c r="SL69" i="1"/>
  <c r="SJ47" i="1"/>
  <c r="SL15" i="1"/>
  <c r="SJ45" i="1"/>
  <c r="SJ58" i="1"/>
  <c r="SK75" i="1"/>
  <c r="SJ41" i="1"/>
  <c r="SK68" i="1"/>
  <c r="SJ37" i="1"/>
  <c r="SJ52" i="1"/>
  <c r="SK36" i="1"/>
  <c r="SL40" i="1"/>
  <c r="SL46" i="1"/>
  <c r="SJ49" i="1"/>
  <c r="SK38" i="1"/>
  <c r="SK74" i="1"/>
  <c r="SJ76" i="1"/>
  <c r="SJ19" i="1"/>
  <c r="SJ36" i="1"/>
  <c r="SK37" i="1"/>
  <c r="SJ33" i="1"/>
  <c r="SK35" i="1"/>
  <c r="SJ46" i="1"/>
  <c r="QE5" i="1"/>
  <c r="QK8" i="1" s="1"/>
  <c r="QJ8" i="1" s="1"/>
  <c r="QM1" i="1"/>
  <c r="SC78" i="1"/>
  <c r="SG52" i="1"/>
  <c r="SI52" i="1" s="1"/>
  <c r="SD71" i="1"/>
  <c r="SG57" i="1"/>
  <c r="SI57" i="1" s="1"/>
  <c r="SB39" i="1"/>
  <c r="RV81" i="1"/>
  <c r="QC8" i="1"/>
  <c r="QB8" i="1" s="1"/>
  <c r="PW8" i="1"/>
  <c r="PS8" i="1"/>
  <c r="GX10" i="1"/>
  <c r="HE10" i="1" s="1"/>
  <c r="HE39" i="1" s="1"/>
  <c r="FS80" i="1"/>
  <c r="GF71" i="1"/>
  <c r="GF77" i="1"/>
  <c r="GM77" i="1" s="1"/>
  <c r="GM78" i="1" s="1"/>
  <c r="GX72" i="1"/>
  <c r="HE72" i="1" s="1"/>
  <c r="SO64" i="1" l="1"/>
  <c r="SQ64" i="1" s="1"/>
  <c r="SO33" i="1"/>
  <c r="SQ33" i="1" s="1"/>
  <c r="SO54" i="1"/>
  <c r="SQ54" i="1" s="1"/>
  <c r="SO21" i="1"/>
  <c r="SQ21" i="1" s="1"/>
  <c r="SO66" i="1"/>
  <c r="SQ66" i="1" s="1"/>
  <c r="SO63" i="1"/>
  <c r="SQ63" i="1" s="1"/>
  <c r="SO22" i="1"/>
  <c r="SQ22" i="1" s="1"/>
  <c r="SO65" i="1"/>
  <c r="SQ65" i="1" s="1"/>
  <c r="SO34" i="1"/>
  <c r="SQ34" i="1" s="1"/>
  <c r="SO62" i="1"/>
  <c r="SQ62" i="1" s="1"/>
  <c r="SR34" i="1"/>
  <c r="SR65" i="1"/>
  <c r="SR62" i="1"/>
  <c r="SR66" i="1"/>
  <c r="SR63" i="1"/>
  <c r="SR64" i="1"/>
  <c r="SO49" i="1"/>
  <c r="SQ49" i="1" s="1"/>
  <c r="SO24" i="1"/>
  <c r="SQ24" i="1" s="1"/>
  <c r="TX8" i="1"/>
  <c r="TQ8" i="1"/>
  <c r="TR8" i="1" s="1"/>
  <c r="SO27" i="1"/>
  <c r="SQ27" i="1" s="1"/>
  <c r="SO76" i="1"/>
  <c r="SQ76" i="1" s="1"/>
  <c r="SO58" i="1"/>
  <c r="SQ58" i="1" s="1"/>
  <c r="SO19" i="1"/>
  <c r="SQ19" i="1" s="1"/>
  <c r="SO50" i="1"/>
  <c r="SQ50" i="1" s="1"/>
  <c r="SO14" i="1"/>
  <c r="SQ14" i="1" s="1"/>
  <c r="SO48" i="1"/>
  <c r="SQ48" i="1" s="1"/>
  <c r="SO41" i="1"/>
  <c r="SQ41" i="1" s="1"/>
  <c r="SO60" i="1"/>
  <c r="SQ60" i="1" s="1"/>
  <c r="SO30" i="1"/>
  <c r="SQ30" i="1" s="1"/>
  <c r="SO61" i="1"/>
  <c r="SQ61" i="1" s="1"/>
  <c r="SO32" i="1"/>
  <c r="SQ32" i="1" s="1"/>
  <c r="SO47" i="1"/>
  <c r="SQ47" i="1" s="1"/>
  <c r="SO20" i="1"/>
  <c r="SQ20" i="1" s="1"/>
  <c r="SO51" i="1"/>
  <c r="SQ51" i="1" s="1"/>
  <c r="SO43" i="1"/>
  <c r="SQ43" i="1" s="1"/>
  <c r="SO31" i="1"/>
  <c r="SQ31" i="1" s="1"/>
  <c r="SO59" i="1"/>
  <c r="SQ59" i="1" s="1"/>
  <c r="SO56" i="1"/>
  <c r="SQ56" i="1" s="1"/>
  <c r="SO23" i="1"/>
  <c r="SQ23" i="1" s="1"/>
  <c r="SO16" i="1"/>
  <c r="SQ16" i="1" s="1"/>
  <c r="SC81" i="1"/>
  <c r="SO13" i="1"/>
  <c r="SQ13" i="1" s="1"/>
  <c r="SK71" i="1"/>
  <c r="SD81" i="1"/>
  <c r="SO11" i="1"/>
  <c r="SQ11" i="1" s="1"/>
  <c r="SO45" i="1"/>
  <c r="SQ45" i="1" s="1"/>
  <c r="SO73" i="1"/>
  <c r="SQ73" i="1" s="1"/>
  <c r="SO53" i="1"/>
  <c r="SQ53" i="1" s="1"/>
  <c r="SO17" i="1"/>
  <c r="SQ17" i="1" s="1"/>
  <c r="SO25" i="1"/>
  <c r="SQ25" i="1" s="1"/>
  <c r="SK78" i="1"/>
  <c r="SO37" i="1"/>
  <c r="SQ37" i="1" s="1"/>
  <c r="SO75" i="1"/>
  <c r="SQ75" i="1" s="1"/>
  <c r="SB81" i="1"/>
  <c r="RW82" i="1" s="1"/>
  <c r="SO70" i="1"/>
  <c r="SQ70" i="1" s="1"/>
  <c r="SO18" i="1"/>
  <c r="SQ18" i="1" s="1"/>
  <c r="SO36" i="1"/>
  <c r="SQ36" i="1" s="1"/>
  <c r="SO44" i="1"/>
  <c r="SQ44" i="1" s="1"/>
  <c r="SO12" i="1"/>
  <c r="SQ12" i="1" s="1"/>
  <c r="SO42" i="1"/>
  <c r="SQ42" i="1" s="1"/>
  <c r="SO15" i="1"/>
  <c r="SQ15" i="1" s="1"/>
  <c r="SO46" i="1"/>
  <c r="SQ46" i="1" s="1"/>
  <c r="SO35" i="1"/>
  <c r="SQ35" i="1" s="1"/>
  <c r="SO67" i="1"/>
  <c r="SQ67" i="1" s="1"/>
  <c r="SO55" i="1"/>
  <c r="SQ55" i="1" s="1"/>
  <c r="SO74" i="1"/>
  <c r="SQ74" i="1" s="1"/>
  <c r="SO28" i="1"/>
  <c r="SQ28" i="1" s="1"/>
  <c r="SO69" i="1"/>
  <c r="SQ69" i="1" s="1"/>
  <c r="SO68" i="1"/>
  <c r="SQ68" i="1" s="1"/>
  <c r="SO29" i="1"/>
  <c r="SQ29" i="1" s="1"/>
  <c r="SO38" i="1"/>
  <c r="SQ38" i="1" s="1"/>
  <c r="SO26" i="1"/>
  <c r="SQ26" i="1" s="1"/>
  <c r="SJ78" i="1"/>
  <c r="QM5" i="1"/>
  <c r="QU1" i="1"/>
  <c r="QE8" i="1"/>
  <c r="SL39" i="1"/>
  <c r="SK39" i="1"/>
  <c r="TA1" i="1"/>
  <c r="ST28" i="1"/>
  <c r="SR52" i="1"/>
  <c r="ST45" i="1"/>
  <c r="SR37" i="1"/>
  <c r="ST36" i="1"/>
  <c r="SR70" i="1"/>
  <c r="ST70" i="1"/>
  <c r="ST13" i="1"/>
  <c r="SS74" i="1"/>
  <c r="SR49" i="1"/>
  <c r="ST42" i="1"/>
  <c r="SR33" i="1"/>
  <c r="SR23" i="1"/>
  <c r="SR72" i="1"/>
  <c r="SR47" i="1"/>
  <c r="ST67" i="1"/>
  <c r="SS69" i="1"/>
  <c r="SR46" i="1"/>
  <c r="SR76" i="1"/>
  <c r="SR30" i="1"/>
  <c r="SR18" i="1"/>
  <c r="SR36" i="1"/>
  <c r="SR21" i="1"/>
  <c r="SR15" i="1"/>
  <c r="SS38" i="1"/>
  <c r="SR43" i="1"/>
  <c r="SR73" i="1"/>
  <c r="SS67" i="1"/>
  <c r="SR17" i="1"/>
  <c r="SR14" i="1"/>
  <c r="SR19" i="1"/>
  <c r="SR40" i="1"/>
  <c r="SR68" i="1"/>
  <c r="ST12" i="1"/>
  <c r="SR10" i="1"/>
  <c r="SR26" i="1"/>
  <c r="ST15" i="1"/>
  <c r="SR53" i="1"/>
  <c r="SS68" i="1"/>
  <c r="SR12" i="1"/>
  <c r="SR54" i="1"/>
  <c r="SR44" i="1"/>
  <c r="SS37" i="1"/>
  <c r="ST57" i="1"/>
  <c r="SR41" i="1"/>
  <c r="ST29" i="1"/>
  <c r="ST38" i="1"/>
  <c r="SS35" i="1"/>
  <c r="ST44" i="1"/>
  <c r="SR50" i="1"/>
  <c r="SR20" i="1"/>
  <c r="SR42" i="1"/>
  <c r="SR79" i="1"/>
  <c r="SR80" i="1" s="1"/>
  <c r="SR38" i="1"/>
  <c r="SR60" i="1"/>
  <c r="SR31" i="1"/>
  <c r="SR13" i="1"/>
  <c r="SR32" i="1"/>
  <c r="ST69" i="1"/>
  <c r="SR77" i="1"/>
  <c r="SR35" i="1"/>
  <c r="SR57" i="1"/>
  <c r="SR24" i="1"/>
  <c r="SR56" i="1"/>
  <c r="SR75" i="1"/>
  <c r="ST55" i="1"/>
  <c r="SR74" i="1"/>
  <c r="SR29" i="1"/>
  <c r="ST52" i="1"/>
  <c r="SR69" i="1"/>
  <c r="SR28" i="1"/>
  <c r="SR51" i="1"/>
  <c r="ST18" i="1"/>
  <c r="SS36" i="1"/>
  <c r="SS75" i="1"/>
  <c r="ST26" i="1"/>
  <c r="SR67" i="1"/>
  <c r="ST17" i="1"/>
  <c r="ST46" i="1"/>
  <c r="SR61" i="1"/>
  <c r="SR25" i="1"/>
  <c r="SR48" i="1"/>
  <c r="SR11" i="1"/>
  <c r="SR16" i="1"/>
  <c r="ST53" i="1"/>
  <c r="SR27" i="1"/>
  <c r="SR45" i="1"/>
  <c r="SR59" i="1"/>
  <c r="SR55" i="1"/>
  <c r="ST40" i="1"/>
  <c r="SR58" i="1"/>
  <c r="SR22" i="1"/>
  <c r="ST10" i="1"/>
  <c r="SL71" i="1"/>
  <c r="QA8" i="1"/>
  <c r="SO57" i="1"/>
  <c r="SQ57" i="1" s="1"/>
  <c r="SJ39" i="1"/>
  <c r="SJ71" i="1"/>
  <c r="SO52" i="1"/>
  <c r="SQ52" i="1" s="1"/>
  <c r="GX39" i="1"/>
  <c r="FS81" i="1"/>
  <c r="GF78" i="1"/>
  <c r="GO40" i="1"/>
  <c r="GV40" i="1" s="1"/>
  <c r="GV71" i="1" s="1"/>
  <c r="GF79" i="1"/>
  <c r="GM79" i="1" s="1"/>
  <c r="GM80" i="1" s="1"/>
  <c r="GM81" i="1" s="1"/>
  <c r="SW64" i="1" l="1"/>
  <c r="SY64" i="1" s="1"/>
  <c r="SW33" i="1"/>
  <c r="SY33" i="1" s="1"/>
  <c r="SW66" i="1"/>
  <c r="SY66" i="1" s="1"/>
  <c r="SW54" i="1"/>
  <c r="SY54" i="1" s="1"/>
  <c r="SW63" i="1"/>
  <c r="SY63" i="1" s="1"/>
  <c r="SW21" i="1"/>
  <c r="SY21" i="1" s="1"/>
  <c r="SW22" i="1"/>
  <c r="SY22" i="1" s="1"/>
  <c r="SW62" i="1"/>
  <c r="SY62" i="1" s="1"/>
  <c r="SW34" i="1"/>
  <c r="SY34" i="1" s="1"/>
  <c r="SW65" i="1"/>
  <c r="SY65" i="1" s="1"/>
  <c r="TI1" i="1"/>
  <c r="TH20" i="1" s="1"/>
  <c r="SZ34" i="1"/>
  <c r="SZ66" i="1"/>
  <c r="SZ64" i="1"/>
  <c r="SZ65" i="1"/>
  <c r="SZ62" i="1"/>
  <c r="SZ63" i="1"/>
  <c r="SW24" i="1"/>
  <c r="SY24" i="1" s="1"/>
  <c r="SW49" i="1"/>
  <c r="SY49" i="1" s="1"/>
  <c r="SW76" i="1"/>
  <c r="SY76" i="1" s="1"/>
  <c r="SW58" i="1"/>
  <c r="SY58" i="1" s="1"/>
  <c r="SW19" i="1"/>
  <c r="SY19" i="1" s="1"/>
  <c r="TH67" i="1"/>
  <c r="TY8" i="1"/>
  <c r="TZ8" i="1" s="1"/>
  <c r="UF8" i="1"/>
  <c r="SW27" i="1"/>
  <c r="SY27" i="1" s="1"/>
  <c r="SW14" i="1"/>
  <c r="SY14" i="1" s="1"/>
  <c r="SW50" i="1"/>
  <c r="SY50" i="1" s="1"/>
  <c r="SW47" i="1"/>
  <c r="SY47" i="1" s="1"/>
  <c r="SW60" i="1"/>
  <c r="SY60" i="1" s="1"/>
  <c r="SW48" i="1"/>
  <c r="SY48" i="1" s="1"/>
  <c r="SW41" i="1"/>
  <c r="SY41" i="1" s="1"/>
  <c r="SW20" i="1"/>
  <c r="SY20" i="1" s="1"/>
  <c r="SW61" i="1"/>
  <c r="SY61" i="1" s="1"/>
  <c r="SW30" i="1"/>
  <c r="SY30" i="1" s="1"/>
  <c r="SW32" i="1"/>
  <c r="SY32" i="1" s="1"/>
  <c r="SW31" i="1"/>
  <c r="SY31" i="1" s="1"/>
  <c r="SW51" i="1"/>
  <c r="SY51" i="1" s="1"/>
  <c r="SW16" i="1"/>
  <c r="SY16" i="1" s="1"/>
  <c r="SW43" i="1"/>
  <c r="SY43" i="1" s="1"/>
  <c r="SW45" i="1"/>
  <c r="SY45" i="1" s="1"/>
  <c r="SW56" i="1"/>
  <c r="SY56" i="1" s="1"/>
  <c r="SW59" i="1"/>
  <c r="SY59" i="1" s="1"/>
  <c r="SW23" i="1"/>
  <c r="SY23" i="1" s="1"/>
  <c r="SW73" i="1"/>
  <c r="SY73" i="1" s="1"/>
  <c r="SW11" i="1"/>
  <c r="SY11" i="1" s="1"/>
  <c r="SW25" i="1"/>
  <c r="SY25" i="1" s="1"/>
  <c r="SW13" i="1"/>
  <c r="SY13" i="1" s="1"/>
  <c r="SL81" i="1"/>
  <c r="SK81" i="1"/>
  <c r="SW36" i="1"/>
  <c r="SY36" i="1" s="1"/>
  <c r="SW68" i="1"/>
  <c r="SY68" i="1" s="1"/>
  <c r="ST39" i="1"/>
  <c r="SW18" i="1"/>
  <c r="SY18" i="1" s="1"/>
  <c r="SW38" i="1"/>
  <c r="SY38" i="1" s="1"/>
  <c r="SW12" i="1"/>
  <c r="SY12" i="1" s="1"/>
  <c r="SW44" i="1"/>
  <c r="SY44" i="1" s="1"/>
  <c r="SW75" i="1"/>
  <c r="SY75" i="1" s="1"/>
  <c r="SW29" i="1"/>
  <c r="SY29" i="1" s="1"/>
  <c r="SW53" i="1"/>
  <c r="SY53" i="1" s="1"/>
  <c r="SW15" i="1"/>
  <c r="SY15" i="1" s="1"/>
  <c r="SW69" i="1"/>
  <c r="SY69" i="1" s="1"/>
  <c r="SW74" i="1"/>
  <c r="SY74" i="1" s="1"/>
  <c r="SW55" i="1"/>
  <c r="SY55" i="1" s="1"/>
  <c r="SW67" i="1"/>
  <c r="SY67" i="1" s="1"/>
  <c r="SW42" i="1"/>
  <c r="SY42" i="1" s="1"/>
  <c r="SW28" i="1"/>
  <c r="SY28" i="1" s="1"/>
  <c r="SW35" i="1"/>
  <c r="SY35" i="1" s="1"/>
  <c r="SS39" i="1"/>
  <c r="SW26" i="1"/>
  <c r="SY26" i="1" s="1"/>
  <c r="SJ81" i="1"/>
  <c r="SE82" i="1" s="1"/>
  <c r="SS78" i="1"/>
  <c r="SW46" i="1"/>
  <c r="SY46" i="1" s="1"/>
  <c r="SW70" i="1"/>
  <c r="SY70" i="1" s="1"/>
  <c r="SW17" i="1"/>
  <c r="SY17" i="1" s="1"/>
  <c r="SW37" i="1"/>
  <c r="SY37" i="1" s="1"/>
  <c r="SR71" i="1"/>
  <c r="ST71" i="1"/>
  <c r="SW57" i="1"/>
  <c r="SY57" i="1" s="1"/>
  <c r="SS71" i="1"/>
  <c r="SR78" i="1"/>
  <c r="SW52" i="1"/>
  <c r="SY52" i="1" s="1"/>
  <c r="SZ69" i="1"/>
  <c r="SZ76" i="1"/>
  <c r="SZ60" i="1"/>
  <c r="SZ55" i="1"/>
  <c r="TA38" i="1"/>
  <c r="SZ21" i="1"/>
  <c r="TB15" i="1"/>
  <c r="SZ70" i="1"/>
  <c r="TB69" i="1"/>
  <c r="SZ43" i="1"/>
  <c r="TB36" i="1"/>
  <c r="SZ25" i="1"/>
  <c r="TA74" i="1"/>
  <c r="TA69" i="1"/>
  <c r="TA36" i="1"/>
  <c r="SZ30" i="1"/>
  <c r="SZ74" i="1"/>
  <c r="SZ53" i="1"/>
  <c r="SZ48" i="1"/>
  <c r="SZ36" i="1"/>
  <c r="SZ14" i="1"/>
  <c r="TB67" i="1"/>
  <c r="TB57" i="1"/>
  <c r="TB52" i="1"/>
  <c r="TB28" i="1"/>
  <c r="TB18" i="1"/>
  <c r="TB13" i="1"/>
  <c r="TA67" i="1"/>
  <c r="SZ41" i="1"/>
  <c r="SZ67" i="1"/>
  <c r="SZ57" i="1"/>
  <c r="TB40" i="1"/>
  <c r="SZ28" i="1"/>
  <c r="SZ23" i="1"/>
  <c r="SZ18" i="1"/>
  <c r="SZ13" i="1"/>
  <c r="TB45" i="1"/>
  <c r="SZ33" i="1"/>
  <c r="SZ72" i="1"/>
  <c r="TB55" i="1"/>
  <c r="SZ45" i="1"/>
  <c r="SZ50" i="1"/>
  <c r="TB38" i="1"/>
  <c r="SZ26" i="1"/>
  <c r="SZ16" i="1"/>
  <c r="SZ11" i="1"/>
  <c r="SZ77" i="1"/>
  <c r="SZ29" i="1"/>
  <c r="SZ61" i="1"/>
  <c r="SZ20" i="1"/>
  <c r="TA37" i="1"/>
  <c r="TA75" i="1"/>
  <c r="SZ32" i="1"/>
  <c r="SZ79" i="1"/>
  <c r="SZ80" i="1" s="1"/>
  <c r="SZ44" i="1"/>
  <c r="SZ15" i="1"/>
  <c r="SZ47" i="1"/>
  <c r="SZ12" i="1"/>
  <c r="TB46" i="1"/>
  <c r="TB17" i="1"/>
  <c r="SZ59" i="1"/>
  <c r="SZ24" i="1"/>
  <c r="SZ56" i="1"/>
  <c r="SZ27" i="1"/>
  <c r="SZ38" i="1"/>
  <c r="TB26" i="1"/>
  <c r="TA68" i="1"/>
  <c r="TB29" i="1"/>
  <c r="SZ40" i="1"/>
  <c r="SZ37" i="1"/>
  <c r="SZ75" i="1"/>
  <c r="TA35" i="1"/>
  <c r="TB42" i="1"/>
  <c r="SZ51" i="1"/>
  <c r="SZ10" i="1"/>
  <c r="SZ42" i="1"/>
  <c r="SZ52" i="1"/>
  <c r="SZ19" i="1"/>
  <c r="TB53" i="1"/>
  <c r="TB12" i="1"/>
  <c r="TB44" i="1"/>
  <c r="SZ58" i="1"/>
  <c r="SZ49" i="1"/>
  <c r="TB10" i="1"/>
  <c r="SZ31" i="1"/>
  <c r="SZ68" i="1"/>
  <c r="SZ22" i="1"/>
  <c r="SZ54" i="1"/>
  <c r="SZ46" i="1"/>
  <c r="TB70" i="1"/>
  <c r="SZ35" i="1"/>
  <c r="SZ73" i="1"/>
  <c r="SZ17" i="1"/>
  <c r="QU5" i="1"/>
  <c r="RC1" i="1"/>
  <c r="SR39" i="1"/>
  <c r="QS8" i="1"/>
  <c r="QR8" i="1" s="1"/>
  <c r="QM8" i="1"/>
  <c r="QI8" i="1"/>
  <c r="HG10" i="1"/>
  <c r="HN10" i="1" s="1"/>
  <c r="HN39" i="1" s="1"/>
  <c r="GO71" i="1"/>
  <c r="GF80" i="1"/>
  <c r="GO77" i="1"/>
  <c r="GV77" i="1" s="1"/>
  <c r="GV78" i="1" s="1"/>
  <c r="HG72" i="1"/>
  <c r="HN72" i="1" s="1"/>
  <c r="TE64" i="1" l="1"/>
  <c r="TG64" i="1" s="1"/>
  <c r="TE66" i="1"/>
  <c r="TG66" i="1" s="1"/>
  <c r="TE63" i="1"/>
  <c r="TG63" i="1" s="1"/>
  <c r="TH76" i="1"/>
  <c r="TJ45" i="1"/>
  <c r="TH36" i="1"/>
  <c r="TH17" i="1"/>
  <c r="TH31" i="1"/>
  <c r="TJ38" i="1"/>
  <c r="TH56" i="1"/>
  <c r="TH44" i="1"/>
  <c r="TH13" i="1"/>
  <c r="TH28" i="1"/>
  <c r="TJ53" i="1"/>
  <c r="UG8" i="1"/>
  <c r="UH8" i="1" s="1"/>
  <c r="UN8" i="1"/>
  <c r="TJ36" i="1"/>
  <c r="TJ57" i="1"/>
  <c r="TI36" i="1"/>
  <c r="TQ1" i="1"/>
  <c r="TP64" i="1" s="1"/>
  <c r="TJ46" i="1"/>
  <c r="TH74" i="1"/>
  <c r="TJ28" i="1"/>
  <c r="TH79" i="1"/>
  <c r="TH80" i="1" s="1"/>
  <c r="TE33" i="1"/>
  <c r="TG33" i="1" s="1"/>
  <c r="TH51" i="1"/>
  <c r="TH15" i="1"/>
  <c r="TH21" i="1"/>
  <c r="TJ18" i="1"/>
  <c r="TJ17" i="1"/>
  <c r="TH26" i="1"/>
  <c r="TH55" i="1"/>
  <c r="TH68" i="1"/>
  <c r="TH16" i="1"/>
  <c r="TH58" i="1"/>
  <c r="TH47" i="1"/>
  <c r="TH24" i="1"/>
  <c r="TI74" i="1"/>
  <c r="TH46" i="1"/>
  <c r="TI38" i="1"/>
  <c r="TH54" i="1"/>
  <c r="TH38" i="1"/>
  <c r="TH27" i="1"/>
  <c r="TJ55" i="1"/>
  <c r="TI37" i="1"/>
  <c r="TH37" i="1"/>
  <c r="TJ12" i="1"/>
  <c r="TH14" i="1"/>
  <c r="TH29" i="1"/>
  <c r="TJ44" i="1"/>
  <c r="TE54" i="1"/>
  <c r="TG54" i="1" s="1"/>
  <c r="TE21" i="1"/>
  <c r="TG21" i="1" s="1"/>
  <c r="TE22" i="1"/>
  <c r="TG22" i="1" s="1"/>
  <c r="TE62" i="1"/>
  <c r="TG62" i="1" s="1"/>
  <c r="TE65" i="1"/>
  <c r="TG65" i="1" s="1"/>
  <c r="TH12" i="1"/>
  <c r="TH32" i="1"/>
  <c r="TJ15" i="1"/>
  <c r="TH43" i="1"/>
  <c r="TI69" i="1"/>
  <c r="TH18" i="1"/>
  <c r="TH75" i="1"/>
  <c r="TJ29" i="1"/>
  <c r="TH52" i="1"/>
  <c r="TJ40" i="1"/>
  <c r="TJ10" i="1"/>
  <c r="TJ52" i="1"/>
  <c r="TJ26" i="1"/>
  <c r="TH72" i="1"/>
  <c r="TH48" i="1"/>
  <c r="TH30" i="1"/>
  <c r="TH59" i="1"/>
  <c r="TH41" i="1"/>
  <c r="TH50" i="1"/>
  <c r="TH49" i="1"/>
  <c r="TH19" i="1"/>
  <c r="TH40" i="1"/>
  <c r="TH61" i="1"/>
  <c r="TH10" i="1"/>
  <c r="TH70" i="1"/>
  <c r="TH73" i="1"/>
  <c r="TH23" i="1"/>
  <c r="TJ69" i="1"/>
  <c r="TI75" i="1"/>
  <c r="TH69" i="1"/>
  <c r="TH42" i="1"/>
  <c r="TH35" i="1"/>
  <c r="TH77" i="1"/>
  <c r="TH45" i="1"/>
  <c r="TH53" i="1"/>
  <c r="TJ67" i="1"/>
  <c r="TJ13" i="1"/>
  <c r="TJ70" i="1"/>
  <c r="TI35" i="1"/>
  <c r="TI68" i="1"/>
  <c r="TI67" i="1"/>
  <c r="TH57" i="1"/>
  <c r="TH60" i="1"/>
  <c r="TH22" i="1"/>
  <c r="TH25" i="1"/>
  <c r="TJ42" i="1"/>
  <c r="TH33" i="1"/>
  <c r="TE34" i="1"/>
  <c r="TG34" i="1" s="1"/>
  <c r="TE27" i="1"/>
  <c r="TG27" i="1" s="1"/>
  <c r="TH65" i="1"/>
  <c r="TH34" i="1"/>
  <c r="TH63" i="1"/>
  <c r="TH62" i="1"/>
  <c r="TH64" i="1"/>
  <c r="TM64" i="1" s="1"/>
  <c r="TO64" i="1" s="1"/>
  <c r="TH66" i="1"/>
  <c r="TM66" i="1" s="1"/>
  <c r="TO66" i="1" s="1"/>
  <c r="TP34" i="1"/>
  <c r="TP66" i="1"/>
  <c r="TP62" i="1"/>
  <c r="TP65" i="1"/>
  <c r="TH11" i="1"/>
  <c r="TE49" i="1"/>
  <c r="TG49" i="1" s="1"/>
  <c r="TE50" i="1"/>
  <c r="TG50" i="1" s="1"/>
  <c r="TE24" i="1"/>
  <c r="TG24" i="1" s="1"/>
  <c r="TE76" i="1"/>
  <c r="TG76" i="1" s="1"/>
  <c r="TE58" i="1"/>
  <c r="TG58" i="1" s="1"/>
  <c r="TE19" i="1"/>
  <c r="TG19" i="1" s="1"/>
  <c r="TQ37" i="1"/>
  <c r="TP20" i="1"/>
  <c r="TP79" i="1"/>
  <c r="TP80" i="1" s="1"/>
  <c r="TP23" i="1"/>
  <c r="TP17" i="1"/>
  <c r="TP76" i="1"/>
  <c r="TP14" i="1"/>
  <c r="TP16" i="1"/>
  <c r="TP77" i="1"/>
  <c r="TP13" i="1"/>
  <c r="TR40" i="1"/>
  <c r="TQ75" i="1"/>
  <c r="TP44" i="1"/>
  <c r="TP35" i="1"/>
  <c r="TQ38" i="1"/>
  <c r="TP50" i="1"/>
  <c r="TR53" i="1"/>
  <c r="TR52" i="1"/>
  <c r="TP30" i="1"/>
  <c r="TR15" i="1"/>
  <c r="TP46" i="1"/>
  <c r="TP38" i="1"/>
  <c r="TR17" i="1"/>
  <c r="TP26" i="1"/>
  <c r="TR28" i="1"/>
  <c r="TY1" i="1"/>
  <c r="TR26" i="1"/>
  <c r="TP33" i="1"/>
  <c r="TQ69" i="1"/>
  <c r="TQ35" i="1"/>
  <c r="TP36" i="1"/>
  <c r="TR18" i="1"/>
  <c r="TP29" i="1"/>
  <c r="TP53" i="1"/>
  <c r="TQ74" i="1"/>
  <c r="TQ67" i="1"/>
  <c r="TP31" i="1"/>
  <c r="TP25" i="1"/>
  <c r="TP41" i="1"/>
  <c r="TP24" i="1"/>
  <c r="TQ36" i="1"/>
  <c r="TP27" i="1"/>
  <c r="TP21" i="1"/>
  <c r="TP49" i="1"/>
  <c r="TP72" i="1"/>
  <c r="TP74" i="1"/>
  <c r="TP19" i="1"/>
  <c r="TP47" i="1"/>
  <c r="TP43" i="1"/>
  <c r="TP37" i="1"/>
  <c r="TR13" i="1"/>
  <c r="TP32" i="1"/>
  <c r="TP10" i="1"/>
  <c r="TP28" i="1"/>
  <c r="TP61" i="1"/>
  <c r="TP75" i="1"/>
  <c r="TP68" i="1"/>
  <c r="TP12" i="1"/>
  <c r="TP73" i="1"/>
  <c r="TP56" i="1"/>
  <c r="TP70" i="1"/>
  <c r="TR38" i="1"/>
  <c r="TR29" i="1"/>
  <c r="TP59" i="1"/>
  <c r="TR67" i="1"/>
  <c r="TP67" i="1"/>
  <c r="TP11" i="1"/>
  <c r="TP52" i="1"/>
  <c r="TP57" i="1"/>
  <c r="TP22" i="1"/>
  <c r="TP55" i="1"/>
  <c r="TR46" i="1"/>
  <c r="TP58" i="1"/>
  <c r="TR70" i="1"/>
  <c r="TP48" i="1"/>
  <c r="TP45" i="1"/>
  <c r="TR69" i="1"/>
  <c r="TP18" i="1"/>
  <c r="TP51" i="1"/>
  <c r="TR42" i="1"/>
  <c r="TP54" i="1"/>
  <c r="TE14" i="1"/>
  <c r="TG14" i="1" s="1"/>
  <c r="TE47" i="1"/>
  <c r="TG47" i="1" s="1"/>
  <c r="TE20" i="1"/>
  <c r="TG20" i="1" s="1"/>
  <c r="TM20" i="1" s="1"/>
  <c r="TO20" i="1" s="1"/>
  <c r="TE61" i="1"/>
  <c r="TG61" i="1" s="1"/>
  <c r="TE23" i="1"/>
  <c r="TG23" i="1" s="1"/>
  <c r="TE41" i="1"/>
  <c r="TG41" i="1" s="1"/>
  <c r="TE60" i="1"/>
  <c r="TG60" i="1" s="1"/>
  <c r="TE32" i="1"/>
  <c r="TG32" i="1" s="1"/>
  <c r="TE30" i="1"/>
  <c r="TG30" i="1" s="1"/>
  <c r="TE48" i="1"/>
  <c r="TG48" i="1" s="1"/>
  <c r="TE16" i="1"/>
  <c r="TG16" i="1" s="1"/>
  <c r="TE43" i="1"/>
  <c r="TG43" i="1" s="1"/>
  <c r="TE31" i="1"/>
  <c r="TG31" i="1" s="1"/>
  <c r="TE51" i="1"/>
  <c r="TG51" i="1" s="1"/>
  <c r="TE59" i="1"/>
  <c r="TG59" i="1" s="1"/>
  <c r="TE56" i="1"/>
  <c r="TG56" i="1" s="1"/>
  <c r="TE73" i="1"/>
  <c r="TG73" i="1" s="1"/>
  <c r="ST81" i="1"/>
  <c r="TE11" i="1"/>
  <c r="TG11" i="1" s="1"/>
  <c r="TE25" i="1"/>
  <c r="TG25" i="1" s="1"/>
  <c r="TE68" i="1"/>
  <c r="TG68" i="1" s="1"/>
  <c r="SS81" i="1"/>
  <c r="TE36" i="1"/>
  <c r="TG36" i="1" s="1"/>
  <c r="TE37" i="1"/>
  <c r="TG37" i="1" s="1"/>
  <c r="TE17" i="1"/>
  <c r="TG17" i="1" s="1"/>
  <c r="TE15" i="1"/>
  <c r="TG15" i="1" s="1"/>
  <c r="TE38" i="1"/>
  <c r="TG38" i="1" s="1"/>
  <c r="TE45" i="1"/>
  <c r="TG45" i="1" s="1"/>
  <c r="TE70" i="1"/>
  <c r="TG70" i="1" s="1"/>
  <c r="TE67" i="1"/>
  <c r="TG67" i="1" s="1"/>
  <c r="TE53" i="1"/>
  <c r="TG53" i="1" s="1"/>
  <c r="TE69" i="1"/>
  <c r="TG69" i="1" s="1"/>
  <c r="TE28" i="1"/>
  <c r="TG28" i="1" s="1"/>
  <c r="TE12" i="1"/>
  <c r="TG12" i="1" s="1"/>
  <c r="TE26" i="1"/>
  <c r="TG26" i="1" s="1"/>
  <c r="TE42" i="1"/>
  <c r="TG42" i="1" s="1"/>
  <c r="TE55" i="1"/>
  <c r="TG55" i="1" s="1"/>
  <c r="TE35" i="1"/>
  <c r="TG35" i="1" s="1"/>
  <c r="TE44" i="1"/>
  <c r="TG44" i="1" s="1"/>
  <c r="TA78" i="1"/>
  <c r="TA39" i="1"/>
  <c r="TE29" i="1"/>
  <c r="TG29" i="1" s="1"/>
  <c r="TE13" i="1"/>
  <c r="TG13" i="1" s="1"/>
  <c r="TE52" i="1"/>
  <c r="TG52" i="1" s="1"/>
  <c r="TE75" i="1"/>
  <c r="TG75" i="1" s="1"/>
  <c r="TE46" i="1"/>
  <c r="TG46" i="1" s="1"/>
  <c r="TE18" i="1"/>
  <c r="TG18" i="1" s="1"/>
  <c r="SR81" i="1"/>
  <c r="SM82" i="1" s="1"/>
  <c r="TE74" i="1"/>
  <c r="TG74" i="1" s="1"/>
  <c r="TB71" i="1"/>
  <c r="RC5" i="1"/>
  <c r="RK1" i="1"/>
  <c r="QQ8" i="1"/>
  <c r="QU8" i="1"/>
  <c r="RA8" i="1"/>
  <c r="QZ8" i="1" s="1"/>
  <c r="SZ71" i="1"/>
  <c r="TA71" i="1"/>
  <c r="TE57" i="1"/>
  <c r="TG57" i="1" s="1"/>
  <c r="TB39" i="1"/>
  <c r="SZ39" i="1"/>
  <c r="SZ78" i="1"/>
  <c r="HG39" i="1"/>
  <c r="GF81" i="1"/>
  <c r="GO78" i="1"/>
  <c r="GX40" i="1"/>
  <c r="HE40" i="1" s="1"/>
  <c r="HE71" i="1" s="1"/>
  <c r="GO79" i="1"/>
  <c r="GV79" i="1" s="1"/>
  <c r="GV80" i="1" s="1"/>
  <c r="GV81" i="1" s="1"/>
  <c r="TR57" i="1" l="1"/>
  <c r="TR44" i="1"/>
  <c r="TP15" i="1"/>
  <c r="TP40" i="1"/>
  <c r="TR10" i="1"/>
  <c r="TP42" i="1"/>
  <c r="TR36" i="1"/>
  <c r="TP69" i="1"/>
  <c r="TP63" i="1"/>
  <c r="TR45" i="1"/>
  <c r="TQ68" i="1"/>
  <c r="TQ71" i="1" s="1"/>
  <c r="TR12" i="1"/>
  <c r="TR39" i="1" s="1"/>
  <c r="TR55" i="1"/>
  <c r="TP60" i="1"/>
  <c r="TM36" i="1"/>
  <c r="TO36" i="1" s="1"/>
  <c r="TU36" i="1" s="1"/>
  <c r="TW36" i="1" s="1"/>
  <c r="TM16" i="1"/>
  <c r="TO16" i="1" s="1"/>
  <c r="TU16" i="1" s="1"/>
  <c r="TW16" i="1" s="1"/>
  <c r="TM63" i="1"/>
  <c r="TO63" i="1" s="1"/>
  <c r="TM74" i="1"/>
  <c r="TO74" i="1" s="1"/>
  <c r="TU74" i="1" s="1"/>
  <c r="TW74" i="1" s="1"/>
  <c r="TM31" i="1"/>
  <c r="TO31" i="1" s="1"/>
  <c r="TU31" i="1" s="1"/>
  <c r="TW31" i="1" s="1"/>
  <c r="TM76" i="1"/>
  <c r="TO76" i="1" s="1"/>
  <c r="TU76" i="1" s="1"/>
  <c r="TW76" i="1" s="1"/>
  <c r="TM56" i="1"/>
  <c r="TO56" i="1" s="1"/>
  <c r="TU56" i="1" s="1"/>
  <c r="TW56" i="1" s="1"/>
  <c r="TM28" i="1"/>
  <c r="TO28" i="1" s="1"/>
  <c r="TU28" i="1" s="1"/>
  <c r="TW28" i="1" s="1"/>
  <c r="UV8" i="1"/>
  <c r="UO8" i="1"/>
  <c r="UP8" i="1" s="1"/>
  <c r="TM27" i="1"/>
  <c r="TO27" i="1" s="1"/>
  <c r="TU27" i="1" s="1"/>
  <c r="TW27" i="1" s="1"/>
  <c r="TM33" i="1"/>
  <c r="TO33" i="1" s="1"/>
  <c r="TU33" i="1" s="1"/>
  <c r="TW33" i="1" s="1"/>
  <c r="TI39" i="1"/>
  <c r="TM44" i="1"/>
  <c r="TO44" i="1" s="1"/>
  <c r="TU44" i="1" s="1"/>
  <c r="TW44" i="1" s="1"/>
  <c r="TM38" i="1"/>
  <c r="TO38" i="1" s="1"/>
  <c r="TU38" i="1" s="1"/>
  <c r="TW38" i="1" s="1"/>
  <c r="TM51" i="1"/>
  <c r="TO51" i="1" s="1"/>
  <c r="TU51" i="1" s="1"/>
  <c r="TW51" i="1" s="1"/>
  <c r="TM47" i="1"/>
  <c r="TO47" i="1" s="1"/>
  <c r="TU47" i="1" s="1"/>
  <c r="TW47" i="1" s="1"/>
  <c r="TM14" i="1"/>
  <c r="TO14" i="1" s="1"/>
  <c r="TU14" i="1" s="1"/>
  <c r="TW14" i="1" s="1"/>
  <c r="TM58" i="1"/>
  <c r="TO58" i="1" s="1"/>
  <c r="TU58" i="1" s="1"/>
  <c r="TW58" i="1" s="1"/>
  <c r="TM21" i="1"/>
  <c r="TO21" i="1" s="1"/>
  <c r="TU21" i="1" s="1"/>
  <c r="TW21" i="1" s="1"/>
  <c r="TM55" i="1"/>
  <c r="TO55" i="1" s="1"/>
  <c r="TU55" i="1" s="1"/>
  <c r="TW55" i="1" s="1"/>
  <c r="TM26" i="1"/>
  <c r="TO26" i="1" s="1"/>
  <c r="TU26" i="1" s="1"/>
  <c r="TW26" i="1" s="1"/>
  <c r="TM46" i="1"/>
  <c r="TO46" i="1" s="1"/>
  <c r="TU46" i="1" s="1"/>
  <c r="TW46" i="1" s="1"/>
  <c r="TM24" i="1"/>
  <c r="TO24" i="1" s="1"/>
  <c r="TU24" i="1" s="1"/>
  <c r="TW24" i="1" s="1"/>
  <c r="TI78" i="1"/>
  <c r="TM17" i="1"/>
  <c r="TO17" i="1" s="1"/>
  <c r="TU17" i="1" s="1"/>
  <c r="TW17" i="1" s="1"/>
  <c r="TM37" i="1"/>
  <c r="TO37" i="1" s="1"/>
  <c r="TU37" i="1" s="1"/>
  <c r="TW37" i="1" s="1"/>
  <c r="TM54" i="1"/>
  <c r="TO54" i="1" s="1"/>
  <c r="TU54" i="1" s="1"/>
  <c r="TW54" i="1" s="1"/>
  <c r="TM22" i="1"/>
  <c r="TO22" i="1" s="1"/>
  <c r="TU22" i="1" s="1"/>
  <c r="TW22" i="1" s="1"/>
  <c r="TM62" i="1"/>
  <c r="TO62" i="1" s="1"/>
  <c r="TU62" i="1" s="1"/>
  <c r="TW62" i="1" s="1"/>
  <c r="TM15" i="1"/>
  <c r="TO15" i="1" s="1"/>
  <c r="TU15" i="1" s="1"/>
  <c r="TW15" i="1" s="1"/>
  <c r="TM12" i="1"/>
  <c r="TO12" i="1" s="1"/>
  <c r="TM48" i="1"/>
  <c r="TO48" i="1" s="1"/>
  <c r="TU48" i="1" s="1"/>
  <c r="TW48" i="1" s="1"/>
  <c r="TM32" i="1"/>
  <c r="TO32" i="1" s="1"/>
  <c r="TU32" i="1" s="1"/>
  <c r="TW32" i="1" s="1"/>
  <c r="TI71" i="1"/>
  <c r="TM19" i="1"/>
  <c r="TO19" i="1" s="1"/>
  <c r="TU19" i="1" s="1"/>
  <c r="TW19" i="1" s="1"/>
  <c r="TJ71" i="1"/>
  <c r="TM45" i="1"/>
  <c r="TO45" i="1" s="1"/>
  <c r="TM53" i="1"/>
  <c r="TO53" i="1" s="1"/>
  <c r="TU53" i="1" s="1"/>
  <c r="TW53" i="1" s="1"/>
  <c r="TM43" i="1"/>
  <c r="TO43" i="1" s="1"/>
  <c r="TU43" i="1" s="1"/>
  <c r="TW43" i="1" s="1"/>
  <c r="TM61" i="1"/>
  <c r="TO61" i="1" s="1"/>
  <c r="TU61" i="1" s="1"/>
  <c r="TW61" i="1" s="1"/>
  <c r="TM59" i="1"/>
  <c r="TO59" i="1" s="1"/>
  <c r="TU59" i="1" s="1"/>
  <c r="TW59" i="1" s="1"/>
  <c r="TM65" i="1"/>
  <c r="TO65" i="1" s="1"/>
  <c r="TU65" i="1" s="1"/>
  <c r="TW65" i="1" s="1"/>
  <c r="TM25" i="1"/>
  <c r="TO25" i="1" s="1"/>
  <c r="TU25" i="1" s="1"/>
  <c r="TW25" i="1" s="1"/>
  <c r="TM52" i="1"/>
  <c r="TO52" i="1" s="1"/>
  <c r="TU52" i="1" s="1"/>
  <c r="TW52" i="1" s="1"/>
  <c r="TH78" i="1"/>
  <c r="TJ39" i="1"/>
  <c r="TM35" i="1"/>
  <c r="TO35" i="1" s="1"/>
  <c r="TU35" i="1" s="1"/>
  <c r="TW35" i="1" s="1"/>
  <c r="TM50" i="1"/>
  <c r="TO50" i="1" s="1"/>
  <c r="TU50" i="1" s="1"/>
  <c r="TW50" i="1" s="1"/>
  <c r="TM42" i="1"/>
  <c r="TO42" i="1" s="1"/>
  <c r="TM75" i="1"/>
  <c r="TO75" i="1" s="1"/>
  <c r="TU75" i="1" s="1"/>
  <c r="TW75" i="1" s="1"/>
  <c r="TM68" i="1"/>
  <c r="TO68" i="1" s="1"/>
  <c r="TM30" i="1"/>
  <c r="TO30" i="1" s="1"/>
  <c r="TU30" i="1" s="1"/>
  <c r="TW30" i="1" s="1"/>
  <c r="TM69" i="1"/>
  <c r="TO69" i="1" s="1"/>
  <c r="TM13" i="1"/>
  <c r="TO13" i="1" s="1"/>
  <c r="TU13" i="1" s="1"/>
  <c r="TW13" i="1" s="1"/>
  <c r="TM11" i="1"/>
  <c r="TO11" i="1" s="1"/>
  <c r="TU11" i="1" s="1"/>
  <c r="TW11" i="1" s="1"/>
  <c r="TM60" i="1"/>
  <c r="TO60" i="1" s="1"/>
  <c r="TM29" i="1"/>
  <c r="TO29" i="1" s="1"/>
  <c r="TU29" i="1" s="1"/>
  <c r="TW29" i="1" s="1"/>
  <c r="TM67" i="1"/>
  <c r="TO67" i="1" s="1"/>
  <c r="TU67" i="1" s="1"/>
  <c r="TW67" i="1" s="1"/>
  <c r="TM41" i="1"/>
  <c r="TO41" i="1" s="1"/>
  <c r="TU41" i="1" s="1"/>
  <c r="TW41" i="1" s="1"/>
  <c r="TM70" i="1"/>
  <c r="TO70" i="1" s="1"/>
  <c r="TU70" i="1" s="1"/>
  <c r="TW70" i="1" s="1"/>
  <c r="TM73" i="1"/>
  <c r="TO73" i="1" s="1"/>
  <c r="TU73" i="1" s="1"/>
  <c r="TW73" i="1" s="1"/>
  <c r="TM23" i="1"/>
  <c r="TO23" i="1" s="1"/>
  <c r="TU23" i="1" s="1"/>
  <c r="TW23" i="1" s="1"/>
  <c r="TM18" i="1"/>
  <c r="TO18" i="1" s="1"/>
  <c r="TU18" i="1" s="1"/>
  <c r="TW18" i="1" s="1"/>
  <c r="TM49" i="1"/>
  <c r="TO49" i="1" s="1"/>
  <c r="TU49" i="1" s="1"/>
  <c r="TW49" i="1" s="1"/>
  <c r="TM57" i="1"/>
  <c r="TO57" i="1" s="1"/>
  <c r="TU57" i="1" s="1"/>
  <c r="TW57" i="1" s="1"/>
  <c r="TM34" i="1"/>
  <c r="TO34" i="1" s="1"/>
  <c r="TU34" i="1" s="1"/>
  <c r="TW34" i="1" s="1"/>
  <c r="TU64" i="1"/>
  <c r="TW64" i="1" s="1"/>
  <c r="TH39" i="1"/>
  <c r="TU66" i="1"/>
  <c r="TW66" i="1" s="1"/>
  <c r="TH71" i="1"/>
  <c r="TX34" i="1"/>
  <c r="TX65" i="1"/>
  <c r="TX62" i="1"/>
  <c r="TX63" i="1"/>
  <c r="TX66" i="1"/>
  <c r="TX64" i="1"/>
  <c r="TU20" i="1"/>
  <c r="TW20" i="1" s="1"/>
  <c r="TR71" i="1"/>
  <c r="TQ39" i="1"/>
  <c r="TP39" i="1"/>
  <c r="UG1" i="1"/>
  <c r="UO1" i="1" s="1"/>
  <c r="TX73" i="1"/>
  <c r="TX15" i="1"/>
  <c r="TX70" i="1"/>
  <c r="TX14" i="1"/>
  <c r="TY75" i="1"/>
  <c r="TX33" i="1"/>
  <c r="TX59" i="1"/>
  <c r="TZ36" i="1"/>
  <c r="TX67" i="1"/>
  <c r="TX11" i="1"/>
  <c r="TX61" i="1"/>
  <c r="TX10" i="1"/>
  <c r="TY69" i="1"/>
  <c r="TX29" i="1"/>
  <c r="TY74" i="1"/>
  <c r="TX16" i="1"/>
  <c r="TX50" i="1"/>
  <c r="TZ52" i="1"/>
  <c r="TX17" i="1"/>
  <c r="TZ15" i="1"/>
  <c r="TZ45" i="1"/>
  <c r="TX45" i="1"/>
  <c r="TX60" i="1"/>
  <c r="TX51" i="1"/>
  <c r="TX42" i="1"/>
  <c r="TZ40" i="1"/>
  <c r="TY67" i="1"/>
  <c r="TX20" i="1"/>
  <c r="TX35" i="1"/>
  <c r="TX52" i="1"/>
  <c r="TZ10" i="1"/>
  <c r="TX30" i="1"/>
  <c r="TX28" i="1"/>
  <c r="TX27" i="1"/>
  <c r="TZ17" i="1"/>
  <c r="TX43" i="1"/>
  <c r="TX79" i="1"/>
  <c r="TX80" i="1" s="1"/>
  <c r="TX22" i="1"/>
  <c r="TX55" i="1"/>
  <c r="TX77" i="1"/>
  <c r="TZ55" i="1"/>
  <c r="TZ46" i="1"/>
  <c r="TX12" i="1"/>
  <c r="TY37" i="1"/>
  <c r="TY68" i="1"/>
  <c r="TZ13" i="1"/>
  <c r="TX72" i="1"/>
  <c r="TX58" i="1"/>
  <c r="TZ70" i="1"/>
  <c r="TX57" i="1"/>
  <c r="TZ28" i="1"/>
  <c r="TY38" i="1"/>
  <c r="TX25" i="1"/>
  <c r="TZ67" i="1"/>
  <c r="TZ42" i="1"/>
  <c r="TX54" i="1"/>
  <c r="TZ57" i="1"/>
  <c r="TX53" i="1"/>
  <c r="TZ69" i="1"/>
  <c r="TX75" i="1"/>
  <c r="TX21" i="1"/>
  <c r="TX74" i="1"/>
  <c r="TZ12" i="1"/>
  <c r="TZ53" i="1"/>
  <c r="TX49" i="1"/>
  <c r="TX69" i="1"/>
  <c r="TX47" i="1"/>
  <c r="TX46" i="1"/>
  <c r="TZ44" i="1"/>
  <c r="TX13" i="1"/>
  <c r="TX68" i="1"/>
  <c r="TZ26" i="1"/>
  <c r="TX41" i="1"/>
  <c r="TX56" i="1"/>
  <c r="TX32" i="1"/>
  <c r="TX36" i="1"/>
  <c r="TZ18" i="1"/>
  <c r="TZ38" i="1"/>
  <c r="TY36" i="1"/>
  <c r="TX31" i="1"/>
  <c r="TZ29" i="1"/>
  <c r="TX48" i="1"/>
  <c r="TX24" i="1"/>
  <c r="TY35" i="1"/>
  <c r="TX26" i="1"/>
  <c r="TX44" i="1"/>
  <c r="TX23" i="1"/>
  <c r="TX76" i="1"/>
  <c r="TX40" i="1"/>
  <c r="TX37" i="1"/>
  <c r="TX19" i="1"/>
  <c r="TX18" i="1"/>
  <c r="TX38" i="1"/>
  <c r="TP78" i="1"/>
  <c r="TQ78" i="1"/>
  <c r="TB81" i="1"/>
  <c r="TA81" i="1"/>
  <c r="SZ81" i="1"/>
  <c r="SU82" i="1" s="1"/>
  <c r="RK5" i="1"/>
  <c r="RS1" i="1"/>
  <c r="RI8" i="1"/>
  <c r="RH8" i="1" s="1"/>
  <c r="RC8" i="1"/>
  <c r="QY8" i="1"/>
  <c r="HP10" i="1"/>
  <c r="HW10" i="1" s="1"/>
  <c r="HW39" i="1" s="1"/>
  <c r="GO80" i="1"/>
  <c r="GX71" i="1"/>
  <c r="GX77" i="1"/>
  <c r="HE77" i="1" s="1"/>
  <c r="HE78" i="1" s="1"/>
  <c r="HP72" i="1"/>
  <c r="HW72" i="1" s="1"/>
  <c r="TP71" i="1" l="1"/>
  <c r="TU69" i="1"/>
  <c r="TW69" i="1" s="1"/>
  <c r="TU68" i="1"/>
  <c r="TW68" i="1" s="1"/>
  <c r="TU63" i="1"/>
  <c r="TW63" i="1" s="1"/>
  <c r="TU42" i="1"/>
  <c r="TW42" i="1" s="1"/>
  <c r="UC42" i="1" s="1"/>
  <c r="UE42" i="1" s="1"/>
  <c r="TU45" i="1"/>
  <c r="TW45" i="1" s="1"/>
  <c r="TU60" i="1"/>
  <c r="TW60" i="1" s="1"/>
  <c r="UC60" i="1" s="1"/>
  <c r="UE60" i="1" s="1"/>
  <c r="TU12" i="1"/>
  <c r="TW12" i="1" s="1"/>
  <c r="UC12" i="1" s="1"/>
  <c r="UE12" i="1" s="1"/>
  <c r="UN31" i="1"/>
  <c r="UP17" i="1"/>
  <c r="UN10" i="1"/>
  <c r="UN14" i="1"/>
  <c r="UN24" i="1"/>
  <c r="UN19" i="1"/>
  <c r="UN28" i="1"/>
  <c r="UN12" i="1"/>
  <c r="UP44" i="1"/>
  <c r="UN50" i="1"/>
  <c r="UP13" i="1"/>
  <c r="UN57" i="1"/>
  <c r="UP46" i="1"/>
  <c r="UN64" i="1"/>
  <c r="UN29" i="1"/>
  <c r="UN21" i="1"/>
  <c r="UP36" i="1"/>
  <c r="UN47" i="1"/>
  <c r="UP10" i="1"/>
  <c r="UN54" i="1"/>
  <c r="UP40" i="1"/>
  <c r="UN61" i="1"/>
  <c r="UN13" i="1"/>
  <c r="UN16" i="1"/>
  <c r="UO74" i="1"/>
  <c r="UN51" i="1"/>
  <c r="UP38" i="1"/>
  <c r="UN58" i="1"/>
  <c r="UP18" i="1"/>
  <c r="UP26" i="1"/>
  <c r="UN76" i="1"/>
  <c r="UN36" i="1"/>
  <c r="UO75" i="1"/>
  <c r="UN27" i="1"/>
  <c r="UN73" i="1"/>
  <c r="UN33" i="1"/>
  <c r="UO67" i="1"/>
  <c r="UN49" i="1"/>
  <c r="UN65" i="1"/>
  <c r="UN74" i="1"/>
  <c r="UO35" i="1"/>
  <c r="UN43" i="1"/>
  <c r="UN11" i="1"/>
  <c r="UP57" i="1"/>
  <c r="UP70" i="1"/>
  <c r="UN40" i="1"/>
  <c r="UN18" i="1"/>
  <c r="UP45" i="1"/>
  <c r="UP67" i="1"/>
  <c r="UN38" i="1"/>
  <c r="UP15" i="1"/>
  <c r="UN56" i="1"/>
  <c r="UN63" i="1"/>
  <c r="UN70" i="1"/>
  <c r="UN17" i="1"/>
  <c r="UN53" i="1"/>
  <c r="UP52" i="1"/>
  <c r="UN67" i="1"/>
  <c r="UO68" i="1"/>
  <c r="UN44" i="1"/>
  <c r="UO37" i="1"/>
  <c r="UP12" i="1"/>
  <c r="UN42" i="1"/>
  <c r="UN23" i="1"/>
  <c r="UN34" i="1"/>
  <c r="UN62" i="1"/>
  <c r="UN59" i="1"/>
  <c r="UN72" i="1"/>
  <c r="UN25" i="1"/>
  <c r="UN35" i="1"/>
  <c r="UN60" i="1"/>
  <c r="UO36" i="1"/>
  <c r="UN41" i="1"/>
  <c r="UO69" i="1"/>
  <c r="UN48" i="1"/>
  <c r="UP29" i="1"/>
  <c r="UN55" i="1"/>
  <c r="UN20" i="1"/>
  <c r="UN26" i="1"/>
  <c r="UN45" i="1"/>
  <c r="UN79" i="1"/>
  <c r="UN80" i="1" s="1"/>
  <c r="UN15" i="1"/>
  <c r="UP69" i="1"/>
  <c r="UN22" i="1"/>
  <c r="UN69" i="1"/>
  <c r="UN66" i="1"/>
  <c r="UP55" i="1"/>
  <c r="UP53" i="1"/>
  <c r="UN32" i="1"/>
  <c r="UN52" i="1"/>
  <c r="UP42" i="1"/>
  <c r="UP28" i="1"/>
  <c r="UN75" i="1"/>
  <c r="UN68" i="1"/>
  <c r="UN30" i="1"/>
  <c r="UN77" i="1"/>
  <c r="UN37" i="1"/>
  <c r="UO38" i="1"/>
  <c r="UN46" i="1"/>
  <c r="UW1" i="1"/>
  <c r="VD8" i="1"/>
  <c r="UW8" i="1"/>
  <c r="UX8" i="1" s="1"/>
  <c r="TI81" i="1"/>
  <c r="TJ81" i="1"/>
  <c r="UC33" i="1"/>
  <c r="UE33" i="1" s="1"/>
  <c r="UC64" i="1"/>
  <c r="UE64" i="1" s="1"/>
  <c r="UC19" i="1"/>
  <c r="UE19" i="1" s="1"/>
  <c r="UC65" i="1"/>
  <c r="UE65" i="1" s="1"/>
  <c r="UC34" i="1"/>
  <c r="UE34" i="1" s="1"/>
  <c r="TH81" i="1"/>
  <c r="TC82" i="1" s="1"/>
  <c r="UC63" i="1"/>
  <c r="UE63" i="1" s="1"/>
  <c r="UC22" i="1"/>
  <c r="UE22" i="1" s="1"/>
  <c r="UC66" i="1"/>
  <c r="UE66" i="1" s="1"/>
  <c r="UC24" i="1"/>
  <c r="UE24" i="1" s="1"/>
  <c r="UC62" i="1"/>
  <c r="UE62" i="1" s="1"/>
  <c r="UF34" i="1"/>
  <c r="UF66" i="1"/>
  <c r="UF64" i="1"/>
  <c r="UF62" i="1"/>
  <c r="UF63" i="1"/>
  <c r="UF65" i="1"/>
  <c r="UC73" i="1"/>
  <c r="UE73" i="1" s="1"/>
  <c r="UC76" i="1"/>
  <c r="UE76" i="1" s="1"/>
  <c r="UC21" i="1"/>
  <c r="UE21" i="1" s="1"/>
  <c r="UC49" i="1"/>
  <c r="UE49" i="1" s="1"/>
  <c r="UC25" i="1"/>
  <c r="UE25" i="1" s="1"/>
  <c r="UC30" i="1"/>
  <c r="UE30" i="1" s="1"/>
  <c r="UC50" i="1"/>
  <c r="UE50" i="1" s="1"/>
  <c r="UC16" i="1"/>
  <c r="UE16" i="1" s="1"/>
  <c r="UC14" i="1"/>
  <c r="UE14" i="1" s="1"/>
  <c r="UC41" i="1"/>
  <c r="UE41" i="1" s="1"/>
  <c r="UC58" i="1"/>
  <c r="UE58" i="1" s="1"/>
  <c r="UC51" i="1"/>
  <c r="UE51" i="1" s="1"/>
  <c r="UC56" i="1"/>
  <c r="UE56" i="1" s="1"/>
  <c r="UC20" i="1"/>
  <c r="UE20" i="1" s="1"/>
  <c r="UC32" i="1"/>
  <c r="UE32" i="1" s="1"/>
  <c r="UC74" i="1"/>
  <c r="UE74" i="1" s="1"/>
  <c r="UC69" i="1"/>
  <c r="UE69" i="1" s="1"/>
  <c r="UC13" i="1"/>
  <c r="UE13" i="1" s="1"/>
  <c r="UC52" i="1"/>
  <c r="UE52" i="1" s="1"/>
  <c r="UC23" i="1"/>
  <c r="UE23" i="1" s="1"/>
  <c r="UC55" i="1"/>
  <c r="UE55" i="1" s="1"/>
  <c r="UC43" i="1"/>
  <c r="UE43" i="1" s="1"/>
  <c r="TR81" i="1"/>
  <c r="UC11" i="1"/>
  <c r="UE11" i="1" s="1"/>
  <c r="TP81" i="1"/>
  <c r="TK82" i="1" s="1"/>
  <c r="UC38" i="1"/>
  <c r="UE38" i="1" s="1"/>
  <c r="UC26" i="1"/>
  <c r="UE26" i="1" s="1"/>
  <c r="UC28" i="1"/>
  <c r="UE28" i="1" s="1"/>
  <c r="UC31" i="1"/>
  <c r="UE31" i="1" s="1"/>
  <c r="UC15" i="1"/>
  <c r="UE15" i="1" s="1"/>
  <c r="UC46" i="1"/>
  <c r="UE46" i="1" s="1"/>
  <c r="UC47" i="1"/>
  <c r="UE47" i="1" s="1"/>
  <c r="UC54" i="1"/>
  <c r="UE54" i="1" s="1"/>
  <c r="UC45" i="1"/>
  <c r="UE45" i="1" s="1"/>
  <c r="UC75" i="1"/>
  <c r="UE75" i="1" s="1"/>
  <c r="TY71" i="1"/>
  <c r="UC70" i="1"/>
  <c r="UE70" i="1" s="1"/>
  <c r="UC68" i="1"/>
  <c r="UE68" i="1" s="1"/>
  <c r="TX78" i="1"/>
  <c r="UC61" i="1"/>
  <c r="UE61" i="1" s="1"/>
  <c r="UC18" i="1"/>
  <c r="UE18" i="1" s="1"/>
  <c r="UC57" i="1"/>
  <c r="UE57" i="1" s="1"/>
  <c r="UC44" i="1"/>
  <c r="UE44" i="1" s="1"/>
  <c r="TZ39" i="1"/>
  <c r="UC35" i="1"/>
  <c r="UE35" i="1" s="1"/>
  <c r="UC59" i="1"/>
  <c r="UE59" i="1" s="1"/>
  <c r="UC29" i="1"/>
  <c r="UE29" i="1" s="1"/>
  <c r="TY78" i="1"/>
  <c r="TZ71" i="1"/>
  <c r="TX71" i="1"/>
  <c r="UC27" i="1"/>
  <c r="UE27" i="1" s="1"/>
  <c r="UC53" i="1"/>
  <c r="UE53" i="1" s="1"/>
  <c r="UC17" i="1"/>
  <c r="UE17" i="1" s="1"/>
  <c r="UC36" i="1"/>
  <c r="UE36" i="1" s="1"/>
  <c r="UC67" i="1"/>
  <c r="UE67" i="1" s="1"/>
  <c r="TQ81" i="1"/>
  <c r="UC37" i="1"/>
  <c r="UE37" i="1" s="1"/>
  <c r="UC48" i="1"/>
  <c r="UE48" i="1" s="1"/>
  <c r="TY39" i="1"/>
  <c r="TX39" i="1"/>
  <c r="UF69" i="1"/>
  <c r="UF57" i="1"/>
  <c r="UF42" i="1"/>
  <c r="UG36" i="1"/>
  <c r="UF26" i="1"/>
  <c r="UF76" i="1"/>
  <c r="UF61" i="1"/>
  <c r="UF30" i="1"/>
  <c r="UF16" i="1"/>
  <c r="UF11" i="1"/>
  <c r="UF70" i="1"/>
  <c r="UF60" i="1"/>
  <c r="UF55" i="1"/>
  <c r="UF50" i="1"/>
  <c r="UF45" i="1"/>
  <c r="UH28" i="1"/>
  <c r="UG74" i="1"/>
  <c r="UH69" i="1"/>
  <c r="UH44" i="1"/>
  <c r="UF19" i="1"/>
  <c r="UF74" i="1"/>
  <c r="UG69" i="1"/>
  <c r="UF33" i="1"/>
  <c r="UF28" i="1"/>
  <c r="UF23" i="1"/>
  <c r="UH18" i="1"/>
  <c r="UF14" i="1"/>
  <c r="UF54" i="1"/>
  <c r="UF49" i="1"/>
  <c r="UH38" i="1"/>
  <c r="UH13" i="1"/>
  <c r="UH67" i="1"/>
  <c r="UG38" i="1"/>
  <c r="UF18" i="1"/>
  <c r="UF73" i="1"/>
  <c r="UG67" i="1"/>
  <c r="UH57" i="1"/>
  <c r="UF53" i="1"/>
  <c r="UF43" i="1"/>
  <c r="UF27" i="1"/>
  <c r="UF22" i="1"/>
  <c r="UH17" i="1"/>
  <c r="UH12" i="1"/>
  <c r="UF72" i="1"/>
  <c r="UF36" i="1"/>
  <c r="UF21" i="1"/>
  <c r="UH55" i="1"/>
  <c r="UH45" i="1"/>
  <c r="UF41" i="1"/>
  <c r="UG35" i="1"/>
  <c r="UH29" i="1"/>
  <c r="UG75" i="1"/>
  <c r="UH40" i="1"/>
  <c r="UF35" i="1"/>
  <c r="UF15" i="1"/>
  <c r="UF10" i="1"/>
  <c r="UF67" i="1"/>
  <c r="UH52" i="1"/>
  <c r="UF48" i="1"/>
  <c r="UH36" i="1"/>
  <c r="UH70" i="1"/>
  <c r="UH10" i="1"/>
  <c r="UF20" i="1"/>
  <c r="UF31" i="1"/>
  <c r="UF13" i="1"/>
  <c r="UF40" i="1"/>
  <c r="UH42" i="1"/>
  <c r="UF46" i="1"/>
  <c r="UF79" i="1"/>
  <c r="UF80" i="1" s="1"/>
  <c r="UF32" i="1"/>
  <c r="UF58" i="1"/>
  <c r="UF17" i="1"/>
  <c r="UF47" i="1"/>
  <c r="UF77" i="1"/>
  <c r="UF29" i="1"/>
  <c r="UF38" i="1"/>
  <c r="UF12" i="1"/>
  <c r="UG37" i="1"/>
  <c r="UH15" i="1"/>
  <c r="UH46" i="1"/>
  <c r="UF56" i="1"/>
  <c r="UG68" i="1"/>
  <c r="UF24" i="1"/>
  <c r="UF44" i="1"/>
  <c r="UF25" i="1"/>
  <c r="UH26" i="1"/>
  <c r="UF51" i="1"/>
  <c r="UF37" i="1"/>
  <c r="UH53" i="1"/>
  <c r="UF75" i="1"/>
  <c r="UF52" i="1"/>
  <c r="UF68" i="1"/>
  <c r="UF59" i="1"/>
  <c r="RS5" i="1"/>
  <c r="SA1" i="1"/>
  <c r="RK8" i="1"/>
  <c r="RG8" i="1"/>
  <c r="RQ8" i="1"/>
  <c r="RP8" i="1" s="1"/>
  <c r="HP39" i="1"/>
  <c r="GO81" i="1"/>
  <c r="GX78" i="1"/>
  <c r="HG40" i="1"/>
  <c r="HN40" i="1" s="1"/>
  <c r="HN71" i="1" s="1"/>
  <c r="GX79" i="1"/>
  <c r="HE79" i="1" s="1"/>
  <c r="HE80" i="1" s="1"/>
  <c r="HE81" i="1" s="1"/>
  <c r="UN78" i="1" l="1"/>
  <c r="UP39" i="1"/>
  <c r="VL8" i="1"/>
  <c r="VM8" i="1" s="1"/>
  <c r="VN8" i="1" s="1"/>
  <c r="VE8" i="1"/>
  <c r="VF8" i="1" s="1"/>
  <c r="UO39" i="1"/>
  <c r="UV69" i="1"/>
  <c r="UV31" i="1"/>
  <c r="UW38" i="1"/>
  <c r="UV46" i="1"/>
  <c r="UV68" i="1"/>
  <c r="UV30" i="1"/>
  <c r="UV22" i="1"/>
  <c r="UX12" i="1"/>
  <c r="UV66" i="1"/>
  <c r="UV28" i="1"/>
  <c r="UW35" i="1"/>
  <c r="UV43" i="1"/>
  <c r="UV65" i="1"/>
  <c r="UX69" i="1"/>
  <c r="UV27" i="1"/>
  <c r="UV20" i="1"/>
  <c r="UW74" i="1"/>
  <c r="UV51" i="1"/>
  <c r="UX46" i="1"/>
  <c r="UV64" i="1"/>
  <c r="UX44" i="1"/>
  <c r="UV50" i="1"/>
  <c r="UX13" i="1"/>
  <c r="UV16" i="1"/>
  <c r="UX17" i="1"/>
  <c r="UW69" i="1"/>
  <c r="UV48" i="1"/>
  <c r="UX40" i="1"/>
  <c r="UV61" i="1"/>
  <c r="UX36" i="1"/>
  <c r="UV47" i="1"/>
  <c r="UV13" i="1"/>
  <c r="UV25" i="1"/>
  <c r="UV12" i="1"/>
  <c r="UW37" i="1"/>
  <c r="UV45" i="1"/>
  <c r="UX38" i="1"/>
  <c r="UV58" i="1"/>
  <c r="UW68" i="1"/>
  <c r="UV44" i="1"/>
  <c r="UX28" i="1"/>
  <c r="UX26" i="1"/>
  <c r="UX10" i="1"/>
  <c r="UV79" i="1"/>
  <c r="UV80" i="1" s="1"/>
  <c r="UV42" i="1"/>
  <c r="UX29" i="1"/>
  <c r="UV55" i="1"/>
  <c r="UW36" i="1"/>
  <c r="UV41" i="1"/>
  <c r="UV17" i="1"/>
  <c r="UX18" i="1"/>
  <c r="UV15" i="1"/>
  <c r="UV52" i="1"/>
  <c r="UV76" i="1"/>
  <c r="UV36" i="1"/>
  <c r="UX15" i="1"/>
  <c r="UV32" i="1"/>
  <c r="UW67" i="1"/>
  <c r="UV73" i="1"/>
  <c r="UV33" i="1"/>
  <c r="UV10" i="1"/>
  <c r="UV21" i="1"/>
  <c r="UV63" i="1"/>
  <c r="UX70" i="1"/>
  <c r="UV75" i="1"/>
  <c r="UV40" i="1"/>
  <c r="UV62" i="1"/>
  <c r="UX57" i="1"/>
  <c r="UV29" i="1"/>
  <c r="VE1" i="1"/>
  <c r="UV60" i="1"/>
  <c r="UX67" i="1"/>
  <c r="UV72" i="1"/>
  <c r="UV38" i="1"/>
  <c r="UV59" i="1"/>
  <c r="UX45" i="1"/>
  <c r="UV18" i="1"/>
  <c r="UV26" i="1"/>
  <c r="UW75" i="1"/>
  <c r="UV57" i="1"/>
  <c r="UX55" i="1"/>
  <c r="UV70" i="1"/>
  <c r="UV35" i="1"/>
  <c r="UV56" i="1"/>
  <c r="UX42" i="1"/>
  <c r="UV11" i="1"/>
  <c r="UV14" i="1"/>
  <c r="UV49" i="1"/>
  <c r="UV54" i="1"/>
  <c r="UX52" i="1"/>
  <c r="UV67" i="1"/>
  <c r="UX53" i="1"/>
  <c r="UV53" i="1"/>
  <c r="UV24" i="1"/>
  <c r="UV23" i="1"/>
  <c r="UV19" i="1"/>
  <c r="UV37" i="1"/>
  <c r="UV34" i="1"/>
  <c r="UV77" i="1"/>
  <c r="UV74" i="1"/>
  <c r="UN71" i="1"/>
  <c r="UN39" i="1"/>
  <c r="UP71" i="1"/>
  <c r="UO71" i="1"/>
  <c r="UO78" i="1"/>
  <c r="UK33" i="1"/>
  <c r="UM33" i="1" s="1"/>
  <c r="US33" i="1" s="1"/>
  <c r="UU33" i="1" s="1"/>
  <c r="UK64" i="1"/>
  <c r="UM64" i="1" s="1"/>
  <c r="US64" i="1" s="1"/>
  <c r="UU64" i="1" s="1"/>
  <c r="VA64" i="1" s="1"/>
  <c r="VC64" i="1" s="1"/>
  <c r="UK34" i="1"/>
  <c r="UM34" i="1" s="1"/>
  <c r="US34" i="1" s="1"/>
  <c r="UU34" i="1" s="1"/>
  <c r="UK65" i="1"/>
  <c r="UM65" i="1" s="1"/>
  <c r="US65" i="1" s="1"/>
  <c r="UU65" i="1" s="1"/>
  <c r="VA65" i="1" s="1"/>
  <c r="VC65" i="1" s="1"/>
  <c r="UK19" i="1"/>
  <c r="UM19" i="1" s="1"/>
  <c r="US19" i="1" s="1"/>
  <c r="UU19" i="1" s="1"/>
  <c r="UK73" i="1"/>
  <c r="UM73" i="1" s="1"/>
  <c r="US73" i="1" s="1"/>
  <c r="UU73" i="1" s="1"/>
  <c r="UK62" i="1"/>
  <c r="UM62" i="1" s="1"/>
  <c r="US62" i="1" s="1"/>
  <c r="UU62" i="1" s="1"/>
  <c r="UK22" i="1"/>
  <c r="UM22" i="1" s="1"/>
  <c r="US22" i="1" s="1"/>
  <c r="UU22" i="1" s="1"/>
  <c r="UK49" i="1"/>
  <c r="UM49" i="1" s="1"/>
  <c r="US49" i="1" s="1"/>
  <c r="UU49" i="1" s="1"/>
  <c r="UK66" i="1"/>
  <c r="UM66" i="1" s="1"/>
  <c r="US66" i="1" s="1"/>
  <c r="UU66" i="1" s="1"/>
  <c r="UK24" i="1"/>
  <c r="UM24" i="1" s="1"/>
  <c r="US24" i="1" s="1"/>
  <c r="UU24" i="1" s="1"/>
  <c r="UK63" i="1"/>
  <c r="UM63" i="1" s="1"/>
  <c r="US63" i="1" s="1"/>
  <c r="UU63" i="1" s="1"/>
  <c r="UK76" i="1"/>
  <c r="UM76" i="1" s="1"/>
  <c r="US76" i="1" s="1"/>
  <c r="UU76" i="1" s="1"/>
  <c r="UK16" i="1"/>
  <c r="UM16" i="1" s="1"/>
  <c r="US16" i="1" s="1"/>
  <c r="UU16" i="1" s="1"/>
  <c r="VA16" i="1" s="1"/>
  <c r="VC16" i="1" s="1"/>
  <c r="UK21" i="1"/>
  <c r="UM21" i="1" s="1"/>
  <c r="US21" i="1" s="1"/>
  <c r="UU21" i="1" s="1"/>
  <c r="UK25" i="1"/>
  <c r="UM25" i="1" s="1"/>
  <c r="US25" i="1" s="1"/>
  <c r="UU25" i="1" s="1"/>
  <c r="UK60" i="1"/>
  <c r="UM60" i="1" s="1"/>
  <c r="US60" i="1" s="1"/>
  <c r="UU60" i="1" s="1"/>
  <c r="UK41" i="1"/>
  <c r="UM41" i="1" s="1"/>
  <c r="US41" i="1" s="1"/>
  <c r="UU41" i="1" s="1"/>
  <c r="UK30" i="1"/>
  <c r="UM30" i="1" s="1"/>
  <c r="US30" i="1" s="1"/>
  <c r="UU30" i="1" s="1"/>
  <c r="UK51" i="1"/>
  <c r="UM51" i="1" s="1"/>
  <c r="US51" i="1" s="1"/>
  <c r="UU51" i="1" s="1"/>
  <c r="UK50" i="1"/>
  <c r="UM50" i="1" s="1"/>
  <c r="US50" i="1" s="1"/>
  <c r="UU50" i="1" s="1"/>
  <c r="UK58" i="1"/>
  <c r="UM58" i="1" s="1"/>
  <c r="US58" i="1" s="1"/>
  <c r="UU58" i="1" s="1"/>
  <c r="UK20" i="1"/>
  <c r="UM20" i="1" s="1"/>
  <c r="US20" i="1" s="1"/>
  <c r="UU20" i="1" s="1"/>
  <c r="UK14" i="1"/>
  <c r="UM14" i="1" s="1"/>
  <c r="US14" i="1" s="1"/>
  <c r="UU14" i="1" s="1"/>
  <c r="UK32" i="1"/>
  <c r="UM32" i="1" s="1"/>
  <c r="US32" i="1" s="1"/>
  <c r="UU32" i="1" s="1"/>
  <c r="UK56" i="1"/>
  <c r="UM56" i="1" s="1"/>
  <c r="US56" i="1" s="1"/>
  <c r="UU56" i="1" s="1"/>
  <c r="UK74" i="1"/>
  <c r="UM74" i="1" s="1"/>
  <c r="US74" i="1" s="1"/>
  <c r="UU74" i="1" s="1"/>
  <c r="UK47" i="1"/>
  <c r="UM47" i="1" s="1"/>
  <c r="US47" i="1" s="1"/>
  <c r="UU47" i="1" s="1"/>
  <c r="UK23" i="1"/>
  <c r="UM23" i="1" s="1"/>
  <c r="US23" i="1" s="1"/>
  <c r="UU23" i="1" s="1"/>
  <c r="UK45" i="1"/>
  <c r="UM45" i="1" s="1"/>
  <c r="US45" i="1" s="1"/>
  <c r="UU45" i="1" s="1"/>
  <c r="TZ81" i="1"/>
  <c r="UK43" i="1"/>
  <c r="UM43" i="1" s="1"/>
  <c r="US43" i="1" s="1"/>
  <c r="UU43" i="1" s="1"/>
  <c r="UK11" i="1"/>
  <c r="UM11" i="1" s="1"/>
  <c r="US11" i="1" s="1"/>
  <c r="UU11" i="1" s="1"/>
  <c r="UK54" i="1"/>
  <c r="UM54" i="1" s="1"/>
  <c r="US54" i="1" s="1"/>
  <c r="UU54" i="1" s="1"/>
  <c r="UK38" i="1"/>
  <c r="UM38" i="1" s="1"/>
  <c r="US38" i="1" s="1"/>
  <c r="UU38" i="1" s="1"/>
  <c r="UK42" i="1"/>
  <c r="UM42" i="1" s="1"/>
  <c r="US42" i="1" s="1"/>
  <c r="UU42" i="1" s="1"/>
  <c r="UK70" i="1"/>
  <c r="UM70" i="1" s="1"/>
  <c r="US70" i="1" s="1"/>
  <c r="UU70" i="1" s="1"/>
  <c r="UK12" i="1"/>
  <c r="UM12" i="1" s="1"/>
  <c r="US12" i="1" s="1"/>
  <c r="UU12" i="1" s="1"/>
  <c r="UK13" i="1"/>
  <c r="UM13" i="1" s="1"/>
  <c r="US13" i="1" s="1"/>
  <c r="UU13" i="1" s="1"/>
  <c r="UK31" i="1"/>
  <c r="UM31" i="1" s="1"/>
  <c r="US31" i="1" s="1"/>
  <c r="UU31" i="1" s="1"/>
  <c r="UK68" i="1"/>
  <c r="UM68" i="1" s="1"/>
  <c r="US68" i="1" s="1"/>
  <c r="UU68" i="1" s="1"/>
  <c r="UK15" i="1"/>
  <c r="UM15" i="1" s="1"/>
  <c r="US15" i="1" s="1"/>
  <c r="UU15" i="1" s="1"/>
  <c r="UK61" i="1"/>
  <c r="UM61" i="1" s="1"/>
  <c r="US61" i="1" s="1"/>
  <c r="UU61" i="1" s="1"/>
  <c r="UK75" i="1"/>
  <c r="UM75" i="1" s="1"/>
  <c r="US75" i="1" s="1"/>
  <c r="UU75" i="1" s="1"/>
  <c r="UK26" i="1"/>
  <c r="UM26" i="1" s="1"/>
  <c r="US26" i="1" s="1"/>
  <c r="UU26" i="1" s="1"/>
  <c r="UK52" i="1"/>
  <c r="UM52" i="1" s="1"/>
  <c r="US52" i="1" s="1"/>
  <c r="UU52" i="1" s="1"/>
  <c r="UK69" i="1"/>
  <c r="UM69" i="1" s="1"/>
  <c r="US69" i="1" s="1"/>
  <c r="UU69" i="1" s="1"/>
  <c r="TY81" i="1"/>
  <c r="UK46" i="1"/>
  <c r="UM46" i="1" s="1"/>
  <c r="US46" i="1" s="1"/>
  <c r="UU46" i="1" s="1"/>
  <c r="UK55" i="1"/>
  <c r="UM55" i="1" s="1"/>
  <c r="US55" i="1" s="1"/>
  <c r="UU55" i="1" s="1"/>
  <c r="UK28" i="1"/>
  <c r="UM28" i="1" s="1"/>
  <c r="US28" i="1" s="1"/>
  <c r="UU28" i="1" s="1"/>
  <c r="UF39" i="1"/>
  <c r="UK37" i="1"/>
  <c r="UM37" i="1" s="1"/>
  <c r="US37" i="1" s="1"/>
  <c r="UU37" i="1" s="1"/>
  <c r="UK35" i="1"/>
  <c r="UM35" i="1" s="1"/>
  <c r="US35" i="1" s="1"/>
  <c r="UU35" i="1" s="1"/>
  <c r="UG78" i="1"/>
  <c r="UK67" i="1"/>
  <c r="UM67" i="1" s="1"/>
  <c r="US67" i="1" s="1"/>
  <c r="UU67" i="1" s="1"/>
  <c r="UK36" i="1"/>
  <c r="UM36" i="1" s="1"/>
  <c r="US36" i="1" s="1"/>
  <c r="UU36" i="1" s="1"/>
  <c r="UF78" i="1"/>
  <c r="UG39" i="1"/>
  <c r="UK44" i="1"/>
  <c r="UM44" i="1" s="1"/>
  <c r="US44" i="1" s="1"/>
  <c r="UU44" i="1" s="1"/>
  <c r="TX81" i="1"/>
  <c r="TS82" i="1" s="1"/>
  <c r="UK17" i="1"/>
  <c r="UM17" i="1" s="1"/>
  <c r="US17" i="1" s="1"/>
  <c r="UU17" i="1" s="1"/>
  <c r="UK57" i="1"/>
  <c r="UM57" i="1" s="1"/>
  <c r="US57" i="1" s="1"/>
  <c r="UU57" i="1" s="1"/>
  <c r="UK59" i="1"/>
  <c r="UM59" i="1" s="1"/>
  <c r="US59" i="1" s="1"/>
  <c r="UU59" i="1" s="1"/>
  <c r="UH71" i="1"/>
  <c r="UK53" i="1"/>
  <c r="UM53" i="1" s="1"/>
  <c r="US53" i="1" s="1"/>
  <c r="UU53" i="1" s="1"/>
  <c r="UF71" i="1"/>
  <c r="UH39" i="1"/>
  <c r="UG71" i="1"/>
  <c r="UK48" i="1"/>
  <c r="UM48" i="1" s="1"/>
  <c r="US48" i="1" s="1"/>
  <c r="UU48" i="1" s="1"/>
  <c r="UK27" i="1"/>
  <c r="UM27" i="1" s="1"/>
  <c r="US27" i="1" s="1"/>
  <c r="UU27" i="1" s="1"/>
  <c r="UK29" i="1"/>
  <c r="UM29" i="1" s="1"/>
  <c r="US29" i="1" s="1"/>
  <c r="UU29" i="1" s="1"/>
  <c r="UK18" i="1"/>
  <c r="UM18" i="1" s="1"/>
  <c r="US18" i="1" s="1"/>
  <c r="UU18" i="1" s="1"/>
  <c r="SA5" i="1"/>
  <c r="SI1" i="1"/>
  <c r="RO8" i="1"/>
  <c r="RS8" i="1"/>
  <c r="RY8" i="1"/>
  <c r="RX8" i="1" s="1"/>
  <c r="HY10" i="1"/>
  <c r="IF10" i="1" s="1"/>
  <c r="IF39" i="1" s="1"/>
  <c r="GX80" i="1"/>
  <c r="HG71" i="1"/>
  <c r="HG77" i="1"/>
  <c r="HN77" i="1" s="1"/>
  <c r="HN78" i="1" s="1"/>
  <c r="HY72" i="1"/>
  <c r="IF72" i="1" s="1"/>
  <c r="VA73" i="1" l="1"/>
  <c r="VC73" i="1" s="1"/>
  <c r="VA41" i="1"/>
  <c r="VC41" i="1" s="1"/>
  <c r="VA35" i="1"/>
  <c r="VC35" i="1" s="1"/>
  <c r="VA37" i="1"/>
  <c r="VC37" i="1" s="1"/>
  <c r="VA53" i="1"/>
  <c r="VC53" i="1" s="1"/>
  <c r="VA13" i="1"/>
  <c r="VC13" i="1" s="1"/>
  <c r="VA23" i="1"/>
  <c r="VC23" i="1" s="1"/>
  <c r="VA60" i="1"/>
  <c r="VC60" i="1" s="1"/>
  <c r="VA19" i="1"/>
  <c r="VC19" i="1" s="1"/>
  <c r="VA57" i="1"/>
  <c r="VC57" i="1" s="1"/>
  <c r="UO81" i="1"/>
  <c r="VA26" i="1"/>
  <c r="VC26" i="1" s="1"/>
  <c r="VA12" i="1"/>
  <c r="VC12" i="1" s="1"/>
  <c r="VA29" i="1"/>
  <c r="VC29" i="1" s="1"/>
  <c r="VA30" i="1"/>
  <c r="VC30" i="1" s="1"/>
  <c r="VA22" i="1"/>
  <c r="VC22" i="1" s="1"/>
  <c r="VA56" i="1"/>
  <c r="VC56" i="1" s="1"/>
  <c r="UX71" i="1"/>
  <c r="VA47" i="1"/>
  <c r="VC47" i="1" s="1"/>
  <c r="VA42" i="1"/>
  <c r="VC42" i="1" s="1"/>
  <c r="VA62" i="1"/>
  <c r="VC62" i="1" s="1"/>
  <c r="VA76" i="1"/>
  <c r="VC76" i="1" s="1"/>
  <c r="VA33" i="1"/>
  <c r="VC33" i="1" s="1"/>
  <c r="VA24" i="1"/>
  <c r="VC24" i="1" s="1"/>
  <c r="VA52" i="1"/>
  <c r="VC52" i="1" s="1"/>
  <c r="VA54" i="1"/>
  <c r="VC54" i="1" s="1"/>
  <c r="VA36" i="1"/>
  <c r="VC36" i="1" s="1"/>
  <c r="VA50" i="1"/>
  <c r="VC50" i="1" s="1"/>
  <c r="VA61" i="1"/>
  <c r="VC61" i="1" s="1"/>
  <c r="VA28" i="1"/>
  <c r="VC28" i="1" s="1"/>
  <c r="UN81" i="1"/>
  <c r="UI82" i="1" s="1"/>
  <c r="VA68" i="1"/>
  <c r="VC68" i="1" s="1"/>
  <c r="VA44" i="1"/>
  <c r="VC44" i="1" s="1"/>
  <c r="VA63" i="1"/>
  <c r="VC63" i="1" s="1"/>
  <c r="VA27" i="1"/>
  <c r="VC27" i="1" s="1"/>
  <c r="VA48" i="1"/>
  <c r="VC48" i="1" s="1"/>
  <c r="VA11" i="1"/>
  <c r="VC11" i="1" s="1"/>
  <c r="VA49" i="1"/>
  <c r="VC49" i="1" s="1"/>
  <c r="UV71" i="1"/>
  <c r="VA67" i="1"/>
  <c r="VC67" i="1" s="1"/>
  <c r="VA75" i="1"/>
  <c r="VC75" i="1" s="1"/>
  <c r="VA43" i="1"/>
  <c r="VC43" i="1" s="1"/>
  <c r="VA51" i="1"/>
  <c r="VC51" i="1" s="1"/>
  <c r="UW78" i="1"/>
  <c r="VA59" i="1"/>
  <c r="VC59" i="1" s="1"/>
  <c r="VA31" i="1"/>
  <c r="VC31" i="1" s="1"/>
  <c r="VA25" i="1"/>
  <c r="VC25" i="1" s="1"/>
  <c r="UV78" i="1"/>
  <c r="UV39" i="1"/>
  <c r="VA74" i="1"/>
  <c r="VC74" i="1" s="1"/>
  <c r="VA21" i="1"/>
  <c r="VC21" i="1" s="1"/>
  <c r="VA34" i="1"/>
  <c r="VC34" i="1" s="1"/>
  <c r="VA15" i="1"/>
  <c r="VC15" i="1" s="1"/>
  <c r="VA17" i="1"/>
  <c r="VC17" i="1" s="1"/>
  <c r="VA55" i="1"/>
  <c r="VC55" i="1" s="1"/>
  <c r="UW39" i="1"/>
  <c r="VA18" i="1"/>
  <c r="VC18" i="1" s="1"/>
  <c r="VA46" i="1"/>
  <c r="VC46" i="1" s="1"/>
  <c r="VA70" i="1"/>
  <c r="VC70" i="1" s="1"/>
  <c r="VA32" i="1"/>
  <c r="VC32" i="1" s="1"/>
  <c r="VD75" i="1"/>
  <c r="VD40" i="1"/>
  <c r="VD68" i="1"/>
  <c r="VD30" i="1"/>
  <c r="VE69" i="1"/>
  <c r="VD48" i="1"/>
  <c r="VF40" i="1"/>
  <c r="VD11" i="1"/>
  <c r="VF13" i="1"/>
  <c r="VD35" i="1"/>
  <c r="VD24" i="1"/>
  <c r="VF29" i="1"/>
  <c r="VF28" i="1"/>
  <c r="VD32" i="1"/>
  <c r="VD21" i="1"/>
  <c r="VD77" i="1"/>
  <c r="VF17" i="1"/>
  <c r="VD29" i="1"/>
  <c r="VD18" i="1"/>
  <c r="VD34" i="1"/>
  <c r="VF10" i="1"/>
  <c r="VD61" i="1"/>
  <c r="VD53" i="1"/>
  <c r="VD69" i="1"/>
  <c r="VE38" i="1"/>
  <c r="VD58" i="1"/>
  <c r="VD12" i="1"/>
  <c r="VD28" i="1"/>
  <c r="VF12" i="1"/>
  <c r="VD55" i="1"/>
  <c r="VF36" i="1"/>
  <c r="VD47" i="1"/>
  <c r="VF69" i="1"/>
  <c r="VD63" i="1"/>
  <c r="VF70" i="1"/>
  <c r="VD25" i="1"/>
  <c r="VM1" i="1"/>
  <c r="VD17" i="1"/>
  <c r="VD49" i="1"/>
  <c r="VE36" i="1"/>
  <c r="VD41" i="1"/>
  <c r="VF45" i="1"/>
  <c r="VD57" i="1"/>
  <c r="VF55" i="1"/>
  <c r="VD13" i="1"/>
  <c r="VD22" i="1"/>
  <c r="VD46" i="1"/>
  <c r="VD76" i="1"/>
  <c r="VD36" i="1"/>
  <c r="VF42" i="1"/>
  <c r="VD54" i="1"/>
  <c r="VF52" i="1"/>
  <c r="VD23" i="1"/>
  <c r="VD72" i="1"/>
  <c r="VD38" i="1"/>
  <c r="VD65" i="1"/>
  <c r="VI65" i="1" s="1"/>
  <c r="VK65" i="1" s="1"/>
  <c r="VD27" i="1"/>
  <c r="VE37" i="1"/>
  <c r="VD45" i="1"/>
  <c r="VF38" i="1"/>
  <c r="VD16" i="1"/>
  <c r="VI16" i="1" s="1"/>
  <c r="VK16" i="1" s="1"/>
  <c r="VD14" i="1"/>
  <c r="VD70" i="1"/>
  <c r="VD62" i="1"/>
  <c r="VD79" i="1"/>
  <c r="VD80" i="1" s="1"/>
  <c r="VD42" i="1"/>
  <c r="VD19" i="1"/>
  <c r="VD67" i="1"/>
  <c r="VD59" i="1"/>
  <c r="VD37" i="1"/>
  <c r="VE75" i="1"/>
  <c r="VD20" i="1"/>
  <c r="VD64" i="1"/>
  <c r="VI64" i="1" s="1"/>
  <c r="VK64" i="1" s="1"/>
  <c r="VD56" i="1"/>
  <c r="VD74" i="1"/>
  <c r="VE67" i="1"/>
  <c r="VF53" i="1"/>
  <c r="VD15" i="1"/>
  <c r="VD31" i="1"/>
  <c r="VD10" i="1"/>
  <c r="VF44" i="1"/>
  <c r="VD50" i="1"/>
  <c r="VD66" i="1"/>
  <c r="VE35" i="1"/>
  <c r="VD52" i="1"/>
  <c r="VE68" i="1"/>
  <c r="VD44" i="1"/>
  <c r="VF57" i="1"/>
  <c r="VD60" i="1"/>
  <c r="VF67" i="1"/>
  <c r="VF18" i="1"/>
  <c r="VF15" i="1"/>
  <c r="VD43" i="1"/>
  <c r="VD73" i="1"/>
  <c r="VI73" i="1" s="1"/>
  <c r="VK73" i="1" s="1"/>
  <c r="VD33" i="1"/>
  <c r="VI33" i="1" s="1"/>
  <c r="VK33" i="1" s="1"/>
  <c r="VE74" i="1"/>
  <c r="VD51" i="1"/>
  <c r="VF46" i="1"/>
  <c r="VF26" i="1"/>
  <c r="VD26" i="1"/>
  <c r="UW71" i="1"/>
  <c r="VA69" i="1"/>
  <c r="VC69" i="1" s="1"/>
  <c r="VA38" i="1"/>
  <c r="VC38" i="1" s="1"/>
  <c r="VA20" i="1"/>
  <c r="VC20" i="1" s="1"/>
  <c r="VA45" i="1"/>
  <c r="VC45" i="1" s="1"/>
  <c r="VA14" i="1"/>
  <c r="VC14" i="1" s="1"/>
  <c r="VA58" i="1"/>
  <c r="VC58" i="1" s="1"/>
  <c r="VA66" i="1"/>
  <c r="VC66" i="1" s="1"/>
  <c r="UP81" i="1"/>
  <c r="UX39" i="1"/>
  <c r="UF81" i="1"/>
  <c r="UA82" i="1" s="1"/>
  <c r="UG81" i="1"/>
  <c r="UH81" i="1"/>
  <c r="HY39" i="1"/>
  <c r="SI5" i="1"/>
  <c r="SQ1" i="1"/>
  <c r="RW8" i="1"/>
  <c r="SA8" i="1"/>
  <c r="SG8" i="1"/>
  <c r="SF8" i="1" s="1"/>
  <c r="GX81" i="1"/>
  <c r="HG78" i="1"/>
  <c r="HP40" i="1"/>
  <c r="HW40" i="1" s="1"/>
  <c r="HW71" i="1" s="1"/>
  <c r="HG79" i="1"/>
  <c r="HN79" i="1" s="1"/>
  <c r="HN80" i="1" s="1"/>
  <c r="HN81" i="1" s="1"/>
  <c r="VI41" i="1" l="1"/>
  <c r="VK41" i="1" s="1"/>
  <c r="UV81" i="1"/>
  <c r="UQ82" i="1" s="1"/>
  <c r="VI37" i="1"/>
  <c r="VK37" i="1" s="1"/>
  <c r="VI13" i="1"/>
  <c r="VK13" i="1" s="1"/>
  <c r="VI60" i="1"/>
  <c r="VK60" i="1" s="1"/>
  <c r="VI23" i="1"/>
  <c r="VK23" i="1" s="1"/>
  <c r="VI19" i="1"/>
  <c r="VK19" i="1" s="1"/>
  <c r="VI47" i="1"/>
  <c r="VK47" i="1" s="1"/>
  <c r="VI57" i="1"/>
  <c r="VK57" i="1" s="1"/>
  <c r="VI22" i="1"/>
  <c r="VK22" i="1" s="1"/>
  <c r="VI24" i="1"/>
  <c r="VK24" i="1" s="1"/>
  <c r="UX81" i="1"/>
  <c r="VI53" i="1"/>
  <c r="VK53" i="1" s="1"/>
  <c r="VI26" i="1"/>
  <c r="VK26" i="1" s="1"/>
  <c r="VI12" i="1"/>
  <c r="VK12" i="1" s="1"/>
  <c r="VI56" i="1"/>
  <c r="VK56" i="1" s="1"/>
  <c r="VI50" i="1"/>
  <c r="VK50" i="1" s="1"/>
  <c r="VI61" i="1"/>
  <c r="VK61" i="1" s="1"/>
  <c r="VI62" i="1"/>
  <c r="VK62" i="1" s="1"/>
  <c r="VI30" i="1"/>
  <c r="VK30" i="1" s="1"/>
  <c r="VI54" i="1"/>
  <c r="VK54" i="1" s="1"/>
  <c r="VI52" i="1"/>
  <c r="VK52" i="1" s="1"/>
  <c r="VI36" i="1"/>
  <c r="VK36" i="1" s="1"/>
  <c r="VI45" i="1"/>
  <c r="VK45" i="1" s="1"/>
  <c r="VE78" i="1"/>
  <c r="VI76" i="1"/>
  <c r="VK76" i="1" s="1"/>
  <c r="VI29" i="1"/>
  <c r="VK29" i="1" s="1"/>
  <c r="VI43" i="1"/>
  <c r="VK43" i="1" s="1"/>
  <c r="VI28" i="1"/>
  <c r="VK28" i="1" s="1"/>
  <c r="VI42" i="1"/>
  <c r="VK42" i="1" s="1"/>
  <c r="VI55" i="1"/>
  <c r="VK55" i="1" s="1"/>
  <c r="VI27" i="1"/>
  <c r="VK27" i="1" s="1"/>
  <c r="VI63" i="1"/>
  <c r="VK63" i="1" s="1"/>
  <c r="VI14" i="1"/>
  <c r="VK14" i="1" s="1"/>
  <c r="VI35" i="1"/>
  <c r="VK35" i="1" s="1"/>
  <c r="VI48" i="1"/>
  <c r="VK48" i="1" s="1"/>
  <c r="VD71" i="1"/>
  <c r="VL77" i="1"/>
  <c r="VL37" i="1"/>
  <c r="VM67" i="1"/>
  <c r="VL49" i="1"/>
  <c r="VM36" i="1"/>
  <c r="VL41" i="1"/>
  <c r="VQ41" i="1" s="1"/>
  <c r="VL19" i="1"/>
  <c r="VL25" i="1"/>
  <c r="VL74" i="1"/>
  <c r="VL34" i="1"/>
  <c r="VM38" i="1"/>
  <c r="VL46" i="1"/>
  <c r="VL76" i="1"/>
  <c r="VL36" i="1"/>
  <c r="VL12" i="1"/>
  <c r="VL23" i="1"/>
  <c r="VN26" i="1"/>
  <c r="VN57" i="1"/>
  <c r="VL72" i="1"/>
  <c r="VL65" i="1"/>
  <c r="VQ65" i="1" s="1"/>
  <c r="VL22" i="1"/>
  <c r="VN45" i="1"/>
  <c r="VL70" i="1"/>
  <c r="VL62" i="1"/>
  <c r="VL20" i="1"/>
  <c r="VN42" i="1"/>
  <c r="VN55" i="1"/>
  <c r="VL67" i="1"/>
  <c r="VN12" i="1"/>
  <c r="VL54" i="1"/>
  <c r="VL29" i="1"/>
  <c r="VL30" i="1"/>
  <c r="VM74" i="1"/>
  <c r="VL61" i="1"/>
  <c r="VL17" i="1"/>
  <c r="VN40" i="1"/>
  <c r="VN44" i="1"/>
  <c r="VL50" i="1"/>
  <c r="VN18" i="1"/>
  <c r="VL45" i="1"/>
  <c r="VN36" i="1"/>
  <c r="VN29" i="1"/>
  <c r="VL79" i="1"/>
  <c r="VL80" i="1" s="1"/>
  <c r="VM68" i="1"/>
  <c r="VL44" i="1"/>
  <c r="VN67" i="1"/>
  <c r="VN46" i="1"/>
  <c r="VL48" i="1"/>
  <c r="VL47" i="1"/>
  <c r="VM75" i="1"/>
  <c r="VL69" i="1"/>
  <c r="VL31" i="1"/>
  <c r="VM35" i="1"/>
  <c r="VL43" i="1"/>
  <c r="VL73" i="1"/>
  <c r="VQ73" i="1" s="1"/>
  <c r="VL33" i="1"/>
  <c r="VQ33" i="1" s="1"/>
  <c r="VN10" i="1"/>
  <c r="VL18" i="1"/>
  <c r="VN69" i="1"/>
  <c r="VL66" i="1"/>
  <c r="VL28" i="1"/>
  <c r="VL75" i="1"/>
  <c r="VL40" i="1"/>
  <c r="VL68" i="1"/>
  <c r="VL26" i="1"/>
  <c r="VL24" i="1"/>
  <c r="VL63" i="1"/>
  <c r="VN70" i="1"/>
  <c r="VL38" i="1"/>
  <c r="VL21" i="1"/>
  <c r="VL16" i="1"/>
  <c r="VQ16" i="1" s="1"/>
  <c r="VL60" i="1"/>
  <c r="VL35" i="1"/>
  <c r="VL14" i="1"/>
  <c r="VL10" i="1"/>
  <c r="VL57" i="1"/>
  <c r="VL32" i="1"/>
  <c r="VL59" i="1"/>
  <c r="VL15" i="1"/>
  <c r="VN28" i="1"/>
  <c r="VN52" i="1"/>
  <c r="VL64" i="1"/>
  <c r="VQ64" i="1" s="1"/>
  <c r="VL56" i="1"/>
  <c r="VN13" i="1"/>
  <c r="VL51" i="1"/>
  <c r="VN53" i="1"/>
  <c r="VL53" i="1"/>
  <c r="VL13" i="1"/>
  <c r="VM69" i="1"/>
  <c r="VL58" i="1"/>
  <c r="VN15" i="1"/>
  <c r="VM37" i="1"/>
  <c r="VN38" i="1"/>
  <c r="VL55" i="1"/>
  <c r="VL11" i="1"/>
  <c r="VL42" i="1"/>
  <c r="VL52" i="1"/>
  <c r="VN17" i="1"/>
  <c r="VL27" i="1"/>
  <c r="VI20" i="1"/>
  <c r="VK20" i="1" s="1"/>
  <c r="VI66" i="1"/>
  <c r="VK66" i="1" s="1"/>
  <c r="UW81" i="1"/>
  <c r="VI74" i="1"/>
  <c r="VK74" i="1" s="1"/>
  <c r="VE71" i="1"/>
  <c r="VI17" i="1"/>
  <c r="VK17" i="1" s="1"/>
  <c r="VI75" i="1"/>
  <c r="VK75" i="1" s="1"/>
  <c r="VI44" i="1"/>
  <c r="VK44" i="1" s="1"/>
  <c r="VI32" i="1"/>
  <c r="VK32" i="1" s="1"/>
  <c r="VI67" i="1"/>
  <c r="VK67" i="1" s="1"/>
  <c r="VI68" i="1"/>
  <c r="VK68" i="1" s="1"/>
  <c r="VI51" i="1"/>
  <c r="VK51" i="1" s="1"/>
  <c r="VI38" i="1"/>
  <c r="VK38" i="1" s="1"/>
  <c r="VF39" i="1"/>
  <c r="VI70" i="1"/>
  <c r="VK70" i="1" s="1"/>
  <c r="VI15" i="1"/>
  <c r="VK15" i="1" s="1"/>
  <c r="VI25" i="1"/>
  <c r="VK25" i="1" s="1"/>
  <c r="VI69" i="1"/>
  <c r="VK69" i="1" s="1"/>
  <c r="VD39" i="1"/>
  <c r="VI46" i="1"/>
  <c r="VK46" i="1" s="1"/>
  <c r="VI49" i="1"/>
  <c r="VK49" i="1" s="1"/>
  <c r="VE39" i="1"/>
  <c r="VF71" i="1"/>
  <c r="VI18" i="1"/>
  <c r="VK18" i="1" s="1"/>
  <c r="VI34" i="1"/>
  <c r="VK34" i="1" s="1"/>
  <c r="VI31" i="1"/>
  <c r="VK31" i="1" s="1"/>
  <c r="VI58" i="1"/>
  <c r="VK58" i="1" s="1"/>
  <c r="VD78" i="1"/>
  <c r="VI21" i="1"/>
  <c r="VK21" i="1" s="1"/>
  <c r="VI59" i="1"/>
  <c r="VK59" i="1" s="1"/>
  <c r="VI11" i="1"/>
  <c r="VK11" i="1" s="1"/>
  <c r="SQ5" i="1"/>
  <c r="SY1" i="1"/>
  <c r="SE8" i="1"/>
  <c r="SO8" i="1"/>
  <c r="SN8" i="1" s="1"/>
  <c r="SI8" i="1"/>
  <c r="IH10" i="1"/>
  <c r="IN10" i="1" s="1"/>
  <c r="IN39" i="1" s="1"/>
  <c r="HP71" i="1"/>
  <c r="HG80" i="1"/>
  <c r="HP77" i="1"/>
  <c r="HW77" i="1" s="1"/>
  <c r="HW78" i="1" s="1"/>
  <c r="IH72" i="1"/>
  <c r="IN72" i="1" s="1"/>
  <c r="VQ22" i="1" l="1"/>
  <c r="VQ48" i="1"/>
  <c r="VQ21" i="1"/>
  <c r="VQ34" i="1"/>
  <c r="VQ74" i="1"/>
  <c r="VQ60" i="1"/>
  <c r="VQ19" i="1"/>
  <c r="VQ23" i="1"/>
  <c r="VQ47" i="1"/>
  <c r="VQ38" i="1"/>
  <c r="VQ24" i="1"/>
  <c r="VQ26" i="1"/>
  <c r="VQ50" i="1"/>
  <c r="VQ49" i="1"/>
  <c r="VQ53" i="1"/>
  <c r="VQ55" i="1"/>
  <c r="VQ44" i="1"/>
  <c r="VQ61" i="1"/>
  <c r="VQ30" i="1"/>
  <c r="VQ56" i="1"/>
  <c r="VQ27" i="1"/>
  <c r="VQ14" i="1"/>
  <c r="VQ35" i="1"/>
  <c r="VQ62" i="1"/>
  <c r="VQ36" i="1"/>
  <c r="VQ52" i="1"/>
  <c r="VQ76" i="1"/>
  <c r="VQ63" i="1"/>
  <c r="VQ29" i="1"/>
  <c r="VQ54" i="1"/>
  <c r="VQ28" i="1"/>
  <c r="VQ20" i="1"/>
  <c r="VQ13" i="1"/>
  <c r="VQ45" i="1"/>
  <c r="VQ11" i="1"/>
  <c r="VQ46" i="1"/>
  <c r="VQ67" i="1"/>
  <c r="VQ12" i="1"/>
  <c r="VQ42" i="1"/>
  <c r="VD81" i="1"/>
  <c r="UY82" i="1" s="1"/>
  <c r="VQ75" i="1"/>
  <c r="VQ51" i="1"/>
  <c r="VQ43" i="1"/>
  <c r="VQ66" i="1"/>
  <c r="VQ58" i="1"/>
  <c r="VQ31" i="1"/>
  <c r="VQ18" i="1"/>
  <c r="VE81" i="1"/>
  <c r="VQ57" i="1"/>
  <c r="VL78" i="1"/>
  <c r="VQ37" i="1"/>
  <c r="VQ68" i="1"/>
  <c r="VQ15" i="1"/>
  <c r="VQ70" i="1"/>
  <c r="VQ17" i="1"/>
  <c r="VQ59" i="1"/>
  <c r="VF81" i="1"/>
  <c r="VN39" i="1"/>
  <c r="VM78" i="1"/>
  <c r="VL39" i="1"/>
  <c r="VL71" i="1"/>
  <c r="VM71" i="1"/>
  <c r="VQ25" i="1"/>
  <c r="VQ32" i="1"/>
  <c r="VQ69" i="1"/>
  <c r="VN71" i="1"/>
  <c r="VM39" i="1"/>
  <c r="SY5" i="1"/>
  <c r="SU8" i="1" s="1"/>
  <c r="TG1" i="1"/>
  <c r="SQ8" i="1"/>
  <c r="SM8" i="1"/>
  <c r="SW8" i="1"/>
  <c r="SV8" i="1" s="1"/>
  <c r="HG81" i="1"/>
  <c r="IH39" i="1"/>
  <c r="HP78" i="1"/>
  <c r="HY40" i="1"/>
  <c r="IF40" i="1" s="1"/>
  <c r="IF71" i="1" s="1"/>
  <c r="HP79" i="1"/>
  <c r="HW79" i="1" s="1"/>
  <c r="HW80" i="1" s="1"/>
  <c r="HW81" i="1" s="1"/>
  <c r="IP10" i="1"/>
  <c r="IW10" i="1" s="1"/>
  <c r="IW39" i="1" s="1"/>
  <c r="U8" i="1"/>
  <c r="VL81" i="1" l="1"/>
  <c r="VG82" i="1" s="1"/>
  <c r="VM81" i="1"/>
  <c r="VN81" i="1"/>
  <c r="TE8" i="1"/>
  <c r="TD8" i="1" s="1"/>
  <c r="SY8" i="1"/>
  <c r="TG5" i="1"/>
  <c r="TO1" i="1"/>
  <c r="IP39" i="1"/>
  <c r="HP80" i="1"/>
  <c r="HY71" i="1"/>
  <c r="HY77" i="1"/>
  <c r="IF77" i="1" s="1"/>
  <c r="IF78" i="1" s="1"/>
  <c r="IP72" i="1"/>
  <c r="IW72" i="1" s="1"/>
  <c r="TO5" i="1" l="1"/>
  <c r="TW1" i="1"/>
  <c r="TM8" i="1"/>
  <c r="TL8" i="1" s="1"/>
  <c r="TG8" i="1"/>
  <c r="TC8" i="1"/>
  <c r="HP81" i="1"/>
  <c r="HY78" i="1"/>
  <c r="IH40" i="1"/>
  <c r="IN40" i="1" s="1"/>
  <c r="IN71" i="1" s="1"/>
  <c r="HY79" i="1"/>
  <c r="IF79" i="1" s="1"/>
  <c r="IF80" i="1" s="1"/>
  <c r="IF81" i="1" s="1"/>
  <c r="IY10" i="1"/>
  <c r="JE10" i="1" s="1"/>
  <c r="JE39" i="1" s="1"/>
  <c r="TW5" i="1" l="1"/>
  <c r="UE1" i="1"/>
  <c r="TK8" i="1"/>
  <c r="TO8" i="1"/>
  <c r="TU8" i="1"/>
  <c r="TT8" i="1" s="1"/>
  <c r="IY39" i="1"/>
  <c r="HY80" i="1"/>
  <c r="IH71" i="1"/>
  <c r="IH77" i="1"/>
  <c r="IN77" i="1" s="1"/>
  <c r="IN78" i="1" s="1"/>
  <c r="IY72" i="1"/>
  <c r="JE72" i="1" s="1"/>
  <c r="UE5" i="1" l="1"/>
  <c r="UM1" i="1"/>
  <c r="UE8" i="1"/>
  <c r="UK8" i="1"/>
  <c r="UJ8" i="1" s="1"/>
  <c r="UA8" i="1"/>
  <c r="TS8" i="1"/>
  <c r="UC8" i="1"/>
  <c r="UB8" i="1" s="1"/>
  <c r="TW8" i="1"/>
  <c r="HY81" i="1"/>
  <c r="IH78" i="1"/>
  <c r="IP40" i="1"/>
  <c r="IW40" i="1" s="1"/>
  <c r="IW71" i="1" s="1"/>
  <c r="IH79" i="1"/>
  <c r="IN79" i="1" s="1"/>
  <c r="IN80" i="1" s="1"/>
  <c r="IN81" i="1" s="1"/>
  <c r="JG10" i="1"/>
  <c r="UM5" i="1" l="1"/>
  <c r="UU1" i="1"/>
  <c r="JN10" i="1"/>
  <c r="JN39" i="1" s="1"/>
  <c r="JG39" i="1"/>
  <c r="IH80" i="1"/>
  <c r="IP71" i="1"/>
  <c r="IP77" i="1"/>
  <c r="IW77" i="1" s="1"/>
  <c r="IW78" i="1" s="1"/>
  <c r="JG72" i="1"/>
  <c r="UM8" i="1" l="1"/>
  <c r="US8" i="1"/>
  <c r="UR8" i="1" s="1"/>
  <c r="UI8" i="1"/>
  <c r="UU5" i="1"/>
  <c r="VC1" i="1"/>
  <c r="JN72" i="1"/>
  <c r="IH81" i="1"/>
  <c r="IP78" i="1"/>
  <c r="IY40" i="1"/>
  <c r="JE40" i="1" s="1"/>
  <c r="JE71" i="1" s="1"/>
  <c r="IP79" i="1"/>
  <c r="IW79" i="1" s="1"/>
  <c r="IW80" i="1" s="1"/>
  <c r="IW81" i="1" s="1"/>
  <c r="JP10" i="1"/>
  <c r="JV10" i="1" s="1"/>
  <c r="JV39" i="1" s="1"/>
  <c r="VC5" i="1" l="1"/>
  <c r="VK1" i="1"/>
  <c r="VK5" i="1" s="1"/>
  <c r="VA8" i="1"/>
  <c r="UZ8" i="1" s="1"/>
  <c r="UQ8" i="1"/>
  <c r="UU8" i="1"/>
  <c r="IP80" i="1"/>
  <c r="IP81" i="1" s="1"/>
  <c r="IY71" i="1"/>
  <c r="JP39" i="1"/>
  <c r="IY77" i="1"/>
  <c r="JE77" i="1" s="1"/>
  <c r="JE78" i="1" s="1"/>
  <c r="JP72" i="1"/>
  <c r="JV72" i="1" s="1"/>
  <c r="VI8" i="1" l="1"/>
  <c r="VH8" i="1" s="1"/>
  <c r="UY8" i="1"/>
  <c r="VC8" i="1"/>
  <c r="VK8" i="1"/>
  <c r="VQ8" i="1"/>
  <c r="VP8" i="1" s="1"/>
  <c r="VG8" i="1"/>
  <c r="IY78" i="1"/>
  <c r="JG40" i="1"/>
  <c r="IY79" i="1"/>
  <c r="JE79" i="1" s="1"/>
  <c r="JE80" i="1" s="1"/>
  <c r="JE81" i="1" s="1"/>
  <c r="JX10" i="1"/>
  <c r="KD10" i="1" s="1"/>
  <c r="KD39" i="1" s="1"/>
  <c r="JN40" i="1" l="1"/>
  <c r="JN71" i="1" s="1"/>
  <c r="IY80" i="1"/>
  <c r="JG71" i="1"/>
  <c r="JX39" i="1"/>
  <c r="JG77" i="1"/>
  <c r="JX72" i="1"/>
  <c r="KD72" i="1" s="1"/>
  <c r="JN77" i="1" l="1"/>
  <c r="JN78" i="1" s="1"/>
  <c r="IY81" i="1"/>
  <c r="JG78" i="1"/>
  <c r="JP40" i="1"/>
  <c r="JV40" i="1" s="1"/>
  <c r="JV71" i="1" s="1"/>
  <c r="JG79" i="1"/>
  <c r="KF10" i="1"/>
  <c r="KM10" i="1" s="1"/>
  <c r="KM39" i="1" s="1"/>
  <c r="JN79" i="1" l="1"/>
  <c r="JN80" i="1" s="1"/>
  <c r="JN81" i="1" s="1"/>
  <c r="JG80" i="1"/>
  <c r="JP71" i="1"/>
  <c r="KF39" i="1"/>
  <c r="JP77" i="1"/>
  <c r="JV77" i="1" s="1"/>
  <c r="JV78" i="1" s="1"/>
  <c r="KF72" i="1"/>
  <c r="KM72" i="1" s="1"/>
  <c r="JG81" i="1" l="1"/>
  <c r="JP78" i="1"/>
  <c r="JX40" i="1"/>
  <c r="KD40" i="1" s="1"/>
  <c r="KD71" i="1" s="1"/>
  <c r="JP79" i="1"/>
  <c r="JV79" i="1" s="1"/>
  <c r="JV80" i="1" s="1"/>
  <c r="JV81" i="1" s="1"/>
  <c r="KO10" i="1"/>
  <c r="KV10" i="1" s="1"/>
  <c r="KV39" i="1" s="1"/>
  <c r="KO39" i="1" l="1"/>
  <c r="JP80" i="1"/>
  <c r="JP81" i="1" s="1"/>
  <c r="JX71" i="1"/>
  <c r="JX77" i="1"/>
  <c r="KD77" i="1" s="1"/>
  <c r="KD78" i="1" s="1"/>
  <c r="KO72" i="1"/>
  <c r="KV72" i="1" s="1"/>
  <c r="JX78" i="1" l="1"/>
  <c r="KF40" i="1"/>
  <c r="KM40" i="1" s="1"/>
  <c r="KM71" i="1" s="1"/>
  <c r="JX79" i="1"/>
  <c r="KD79" i="1" s="1"/>
  <c r="KD80" i="1" s="1"/>
  <c r="KD81" i="1" s="1"/>
  <c r="KX10" i="1"/>
  <c r="LD39" i="1" s="1"/>
  <c r="KX39" i="1" l="1"/>
  <c r="JX80" i="1"/>
  <c r="KF71" i="1"/>
  <c r="KF77" i="1"/>
  <c r="KM77" i="1" s="1"/>
  <c r="KM78" i="1" s="1"/>
  <c r="KX72" i="1"/>
  <c r="JX81" i="1" l="1"/>
  <c r="KF78" i="1"/>
  <c r="KO40" i="1"/>
  <c r="KV40" i="1" s="1"/>
  <c r="KV71" i="1" s="1"/>
  <c r="KF79" i="1"/>
  <c r="KM79" i="1" s="1"/>
  <c r="KM80" i="1" s="1"/>
  <c r="KM81" i="1" s="1"/>
  <c r="LF10" i="1"/>
  <c r="LM10" i="1" s="1"/>
  <c r="LM39" i="1" s="1"/>
  <c r="KO71" i="1" l="1"/>
  <c r="LF39" i="1"/>
  <c r="KF80" i="1"/>
  <c r="KF81" i="1" s="1"/>
  <c r="KO77" i="1"/>
  <c r="KV77" i="1" s="1"/>
  <c r="KV78" i="1" s="1"/>
  <c r="LF72" i="1"/>
  <c r="LM72" i="1" s="1"/>
  <c r="KO78" i="1" l="1"/>
  <c r="LO10" i="1"/>
  <c r="LU10" i="1" s="1"/>
  <c r="LU39" i="1" s="1"/>
  <c r="KX40" i="1"/>
  <c r="LD71" i="1" s="1"/>
  <c r="KO79" i="1"/>
  <c r="KV79" i="1" s="1"/>
  <c r="KV80" i="1" s="1"/>
  <c r="KV81" i="1" s="1"/>
  <c r="LO72" i="1"/>
  <c r="LU72" i="1" s="1"/>
  <c r="KO80" i="1" l="1"/>
  <c r="KX71" i="1"/>
  <c r="LO39" i="1"/>
  <c r="KX77" i="1"/>
  <c r="LD78" i="1" s="1"/>
  <c r="KO81" i="1" l="1"/>
  <c r="KX78" i="1"/>
  <c r="LW10" i="1"/>
  <c r="MC10" i="1" s="1"/>
  <c r="MC39" i="1" s="1"/>
  <c r="LW72" i="1"/>
  <c r="MC72" i="1" s="1"/>
  <c r="LF40" i="1"/>
  <c r="LM40" i="1" s="1"/>
  <c r="LM71" i="1" s="1"/>
  <c r="KX79" i="1"/>
  <c r="LD80" i="1" s="1"/>
  <c r="LD81" i="1" s="1"/>
  <c r="KX80" i="1" l="1"/>
  <c r="KX81" i="1" s="1"/>
  <c r="LF71" i="1"/>
  <c r="LW39" i="1"/>
  <c r="LF77" i="1"/>
  <c r="LM77" i="1" s="1"/>
  <c r="LM78" i="1" s="1"/>
  <c r="LF78" i="1" l="1"/>
  <c r="LO40" i="1"/>
  <c r="LU40" i="1" s="1"/>
  <c r="LU71" i="1" s="1"/>
  <c r="ME10" i="1"/>
  <c r="MK10" i="1" s="1"/>
  <c r="MK39" i="1" s="1"/>
  <c r="ME72" i="1"/>
  <c r="MK72" i="1" s="1"/>
  <c r="LF79" i="1"/>
  <c r="LM79" i="1" s="1"/>
  <c r="LM80" i="1" s="1"/>
  <c r="LM81" i="1" s="1"/>
  <c r="LF80" i="1" l="1"/>
  <c r="LF81" i="1" s="1"/>
  <c r="LO77" i="1"/>
  <c r="LU77" i="1" s="1"/>
  <c r="LU78" i="1" s="1"/>
  <c r="ME39" i="1"/>
  <c r="LO71" i="1"/>
  <c r="LO79" i="1" l="1"/>
  <c r="LU79" i="1" s="1"/>
  <c r="LU80" i="1" s="1"/>
  <c r="LU81" i="1" s="1"/>
  <c r="LW40" i="1"/>
  <c r="MC40" i="1" s="1"/>
  <c r="MC71" i="1" s="1"/>
  <c r="MM10" i="1"/>
  <c r="MS10" i="1" s="1"/>
  <c r="MM72" i="1"/>
  <c r="MS72" i="1" s="1"/>
  <c r="MU72" i="1" s="1"/>
  <c r="LO78" i="1"/>
  <c r="MS39" i="1" l="1"/>
  <c r="MU10" i="1"/>
  <c r="NA72" i="1"/>
  <c r="LW77" i="1"/>
  <c r="MC77" i="1" s="1"/>
  <c r="MC78" i="1" s="1"/>
  <c r="MM39" i="1"/>
  <c r="LW71" i="1"/>
  <c r="LO80" i="1"/>
  <c r="LO81" i="1" s="1"/>
  <c r="NC72" i="1" l="1"/>
  <c r="MU39" i="1"/>
  <c r="NA10" i="1"/>
  <c r="LW79" i="1"/>
  <c r="MC79" i="1" s="1"/>
  <c r="MC80" i="1" s="1"/>
  <c r="MC81" i="1" s="1"/>
  <c r="ME40" i="1"/>
  <c r="MK40" i="1" s="1"/>
  <c r="MK71" i="1" s="1"/>
  <c r="LW78" i="1"/>
  <c r="NA39" i="1" l="1"/>
  <c r="NC10" i="1"/>
  <c r="NI72" i="1"/>
  <c r="ME77" i="1"/>
  <c r="MK77" i="1" s="1"/>
  <c r="MK78" i="1" s="1"/>
  <c r="ME71" i="1"/>
  <c r="LW80" i="1"/>
  <c r="LW81" i="1" s="1"/>
  <c r="NK72" i="1" l="1"/>
  <c r="NC39" i="1"/>
  <c r="NI10" i="1"/>
  <c r="ME79" i="1"/>
  <c r="MK79" i="1" s="1"/>
  <c r="MK80" i="1" s="1"/>
  <c r="MK81" i="1" s="1"/>
  <c r="MM40" i="1"/>
  <c r="MS40" i="1" s="1"/>
  <c r="ME78" i="1"/>
  <c r="MS71" i="1" l="1"/>
  <c r="MU40" i="1"/>
  <c r="NI39" i="1"/>
  <c r="NK10" i="1"/>
  <c r="NQ72" i="1"/>
  <c r="MM77" i="1"/>
  <c r="MS77" i="1" s="1"/>
  <c r="MM71" i="1"/>
  <c r="ME80" i="1"/>
  <c r="ME81" i="1" s="1"/>
  <c r="MS78" i="1" l="1"/>
  <c r="MU77" i="1"/>
  <c r="NS72" i="1"/>
  <c r="NQ10" i="1"/>
  <c r="NK39" i="1"/>
  <c r="MU71" i="1"/>
  <c r="NA40" i="1"/>
  <c r="MM79" i="1"/>
  <c r="MS79" i="1" s="1"/>
  <c r="MM78" i="1"/>
  <c r="MS80" i="1" l="1"/>
  <c r="MS81" i="1" s="1"/>
  <c r="MU79" i="1"/>
  <c r="NC40" i="1"/>
  <c r="NA71" i="1"/>
  <c r="NQ39" i="1"/>
  <c r="NS10" i="1"/>
  <c r="NY72" i="1"/>
  <c r="NA77" i="1"/>
  <c r="MU78" i="1"/>
  <c r="MM80" i="1"/>
  <c r="MM81" i="1" s="1"/>
  <c r="NC77" i="1" l="1"/>
  <c r="NA78" i="1"/>
  <c r="OA72" i="1"/>
  <c r="NS39" i="1"/>
  <c r="NY10" i="1"/>
  <c r="NC71" i="1"/>
  <c r="NI40" i="1"/>
  <c r="MU80" i="1"/>
  <c r="MU81" i="1" s="1"/>
  <c r="NA79" i="1"/>
  <c r="NC79" i="1" l="1"/>
  <c r="NA80" i="1"/>
  <c r="NA81" i="1" s="1"/>
  <c r="NK40" i="1"/>
  <c r="NI71" i="1"/>
  <c r="NY39" i="1"/>
  <c r="OA10" i="1"/>
  <c r="OG72" i="1"/>
  <c r="NI77" i="1"/>
  <c r="NC78" i="1"/>
  <c r="NK77" i="1" l="1"/>
  <c r="NI78" i="1"/>
  <c r="OI72" i="1"/>
  <c r="OG10" i="1"/>
  <c r="OA39" i="1"/>
  <c r="NK71" i="1"/>
  <c r="NQ40" i="1"/>
  <c r="NI79" i="1"/>
  <c r="NC80" i="1"/>
  <c r="NC81" i="1" s="1"/>
  <c r="NI80" i="1" l="1"/>
  <c r="NI81" i="1" s="1"/>
  <c r="NK79" i="1"/>
  <c r="NS40" i="1"/>
  <c r="NQ71" i="1"/>
  <c r="OG39" i="1"/>
  <c r="OI10" i="1"/>
  <c r="OO72" i="1"/>
  <c r="NQ77" i="1"/>
  <c r="NK78" i="1"/>
  <c r="NS77" i="1" l="1"/>
  <c r="NQ78" i="1"/>
  <c r="OQ72" i="1"/>
  <c r="OI39" i="1"/>
  <c r="OO10" i="1"/>
  <c r="NS71" i="1"/>
  <c r="NY40" i="1"/>
  <c r="NK80" i="1"/>
  <c r="NK81" i="1" s="1"/>
  <c r="NQ79" i="1"/>
  <c r="NQ80" i="1" l="1"/>
  <c r="NQ81" i="1" s="1"/>
  <c r="NS79" i="1"/>
  <c r="OO39" i="1"/>
  <c r="OQ10" i="1"/>
  <c r="OA40" i="1"/>
  <c r="NY71" i="1"/>
  <c r="OW72" i="1"/>
  <c r="OY72" i="1" s="1"/>
  <c r="NY77" i="1"/>
  <c r="NS78" i="1"/>
  <c r="PE72" i="1" l="1"/>
  <c r="OA71" i="1"/>
  <c r="OG40" i="1"/>
  <c r="OQ39" i="1"/>
  <c r="OW10" i="1"/>
  <c r="OA77" i="1"/>
  <c r="NY78" i="1"/>
  <c r="NS80" i="1"/>
  <c r="NS81" i="1" s="1"/>
  <c r="NY79" i="1"/>
  <c r="OW39" i="1" l="1"/>
  <c r="OY10" i="1"/>
  <c r="PG72" i="1"/>
  <c r="OG77" i="1"/>
  <c r="OA78" i="1"/>
  <c r="OA79" i="1"/>
  <c r="NY80" i="1"/>
  <c r="NY81" i="1" s="1"/>
  <c r="OI40" i="1"/>
  <c r="OG71" i="1"/>
  <c r="PM72" i="1" l="1"/>
  <c r="PO72" i="1" s="1"/>
  <c r="OY39" i="1"/>
  <c r="PE10" i="1"/>
  <c r="OI71" i="1"/>
  <c r="OO40" i="1"/>
  <c r="OA80" i="1"/>
  <c r="OA81" i="1" s="1"/>
  <c r="OG79" i="1"/>
  <c r="OI77" i="1"/>
  <c r="OG78" i="1"/>
  <c r="PU72" i="1" l="1"/>
  <c r="PG10" i="1"/>
  <c r="PE39" i="1"/>
  <c r="OO77" i="1"/>
  <c r="OI78" i="1"/>
  <c r="OG80" i="1"/>
  <c r="OG81" i="1" s="1"/>
  <c r="OI79" i="1"/>
  <c r="OQ40" i="1"/>
  <c r="OO71" i="1"/>
  <c r="PW72" i="1" l="1"/>
  <c r="PG39" i="1"/>
  <c r="PM10" i="1"/>
  <c r="OQ71" i="1"/>
  <c r="OW40" i="1"/>
  <c r="OO79" i="1"/>
  <c r="OI80" i="1"/>
  <c r="OI81" i="1" s="1"/>
  <c r="OQ77" i="1"/>
  <c r="OO78" i="1"/>
  <c r="PM39" i="1" l="1"/>
  <c r="PO10" i="1"/>
  <c r="QC72" i="1"/>
  <c r="OW71" i="1"/>
  <c r="OY40" i="1"/>
  <c r="OQ79" i="1"/>
  <c r="OO80" i="1"/>
  <c r="OO81" i="1" s="1"/>
  <c r="OW77" i="1"/>
  <c r="OQ78" i="1"/>
  <c r="QE72" i="1" l="1"/>
  <c r="PO39" i="1"/>
  <c r="PU10" i="1"/>
  <c r="OW78" i="1"/>
  <c r="OY77" i="1"/>
  <c r="OY71" i="1"/>
  <c r="PE40" i="1"/>
  <c r="OW79" i="1"/>
  <c r="OQ80" i="1"/>
  <c r="OQ81" i="1" s="1"/>
  <c r="PU39" i="1" l="1"/>
  <c r="PW10" i="1"/>
  <c r="QK72" i="1"/>
  <c r="QM72" i="1" s="1"/>
  <c r="OW80" i="1"/>
  <c r="OW81" i="1" s="1"/>
  <c r="OY79" i="1"/>
  <c r="PG40" i="1"/>
  <c r="PE71" i="1"/>
  <c r="PE77" i="1"/>
  <c r="OY78" i="1"/>
  <c r="QS72" i="1" l="1"/>
  <c r="PW39" i="1"/>
  <c r="QC10" i="1"/>
  <c r="PM40" i="1"/>
  <c r="PG71" i="1"/>
  <c r="OY80" i="1"/>
  <c r="OY81" i="1" s="1"/>
  <c r="PE79" i="1"/>
  <c r="PG77" i="1"/>
  <c r="PE78" i="1"/>
  <c r="QU72" i="1" l="1"/>
  <c r="PM71" i="1"/>
  <c r="PO40" i="1"/>
  <c r="QE10" i="1"/>
  <c r="QC39" i="1"/>
  <c r="PM77" i="1"/>
  <c r="PG78" i="1"/>
  <c r="PE80" i="1"/>
  <c r="PE81" i="1" s="1"/>
  <c r="PG79" i="1"/>
  <c r="RA72" i="1" l="1"/>
  <c r="QK10" i="1"/>
  <c r="QE39" i="1"/>
  <c r="PM78" i="1"/>
  <c r="PO77" i="1"/>
  <c r="PO71" i="1"/>
  <c r="PU40" i="1"/>
  <c r="PG80" i="1"/>
  <c r="PG81" i="1" s="1"/>
  <c r="PM79" i="1"/>
  <c r="QK39" i="1" l="1"/>
  <c r="QM10" i="1"/>
  <c r="RC72" i="1"/>
  <c r="PM80" i="1"/>
  <c r="PM81" i="1" s="1"/>
  <c r="PO79" i="1"/>
  <c r="PU77" i="1"/>
  <c r="PO78" i="1"/>
  <c r="PW40" i="1"/>
  <c r="PU71" i="1"/>
  <c r="RI72" i="1" l="1"/>
  <c r="QS10" i="1"/>
  <c r="QM39" i="1"/>
  <c r="PW71" i="1"/>
  <c r="QC40" i="1"/>
  <c r="PW77" i="1"/>
  <c r="PU78" i="1"/>
  <c r="PO80" i="1"/>
  <c r="PO81" i="1" s="1"/>
  <c r="PU79" i="1"/>
  <c r="QU10" i="1" l="1"/>
  <c r="QS39" i="1"/>
  <c r="RK72" i="1"/>
  <c r="PU80" i="1"/>
  <c r="PU81" i="1" s="1"/>
  <c r="PW79" i="1"/>
  <c r="QC77" i="1"/>
  <c r="PW78" i="1"/>
  <c r="QE40" i="1"/>
  <c r="QC71" i="1"/>
  <c r="RQ72" i="1" l="1"/>
  <c r="RA10" i="1"/>
  <c r="QU39" i="1"/>
  <c r="QE71" i="1"/>
  <c r="QK40" i="1"/>
  <c r="QE77" i="1"/>
  <c r="QC78" i="1"/>
  <c r="PW80" i="1"/>
  <c r="PW81" i="1" s="1"/>
  <c r="QC79" i="1"/>
  <c r="QK71" i="1" l="1"/>
  <c r="QM40" i="1"/>
  <c r="RA39" i="1"/>
  <c r="RC10" i="1"/>
  <c r="RS72" i="1"/>
  <c r="QK77" i="1"/>
  <c r="QE78" i="1"/>
  <c r="QE79" i="1"/>
  <c r="QC80" i="1"/>
  <c r="QC81" i="1" s="1"/>
  <c r="RY72" i="1" l="1"/>
  <c r="QK78" i="1"/>
  <c r="QM77" i="1"/>
  <c r="RI10" i="1"/>
  <c r="RC39" i="1"/>
  <c r="QM71" i="1"/>
  <c r="QS40" i="1"/>
  <c r="QK79" i="1"/>
  <c r="QE80" i="1"/>
  <c r="QE81" i="1" s="1"/>
  <c r="QK80" i="1" l="1"/>
  <c r="QK81" i="1" s="1"/>
  <c r="QM79" i="1"/>
  <c r="QU40" i="1"/>
  <c r="QS71" i="1"/>
  <c r="RK10" i="1"/>
  <c r="RI39" i="1"/>
  <c r="QS77" i="1"/>
  <c r="QM78" i="1"/>
  <c r="SA72" i="1"/>
  <c r="SG72" i="1" l="1"/>
  <c r="QU77" i="1"/>
  <c r="QS78" i="1"/>
  <c r="RQ10" i="1"/>
  <c r="RK39" i="1"/>
  <c r="QU71" i="1"/>
  <c r="RA40" i="1"/>
  <c r="QM80" i="1"/>
  <c r="QM81" i="1" s="1"/>
  <c r="QS79" i="1"/>
  <c r="QS80" i="1" l="1"/>
  <c r="QS81" i="1" s="1"/>
  <c r="QU79" i="1"/>
  <c r="RA71" i="1"/>
  <c r="RC40" i="1"/>
  <c r="RQ39" i="1"/>
  <c r="RS10" i="1"/>
  <c r="RA77" i="1"/>
  <c r="QU78" i="1"/>
  <c r="SI72" i="1"/>
  <c r="SO72" i="1" l="1"/>
  <c r="RC77" i="1"/>
  <c r="RA78" i="1"/>
  <c r="RS39" i="1"/>
  <c r="RY10" i="1"/>
  <c r="RC71" i="1"/>
  <c r="RI40" i="1"/>
  <c r="RA79" i="1"/>
  <c r="QU80" i="1"/>
  <c r="QU81" i="1" s="1"/>
  <c r="RA80" i="1" l="1"/>
  <c r="RA81" i="1" s="1"/>
  <c r="RC79" i="1"/>
  <c r="RK40" i="1"/>
  <c r="RI71" i="1"/>
  <c r="SA10" i="1"/>
  <c r="RY39" i="1"/>
  <c r="RI77" i="1"/>
  <c r="RC78" i="1"/>
  <c r="SQ72" i="1"/>
  <c r="SW72" i="1" l="1"/>
  <c r="RK77" i="1"/>
  <c r="RI78" i="1"/>
  <c r="SA39" i="1"/>
  <c r="SG10" i="1"/>
  <c r="RQ40" i="1"/>
  <c r="RK71" i="1"/>
  <c r="RI79" i="1"/>
  <c r="RC80" i="1"/>
  <c r="RC81" i="1" s="1"/>
  <c r="RI80" i="1" l="1"/>
  <c r="RI81" i="1" s="1"/>
  <c r="RK79" i="1"/>
  <c r="RQ71" i="1"/>
  <c r="RS40" i="1"/>
  <c r="SI10" i="1"/>
  <c r="SG39" i="1"/>
  <c r="RQ77" i="1"/>
  <c r="RK78" i="1"/>
  <c r="SY72" i="1"/>
  <c r="TE72" i="1" l="1"/>
  <c r="TG72" i="1" s="1"/>
  <c r="RS77" i="1"/>
  <c r="RQ78" i="1"/>
  <c r="SI39" i="1"/>
  <c r="SO10" i="1"/>
  <c r="RS71" i="1"/>
  <c r="RY40" i="1"/>
  <c r="RQ79" i="1"/>
  <c r="RK80" i="1"/>
  <c r="RK81" i="1" s="1"/>
  <c r="TM72" i="1" l="1"/>
  <c r="RQ80" i="1"/>
  <c r="RQ81" i="1" s="1"/>
  <c r="RS79" i="1"/>
  <c r="SA40" i="1"/>
  <c r="RY71" i="1"/>
  <c r="SO39" i="1"/>
  <c r="SQ10" i="1"/>
  <c r="RY77" i="1"/>
  <c r="RS78" i="1"/>
  <c r="TO72" i="1" l="1"/>
  <c r="SA77" i="1"/>
  <c r="RY78" i="1"/>
  <c r="SQ39" i="1"/>
  <c r="SW10" i="1"/>
  <c r="SA71" i="1"/>
  <c r="SG40" i="1"/>
  <c r="RY79" i="1"/>
  <c r="RS80" i="1"/>
  <c r="RS81" i="1" s="1"/>
  <c r="TU72" i="1" l="1"/>
  <c r="SA79" i="1"/>
  <c r="RY80" i="1"/>
  <c r="RY81" i="1" s="1"/>
  <c r="SG71" i="1"/>
  <c r="SI40" i="1"/>
  <c r="SW39" i="1"/>
  <c r="SY10" i="1"/>
  <c r="SG77" i="1"/>
  <c r="SA78" i="1"/>
  <c r="TW72" i="1" l="1"/>
  <c r="SI77" i="1"/>
  <c r="SG78" i="1"/>
  <c r="TE10" i="1"/>
  <c r="SY39" i="1"/>
  <c r="SI71" i="1"/>
  <c r="SO40" i="1"/>
  <c r="SA80" i="1"/>
  <c r="SA81" i="1" s="1"/>
  <c r="SG79" i="1"/>
  <c r="TE39" i="1" l="1"/>
  <c r="TG10" i="1"/>
  <c r="UC72" i="1"/>
  <c r="SI79" i="1"/>
  <c r="SG80" i="1"/>
  <c r="SG81" i="1" s="1"/>
  <c r="SQ40" i="1"/>
  <c r="SO71" i="1"/>
  <c r="SO77" i="1"/>
  <c r="SI78" i="1"/>
  <c r="UE72" i="1" l="1"/>
  <c r="TG39" i="1"/>
  <c r="TM10" i="1"/>
  <c r="SQ77" i="1"/>
  <c r="SO78" i="1"/>
  <c r="SW40" i="1"/>
  <c r="SQ71" i="1"/>
  <c r="SI80" i="1"/>
  <c r="SI81" i="1" s="1"/>
  <c r="SO79" i="1"/>
  <c r="TM39" i="1" l="1"/>
  <c r="TO10" i="1"/>
  <c r="UK72" i="1"/>
  <c r="UM72" i="1" s="1"/>
  <c r="SO80" i="1"/>
  <c r="SO81" i="1" s="1"/>
  <c r="SQ79" i="1"/>
  <c r="SW71" i="1"/>
  <c r="SY40" i="1"/>
  <c r="SW77" i="1"/>
  <c r="SQ78" i="1"/>
  <c r="US72" i="1" l="1"/>
  <c r="TO39" i="1"/>
  <c r="TU10" i="1"/>
  <c r="SY77" i="1"/>
  <c r="SW78" i="1"/>
  <c r="SY71" i="1"/>
  <c r="TE40" i="1"/>
  <c r="SW79" i="1"/>
  <c r="SQ80" i="1"/>
  <c r="SQ81" i="1" s="1"/>
  <c r="UU72" i="1" l="1"/>
  <c r="TE71" i="1"/>
  <c r="TG40" i="1"/>
  <c r="TW10" i="1"/>
  <c r="TU39" i="1"/>
  <c r="SW80" i="1"/>
  <c r="SW81" i="1" s="1"/>
  <c r="SY79" i="1"/>
  <c r="TE77" i="1"/>
  <c r="SY78" i="1"/>
  <c r="VA72" i="1" l="1"/>
  <c r="TE78" i="1"/>
  <c r="TG77" i="1"/>
  <c r="TW39" i="1"/>
  <c r="UC10" i="1"/>
  <c r="TM40" i="1"/>
  <c r="TG71" i="1"/>
  <c r="SY80" i="1"/>
  <c r="SY81" i="1" s="1"/>
  <c r="TE79" i="1"/>
  <c r="VC72" i="1" l="1"/>
  <c r="TE80" i="1"/>
  <c r="TE81" i="1" s="1"/>
  <c r="TG79" i="1"/>
  <c r="TO40" i="1"/>
  <c r="TM71" i="1"/>
  <c r="UC39" i="1"/>
  <c r="UE10" i="1"/>
  <c r="TM77" i="1"/>
  <c r="TG78" i="1"/>
  <c r="VI72" i="1" l="1"/>
  <c r="TO77" i="1"/>
  <c r="TM78" i="1"/>
  <c r="UE39" i="1"/>
  <c r="UK10" i="1"/>
  <c r="TO71" i="1"/>
  <c r="TU40" i="1"/>
  <c r="TM79" i="1"/>
  <c r="TG80" i="1"/>
  <c r="TG81" i="1" s="1"/>
  <c r="VK72" i="1" l="1"/>
  <c r="UK39" i="1"/>
  <c r="UM10" i="1"/>
  <c r="TO79" i="1"/>
  <c r="TM80" i="1"/>
  <c r="TM81" i="1" s="1"/>
  <c r="TW40" i="1"/>
  <c r="TU71" i="1"/>
  <c r="TU77" i="1"/>
  <c r="TO78" i="1"/>
  <c r="UM39" i="1" l="1"/>
  <c r="US10" i="1"/>
  <c r="VQ72" i="1"/>
  <c r="TW77" i="1"/>
  <c r="TU78" i="1"/>
  <c r="UC40" i="1"/>
  <c r="TW71" i="1"/>
  <c r="TU79" i="1"/>
  <c r="TO80" i="1"/>
  <c r="TO81" i="1" s="1"/>
  <c r="UU10" i="1" l="1"/>
  <c r="US39" i="1"/>
  <c r="TU80" i="1"/>
  <c r="TU81" i="1" s="1"/>
  <c r="TW79" i="1"/>
  <c r="UC71" i="1"/>
  <c r="UE40" i="1"/>
  <c r="UC77" i="1"/>
  <c r="TW78" i="1"/>
  <c r="UU39" i="1" l="1"/>
  <c r="VA10" i="1"/>
  <c r="UE77" i="1"/>
  <c r="UC78" i="1"/>
  <c r="UK40" i="1"/>
  <c r="UE71" i="1"/>
  <c r="UC79" i="1"/>
  <c r="TW80" i="1"/>
  <c r="TW81" i="1" s="1"/>
  <c r="VA39" i="1" l="1"/>
  <c r="VC10" i="1"/>
  <c r="UK71" i="1"/>
  <c r="UM40" i="1"/>
  <c r="UC80" i="1"/>
  <c r="UC81" i="1" s="1"/>
  <c r="UE79" i="1"/>
  <c r="UK77" i="1"/>
  <c r="UE78" i="1"/>
  <c r="UK78" i="1" l="1"/>
  <c r="UM77" i="1"/>
  <c r="UM71" i="1"/>
  <c r="US40" i="1"/>
  <c r="VC39" i="1"/>
  <c r="VI10" i="1"/>
  <c r="UE80" i="1"/>
  <c r="UE81" i="1" s="1"/>
  <c r="UK79" i="1"/>
  <c r="UK80" i="1" l="1"/>
  <c r="UK81" i="1" s="1"/>
  <c r="UM79" i="1"/>
  <c r="VK10" i="1"/>
  <c r="VI39" i="1"/>
  <c r="UU40" i="1"/>
  <c r="US71" i="1"/>
  <c r="US77" i="1"/>
  <c r="UM78" i="1"/>
  <c r="UU77" i="1" l="1"/>
  <c r="US78" i="1"/>
  <c r="VA40" i="1"/>
  <c r="UU71" i="1"/>
  <c r="VK39" i="1"/>
  <c r="VQ10" i="1"/>
  <c r="VQ39" i="1" s="1"/>
  <c r="UM80" i="1"/>
  <c r="UM81" i="1" s="1"/>
  <c r="US79" i="1"/>
  <c r="US80" i="1" l="1"/>
  <c r="US81" i="1" s="1"/>
  <c r="UU79" i="1"/>
  <c r="VC40" i="1"/>
  <c r="VA71" i="1"/>
  <c r="VA77" i="1"/>
  <c r="UU78" i="1"/>
  <c r="VC77" i="1" l="1"/>
  <c r="VA78" i="1"/>
  <c r="VI40" i="1"/>
  <c r="VC71" i="1"/>
  <c r="UU80" i="1"/>
  <c r="UU81" i="1" s="1"/>
  <c r="VA79" i="1"/>
  <c r="VC79" i="1" l="1"/>
  <c r="VA80" i="1"/>
  <c r="VA81" i="1" s="1"/>
  <c r="VI71" i="1"/>
  <c r="VK40" i="1"/>
  <c r="VI77" i="1"/>
  <c r="VC78" i="1"/>
  <c r="VQ40" i="1" l="1"/>
  <c r="VQ71" i="1" s="1"/>
  <c r="VK71" i="1"/>
  <c r="VK77" i="1"/>
  <c r="VI78" i="1"/>
  <c r="VI79" i="1"/>
  <c r="VC80" i="1"/>
  <c r="VC81" i="1" s="1"/>
  <c r="VQ77" i="1" l="1"/>
  <c r="VQ78" i="1" s="1"/>
  <c r="VK78" i="1"/>
  <c r="VI80" i="1"/>
  <c r="VI81" i="1" s="1"/>
  <c r="VK79" i="1"/>
  <c r="VQ79" i="1" l="1"/>
  <c r="VQ80" i="1" s="1"/>
  <c r="VQ81" i="1" s="1"/>
  <c r="VK80" i="1"/>
  <c r="VK8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tc={925B6953-06AF-4215-A2DA-0D1AB8B581B4}</author>
    <author>tc={F673E003-C14A-4059-A71E-B0A75CD44E77}</author>
    <author>tc={51675CB5-BF5B-4A56-A3B2-99BE9B73FF0F}</author>
    <author>tc={302A7519-20C0-4292-B95A-118FE6514F08}</author>
    <author>tc={3E1DC564-EF3D-4329-982C-46E63B20A49C}</author>
    <author>tc={8C371388-AB63-4999-A0B3-82D29BD394AD}</author>
    <author>tc={55C7CC71-545A-4F30-A83E-6ED2C2B34ECD}</author>
  </authors>
  <commentList>
    <comment ref="JX22" authorId="0" shapeId="0" xr:uid="{925B6953-06AF-4215-A2DA-0D1AB8B581B4}">
      <text>
        <t xml:space="preserve">[Threaded comment]
Your version of Excel allows you to read this threaded comment; however, any edits to it will get removed if the file is opened in a newer version of Excel. Learn more: https://go.microsoft.com/fwlink/?linkid=870924
Comment:
    20 pcs (one box) are on hold by Quality Control due to damaged connectors. </t>
      </text>
    </comment>
    <comment ref="M25" authorId="1" shapeId="0" xr:uid="{F673E003-C14A-4059-A71E-B0A75CD44E77}">
      <text>
        <t>[Threaded comment]
Your version of Excel allows you to read this threaded comment; however, any edits to it will get removed if the file is opened in a newer version of Excel. Learn more: https://go.microsoft.com/fwlink/?linkid=870924
Comment:
    Stock variance</t>
      </text>
    </comment>
    <comment ref="IY27" authorId="2" shapeId="0" xr:uid="{51675CB5-BF5B-4A56-A3B2-99BE9B73FF0F}">
      <text>
        <t>[Threaded comment]
Your version of Excel allows you to read this threaded comment; however, any edits to it will get removed if the file is opened in a newer version of Excel. Learn more: https://go.microsoft.com/fwlink/?linkid=870924
Comment:
    30 pcs were shipped to the customer as a service‑parts order.</t>
      </text>
    </comment>
    <comment ref="JP32" authorId="3" shapeId="0" xr:uid="{302A7519-20C0-4292-B95A-118FE6514F08}">
      <text>
        <t xml:space="preserve">[Threaded comment]
Your version of Excel allows you to read this threaded comment; however, any edits to it will get removed if the file is opened in a newer version of Excel. Learn more: https://go.microsoft.com/fwlink/?linkid=870924
Comment:
    29 pcs were deducted from the stock because they were an old level, and we no longer needed them. </t>
      </text>
    </comment>
    <comment ref="AT52" authorId="4" shapeId="0" xr:uid="{3E1DC564-EF3D-4329-982C-46E63B20A49C}">
      <text>
        <t>[Threaded comment]
Your version of Excel allows you to read this threaded comment; however, any edits to it will get removed if the file is opened in a newer version of Excel. Learn more: https://go.microsoft.com/fwlink/?linkid=870924
Comment:
    2 pcs removed from stock due to QA issue</t>
      </text>
    </comment>
    <comment ref="AK56" authorId="5" shapeId="0" xr:uid="{8C371388-AB63-4999-A0B3-82D29BD394AD}">
      <text>
        <t xml:space="preserve">[Threaded comment]
Your version of Excel allows you to read this threaded comment; however, any edits to it will get removed if the file is opened in a newer version of Excel. Learn more: https://go.microsoft.com/fwlink/?linkid=870924
Comment:
    Stock variance </t>
      </text>
    </comment>
    <comment ref="U67" authorId="6" shapeId="0" xr:uid="{55C7CC71-545A-4F30-A83E-6ED2C2B34ECD}">
      <text>
        <t xml:space="preserve">[Threaded comment]
Your version of Excel allows you to read this threaded comment; however, any edits to it will get removed if the file is opened in a newer version of Excel. Learn more: https://go.microsoft.com/fwlink/?linkid=870924
Comment:
    Stock variance </t>
      </text>
    </comment>
  </commentList>
</comments>
</file>

<file path=xl/sharedStrings.xml><?xml version="1.0" encoding="utf-8"?>
<sst xmlns="http://schemas.openxmlformats.org/spreadsheetml/2006/main" count="3116" uniqueCount="1626">
  <si>
    <t>Part NO.</t>
  </si>
  <si>
    <t>Project</t>
  </si>
  <si>
    <t>Facility</t>
  </si>
  <si>
    <t>Prepared By:</t>
  </si>
  <si>
    <t>Pack
Factor</t>
  </si>
  <si>
    <t>Pallet
Factor</t>
  </si>
  <si>
    <t>Total</t>
  </si>
  <si>
    <t>Sales</t>
  </si>
  <si>
    <t>O.S of</t>
  </si>
  <si>
    <t xml:space="preserve">WK </t>
  </si>
  <si>
    <t>WK 36</t>
  </si>
  <si>
    <t>Mohamed Galal</t>
  </si>
  <si>
    <t>Port Said</t>
  </si>
  <si>
    <t>Updated by</t>
  </si>
  <si>
    <t>STOCKS</t>
  </si>
  <si>
    <t>VAR</t>
  </si>
  <si>
    <t>End of Stock</t>
  </si>
  <si>
    <t>JCI2 RH</t>
  </si>
  <si>
    <t>VOLVO</t>
  </si>
  <si>
    <t>JCI2 LH</t>
  </si>
  <si>
    <t>REAR SEAT</t>
  </si>
  <si>
    <t>CUSHION</t>
  </si>
  <si>
    <t>ALBA</t>
  </si>
  <si>
    <t>WK 0</t>
  </si>
  <si>
    <t>Malaezia</t>
  </si>
  <si>
    <t>China</t>
  </si>
  <si>
    <t>Customer part</t>
  </si>
  <si>
    <t>Delivery to</t>
  </si>
  <si>
    <t>China - Malaezia</t>
  </si>
  <si>
    <t>IHB0019432</t>
  </si>
  <si>
    <t>Air Shipment</t>
  </si>
  <si>
    <t>Cust PN.</t>
  </si>
  <si>
    <t>SEWS PN.</t>
  </si>
  <si>
    <t>WK 40</t>
  </si>
  <si>
    <t>WK 41</t>
  </si>
  <si>
    <t>WK 42</t>
  </si>
  <si>
    <t>WK 43</t>
  </si>
  <si>
    <t>WK 44</t>
  </si>
  <si>
    <t>WK 45</t>
  </si>
  <si>
    <t>WK 46</t>
  </si>
  <si>
    <t>WK 47</t>
  </si>
  <si>
    <t>WK 48</t>
  </si>
  <si>
    <t>WK 49</t>
  </si>
  <si>
    <t>WK 50</t>
  </si>
  <si>
    <t>WK 51</t>
  </si>
  <si>
    <t>WK 52</t>
  </si>
  <si>
    <t>WK 01</t>
  </si>
  <si>
    <t>WK 02</t>
  </si>
  <si>
    <t>WK 03</t>
  </si>
  <si>
    <t>WK 04</t>
  </si>
  <si>
    <t>WK 05</t>
  </si>
  <si>
    <t>WK 06</t>
  </si>
  <si>
    <t>WK 07</t>
  </si>
  <si>
    <t>WK 08</t>
  </si>
  <si>
    <t>WK 09</t>
  </si>
  <si>
    <t>WK 10</t>
  </si>
  <si>
    <t>WK 11</t>
  </si>
  <si>
    <t>WK 12</t>
  </si>
  <si>
    <t>WK 13</t>
  </si>
  <si>
    <t>WK 14</t>
  </si>
  <si>
    <t>WK 15</t>
  </si>
  <si>
    <t>WK 16</t>
  </si>
  <si>
    <t>WK 17</t>
  </si>
  <si>
    <t>WK 18</t>
  </si>
  <si>
    <t>WK 19</t>
  </si>
  <si>
    <t>WK 37</t>
  </si>
  <si>
    <t>WK 38</t>
  </si>
  <si>
    <t>WK 39</t>
  </si>
  <si>
    <t>IHB0019521</t>
  </si>
  <si>
    <t>Shipped to</t>
  </si>
  <si>
    <t>ASN Number</t>
  </si>
  <si>
    <t>Shipment Type</t>
  </si>
  <si>
    <t>Container Number</t>
  </si>
  <si>
    <t>Shipped Date</t>
  </si>
  <si>
    <t>Port Arrival Date</t>
  </si>
  <si>
    <t>Delivered Date</t>
  </si>
  <si>
    <t>Delay</t>
  </si>
  <si>
    <t>Delay Reason</t>
  </si>
  <si>
    <t>Notes</t>
  </si>
  <si>
    <t>No</t>
  </si>
  <si>
    <t>Air</t>
  </si>
  <si>
    <t>235-13817005</t>
  </si>
  <si>
    <t>-</t>
  </si>
  <si>
    <t>020-06653695</t>
  </si>
  <si>
    <t>Vessel Name</t>
  </si>
  <si>
    <t>Alba DC</t>
  </si>
  <si>
    <t>WK 20</t>
  </si>
  <si>
    <t>WK 21</t>
  </si>
  <si>
    <t>WK 22</t>
  </si>
  <si>
    <t>WK 23</t>
  </si>
  <si>
    <t>IHB0019592</t>
  </si>
  <si>
    <t>020_26535946</t>
  </si>
  <si>
    <t>IHB0019625</t>
  </si>
  <si>
    <t>IHB0019645</t>
  </si>
  <si>
    <t>IHB0019625-IHB0019626</t>
  </si>
  <si>
    <t>020-26535935</t>
  </si>
  <si>
    <t>235-13801071</t>
  </si>
  <si>
    <t>IHB0019692</t>
  </si>
  <si>
    <t>020-26535972</t>
  </si>
  <si>
    <t>IHB0019717</t>
  </si>
  <si>
    <t>IHH0019728</t>
  </si>
  <si>
    <t>020-26536016</t>
  </si>
  <si>
    <t>IHB0019572</t>
  </si>
  <si>
    <t>Sea</t>
  </si>
  <si>
    <t>Belgium</t>
  </si>
  <si>
    <t>OLYMPOS SEAWAYS</t>
  </si>
  <si>
    <t xml:space="preserve">XA737FE </t>
  </si>
  <si>
    <t xml:space="preserve">RORO </t>
  </si>
  <si>
    <t>WK 24</t>
  </si>
  <si>
    <t>WK 25</t>
  </si>
  <si>
    <t>WK 26</t>
  </si>
  <si>
    <t>WK 27</t>
  </si>
  <si>
    <t>WK 28</t>
  </si>
  <si>
    <t>Cust.Off</t>
  </si>
  <si>
    <t>IHB0019888</t>
  </si>
  <si>
    <t>IHB0019536</t>
  </si>
  <si>
    <t>IHB0019908</t>
  </si>
  <si>
    <t>235-13829885</t>
  </si>
  <si>
    <t xml:space="preserve">XA039DL </t>
  </si>
  <si>
    <t xml:space="preserve">XA266KK </t>
  </si>
  <si>
    <t>Assende</t>
  </si>
  <si>
    <t>IHB0020012</t>
  </si>
  <si>
    <t xml:space="preserve">XA094GG </t>
  </si>
  <si>
    <t>T2 Shortage report-VOLVO</t>
  </si>
  <si>
    <t>IHB0020091</t>
  </si>
  <si>
    <t>IHB0020213</t>
  </si>
  <si>
    <t xml:space="preserve">XA657JY </t>
  </si>
  <si>
    <t>XA365SY</t>
  </si>
  <si>
    <t>IHB0020285</t>
  </si>
  <si>
    <t>WK 29</t>
  </si>
  <si>
    <t>WK 30</t>
  </si>
  <si>
    <t>MSKU0773829</t>
  </si>
  <si>
    <t>OEL SURYA552N</t>
  </si>
  <si>
    <t>WK 31</t>
  </si>
  <si>
    <t>WK 32</t>
  </si>
  <si>
    <t>From 23-12</t>
  </si>
  <si>
    <t>Del WK 52</t>
  </si>
  <si>
    <t>IHB0020466</t>
  </si>
  <si>
    <t>IHB0020368</t>
  </si>
  <si>
    <t>IHB0020368-IHB0020466</t>
  </si>
  <si>
    <t>MRSU5899981</t>
  </si>
  <si>
    <t>IHB0020470</t>
  </si>
  <si>
    <t>CAAU4609801</t>
  </si>
  <si>
    <t>MAX SCHULTE 601N</t>
  </si>
  <si>
    <t>IHB0020446</t>
  </si>
  <si>
    <t xml:space="preserve">XA766DP </t>
  </si>
  <si>
    <t>WK 33</t>
  </si>
  <si>
    <t>WK 34</t>
  </si>
  <si>
    <t>WK 35</t>
  </si>
  <si>
    <t>Yes</t>
  </si>
  <si>
    <t>IHB0020666</t>
  </si>
  <si>
    <t xml:space="preserve">XA592PZ </t>
  </si>
  <si>
    <t>IHB0020756</t>
  </si>
  <si>
    <t xml:space="preserve">XA852MG </t>
  </si>
  <si>
    <t>IHB0020843</t>
  </si>
  <si>
    <t>IHB0020756-IHB0020836</t>
  </si>
  <si>
    <t xml:space="preserve">XA593ED </t>
  </si>
  <si>
    <t>Row Labels</t>
  </si>
  <si>
    <t>Sum of QUANTITY</t>
  </si>
  <si>
    <t>0304-307-0019</t>
  </si>
  <si>
    <t>040084310D00</t>
  </si>
  <si>
    <t>040084320D00</t>
  </si>
  <si>
    <t>040084340D00</t>
  </si>
  <si>
    <t>040084360D00</t>
  </si>
  <si>
    <t>040084370D00</t>
  </si>
  <si>
    <t>040084390D00</t>
  </si>
  <si>
    <t>040084410D00</t>
  </si>
  <si>
    <t>040084430D00</t>
  </si>
  <si>
    <t>040084440D00</t>
  </si>
  <si>
    <t>040084450D00</t>
  </si>
  <si>
    <t>040084470D00</t>
  </si>
  <si>
    <t>040084540D00</t>
  </si>
  <si>
    <t>040084560D00</t>
  </si>
  <si>
    <t>040084570D00</t>
  </si>
  <si>
    <t>040084580D00</t>
  </si>
  <si>
    <t>040084590D00</t>
  </si>
  <si>
    <t>10008-6B023</t>
  </si>
  <si>
    <t>10008-6B02A</t>
  </si>
  <si>
    <t>10008-6E006</t>
  </si>
  <si>
    <t>10008-6E008</t>
  </si>
  <si>
    <t>10008-6E00E</t>
  </si>
  <si>
    <t>10008-8A0EG</t>
  </si>
  <si>
    <t>10018-6E006</t>
  </si>
  <si>
    <t>10018-8A0EG</t>
  </si>
  <si>
    <t>10018-8D02F</t>
  </si>
  <si>
    <t>10028-6E00E</t>
  </si>
  <si>
    <t>10028-8D02F</t>
  </si>
  <si>
    <t>1723A0R01100</t>
  </si>
  <si>
    <t>1723A0R01200</t>
  </si>
  <si>
    <t>22008-8A0EE</t>
  </si>
  <si>
    <t>22008-8A0EF</t>
  </si>
  <si>
    <t>4152H1</t>
  </si>
  <si>
    <t>423372-10140</t>
  </si>
  <si>
    <t>451070H01000</t>
  </si>
  <si>
    <t>52429034M</t>
  </si>
  <si>
    <t>52429036M</t>
  </si>
  <si>
    <t>8211105U0000</t>
  </si>
  <si>
    <t>8211105U0100</t>
  </si>
  <si>
    <t>8211105U2100</t>
  </si>
  <si>
    <t>8211105U4000</t>
  </si>
  <si>
    <t>8211105U5000</t>
  </si>
  <si>
    <t>8211105U5100</t>
  </si>
  <si>
    <t>8211105U6100</t>
  </si>
  <si>
    <t>8211105U7000</t>
  </si>
  <si>
    <t>8211105U8000</t>
  </si>
  <si>
    <t>8211105U8100</t>
  </si>
  <si>
    <t>8211105U9000</t>
  </si>
  <si>
    <t>8211105U9100</t>
  </si>
  <si>
    <t>8211105V0000</t>
  </si>
  <si>
    <t>8211105V0100</t>
  </si>
  <si>
    <t>8211105V1000</t>
  </si>
  <si>
    <t>8211105V2000</t>
  </si>
  <si>
    <t>8211105V2100</t>
  </si>
  <si>
    <t>8211105V3000</t>
  </si>
  <si>
    <t>8211105V3100</t>
  </si>
  <si>
    <t>8211105V4000</t>
  </si>
  <si>
    <t>8211105V4100</t>
  </si>
  <si>
    <t>8211105V5100</t>
  </si>
  <si>
    <t>8211105V6000</t>
  </si>
  <si>
    <t>8211105V6100</t>
  </si>
  <si>
    <t>8211105V7000</t>
  </si>
  <si>
    <t>8211105V7100</t>
  </si>
  <si>
    <t>8211105V8000</t>
  </si>
  <si>
    <t>8211105V8100</t>
  </si>
  <si>
    <t>8211105V9100</t>
  </si>
  <si>
    <t>8211105W0000</t>
  </si>
  <si>
    <t>8211105W1100</t>
  </si>
  <si>
    <t>8211105W3000</t>
  </si>
  <si>
    <t>8211105W3100</t>
  </si>
  <si>
    <t>8211105W4000</t>
  </si>
  <si>
    <t>8211105W5000</t>
  </si>
  <si>
    <t>8211105W6000</t>
  </si>
  <si>
    <t>8211105W7000</t>
  </si>
  <si>
    <t>8211105W8000</t>
  </si>
  <si>
    <t>8211105W8100</t>
  </si>
  <si>
    <t>8211105W9000</t>
  </si>
  <si>
    <t>8211105W9100</t>
  </si>
  <si>
    <t>8211105X0100</t>
  </si>
  <si>
    <t>8211105X1000</t>
  </si>
  <si>
    <t>8211105X1100</t>
  </si>
  <si>
    <t>8211105X3000</t>
  </si>
  <si>
    <t>8211105X3100</t>
  </si>
  <si>
    <t>8211105X5100</t>
  </si>
  <si>
    <t>8211105X6100</t>
  </si>
  <si>
    <t>8211105X7100</t>
  </si>
  <si>
    <t>8211105X8100</t>
  </si>
  <si>
    <t>8211105X9100</t>
  </si>
  <si>
    <t>8211105Y0100</t>
  </si>
  <si>
    <t>8211105Y2100</t>
  </si>
  <si>
    <t>8211105Y6100</t>
  </si>
  <si>
    <t>8211105Y7100</t>
  </si>
  <si>
    <t>8211105Y8100</t>
  </si>
  <si>
    <t>8211105Z0100</t>
  </si>
  <si>
    <t>8211105Z2100</t>
  </si>
  <si>
    <t>8211105Z5100</t>
  </si>
  <si>
    <t>8211105Z6100</t>
  </si>
  <si>
    <t>8211105Z8100</t>
  </si>
  <si>
    <t>8211105Z9100</t>
  </si>
  <si>
    <t>8211106Y3300</t>
  </si>
  <si>
    <t>8211106Y4300</t>
  </si>
  <si>
    <t>8211106Y5300</t>
  </si>
  <si>
    <t>8211106Y7300</t>
  </si>
  <si>
    <t>821110FG3100</t>
  </si>
  <si>
    <t>821110FG6100</t>
  </si>
  <si>
    <t>821110FG7100</t>
  </si>
  <si>
    <t>821110FK0100</t>
  </si>
  <si>
    <t>821110FK1100</t>
  </si>
  <si>
    <t>821110FK6100</t>
  </si>
  <si>
    <t>821110FL4100</t>
  </si>
  <si>
    <t>821110FM6100</t>
  </si>
  <si>
    <t>821110FM8100</t>
  </si>
  <si>
    <t>821110FN0200</t>
  </si>
  <si>
    <t>821110FN1000</t>
  </si>
  <si>
    <t>821110FN2000</t>
  </si>
  <si>
    <t>821110FN3000</t>
  </si>
  <si>
    <t>821110FN5000</t>
  </si>
  <si>
    <t>821110FN6000</t>
  </si>
  <si>
    <t>821110FN7000</t>
  </si>
  <si>
    <t>821110FN9000</t>
  </si>
  <si>
    <t>821110FP3000</t>
  </si>
  <si>
    <t>821110FP5000</t>
  </si>
  <si>
    <t>821110FP6000</t>
  </si>
  <si>
    <t>821110FP7000</t>
  </si>
  <si>
    <t>821110FQ0000</t>
  </si>
  <si>
    <t>821110FQ4100</t>
  </si>
  <si>
    <t>821110FQ8200</t>
  </si>
  <si>
    <t>821110FS6000</t>
  </si>
  <si>
    <t>821110FS9000</t>
  </si>
  <si>
    <t>8211505A1100</t>
  </si>
  <si>
    <t>8211505A2100</t>
  </si>
  <si>
    <t>8211505A4100</t>
  </si>
  <si>
    <t>8211506B9300</t>
  </si>
  <si>
    <t>8211506D6200</t>
  </si>
  <si>
    <t>8211506Q5000</t>
  </si>
  <si>
    <t>8212102V8000</t>
  </si>
  <si>
    <t>8212105C7000</t>
  </si>
  <si>
    <t>8212105C8000</t>
  </si>
  <si>
    <t>8212105C9000</t>
  </si>
  <si>
    <t>8212105D0000</t>
  </si>
  <si>
    <t>8212106F6000</t>
  </si>
  <si>
    <t>821210DC3000</t>
  </si>
  <si>
    <t>821210DE3000</t>
  </si>
  <si>
    <t>821210DE5000</t>
  </si>
  <si>
    <t>821210DE8200</t>
  </si>
  <si>
    <t>821210DE9100</t>
  </si>
  <si>
    <t>821210DE9200</t>
  </si>
  <si>
    <t>821210DF1000</t>
  </si>
  <si>
    <t>821210DF4000</t>
  </si>
  <si>
    <t>821210DF5000</t>
  </si>
  <si>
    <t>821210DG5000</t>
  </si>
  <si>
    <t>821210DG7100</t>
  </si>
  <si>
    <t>821210DM7000</t>
  </si>
  <si>
    <t>821210DM8000</t>
  </si>
  <si>
    <t>821210DN2000</t>
  </si>
  <si>
    <t>821210DN3000</t>
  </si>
  <si>
    <t>821210DN4000</t>
  </si>
  <si>
    <t>821210DN5000</t>
  </si>
  <si>
    <t>821210DN8100</t>
  </si>
  <si>
    <t>821210DN9000</t>
  </si>
  <si>
    <t>821210DP0000</t>
  </si>
  <si>
    <t>821210DP3000</t>
  </si>
  <si>
    <t>821210DP5100</t>
  </si>
  <si>
    <t>821210DP7000</t>
  </si>
  <si>
    <t>821210DP9000</t>
  </si>
  <si>
    <t>821210DQ0000</t>
  </si>
  <si>
    <t>821210DQ1000</t>
  </si>
  <si>
    <t>821210DQ2000</t>
  </si>
  <si>
    <t>821210DR2000</t>
  </si>
  <si>
    <t>821210DT8000</t>
  </si>
  <si>
    <t>821210DT9000</t>
  </si>
  <si>
    <t>821210F28100</t>
  </si>
  <si>
    <t>821210F31000</t>
  </si>
  <si>
    <t>821210F33000</t>
  </si>
  <si>
    <t>821210F35000</t>
  </si>
  <si>
    <t>821210F39000</t>
  </si>
  <si>
    <t>821210F40000</t>
  </si>
  <si>
    <t>821210H39200</t>
  </si>
  <si>
    <t>821210H42200</t>
  </si>
  <si>
    <t>821210H45200</t>
  </si>
  <si>
    <t>821210H46200</t>
  </si>
  <si>
    <t>821210H50200</t>
  </si>
  <si>
    <t>821210H52000</t>
  </si>
  <si>
    <t>821210H54000</t>
  </si>
  <si>
    <t>821210H56000</t>
  </si>
  <si>
    <t>821210H57000</t>
  </si>
  <si>
    <t>821210H58000</t>
  </si>
  <si>
    <t>821210H59000</t>
  </si>
  <si>
    <t>821210H60000</t>
  </si>
  <si>
    <t>821210H61000</t>
  </si>
  <si>
    <t>821210H62000</t>
  </si>
  <si>
    <t>821210H64000</t>
  </si>
  <si>
    <t>821210U11000</t>
  </si>
  <si>
    <t>821210U12000</t>
  </si>
  <si>
    <t>821210U13000</t>
  </si>
  <si>
    <t>821210U14000</t>
  </si>
  <si>
    <t>821210U15000</t>
  </si>
  <si>
    <t>821210U16000</t>
  </si>
  <si>
    <t>821210U24000</t>
  </si>
  <si>
    <t>821210U25000</t>
  </si>
  <si>
    <t>821210U26000</t>
  </si>
  <si>
    <t>821210U36000</t>
  </si>
  <si>
    <t>821210U37000</t>
  </si>
  <si>
    <t>821210U41000</t>
  </si>
  <si>
    <t>821210U42000</t>
  </si>
  <si>
    <t>821210U55000</t>
  </si>
  <si>
    <t>82121K006000</t>
  </si>
  <si>
    <t>82121K008000</t>
  </si>
  <si>
    <t>82121K010000</t>
  </si>
  <si>
    <t>82121K011000</t>
  </si>
  <si>
    <t>82121K012000</t>
  </si>
  <si>
    <t>82121K033000</t>
  </si>
  <si>
    <t>82121K034000</t>
  </si>
  <si>
    <t>82121K035000</t>
  </si>
  <si>
    <t>82121K038000</t>
  </si>
  <si>
    <t>82121K039000</t>
  </si>
  <si>
    <t>821220D08000</t>
  </si>
  <si>
    <t>821220F03000</t>
  </si>
  <si>
    <t>82122YV01000</t>
  </si>
  <si>
    <t>821230D16000</t>
  </si>
  <si>
    <t>821230D39000</t>
  </si>
  <si>
    <t>821230D53000</t>
  </si>
  <si>
    <t>821230D54000</t>
  </si>
  <si>
    <t>821230D55000</t>
  </si>
  <si>
    <t>821230D56000</t>
  </si>
  <si>
    <t>821230DA2000</t>
  </si>
  <si>
    <t>821230DA3000</t>
  </si>
  <si>
    <t>821230F01000</t>
  </si>
  <si>
    <t>821230H03000</t>
  </si>
  <si>
    <t>821230H04000</t>
  </si>
  <si>
    <t>821250D03000</t>
  </si>
  <si>
    <t>82125F402000</t>
  </si>
  <si>
    <t>821260H01000</t>
  </si>
  <si>
    <t>82126F401000</t>
  </si>
  <si>
    <t>82126K003000</t>
  </si>
  <si>
    <t>821410DZ9000</t>
  </si>
  <si>
    <t>821410U10000</t>
  </si>
  <si>
    <t>821410U34000</t>
  </si>
  <si>
    <t>821410U66000</t>
  </si>
  <si>
    <t>821410U69000</t>
  </si>
  <si>
    <t>821410U73000</t>
  </si>
  <si>
    <t>821410US9300</t>
  </si>
  <si>
    <t>821410UT0300</t>
  </si>
  <si>
    <t>821410UT6000</t>
  </si>
  <si>
    <t>821410UU0000</t>
  </si>
  <si>
    <t>821410UV8100</t>
  </si>
  <si>
    <t>821410UX6000</t>
  </si>
  <si>
    <t>82141F501000</t>
  </si>
  <si>
    <t>82141F521100</t>
  </si>
  <si>
    <t>82141F523000</t>
  </si>
  <si>
    <t>82141F525000</t>
  </si>
  <si>
    <t>82141F525100</t>
  </si>
  <si>
    <t>82141F526000</t>
  </si>
  <si>
    <t>82141F527000</t>
  </si>
  <si>
    <t>82141F527100</t>
  </si>
  <si>
    <t>82141F528000</t>
  </si>
  <si>
    <t>82141F529000</t>
  </si>
  <si>
    <t>82141F530000</t>
  </si>
  <si>
    <t>82141F530100</t>
  </si>
  <si>
    <t>82141F532000</t>
  </si>
  <si>
    <t>82141F533000</t>
  </si>
  <si>
    <t>82141F533100</t>
  </si>
  <si>
    <t>82141F535000</t>
  </si>
  <si>
    <t>82141F535100</t>
  </si>
  <si>
    <t>82141F538000</t>
  </si>
  <si>
    <t>82141F538100</t>
  </si>
  <si>
    <t>82141F539000</t>
  </si>
  <si>
    <t>82141F543000</t>
  </si>
  <si>
    <t>82141F544000</t>
  </si>
  <si>
    <t>82141F545000</t>
  </si>
  <si>
    <t>82141F547000</t>
  </si>
  <si>
    <t>82141F547100</t>
  </si>
  <si>
    <t>82141F548000</t>
  </si>
  <si>
    <t>82141F549000</t>
  </si>
  <si>
    <t>82141F549100</t>
  </si>
  <si>
    <t>82141F550000</t>
  </si>
  <si>
    <t>82141F551000</t>
  </si>
  <si>
    <t>82141F551100</t>
  </si>
  <si>
    <t>82141F552000</t>
  </si>
  <si>
    <t>82141F555000</t>
  </si>
  <si>
    <t>82141F555100</t>
  </si>
  <si>
    <t>82141F556000</t>
  </si>
  <si>
    <t>82141F556100</t>
  </si>
  <si>
    <t>82141F557000</t>
  </si>
  <si>
    <t>82141F557100</t>
  </si>
  <si>
    <t>82141F559000</t>
  </si>
  <si>
    <t>82141F560100</t>
  </si>
  <si>
    <t>82141F562000</t>
  </si>
  <si>
    <t>82141F563000</t>
  </si>
  <si>
    <t>821450D03300</t>
  </si>
  <si>
    <t>821450D08000</t>
  </si>
  <si>
    <t>821450D09000</t>
  </si>
  <si>
    <t>821450D10000</t>
  </si>
  <si>
    <t>821450D13000</t>
  </si>
  <si>
    <t>821450D26000</t>
  </si>
  <si>
    <t>821450DY6100</t>
  </si>
  <si>
    <t>821450U21000</t>
  </si>
  <si>
    <t>821450U23000</t>
  </si>
  <si>
    <t>821450U24000</t>
  </si>
  <si>
    <t>821450U25000</t>
  </si>
  <si>
    <t>821450U27000</t>
  </si>
  <si>
    <t>821450U28000</t>
  </si>
  <si>
    <t>821450U29000</t>
  </si>
  <si>
    <t>821450U30000</t>
  </si>
  <si>
    <t>821450U31000</t>
  </si>
  <si>
    <t>821450U32000</t>
  </si>
  <si>
    <t>821450U48000</t>
  </si>
  <si>
    <t>821450U49000</t>
  </si>
  <si>
    <t>821450U67000</t>
  </si>
  <si>
    <t>821450U70000</t>
  </si>
  <si>
    <t>821450U71000</t>
  </si>
  <si>
    <t>821450U73000</t>
  </si>
  <si>
    <t>821450U78000</t>
  </si>
  <si>
    <t>821450U79000</t>
  </si>
  <si>
    <t>821450U80000</t>
  </si>
  <si>
    <t>821450U83000</t>
  </si>
  <si>
    <t>821450U84000</t>
  </si>
  <si>
    <t>821450U85000</t>
  </si>
  <si>
    <t>821450U86000</t>
  </si>
  <si>
    <t>821450U87000</t>
  </si>
  <si>
    <t>821450UA0000</t>
  </si>
  <si>
    <t>821450UA1000</t>
  </si>
  <si>
    <t>821450UA3000</t>
  </si>
  <si>
    <t>821450UA4000</t>
  </si>
  <si>
    <t>821450UB2100</t>
  </si>
  <si>
    <t>821450UC2000</t>
  </si>
  <si>
    <t>821450UC3000</t>
  </si>
  <si>
    <t>821450UC7000</t>
  </si>
  <si>
    <t>821450UF1000</t>
  </si>
  <si>
    <t>821450UF2000</t>
  </si>
  <si>
    <t>821450UF3000</t>
  </si>
  <si>
    <t>821450UF5000</t>
  </si>
  <si>
    <t>821450UF6000</t>
  </si>
  <si>
    <t>821450UF8000</t>
  </si>
  <si>
    <t>821450UF9000</t>
  </si>
  <si>
    <t>821450UG2000</t>
  </si>
  <si>
    <t>821450UG3000</t>
  </si>
  <si>
    <t>821450UG5000</t>
  </si>
  <si>
    <t>821450UG6000</t>
  </si>
  <si>
    <t>821450UG7000</t>
  </si>
  <si>
    <t>821450UK8000</t>
  </si>
  <si>
    <t>821450UK9000</t>
  </si>
  <si>
    <t>821450UL4000</t>
  </si>
  <si>
    <t>821450UL5000</t>
  </si>
  <si>
    <t>821450UR9000</t>
  </si>
  <si>
    <t>821450US0000</t>
  </si>
  <si>
    <t>821450US4000</t>
  </si>
  <si>
    <t>821450US4100</t>
  </si>
  <si>
    <t>821450US5000</t>
  </si>
  <si>
    <t>821450US6000</t>
  </si>
  <si>
    <t>821450US7000</t>
  </si>
  <si>
    <t>821450US8000</t>
  </si>
  <si>
    <t>821450US8100</t>
  </si>
  <si>
    <t>821450UT0000</t>
  </si>
  <si>
    <t>821450UT0100</t>
  </si>
  <si>
    <t>821450UT2000</t>
  </si>
  <si>
    <t>821450UT2100</t>
  </si>
  <si>
    <t>821450UT3000</t>
  </si>
  <si>
    <t>821450UT6000</t>
  </si>
  <si>
    <t>821450UY5000</t>
  </si>
  <si>
    <t>821450UY6000</t>
  </si>
  <si>
    <t>821450UZ2000</t>
  </si>
  <si>
    <t>821450UZ3000</t>
  </si>
  <si>
    <t>821450UZ4000</t>
  </si>
  <si>
    <t>821450UZ5000</t>
  </si>
  <si>
    <t>821450UZ6000</t>
  </si>
  <si>
    <t>821450UZ7000</t>
  </si>
  <si>
    <t>821450UZ8000</t>
  </si>
  <si>
    <t>821450UZ9100</t>
  </si>
  <si>
    <t>821460D01000</t>
  </si>
  <si>
    <t>821460D02000</t>
  </si>
  <si>
    <t>821460D03000</t>
  </si>
  <si>
    <t>821460D04000</t>
  </si>
  <si>
    <t>821460D04100</t>
  </si>
  <si>
    <t>821460D05000</t>
  </si>
  <si>
    <t>821460D06000</t>
  </si>
  <si>
    <t>821460D06100</t>
  </si>
  <si>
    <t>821460D07000</t>
  </si>
  <si>
    <t>821460D07100</t>
  </si>
  <si>
    <t>821460D08000</t>
  </si>
  <si>
    <t>821460D09000</t>
  </si>
  <si>
    <t>821460D10000</t>
  </si>
  <si>
    <t>821460D11100</t>
  </si>
  <si>
    <t>821460D12000</t>
  </si>
  <si>
    <t>821460D13000</t>
  </si>
  <si>
    <t>821460D13100</t>
  </si>
  <si>
    <t>821460D14000</t>
  </si>
  <si>
    <t>821460D15000</t>
  </si>
  <si>
    <t>821460D16000</t>
  </si>
  <si>
    <t>821460D16100</t>
  </si>
  <si>
    <t>821460D17000</t>
  </si>
  <si>
    <t>821460D18000</t>
  </si>
  <si>
    <t>821460D18100</t>
  </si>
  <si>
    <t>821460D19000</t>
  </si>
  <si>
    <t>821460D20000</t>
  </si>
  <si>
    <t>821460D22100</t>
  </si>
  <si>
    <t>821460D24000</t>
  </si>
  <si>
    <t>821460D26000</t>
  </si>
  <si>
    <t>821460D27000</t>
  </si>
  <si>
    <t>821460D31000</t>
  </si>
  <si>
    <t>821460D34000</t>
  </si>
  <si>
    <t>821460D35100</t>
  </si>
  <si>
    <t>821460D36000</t>
  </si>
  <si>
    <t>821460D38000</t>
  </si>
  <si>
    <t>821460D40000</t>
  </si>
  <si>
    <t>821460D41000</t>
  </si>
  <si>
    <t>821460D43000</t>
  </si>
  <si>
    <t>821460D46000</t>
  </si>
  <si>
    <t>821460D46200</t>
  </si>
  <si>
    <t>821460D47000</t>
  </si>
  <si>
    <t>821460D47200</t>
  </si>
  <si>
    <t>821460D48100</t>
  </si>
  <si>
    <t>821460D49000</t>
  </si>
  <si>
    <t>821460D49100</t>
  </si>
  <si>
    <t>821460D50100</t>
  </si>
  <si>
    <t>821460D52000</t>
  </si>
  <si>
    <t>821460D52200</t>
  </si>
  <si>
    <t>821460D53100</t>
  </si>
  <si>
    <t>821460D61100</t>
  </si>
  <si>
    <t>821460D62000</t>
  </si>
  <si>
    <t>821460D62200</t>
  </si>
  <si>
    <t>821460D71300</t>
  </si>
  <si>
    <t>821460D73000</t>
  </si>
  <si>
    <t>821460D74200</t>
  </si>
  <si>
    <t>821460D75000</t>
  </si>
  <si>
    <t>821460D75200</t>
  </si>
  <si>
    <t>821460D77000</t>
  </si>
  <si>
    <t>821460D80000</t>
  </si>
  <si>
    <t>821460D80200</t>
  </si>
  <si>
    <t>821460D81200</t>
  </si>
  <si>
    <t>821460UJ7000</t>
  </si>
  <si>
    <t>821460UJ8000</t>
  </si>
  <si>
    <t>821460UK2000</t>
  </si>
  <si>
    <t>821460UK3000</t>
  </si>
  <si>
    <t>821460UK4000</t>
  </si>
  <si>
    <t>821460UK6000</t>
  </si>
  <si>
    <t>821460UK8000</t>
  </si>
  <si>
    <t>821460UL0000</t>
  </si>
  <si>
    <t>821460UL1000</t>
  </si>
  <si>
    <t>821460UL3000</t>
  </si>
  <si>
    <t>821460UL4000</t>
  </si>
  <si>
    <t>821460UL5000</t>
  </si>
  <si>
    <t>821460UL6000</t>
  </si>
  <si>
    <t>821460UL7000</t>
  </si>
  <si>
    <t>821460UL8000</t>
  </si>
  <si>
    <t>821460UL9000</t>
  </si>
  <si>
    <t>821460UM0000</t>
  </si>
  <si>
    <t>821460UM1000</t>
  </si>
  <si>
    <t>821460UM2000</t>
  </si>
  <si>
    <t>821460UM3000</t>
  </si>
  <si>
    <t>821460UM4000</t>
  </si>
  <si>
    <t>821460UM6000</t>
  </si>
  <si>
    <t>821460UM7000</t>
  </si>
  <si>
    <t>821460UM9000</t>
  </si>
  <si>
    <t>821460UN2000</t>
  </si>
  <si>
    <t>821460UN6000</t>
  </si>
  <si>
    <t>821460UN7000</t>
  </si>
  <si>
    <t>821460UN8000</t>
  </si>
  <si>
    <t>821460UN9000</t>
  </si>
  <si>
    <t>821460UP0000</t>
  </si>
  <si>
    <t>821460UP1000</t>
  </si>
  <si>
    <t>821460UP2000</t>
  </si>
  <si>
    <t>821460UP3000</t>
  </si>
  <si>
    <t>821460UP4000</t>
  </si>
  <si>
    <t>821460UP5000</t>
  </si>
  <si>
    <t>821460UP6000</t>
  </si>
  <si>
    <t>821460UP7000</t>
  </si>
  <si>
    <t>821460UP8000</t>
  </si>
  <si>
    <t>821460UQ1000</t>
  </si>
  <si>
    <t>821460UQ3000</t>
  </si>
  <si>
    <t>821460UQ5000</t>
  </si>
  <si>
    <t>821460UQ6000</t>
  </si>
  <si>
    <t>821460UZ9000</t>
  </si>
  <si>
    <t>821510DB7000</t>
  </si>
  <si>
    <t>821510DB9000</t>
  </si>
  <si>
    <t>821510DC0000</t>
  </si>
  <si>
    <t>821510DD4000</t>
  </si>
  <si>
    <t>821510DD9000</t>
  </si>
  <si>
    <t>821510DL6000</t>
  </si>
  <si>
    <t>821510DL8000</t>
  </si>
  <si>
    <t>821510DL9000</t>
  </si>
  <si>
    <t>821510DL9100</t>
  </si>
  <si>
    <t>821510DM6000</t>
  </si>
  <si>
    <t>821510DM7000</t>
  </si>
  <si>
    <t>821510DN0000</t>
  </si>
  <si>
    <t>821510DP0100</t>
  </si>
  <si>
    <t>821510DP1100</t>
  </si>
  <si>
    <t>821510DP2100</t>
  </si>
  <si>
    <t>821510DP4100</t>
  </si>
  <si>
    <t>821510DP5000</t>
  </si>
  <si>
    <t>821510DP6000</t>
  </si>
  <si>
    <t>821510DP7000</t>
  </si>
  <si>
    <t>821510DP8000</t>
  </si>
  <si>
    <t>821510DQ1000</t>
  </si>
  <si>
    <t>821510DQ2000</t>
  </si>
  <si>
    <t>821510DQ3000</t>
  </si>
  <si>
    <t>821510DQ4000</t>
  </si>
  <si>
    <t>821510DQ7000</t>
  </si>
  <si>
    <t>821510DQ8000</t>
  </si>
  <si>
    <t>821510DQ9000</t>
  </si>
  <si>
    <t>821510DR8100</t>
  </si>
  <si>
    <t>821510DS4000</t>
  </si>
  <si>
    <t>821510DS6000</t>
  </si>
  <si>
    <t>821510DS7000</t>
  </si>
  <si>
    <t>821510DT1100</t>
  </si>
  <si>
    <t>821510DT4100</t>
  </si>
  <si>
    <t>821510DU5000</t>
  </si>
  <si>
    <t>821510DU6000</t>
  </si>
  <si>
    <t>821510DU7000</t>
  </si>
  <si>
    <t>821510DU8000</t>
  </si>
  <si>
    <t>821510DV4000</t>
  </si>
  <si>
    <t>821510DX6100</t>
  </si>
  <si>
    <t>821510DX8100</t>
  </si>
  <si>
    <t>821510DY3100</t>
  </si>
  <si>
    <t>821510DY4100</t>
  </si>
  <si>
    <t>821510DY7100</t>
  </si>
  <si>
    <t>821510U71000</t>
  </si>
  <si>
    <t>821510U72000</t>
  </si>
  <si>
    <t>821510U73000</t>
  </si>
  <si>
    <t>821510U74000</t>
  </si>
  <si>
    <t>821510U75000</t>
  </si>
  <si>
    <t>821510U76000</t>
  </si>
  <si>
    <t>821510U77000</t>
  </si>
  <si>
    <t>821510U82000</t>
  </si>
  <si>
    <t>821510U82100</t>
  </si>
  <si>
    <t>821510U84000</t>
  </si>
  <si>
    <t>821510U86000</t>
  </si>
  <si>
    <t>821510U87000</t>
  </si>
  <si>
    <t>821510U88000</t>
  </si>
  <si>
    <t>821510U89000</t>
  </si>
  <si>
    <t>821510UA0000</t>
  </si>
  <si>
    <t>821510UA3000</t>
  </si>
  <si>
    <t>821510UA4000</t>
  </si>
  <si>
    <t>82151K006000</t>
  </si>
  <si>
    <t>82151K008000</t>
  </si>
  <si>
    <t>82151K064000</t>
  </si>
  <si>
    <t>82151K065000</t>
  </si>
  <si>
    <t>82151K066000</t>
  </si>
  <si>
    <t>82151K068000</t>
  </si>
  <si>
    <t>82151K069000</t>
  </si>
  <si>
    <t>82151K071000</t>
  </si>
  <si>
    <t>82151K072000</t>
  </si>
  <si>
    <t>82151K077000</t>
  </si>
  <si>
    <t>82151K078000</t>
  </si>
  <si>
    <t>82151K080000</t>
  </si>
  <si>
    <t>82151K082000</t>
  </si>
  <si>
    <t>82151K083000</t>
  </si>
  <si>
    <t>82151K084000</t>
  </si>
  <si>
    <t>82151K088000</t>
  </si>
  <si>
    <t>82151K089000</t>
  </si>
  <si>
    <t>82151K0A0000</t>
  </si>
  <si>
    <t>82151K0A1000</t>
  </si>
  <si>
    <t>82151K0A5000</t>
  </si>
  <si>
    <t>821520D40000</t>
  </si>
  <si>
    <t>821520DB6000</t>
  </si>
  <si>
    <t>821520DB8000</t>
  </si>
  <si>
    <t>821520DB9000</t>
  </si>
  <si>
    <t>821520DC3000</t>
  </si>
  <si>
    <t>821520DD3000</t>
  </si>
  <si>
    <t>821520DE3000</t>
  </si>
  <si>
    <t>821520DE8000</t>
  </si>
  <si>
    <t>821520DL9000</t>
  </si>
  <si>
    <t>821520DM6000</t>
  </si>
  <si>
    <t>821520DM8000</t>
  </si>
  <si>
    <t>821520DN2000</t>
  </si>
  <si>
    <t>821520DN2100</t>
  </si>
  <si>
    <t>821520DN4000</t>
  </si>
  <si>
    <t>821520DN5000</t>
  </si>
  <si>
    <t>821520DN6000</t>
  </si>
  <si>
    <t>821520DN8000</t>
  </si>
  <si>
    <t>821520DP6100</t>
  </si>
  <si>
    <t>821520DQ1000</t>
  </si>
  <si>
    <t>821520DQ2000</t>
  </si>
  <si>
    <t>821520DQ3000</t>
  </si>
  <si>
    <t>821520DQ4000</t>
  </si>
  <si>
    <t>821520DQ7000</t>
  </si>
  <si>
    <t>821520DQ8000</t>
  </si>
  <si>
    <t>821520DQ9000</t>
  </si>
  <si>
    <t>821520DR2100</t>
  </si>
  <si>
    <t>821520DR6000</t>
  </si>
  <si>
    <t>821520DR9000</t>
  </si>
  <si>
    <t>821520DS0000</t>
  </si>
  <si>
    <t>821520DS1000</t>
  </si>
  <si>
    <t>821520DS7000</t>
  </si>
  <si>
    <t>821520DS9000</t>
  </si>
  <si>
    <t>821520DT1100</t>
  </si>
  <si>
    <t>821520DT4100</t>
  </si>
  <si>
    <t>821520DU0000</t>
  </si>
  <si>
    <t>821520DU3000</t>
  </si>
  <si>
    <t>821520DV3000</t>
  </si>
  <si>
    <t>821520DV4000</t>
  </si>
  <si>
    <t>821520DV5000</t>
  </si>
  <si>
    <t>821520DV6000</t>
  </si>
  <si>
    <t>821520DW0000</t>
  </si>
  <si>
    <t>821520DX9100</t>
  </si>
  <si>
    <t>821520DY3100</t>
  </si>
  <si>
    <t>821520U78000</t>
  </si>
  <si>
    <t>821520U80000</t>
  </si>
  <si>
    <t>821520U82000</t>
  </si>
  <si>
    <t>821520U83000</t>
  </si>
  <si>
    <t>821520U83100</t>
  </si>
  <si>
    <t>821520U84000</t>
  </si>
  <si>
    <t>821520U85000</t>
  </si>
  <si>
    <t>821520U86000</t>
  </si>
  <si>
    <t>821520U87000</t>
  </si>
  <si>
    <t>821520U88000</t>
  </si>
  <si>
    <t>821520UA0000</t>
  </si>
  <si>
    <t>821520UA3000</t>
  </si>
  <si>
    <t>821520UA5000</t>
  </si>
  <si>
    <t>821520UA8000</t>
  </si>
  <si>
    <t>821520UA9000</t>
  </si>
  <si>
    <t>821520UB1000</t>
  </si>
  <si>
    <t>821520UB2000</t>
  </si>
  <si>
    <t>82152K005000</t>
  </si>
  <si>
    <t>82152K006000</t>
  </si>
  <si>
    <t>82152K007000</t>
  </si>
  <si>
    <t>82152K008000</t>
  </si>
  <si>
    <t>82152K064000</t>
  </si>
  <si>
    <t>82152K065000</t>
  </si>
  <si>
    <t>82152K066000</t>
  </si>
  <si>
    <t>82152K067000</t>
  </si>
  <si>
    <t>82152K069000</t>
  </si>
  <si>
    <t>82152K070000</t>
  </si>
  <si>
    <t>82152K075000</t>
  </si>
  <si>
    <t>82152K076000</t>
  </si>
  <si>
    <t>82152K077000</t>
  </si>
  <si>
    <t>82152K078000</t>
  </si>
  <si>
    <t>82152K080000</t>
  </si>
  <si>
    <t>82152K082000</t>
  </si>
  <si>
    <t>82152K087000</t>
  </si>
  <si>
    <t>82152K088000</t>
  </si>
  <si>
    <t>82152K089000</t>
  </si>
  <si>
    <t>82152K0A3000</t>
  </si>
  <si>
    <t>82152K0A4000</t>
  </si>
  <si>
    <t>821530D14000</t>
  </si>
  <si>
    <t>821530D30000</t>
  </si>
  <si>
    <t>821530D31000</t>
  </si>
  <si>
    <t>821530D34000</t>
  </si>
  <si>
    <t>821530D66000</t>
  </si>
  <si>
    <t>821530D67000</t>
  </si>
  <si>
    <t>821530D68000</t>
  </si>
  <si>
    <t>821530D69000</t>
  </si>
  <si>
    <t>821530D70000</t>
  </si>
  <si>
    <t>821530D71000</t>
  </si>
  <si>
    <t>821530D72000</t>
  </si>
  <si>
    <t>821530D75000</t>
  </si>
  <si>
    <t>821530D77000</t>
  </si>
  <si>
    <t>821530DD8000</t>
  </si>
  <si>
    <t>821530DD9000</t>
  </si>
  <si>
    <t>821530DE0000</t>
  </si>
  <si>
    <t>821530DE2000</t>
  </si>
  <si>
    <t>821530H02000</t>
  </si>
  <si>
    <t>821530H03000</t>
  </si>
  <si>
    <t>821530H05000</t>
  </si>
  <si>
    <t>82153K005000</t>
  </si>
  <si>
    <t>82153K006000</t>
  </si>
  <si>
    <t>82153K007000</t>
  </si>
  <si>
    <t>82153K008000</t>
  </si>
  <si>
    <t>82153K018000</t>
  </si>
  <si>
    <t>82153K019000</t>
  </si>
  <si>
    <t>821540D19000</t>
  </si>
  <si>
    <t>821540D21000</t>
  </si>
  <si>
    <t>821540D51000</t>
  </si>
  <si>
    <t>821540D52000</t>
  </si>
  <si>
    <t>821540D53000</t>
  </si>
  <si>
    <t>821540D56000</t>
  </si>
  <si>
    <t>821540D57000</t>
  </si>
  <si>
    <t>821540D60000</t>
  </si>
  <si>
    <t>821540D61000</t>
  </si>
  <si>
    <t>821540D63000</t>
  </si>
  <si>
    <t>821540D65000</t>
  </si>
  <si>
    <t>821540DC5000</t>
  </si>
  <si>
    <t>821540DC6000</t>
  </si>
  <si>
    <t>821540DC7000</t>
  </si>
  <si>
    <t>821540DC9000</t>
  </si>
  <si>
    <t>82154K005000</t>
  </si>
  <si>
    <t>82154K006000</t>
  </si>
  <si>
    <t>82154K007000</t>
  </si>
  <si>
    <t>82154K008000</t>
  </si>
  <si>
    <t>82154K018000</t>
  </si>
  <si>
    <t>82154K019000</t>
  </si>
  <si>
    <t>821610DJ8000</t>
  </si>
  <si>
    <t>821610DM8000</t>
  </si>
  <si>
    <t>821610DM8200</t>
  </si>
  <si>
    <t>821610DN0000</t>
  </si>
  <si>
    <t>821610DN1000</t>
  </si>
  <si>
    <t>821610DN2000</t>
  </si>
  <si>
    <t>821610DN3000</t>
  </si>
  <si>
    <t>821610DN3100</t>
  </si>
  <si>
    <t>821610DN3200</t>
  </si>
  <si>
    <t>821610DP4000</t>
  </si>
  <si>
    <t>821610DQ0000</t>
  </si>
  <si>
    <t>821610DQ1000</t>
  </si>
  <si>
    <t>821610DQ6000</t>
  </si>
  <si>
    <t>821610DQ9000</t>
  </si>
  <si>
    <t>821610DR0000</t>
  </si>
  <si>
    <t>821610DR1000</t>
  </si>
  <si>
    <t>821610DR4000</t>
  </si>
  <si>
    <t>821610DR6000</t>
  </si>
  <si>
    <t>821610DS3000</t>
  </si>
  <si>
    <t>821610DS3100</t>
  </si>
  <si>
    <t>821610DS4000</t>
  </si>
  <si>
    <t>821610DS4100</t>
  </si>
  <si>
    <t>821610DS7000</t>
  </si>
  <si>
    <t>821610DS7100</t>
  </si>
  <si>
    <t>821610DS9000</t>
  </si>
  <si>
    <t>821610DS9100</t>
  </si>
  <si>
    <t>821610DT3000</t>
  </si>
  <si>
    <t>821610DT7000</t>
  </si>
  <si>
    <t>821610DU0000</t>
  </si>
  <si>
    <t>821610DU2000</t>
  </si>
  <si>
    <t>821610DU7000</t>
  </si>
  <si>
    <t>821610DU8000</t>
  </si>
  <si>
    <t>821610DU8100</t>
  </si>
  <si>
    <t>821610DU8200</t>
  </si>
  <si>
    <t>821610DV0000</t>
  </si>
  <si>
    <t>821610DV0100</t>
  </si>
  <si>
    <t>821610DV0200</t>
  </si>
  <si>
    <t>821610DV6000</t>
  </si>
  <si>
    <t>821610DV6100</t>
  </si>
  <si>
    <t>821610DV6200</t>
  </si>
  <si>
    <t>821610DW2000</t>
  </si>
  <si>
    <t>821610DX2000</t>
  </si>
  <si>
    <t>821610DX2100</t>
  </si>
  <si>
    <t>821610DX3000</t>
  </si>
  <si>
    <t>821610DX3100</t>
  </si>
  <si>
    <t>821610DX8000</t>
  </si>
  <si>
    <t>821610DX8100</t>
  </si>
  <si>
    <t>821610DX9000</t>
  </si>
  <si>
    <t>821610DX9100</t>
  </si>
  <si>
    <t>821610DY7000</t>
  </si>
  <si>
    <t>821610DY9000</t>
  </si>
  <si>
    <t>821610DZ2000</t>
  </si>
  <si>
    <t>821610DZ2100</t>
  </si>
  <si>
    <t>821610DZ2200</t>
  </si>
  <si>
    <t>821610DZ4000</t>
  </si>
  <si>
    <t>821610DZ4100</t>
  </si>
  <si>
    <t>821610DZ4200</t>
  </si>
  <si>
    <t>821610F45000</t>
  </si>
  <si>
    <t>821610F46000</t>
  </si>
  <si>
    <t>821610F52100</t>
  </si>
  <si>
    <t>821610F53100</t>
  </si>
  <si>
    <t>821610F54100</t>
  </si>
  <si>
    <t>821610F55200</t>
  </si>
  <si>
    <t>821610F56100</t>
  </si>
  <si>
    <t>821610F57100</t>
  </si>
  <si>
    <t>821610F58100</t>
  </si>
  <si>
    <t>821610F59100</t>
  </si>
  <si>
    <t>821610F62100</t>
  </si>
  <si>
    <t>821610F64100</t>
  </si>
  <si>
    <t>821610F65100</t>
  </si>
  <si>
    <t>821610F66100</t>
  </si>
  <si>
    <t>821610F69000</t>
  </si>
  <si>
    <t>821610F70000</t>
  </si>
  <si>
    <t>821610F71000</t>
  </si>
  <si>
    <t>821610F72000</t>
  </si>
  <si>
    <t>821610F74000</t>
  </si>
  <si>
    <t>821610F75000</t>
  </si>
  <si>
    <t>821610F76000</t>
  </si>
  <si>
    <t>821610FD6000</t>
  </si>
  <si>
    <t>821610FD8000</t>
  </si>
  <si>
    <t>821610FE1000</t>
  </si>
  <si>
    <t>821610FE2000</t>
  </si>
  <si>
    <t>821610FE3000</t>
  </si>
  <si>
    <t>821610FE5000</t>
  </si>
  <si>
    <t>821610FE6000</t>
  </si>
  <si>
    <t>821610FE8000</t>
  </si>
  <si>
    <t>821610FE9000</t>
  </si>
  <si>
    <t>821610FF0000</t>
  </si>
  <si>
    <t>821610FF1000</t>
  </si>
  <si>
    <t>821610FF2000</t>
  </si>
  <si>
    <t>821610HF1000</t>
  </si>
  <si>
    <t>821610U11000</t>
  </si>
  <si>
    <t>821610U11100</t>
  </si>
  <si>
    <t>821610U12000</t>
  </si>
  <si>
    <t>821610U12100</t>
  </si>
  <si>
    <t>821610U13000</t>
  </si>
  <si>
    <t>821610U13100</t>
  </si>
  <si>
    <t>821610U16000</t>
  </si>
  <si>
    <t>821610U16100</t>
  </si>
  <si>
    <t>821610U17100</t>
  </si>
  <si>
    <t>821610U18000</t>
  </si>
  <si>
    <t>821610U19000</t>
  </si>
  <si>
    <t>821610U19100</t>
  </si>
  <si>
    <t>821610U20100</t>
  </si>
  <si>
    <t>821610U20200</t>
  </si>
  <si>
    <t>821610U21100</t>
  </si>
  <si>
    <t>821610U21200</t>
  </si>
  <si>
    <t>821610U23000</t>
  </si>
  <si>
    <t>821610U23100</t>
  </si>
  <si>
    <t>821610U27000</t>
  </si>
  <si>
    <t>821610U27100</t>
  </si>
  <si>
    <t>821610U28100</t>
  </si>
  <si>
    <t>821610U28200</t>
  </si>
  <si>
    <t>821610U30000</t>
  </si>
  <si>
    <t>821610U30100</t>
  </si>
  <si>
    <t>821610U31000</t>
  </si>
  <si>
    <t>821610U31100</t>
  </si>
  <si>
    <t>821610U32000</t>
  </si>
  <si>
    <t>821610U32100</t>
  </si>
  <si>
    <t>821610U33000</t>
  </si>
  <si>
    <t>821610U33100</t>
  </si>
  <si>
    <t>821610U35100</t>
  </si>
  <si>
    <t>821610U35200</t>
  </si>
  <si>
    <t>821610U36000</t>
  </si>
  <si>
    <t>821610U38000</t>
  </si>
  <si>
    <t>821610U38100</t>
  </si>
  <si>
    <t>821610U39100</t>
  </si>
  <si>
    <t>821610U39200</t>
  </si>
  <si>
    <t>821610U48000</t>
  </si>
  <si>
    <t>821610U48100</t>
  </si>
  <si>
    <t>821610U48200</t>
  </si>
  <si>
    <t>821610U56000</t>
  </si>
  <si>
    <t>821610U56200</t>
  </si>
  <si>
    <t>821610U57200</t>
  </si>
  <si>
    <t>821610U58200</t>
  </si>
  <si>
    <t>821610U59000</t>
  </si>
  <si>
    <t>821610U61200</t>
  </si>
  <si>
    <t>821610U62100</t>
  </si>
  <si>
    <t>821610U62200</t>
  </si>
  <si>
    <t>821610U63100</t>
  </si>
  <si>
    <t>821610U64100</t>
  </si>
  <si>
    <t>821610U65100</t>
  </si>
  <si>
    <t>821610U66200</t>
  </si>
  <si>
    <t>821610U68300</t>
  </si>
  <si>
    <t>821610U70100</t>
  </si>
  <si>
    <t>821610U71100</t>
  </si>
  <si>
    <t>821610U72000</t>
  </si>
  <si>
    <t>821610U72200</t>
  </si>
  <si>
    <t>821610U74100</t>
  </si>
  <si>
    <t>821610U74200</t>
  </si>
  <si>
    <t>821610U75000</t>
  </si>
  <si>
    <t>821610U77200</t>
  </si>
  <si>
    <t>821610U77300</t>
  </si>
  <si>
    <t>821610U83000</t>
  </si>
  <si>
    <t>821610U83100</t>
  </si>
  <si>
    <t>821610U84000</t>
  </si>
  <si>
    <t>821610U84100</t>
  </si>
  <si>
    <t>821610U89000</t>
  </si>
  <si>
    <t>821610UA0000</t>
  </si>
  <si>
    <t>821610UA0100</t>
  </si>
  <si>
    <t>821610UA1000</t>
  </si>
  <si>
    <t>821610UA1100</t>
  </si>
  <si>
    <t>821610UA9000</t>
  </si>
  <si>
    <t>821610UA9100</t>
  </si>
  <si>
    <t>821610UB3000</t>
  </si>
  <si>
    <t>821610UB3100</t>
  </si>
  <si>
    <t>821610UB3200</t>
  </si>
  <si>
    <t>821610UC5000</t>
  </si>
  <si>
    <t>821610UC5100</t>
  </si>
  <si>
    <t>821610UC5200</t>
  </si>
  <si>
    <t>821610UC9000</t>
  </si>
  <si>
    <t>821610UC9100</t>
  </si>
  <si>
    <t>821610UD5000</t>
  </si>
  <si>
    <t>821610UD5100</t>
  </si>
  <si>
    <t>821610UE9100</t>
  </si>
  <si>
    <t>821610UF2000</t>
  </si>
  <si>
    <t>821610UF3000</t>
  </si>
  <si>
    <t>821610UF3100</t>
  </si>
  <si>
    <t>821610UF9000</t>
  </si>
  <si>
    <t>821610UF9100</t>
  </si>
  <si>
    <t>821610UG2000</t>
  </si>
  <si>
    <t>821610UG4000</t>
  </si>
  <si>
    <t>821610UJ1000</t>
  </si>
  <si>
    <t>821610UK3000</t>
  </si>
  <si>
    <t>821610UK3100</t>
  </si>
  <si>
    <t>821610UK4000</t>
  </si>
  <si>
    <t>821610UK4100</t>
  </si>
  <si>
    <t>821610UK5000</t>
  </si>
  <si>
    <t>821610UK5100</t>
  </si>
  <si>
    <t>821610UK6000</t>
  </si>
  <si>
    <t>821610UK6100</t>
  </si>
  <si>
    <t>821610UL5000</t>
  </si>
  <si>
    <t>821610UL7000</t>
  </si>
  <si>
    <t>821610UM8000</t>
  </si>
  <si>
    <t>821610UM8100</t>
  </si>
  <si>
    <t>821610UM8200</t>
  </si>
  <si>
    <t>821610UM9000</t>
  </si>
  <si>
    <t>821610UM9100</t>
  </si>
  <si>
    <t>821610UM9200</t>
  </si>
  <si>
    <t>821610UN3000</t>
  </si>
  <si>
    <t>821610UN5000</t>
  </si>
  <si>
    <t>821610UN8000</t>
  </si>
  <si>
    <t>821610UP6000</t>
  </si>
  <si>
    <t>821610UP6100</t>
  </si>
  <si>
    <t>821610UP6200</t>
  </si>
  <si>
    <t>821610UP7000</t>
  </si>
  <si>
    <t>821610UP7100</t>
  </si>
  <si>
    <t>821610UP7200</t>
  </si>
  <si>
    <t>821610UP8000</t>
  </si>
  <si>
    <t>821610UP8100</t>
  </si>
  <si>
    <t>821610UP8200</t>
  </si>
  <si>
    <t>821610UP9100</t>
  </si>
  <si>
    <t>821610UP9200</t>
  </si>
  <si>
    <t>821610UQ0100</t>
  </si>
  <si>
    <t>821610UQ0200</t>
  </si>
  <si>
    <t>821610UQ1000</t>
  </si>
  <si>
    <t>821610UQ1100</t>
  </si>
  <si>
    <t>821610UQ1200</t>
  </si>
  <si>
    <t>821610UQ3000</t>
  </si>
  <si>
    <t>821610UQ3200</t>
  </si>
  <si>
    <t>821610UQ4000</t>
  </si>
  <si>
    <t>821610UQ4100</t>
  </si>
  <si>
    <t>821610UQ4200</t>
  </si>
  <si>
    <t>821610UQ5000</t>
  </si>
  <si>
    <t>821610UQ5100</t>
  </si>
  <si>
    <t>821610UQ5200</t>
  </si>
  <si>
    <t>821610UQ6000</t>
  </si>
  <si>
    <t>821610UQ6100</t>
  </si>
  <si>
    <t>821610UQ6200</t>
  </si>
  <si>
    <t>821610UQ7000</t>
  </si>
  <si>
    <t>821610UQ7100</t>
  </si>
  <si>
    <t>821610UQ7200</t>
  </si>
  <si>
    <t>821610UQ8000</t>
  </si>
  <si>
    <t>821610UQ8100</t>
  </si>
  <si>
    <t>821610UQ8200</t>
  </si>
  <si>
    <t>821610UQ9000</t>
  </si>
  <si>
    <t>821610UQ9100</t>
  </si>
  <si>
    <t>821610UQ9200</t>
  </si>
  <si>
    <t>821610UR0000</t>
  </si>
  <si>
    <t>821610UR0200</t>
  </si>
  <si>
    <t>821610UR1000</t>
  </si>
  <si>
    <t>821610UR1100</t>
  </si>
  <si>
    <t>821610UR1200</t>
  </si>
  <si>
    <t>821610UR2000</t>
  </si>
  <si>
    <t>821610UR3000</t>
  </si>
  <si>
    <t>821610UR3100</t>
  </si>
  <si>
    <t>821610UR3200</t>
  </si>
  <si>
    <t>821610UR4000</t>
  </si>
  <si>
    <t>821610UR4100</t>
  </si>
  <si>
    <t>821610UR4200</t>
  </si>
  <si>
    <t>821610UR7000</t>
  </si>
  <si>
    <t>821610UR7100</t>
  </si>
  <si>
    <t>821610UR7200</t>
  </si>
  <si>
    <t>821610UR8000</t>
  </si>
  <si>
    <t>821610UR8100</t>
  </si>
  <si>
    <t>821610UR8200</t>
  </si>
  <si>
    <t>821610US4000</t>
  </si>
  <si>
    <t>821610US4100</t>
  </si>
  <si>
    <t>821610US4200</t>
  </si>
  <si>
    <t>821610US5000</t>
  </si>
  <si>
    <t>821610US5100</t>
  </si>
  <si>
    <t>821610US6000</t>
  </si>
  <si>
    <t>821610US6100</t>
  </si>
  <si>
    <t>821610US6200</t>
  </si>
  <si>
    <t>821610US7000</t>
  </si>
  <si>
    <t>821610US7100</t>
  </si>
  <si>
    <t>821610US7200</t>
  </si>
  <si>
    <t>821610UT3000</t>
  </si>
  <si>
    <t>82161F528000</t>
  </si>
  <si>
    <t>82161F529000</t>
  </si>
  <si>
    <t>82161K007000</t>
  </si>
  <si>
    <t>82161K008000</t>
  </si>
  <si>
    <t>82161K009000</t>
  </si>
  <si>
    <t>82161K009100</t>
  </si>
  <si>
    <t>82161K009200</t>
  </si>
  <si>
    <t>82161K011000</t>
  </si>
  <si>
    <t>82161K011100</t>
  </si>
  <si>
    <t>82161K011200</t>
  </si>
  <si>
    <t>82161K012000</t>
  </si>
  <si>
    <t>82161K012100</t>
  </si>
  <si>
    <t>82161K012200</t>
  </si>
  <si>
    <t>82161K064000</t>
  </si>
  <si>
    <t>82161K065000</t>
  </si>
  <si>
    <t>82161K067000</t>
  </si>
  <si>
    <t>82161K070000</t>
  </si>
  <si>
    <t>82161K071000</t>
  </si>
  <si>
    <t>82161K073000</t>
  </si>
  <si>
    <t>82161K074000</t>
  </si>
  <si>
    <t>82161K075000</t>
  </si>
  <si>
    <t>82161K078000</t>
  </si>
  <si>
    <t>82161K079000</t>
  </si>
  <si>
    <t>82161K082000</t>
  </si>
  <si>
    <t>82161K087000</t>
  </si>
  <si>
    <t>82161K0A0000</t>
  </si>
  <si>
    <t>82161K0A2000</t>
  </si>
  <si>
    <t>82161K0A3000</t>
  </si>
  <si>
    <t>82161K0A4000</t>
  </si>
  <si>
    <t>82161K0A4100</t>
  </si>
  <si>
    <t>82161K0A4200</t>
  </si>
  <si>
    <t>82161K0A5000</t>
  </si>
  <si>
    <t>82161K0A5100</t>
  </si>
  <si>
    <t>82161K0A5200</t>
  </si>
  <si>
    <t>82161K0A8000</t>
  </si>
  <si>
    <t>82161K0A8100</t>
  </si>
  <si>
    <t>82161K0A8200</t>
  </si>
  <si>
    <t>82161K0A9000</t>
  </si>
  <si>
    <t>82161K0A9100</t>
  </si>
  <si>
    <t>82161K0A9200</t>
  </si>
  <si>
    <t>82161K0B2000</t>
  </si>
  <si>
    <t>82161K0B2100</t>
  </si>
  <si>
    <t>82161K0B2200</t>
  </si>
  <si>
    <t>82161K0B3000</t>
  </si>
  <si>
    <t>82161K0B3100</t>
  </si>
  <si>
    <t>82161K0B3200</t>
  </si>
  <si>
    <t>82161K0V1000</t>
  </si>
  <si>
    <t>82161K0V1100</t>
  </si>
  <si>
    <t>82161K0V1200</t>
  </si>
  <si>
    <t>82161K0V2000</t>
  </si>
  <si>
    <t>82161K0V2100</t>
  </si>
  <si>
    <t>82161K0V2200</t>
  </si>
  <si>
    <t>82161K0V6000</t>
  </si>
  <si>
    <t>82161K0W0000</t>
  </si>
  <si>
    <t>82161K0W0100</t>
  </si>
  <si>
    <t>82161K0W7000</t>
  </si>
  <si>
    <t>82161K0W8100</t>
  </si>
  <si>
    <t>82161K0W8200</t>
  </si>
  <si>
    <t>82161K0X3000</t>
  </si>
  <si>
    <t>821620F36100</t>
  </si>
  <si>
    <t>821620F37100</t>
  </si>
  <si>
    <t>821620F38100</t>
  </si>
  <si>
    <t>821620F39100</t>
  </si>
  <si>
    <t>821620F40100</t>
  </si>
  <si>
    <t>821620F45000</t>
  </si>
  <si>
    <t>821620F46000</t>
  </si>
  <si>
    <t>821620F48000</t>
  </si>
  <si>
    <t>821620F49000</t>
  </si>
  <si>
    <t>821630F08100</t>
  </si>
  <si>
    <t>821630F09100</t>
  </si>
  <si>
    <t>821630F10100</t>
  </si>
  <si>
    <t>82163K003000</t>
  </si>
  <si>
    <t>821710D18000</t>
  </si>
  <si>
    <t>821710D23000</t>
  </si>
  <si>
    <t>821710D36000</t>
  </si>
  <si>
    <t>821710D38000</t>
  </si>
  <si>
    <t>821710D39000</t>
  </si>
  <si>
    <t>821710D40000</t>
  </si>
  <si>
    <t>821710D41000</t>
  </si>
  <si>
    <t>821710D42000</t>
  </si>
  <si>
    <t>821710D43000</t>
  </si>
  <si>
    <t>821710D44000</t>
  </si>
  <si>
    <t>821710D45000</t>
  </si>
  <si>
    <t>821710D67000</t>
  </si>
  <si>
    <t>821710D67100</t>
  </si>
  <si>
    <t>821710D67200</t>
  </si>
  <si>
    <t>821710D68100</t>
  </si>
  <si>
    <t>821710D68200</t>
  </si>
  <si>
    <t>821710D69100</t>
  </si>
  <si>
    <t>821710D69200</t>
  </si>
  <si>
    <t>821710D70100</t>
  </si>
  <si>
    <t>821710D70200</t>
  </si>
  <si>
    <t>821710D71000</t>
  </si>
  <si>
    <t>821710D71100</t>
  </si>
  <si>
    <t>821710D71200</t>
  </si>
  <si>
    <t>821710D72200</t>
  </si>
  <si>
    <t>821710DC0000</t>
  </si>
  <si>
    <t>821710DC1000</t>
  </si>
  <si>
    <t>821710DC3000</t>
  </si>
  <si>
    <t>821710DC4000</t>
  </si>
  <si>
    <t>821710DC5000</t>
  </si>
  <si>
    <t>821710DD5000</t>
  </si>
  <si>
    <t>821710DD6000</t>
  </si>
  <si>
    <t>821710DD7000</t>
  </si>
  <si>
    <t>821710DD8000</t>
  </si>
  <si>
    <t>821710DD9000</t>
  </si>
  <si>
    <t>821710DE0000</t>
  </si>
  <si>
    <t>821710DE1000</t>
  </si>
  <si>
    <t>821710DE2000</t>
  </si>
  <si>
    <t>821710DE3000</t>
  </si>
  <si>
    <t>821710DE4000</t>
  </si>
  <si>
    <t>821710DE7000</t>
  </si>
  <si>
    <t>821710DF4000</t>
  </si>
  <si>
    <t>821710DF5000</t>
  </si>
  <si>
    <t>821710DQ3000</t>
  </si>
  <si>
    <t>821710DQ5000</t>
  </si>
  <si>
    <t>821710DQ8000</t>
  </si>
  <si>
    <t>821710H07000</t>
  </si>
  <si>
    <t>821710H08000</t>
  </si>
  <si>
    <t>821710H09000</t>
  </si>
  <si>
    <t>821710H10000</t>
  </si>
  <si>
    <t>821710H11000</t>
  </si>
  <si>
    <t>821710H12000</t>
  </si>
  <si>
    <t>821710H23000</t>
  </si>
  <si>
    <t>821710H24000</t>
  </si>
  <si>
    <t>821710H25000</t>
  </si>
  <si>
    <t>821710H26000</t>
  </si>
  <si>
    <t>821710H31000</t>
  </si>
  <si>
    <t>821710H32000</t>
  </si>
  <si>
    <t>821710H33000</t>
  </si>
  <si>
    <t>821710H34000</t>
  </si>
  <si>
    <t>82171K058000</t>
  </si>
  <si>
    <t>82171K059000</t>
  </si>
  <si>
    <t>82171K060000</t>
  </si>
  <si>
    <t>82171K062000</t>
  </si>
  <si>
    <t>82171K064000</t>
  </si>
  <si>
    <t>82171K065000</t>
  </si>
  <si>
    <t>82171K066000</t>
  </si>
  <si>
    <t>82171K067000</t>
  </si>
  <si>
    <t>82171K068000</t>
  </si>
  <si>
    <t>82171K069000</t>
  </si>
  <si>
    <t>82182YP01000</t>
  </si>
  <si>
    <t>821840D04000</t>
  </si>
  <si>
    <t>821840D05000</t>
  </si>
  <si>
    <t>821840D15000</t>
  </si>
  <si>
    <t>821840D18000</t>
  </si>
  <si>
    <t>821840D46100</t>
  </si>
  <si>
    <t>821840D47100</t>
  </si>
  <si>
    <t>821840D48100</t>
  </si>
  <si>
    <t>821840D50000</t>
  </si>
  <si>
    <t>821840D55000</t>
  </si>
  <si>
    <t>821840D56000</t>
  </si>
  <si>
    <t>821840D80000</t>
  </si>
  <si>
    <t>821840D83000</t>
  </si>
  <si>
    <t>821840D84000</t>
  </si>
  <si>
    <t>821840D85000</t>
  </si>
  <si>
    <t>821840DA1100</t>
  </si>
  <si>
    <t>821840DA2100</t>
  </si>
  <si>
    <t>821840DA3100</t>
  </si>
  <si>
    <t>821840DA5100</t>
  </si>
  <si>
    <t>821840DA6100</t>
  </si>
  <si>
    <t>821840DA7100</t>
  </si>
  <si>
    <t>82184K005000</t>
  </si>
  <si>
    <t>82184K013000</t>
  </si>
  <si>
    <t>821850D50000</t>
  </si>
  <si>
    <t>821850D51000</t>
  </si>
  <si>
    <t>821850D53000</t>
  </si>
  <si>
    <t>821850D57000</t>
  </si>
  <si>
    <t>821850DA2000</t>
  </si>
  <si>
    <t>821850DA3000</t>
  </si>
  <si>
    <t>821850DA4000</t>
  </si>
  <si>
    <t>821850DA5000</t>
  </si>
  <si>
    <t>821850DA6000</t>
  </si>
  <si>
    <t>821850DB0000</t>
  </si>
  <si>
    <t>821850DB1000</t>
  </si>
  <si>
    <t>821850DB3000</t>
  </si>
  <si>
    <t>821850DB4000</t>
  </si>
  <si>
    <t>821850DB7000</t>
  </si>
  <si>
    <t>821850DB8000</t>
  </si>
  <si>
    <t>821850DC0000</t>
  </si>
  <si>
    <t>821850DC1000</t>
  </si>
  <si>
    <t>821850DC4100</t>
  </si>
  <si>
    <t>821850DC5100</t>
  </si>
  <si>
    <t>821850DC7100</t>
  </si>
  <si>
    <t>821850DD0100</t>
  </si>
  <si>
    <t>821850DD1100</t>
  </si>
  <si>
    <t>821850DD3100</t>
  </si>
  <si>
    <t>821850DE3100</t>
  </si>
  <si>
    <t>821850DE3200</t>
  </si>
  <si>
    <t>821850DE9100</t>
  </si>
  <si>
    <t>821850DE9200</t>
  </si>
  <si>
    <t>821850DF1200</t>
  </si>
  <si>
    <t>821850DF2100</t>
  </si>
  <si>
    <t>821850DF2200</t>
  </si>
  <si>
    <t>821850DF4100</t>
  </si>
  <si>
    <t>821850DF4200</t>
  </si>
  <si>
    <t>821850DF5100</t>
  </si>
  <si>
    <t>821850DF7100</t>
  </si>
  <si>
    <t>821850DF8100</t>
  </si>
  <si>
    <t>821850DG0100</t>
  </si>
  <si>
    <t>82185K005000</t>
  </si>
  <si>
    <t>82185K007000</t>
  </si>
  <si>
    <t>82185K020000</t>
  </si>
  <si>
    <t>821860D03000</t>
  </si>
  <si>
    <t>821860D29000</t>
  </si>
  <si>
    <t>821910D02000</t>
  </si>
  <si>
    <t>821910D03000</t>
  </si>
  <si>
    <t>822190R02000</t>
  </si>
  <si>
    <t>82219F401000</t>
  </si>
  <si>
    <t>82219K003000</t>
  </si>
  <si>
    <t>82219K004000</t>
  </si>
  <si>
    <t>826660D07000</t>
  </si>
  <si>
    <t>826660D08000</t>
  </si>
  <si>
    <t>826660D11000</t>
  </si>
  <si>
    <t>826660H10000</t>
  </si>
  <si>
    <t>82666K007000</t>
  </si>
  <si>
    <t>82666K009000</t>
  </si>
  <si>
    <t>826690D01000</t>
  </si>
  <si>
    <t>827112A53000</t>
  </si>
  <si>
    <t>827112C25000</t>
  </si>
  <si>
    <t>828150D07000</t>
  </si>
  <si>
    <t>828150D11000</t>
  </si>
  <si>
    <t>828150D22000</t>
  </si>
  <si>
    <t>828150D42000</t>
  </si>
  <si>
    <t>828150D45000</t>
  </si>
  <si>
    <t>828150D47000</t>
  </si>
  <si>
    <t>828150D48000</t>
  </si>
  <si>
    <t>828150D49000</t>
  </si>
  <si>
    <t>828150D50000</t>
  </si>
  <si>
    <t>828150D51000</t>
  </si>
  <si>
    <t>828150D52000</t>
  </si>
  <si>
    <t>828150D59000</t>
  </si>
  <si>
    <t>828150D62000</t>
  </si>
  <si>
    <t>828150D63000</t>
  </si>
  <si>
    <t>828150D67000</t>
  </si>
  <si>
    <t>828150D68000</t>
  </si>
  <si>
    <t>828150D72000</t>
  </si>
  <si>
    <t>828150D73000</t>
  </si>
  <si>
    <t>828150H06000</t>
  </si>
  <si>
    <t>828170D14000</t>
  </si>
  <si>
    <t>828170D18000</t>
  </si>
  <si>
    <t>828170D21000</t>
  </si>
  <si>
    <t>828170D22000</t>
  </si>
  <si>
    <t>828170D50000</t>
  </si>
  <si>
    <t>828170D89000</t>
  </si>
  <si>
    <t>828170DC1000</t>
  </si>
  <si>
    <t>828170DD5000</t>
  </si>
  <si>
    <t>828170DD9000</t>
  </si>
  <si>
    <t>828170DE1000</t>
  </si>
  <si>
    <t>828170DE2000</t>
  </si>
  <si>
    <t>828170DE3000</t>
  </si>
  <si>
    <t>828170DE4000</t>
  </si>
  <si>
    <t>828170DE6000</t>
  </si>
  <si>
    <t>828170DE7000</t>
  </si>
  <si>
    <t>828170DE9000</t>
  </si>
  <si>
    <t>828170DF1000</t>
  </si>
  <si>
    <t>828170DF2000</t>
  </si>
  <si>
    <t>828170DF5000</t>
  </si>
  <si>
    <t>828170DF6000</t>
  </si>
  <si>
    <t>828170DF7000</t>
  </si>
  <si>
    <t>828170DF9000</t>
  </si>
  <si>
    <t>828170DG2000</t>
  </si>
  <si>
    <t>828170DG3000</t>
  </si>
  <si>
    <t>828170DG4000</t>
  </si>
  <si>
    <t>828170H32000</t>
  </si>
  <si>
    <t>828170H33000</t>
  </si>
  <si>
    <t>828170H37000</t>
  </si>
  <si>
    <t>828170H38000</t>
  </si>
  <si>
    <t>8281712B2000</t>
  </si>
  <si>
    <t>8281712J6000</t>
  </si>
  <si>
    <t>8281712J7000</t>
  </si>
  <si>
    <t>8281728G1000</t>
  </si>
  <si>
    <t>828230F02000</t>
  </si>
  <si>
    <t>82823K001000</t>
  </si>
  <si>
    <t>890C00D01000</t>
  </si>
  <si>
    <t>892210D42000</t>
  </si>
  <si>
    <t>892210D86000</t>
  </si>
  <si>
    <t>895160D24000</t>
  </si>
  <si>
    <t>89516K003000</t>
  </si>
  <si>
    <t>89516K004000</t>
  </si>
  <si>
    <t>90980W700300</t>
  </si>
  <si>
    <t>A9078204000</t>
  </si>
  <si>
    <t>A9078207801</t>
  </si>
  <si>
    <t>CZ246470-7292</t>
  </si>
  <si>
    <t>CZ246470-9153</t>
  </si>
  <si>
    <t>CZ246480-2550</t>
  </si>
  <si>
    <t>CZ246480-5502</t>
  </si>
  <si>
    <t>CZ246480-7021</t>
  </si>
  <si>
    <t>CZ246480-7030</t>
  </si>
  <si>
    <t>CZ246510-7400</t>
  </si>
  <si>
    <t>EA5CEH-002</t>
  </si>
  <si>
    <t>EAWCEH-001</t>
  </si>
  <si>
    <t>HU216530-5021</t>
  </si>
  <si>
    <t>HZ224001</t>
  </si>
  <si>
    <t>HZ225001</t>
  </si>
  <si>
    <t>Grand Total</t>
  </si>
  <si>
    <t>IHB0020923</t>
  </si>
  <si>
    <t>821210H53000</t>
  </si>
  <si>
    <t>IHB0021005</t>
  </si>
  <si>
    <t xml:space="preserve">XA998DP </t>
  </si>
  <si>
    <t xml:space="preserve">OLYMPOS SEAWAYS  </t>
  </si>
  <si>
    <t>IHB0021001</t>
  </si>
  <si>
    <t xml:space="preserve">XA669SR </t>
  </si>
  <si>
    <t>IHB0021097</t>
  </si>
  <si>
    <t>A9078203500</t>
  </si>
  <si>
    <t xml:space="preserve">XA614JY </t>
  </si>
  <si>
    <t>IHB0021174</t>
  </si>
  <si>
    <t xml:space="preserve">XA899FA </t>
  </si>
  <si>
    <t>MF246470-9224</t>
  </si>
  <si>
    <t>MF246480-6630</t>
  </si>
  <si>
    <t>IHB0021293</t>
  </si>
  <si>
    <t>821210DG6100</t>
  </si>
  <si>
    <t>821410U35100</t>
  </si>
  <si>
    <t>821410UV6000</t>
  </si>
  <si>
    <t>82141F521000</t>
  </si>
  <si>
    <t>82141F560000</t>
  </si>
  <si>
    <t>821450U26000</t>
  </si>
  <si>
    <t>821460D81000</t>
  </si>
  <si>
    <t>821510DR4100</t>
  </si>
  <si>
    <t>821510DY5100</t>
  </si>
  <si>
    <t>821520DP1100</t>
  </si>
  <si>
    <t>821520DY7100</t>
  </si>
  <si>
    <t>821610DK8000</t>
  </si>
  <si>
    <t>821610UP9000</t>
  </si>
  <si>
    <t>82161K066000</t>
  </si>
  <si>
    <t>821820D06000</t>
  </si>
  <si>
    <t>821840D16000</t>
  </si>
  <si>
    <t>821840D53000</t>
  </si>
  <si>
    <t>821840D81000</t>
  </si>
  <si>
    <t>82666K008000</t>
  </si>
  <si>
    <t>CZ246480-6231</t>
  </si>
  <si>
    <t>821610UV3000</t>
  </si>
  <si>
    <t>828150D60000</t>
  </si>
  <si>
    <t>828170DF3000</t>
  </si>
  <si>
    <t>A9078203800</t>
  </si>
  <si>
    <t>IHB0021448</t>
  </si>
  <si>
    <t>821530DD9100</t>
  </si>
  <si>
    <t>821540DC6100</t>
  </si>
  <si>
    <t>821610U73100</t>
  </si>
  <si>
    <t>821610UG3000</t>
  </si>
  <si>
    <t>821610UG6000</t>
  </si>
  <si>
    <t>821610UG7000</t>
  </si>
  <si>
    <t>821610UG8000</t>
  </si>
  <si>
    <t>821610UG9000</t>
  </si>
  <si>
    <t>821610UJ2000</t>
  </si>
  <si>
    <t>821610UJ3000</t>
  </si>
  <si>
    <t>821610UM0000</t>
  </si>
  <si>
    <t>821610UM3000</t>
  </si>
  <si>
    <t>821610US8000</t>
  </si>
  <si>
    <t>821610US9000</t>
  </si>
  <si>
    <t>821610UT2000</t>
  </si>
  <si>
    <t>821610UT5000</t>
  </si>
  <si>
    <t>821610UT6000</t>
  </si>
  <si>
    <t>821610UT7000</t>
  </si>
  <si>
    <t>821610UT8000</t>
  </si>
  <si>
    <t>821610UT9000</t>
  </si>
  <si>
    <t>821610UU3000</t>
  </si>
  <si>
    <t>821610UU4000</t>
  </si>
  <si>
    <t>821610UU5000</t>
  </si>
  <si>
    <t>821610UU6000</t>
  </si>
  <si>
    <t>821610UU8000</t>
  </si>
  <si>
    <t>821610UU8100</t>
  </si>
  <si>
    <t>821610UU9100</t>
  </si>
  <si>
    <t>821610UV1000</t>
  </si>
  <si>
    <t>821610UV3100</t>
  </si>
  <si>
    <t>821610UV4000</t>
  </si>
  <si>
    <t>821610UV5000</t>
  </si>
  <si>
    <t>821610UV6000</t>
  </si>
  <si>
    <t>821610UV6100</t>
  </si>
  <si>
    <t>821610UV7000</t>
  </si>
  <si>
    <t>821610UV7100</t>
  </si>
  <si>
    <t>821610UV8000</t>
  </si>
  <si>
    <t>821610UV8100</t>
  </si>
  <si>
    <t>821610UW0000</t>
  </si>
  <si>
    <t>821610UW1000</t>
  </si>
  <si>
    <t>821610UW1100</t>
  </si>
  <si>
    <t>821610UW2000</t>
  </si>
  <si>
    <t>821610UW3000</t>
  </si>
  <si>
    <t>821610UW4000</t>
  </si>
  <si>
    <t>821610UW7000</t>
  </si>
  <si>
    <t>821610UW8000</t>
  </si>
  <si>
    <t>821610UW9000</t>
  </si>
  <si>
    <t>821610UX0000</t>
  </si>
  <si>
    <t>821610UX0100</t>
  </si>
  <si>
    <t>821610UX2000</t>
  </si>
  <si>
    <t>821610UX2100</t>
  </si>
  <si>
    <t>821610UX4000</t>
  </si>
  <si>
    <t>821610UX4100</t>
  </si>
  <si>
    <t>821610UX6000</t>
  </si>
  <si>
    <t>821610UY0000</t>
  </si>
  <si>
    <t>821610UY2000</t>
  </si>
  <si>
    <t>821610UZ1000</t>
  </si>
  <si>
    <t>821610UZ1100</t>
  </si>
  <si>
    <t>821610UZ2000</t>
  </si>
  <si>
    <t>821610UZ2100</t>
  </si>
  <si>
    <t>821610UZ4000</t>
  </si>
  <si>
    <t>821610UZ4100</t>
  </si>
  <si>
    <t>821610UZ5000</t>
  </si>
  <si>
    <t>821610UZ5100</t>
  </si>
  <si>
    <t>821610UZ8000</t>
  </si>
  <si>
    <t>821610UZ8100</t>
  </si>
  <si>
    <t>821610UZ9000</t>
  </si>
  <si>
    <t>821610UZ9100</t>
  </si>
  <si>
    <t>82161F501000</t>
  </si>
  <si>
    <t>82161F501100</t>
  </si>
  <si>
    <t>82161F502000</t>
  </si>
  <si>
    <t>82161F502100</t>
  </si>
  <si>
    <t>82161F505000</t>
  </si>
  <si>
    <t>82161F505100</t>
  </si>
  <si>
    <t>82161F506000</t>
  </si>
  <si>
    <t>82161F506100</t>
  </si>
  <si>
    <t>82161F507000</t>
  </si>
  <si>
    <t>82161F508000</t>
  </si>
  <si>
    <t>82161F508100</t>
  </si>
  <si>
    <t>82161F512000</t>
  </si>
  <si>
    <t>82161F512100</t>
  </si>
  <si>
    <t>82161F514000</t>
  </si>
  <si>
    <t>82161F514100</t>
  </si>
  <si>
    <t>82161F517000</t>
  </si>
  <si>
    <t>82161F521000</t>
  </si>
  <si>
    <t>82161F522000</t>
  </si>
  <si>
    <t>82161F522100</t>
  </si>
  <si>
    <t>82161F523000</t>
  </si>
  <si>
    <t>82161F527000</t>
  </si>
  <si>
    <t>82161K0W8000</t>
  </si>
  <si>
    <t>821710DS8000</t>
  </si>
  <si>
    <t>821710DT0000</t>
  </si>
  <si>
    <t>821710DT6000</t>
  </si>
  <si>
    <t>821840DA5000</t>
  </si>
  <si>
    <t>821850DD0000</t>
  </si>
  <si>
    <t>821850DF8000</t>
  </si>
  <si>
    <t>821850DG0000</t>
  </si>
  <si>
    <t>82185K021000</t>
  </si>
  <si>
    <t>828150D54000</t>
  </si>
  <si>
    <t>828170DE0000</t>
  </si>
  <si>
    <t xml:space="preserve">XA363SY </t>
  </si>
  <si>
    <t xml:space="preserve">XA704FS </t>
  </si>
  <si>
    <t>22008-8D02F</t>
  </si>
  <si>
    <t>2E0971951AH</t>
  </si>
  <si>
    <t>A9068203700</t>
  </si>
  <si>
    <t>A9078203900</t>
  </si>
  <si>
    <t>A9078207901</t>
  </si>
  <si>
    <t>IHB0021691</t>
  </si>
  <si>
    <t>IHB0021559</t>
  </si>
  <si>
    <t>CAAU5528330</t>
  </si>
  <si>
    <t xml:space="preserve">XA530PZ </t>
  </si>
  <si>
    <t>MSC JENNY II AO615R</t>
  </si>
  <si>
    <t>A9068204100</t>
  </si>
  <si>
    <t>A9078207701</t>
  </si>
  <si>
    <t>HSS-DVR-PWR2-DTM</t>
  </si>
  <si>
    <t>Vessel Delay</t>
  </si>
  <si>
    <t>4172750</t>
  </si>
  <si>
    <t>4172755</t>
  </si>
  <si>
    <t>5080299</t>
  </si>
  <si>
    <t>5073059</t>
  </si>
  <si>
    <t>5073061</t>
  </si>
  <si>
    <t>4172749</t>
  </si>
  <si>
    <t>4172753</t>
  </si>
  <si>
    <t>5080294</t>
  </si>
  <si>
    <t>5073058</t>
  </si>
  <si>
    <t>4172770</t>
  </si>
  <si>
    <t>4817100</t>
  </si>
  <si>
    <t>4817103</t>
  </si>
  <si>
    <t>4817114</t>
  </si>
  <si>
    <t>4754918</t>
  </si>
  <si>
    <t>4755038</t>
  </si>
  <si>
    <t>4755081</t>
  </si>
  <si>
    <t>5080268</t>
  </si>
  <si>
    <t>5180031</t>
  </si>
  <si>
    <t>5180032</t>
  </si>
  <si>
    <t>5180033</t>
  </si>
  <si>
    <t>5073060</t>
  </si>
  <si>
    <t>4172763</t>
  </si>
  <si>
    <t>4172773</t>
  </si>
  <si>
    <t>7506617</t>
  </si>
  <si>
    <t>4172806</t>
  </si>
  <si>
    <t>4817101</t>
  </si>
  <si>
    <t>5080285</t>
  </si>
  <si>
    <t>4817111</t>
  </si>
  <si>
    <t>5080263</t>
  </si>
  <si>
    <t>4172784</t>
  </si>
  <si>
    <t>4172800</t>
  </si>
  <si>
    <t>4172821</t>
  </si>
  <si>
    <t>4172826</t>
  </si>
  <si>
    <t>5080446</t>
  </si>
  <si>
    <t>5073064</t>
  </si>
  <si>
    <t>4172820</t>
  </si>
  <si>
    <t>4172825</t>
  </si>
  <si>
    <t>4264989</t>
  </si>
  <si>
    <t>4817124</t>
  </si>
  <si>
    <t>4817129</t>
  </si>
  <si>
    <t>4817131</t>
  </si>
  <si>
    <t>4817134</t>
  </si>
  <si>
    <t>4817136</t>
  </si>
  <si>
    <t>4755146</t>
  </si>
  <si>
    <t>5080443</t>
  </si>
  <si>
    <t>5180039</t>
  </si>
  <si>
    <t>5180040</t>
  </si>
  <si>
    <t>5080450</t>
  </si>
  <si>
    <t>4172797</t>
  </si>
  <si>
    <t>7506626</t>
  </si>
  <si>
    <t>7506627</t>
  </si>
  <si>
    <t>4172790</t>
  </si>
  <si>
    <t>4264994</t>
  </si>
  <si>
    <t>4817115</t>
  </si>
  <si>
    <t>4817125</t>
  </si>
  <si>
    <t>4755147</t>
  </si>
  <si>
    <t>5080431</t>
  </si>
  <si>
    <t>4817130</t>
  </si>
  <si>
    <t>5080417</t>
  </si>
  <si>
    <t>5180041</t>
  </si>
  <si>
    <t>4429348</t>
  </si>
  <si>
    <t>4429349</t>
  </si>
  <si>
    <t>4429351</t>
  </si>
  <si>
    <t>4429352</t>
  </si>
  <si>
    <t>4429355</t>
  </si>
  <si>
    <t>4429356</t>
  </si>
  <si>
    <t>4429358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</si>
</sst>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Red]\-0\ "/>
    <numFmt numFmtId="165" formatCode="[$-409]mmmm\-yy;@"/>
  </numFmts>
  <fonts count="1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sz val="11"/>
      <name val="Calibri"/>
      <family val="2"/>
      <scheme val="minor"/>
    </font>
    <font>
      <sz val="10"/>
      <name val="Arial CE"/>
      <charset val="238"/>
    </font>
    <font>
      <sz val="8"/>
      <name val="Calibri"/>
      <family val="2"/>
      <scheme val="minor"/>
    </font>
    <font>
      <sz val="10"/>
      <name val="Arial"/>
      <family val="2"/>
    </font>
    <font>
      <sz val="10"/>
      <name val="Arial"/>
      <family val="2"/>
    </font>
    <font>
      <sz val="11"/>
      <color rgb="FFFF0000"/>
      <name val="Calibri"/>
      <family val="2"/>
      <scheme val="minor"/>
    </font>
    <font>
      <b/>
      <sz val="11"/>
      <color rgb="FF007F5F"/>
      <name val="Calibri"/>
      <family val="2"/>
      <scheme val="minor"/>
    </font>
    <font>
      <sz val="11"/>
      <color rgb="FF007F5F"/>
      <name val="Calibri"/>
      <family val="2"/>
      <scheme val="minor"/>
    </font>
    <font>
      <b/>
      <sz val="11"/>
      <name val="Calibri"/>
      <family val="2"/>
      <scheme val="minor"/>
    </font>
    <font>
      <b/>
      <sz val="11"/>
      <color theme="0"/>
      <name val="Calibri"/>
      <family val="2"/>
      <scheme val="minor"/>
    </font>
    <font>
      <b/>
      <sz val="11"/>
      <color rgb="FFFF0000"/>
      <name val="Calibri"/>
      <family val="2"/>
      <scheme val="minor"/>
    </font>
  </fonts>
  <fills count="32">
    <fill>
      <patternFill patternType="none"/>
    </fill>
    <fill>
      <patternFill patternType="gray125"/>
    </fill>
    <fill>
      <patternFill patternType="solid">
        <fgColor theme="0"/>
        <bgColor indexed="64"/>
      </patternFill>
    </fill>
    <fill>
      <patternFill patternType="solid">
        <fgColor rgb="FFBDD5EA"/>
        <bgColor indexed="64"/>
      </patternFill>
    </fill>
    <fill>
      <patternFill patternType="solid">
        <fgColor rgb="FFF7F7FF"/>
        <bgColor indexed="64"/>
      </patternFill>
    </fill>
    <fill>
      <patternFill patternType="solid">
        <fgColor rgb="FFEDF6F9"/>
        <bgColor indexed="64"/>
      </patternFill>
    </fill>
    <fill>
      <patternFill patternType="solid">
        <fgColor rgb="FFE1E5F2"/>
        <bgColor indexed="64"/>
      </patternFill>
    </fill>
    <fill>
      <patternFill patternType="solid">
        <fgColor rgb="FFBFDBF7"/>
        <bgColor indexed="64"/>
      </patternFill>
    </fill>
    <fill>
      <patternFill patternType="solid">
        <fgColor rgb="FFE1E5F2"/>
        <bgColor indexed="12"/>
      </patternFill>
    </fill>
    <fill>
      <patternFill patternType="solid">
        <fgColor rgb="FFFFFFFF"/>
        <bgColor indexed="64"/>
      </patternFill>
    </fill>
    <fill>
      <patternFill patternType="solid">
        <fgColor rgb="FFEDF1F5"/>
        <bgColor indexed="64"/>
      </patternFill>
    </fill>
    <fill>
      <patternFill patternType="solid">
        <fgColor rgb="FFA7C7E7"/>
        <bgColor indexed="64"/>
      </patternFill>
    </fill>
    <fill>
      <patternFill patternType="solid">
        <fgColor rgb="FF9FD5C0"/>
        <bgColor indexed="64"/>
      </patternFill>
    </fill>
    <fill>
      <patternFill patternType="solid">
        <fgColor rgb="FFFFCCB6"/>
        <bgColor indexed="64"/>
      </patternFill>
    </fill>
    <fill>
      <patternFill patternType="solid">
        <fgColor rgb="FFD2E1FF"/>
        <bgColor indexed="64"/>
      </patternFill>
    </fill>
    <fill>
      <patternFill patternType="solid">
        <fgColor rgb="FFFFD2D2"/>
        <bgColor indexed="64"/>
      </patternFill>
    </fill>
    <fill>
      <gradientFill>
        <stop position="0">
          <color rgb="FFD2E1FF"/>
        </stop>
        <stop position="1">
          <color rgb="FFFFD2D2"/>
        </stop>
      </gradientFill>
    </fill>
    <fill>
      <patternFill patternType="solid">
        <fgColor rgb="FF9EB3C2"/>
        <bgColor indexed="64"/>
      </patternFill>
    </fill>
    <fill>
      <patternFill patternType="solid">
        <fgColor rgb="FFC7F9CC"/>
        <bgColor indexed="64"/>
      </patternFill>
    </fill>
    <fill>
      <patternFill patternType="solid">
        <fgColor theme="9" tint="0.59999389629810485"/>
        <bgColor theme="4" tint="0.79998168889431442"/>
      </patternFill>
    </fill>
    <fill>
      <patternFill patternType="solid">
        <fgColor rgb="FFE7ECEF"/>
        <bgColor indexed="64"/>
      </patternFill>
    </fill>
    <fill>
      <patternFill patternType="solid">
        <fgColor theme="9" tint="0.59999389629810485"/>
        <bgColor indexed="64"/>
      </patternFill>
    </fill>
    <fill>
      <patternFill patternType="solid">
        <fgColor theme="0"/>
        <bgColor auto="1"/>
      </patternFill>
    </fill>
    <fill>
      <patternFill patternType="solid">
        <fgColor rgb="FFECF39E"/>
        <bgColor indexed="64"/>
      </patternFill>
    </fill>
    <fill>
      <patternFill patternType="solid">
        <fgColor rgb="FFDEE2E6"/>
        <bgColor indexed="64"/>
      </patternFill>
    </fill>
    <fill>
      <patternFill patternType="solid">
        <fgColor rgb="FFDEE2E6"/>
        <bgColor theme="4" tint="0.79998168889431442"/>
      </patternFill>
    </fill>
    <fill>
      <patternFill patternType="solid">
        <fgColor theme="9" tint="0.79998168889431442"/>
        <bgColor indexed="64"/>
      </patternFill>
    </fill>
    <fill>
      <patternFill patternType="solid">
        <fgColor rgb="FFC6E0B4"/>
        <bgColor theme="4" tint="0.79998168889431442"/>
      </patternFill>
    </fill>
    <fill>
      <patternFill patternType="solid">
        <fgColor rgb="FFC6E0B4"/>
        <bgColor indexed="64"/>
      </patternFill>
    </fill>
    <fill>
      <patternFill patternType="solid">
        <fgColor theme="7" tint="0.79998168889431442"/>
        <bgColor indexed="64"/>
      </patternFill>
    </fill>
    <fill>
      <patternFill patternType="solid">
        <fgColor rgb="FFFFCCD5"/>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10">
    <xf numFmtId="0" fontId="0" fillId="0" borderId="0"/>
    <xf numFmtId="0" fontId="4" fillId="0" borderId="0"/>
    <xf numFmtId="0" fontId="6" fillId="0" borderId="0"/>
    <xf numFmtId="0" fontId="4" fillId="0" borderId="0">
      <alignment vertical="top"/>
    </xf>
    <xf numFmtId="0" fontId="4" fillId="0" borderId="0"/>
    <xf numFmtId="0" fontId="8" fillId="0" borderId="0"/>
    <xf numFmtId="0" fontId="1" fillId="0" borderId="0"/>
    <xf numFmtId="0" fontId="4" fillId="0" borderId="0"/>
    <xf numFmtId="0" fontId="4" fillId="0" borderId="0">
      <alignment vertical="top"/>
    </xf>
    <xf numFmtId="0" fontId="9" fillId="0" borderId="0"/>
  </cellStyleXfs>
  <cellXfs count="233">
    <xf numFmtId="0" fontId="0" fillId="0" borderId="0" xfId="0"/>
    <xf numFmtId="0" fontId="0" fillId="0" borderId="0" xfId="0" applyFont="1"/>
    <xf numFmtId="0" fontId="0" fillId="2" borderId="0" xfId="0" applyFont="1" applyFill="1"/>
    <xf numFmtId="0" fontId="0" fillId="2" borderId="0" xfId="0" applyFont="1" applyFill="1" applyAlignment="1">
      <alignment horizontal="center" vertical="center"/>
    </xf>
    <xf numFmtId="164" fontId="5" fillId="0" borderId="0" xfId="1" applyNumberFormat="1" applyFont="1" applyBorder="1" applyAlignment="1">
      <alignment horizontal="center" vertical="center"/>
    </xf>
    <xf numFmtId="0" fontId="3" fillId="2" borderId="0" xfId="0" applyFont="1" applyFill="1" applyAlignment="1">
      <alignment horizontal="center" vertical="center"/>
    </xf>
    <xf numFmtId="0" fontId="3" fillId="2" borderId="0" xfId="0" applyFont="1" applyFill="1"/>
    <xf numFmtId="0" fontId="2" fillId="2" borderId="2" xfId="0" applyFont="1" applyFill="1" applyBorder="1" applyAlignment="1"/>
    <xf numFmtId="164" fontId="0" fillId="2" borderId="0" xfId="0" applyNumberFormat="1" applyFont="1" applyFill="1"/>
    <xf numFmtId="164" fontId="0" fillId="0" borderId="0" xfId="0" applyNumberFormat="1" applyFont="1"/>
    <xf numFmtId="0" fontId="0" fillId="0" borderId="6" xfId="0" applyFont="1" applyFill="1" applyBorder="1"/>
    <xf numFmtId="0" fontId="0" fillId="0" borderId="20" xfId="0" applyFont="1" applyFill="1" applyBorder="1"/>
    <xf numFmtId="0" fontId="0" fillId="0" borderId="12" xfId="0" applyFont="1" applyFill="1" applyBorder="1"/>
    <xf numFmtId="164" fontId="1" fillId="5" borderId="2" xfId="2" applyNumberFormat="1" applyFont="1" applyFill="1" applyBorder="1" applyAlignment="1">
      <alignment horizontal="center" vertical="center"/>
    </xf>
    <xf numFmtId="0" fontId="2" fillId="7" borderId="2" xfId="0" applyFont="1" applyFill="1" applyBorder="1"/>
    <xf numFmtId="165" fontId="2" fillId="8" borderId="2" xfId="3" applyNumberFormat="1" applyFont="1" applyFill="1" applyBorder="1" applyAlignment="1">
      <alignment horizontal="left" vertical="center"/>
    </xf>
    <xf numFmtId="165" fontId="2" fillId="8" borderId="15" xfId="3" applyNumberFormat="1" applyFont="1" applyFill="1" applyBorder="1" applyAlignment="1">
      <alignment vertical="center"/>
    </xf>
    <xf numFmtId="0" fontId="0" fillId="0" borderId="0" xfId="0" applyFont="1" applyFill="1"/>
    <xf numFmtId="0" fontId="3" fillId="0" borderId="0" xfId="0" applyFont="1" applyFill="1"/>
    <xf numFmtId="0" fontId="0" fillId="0" borderId="24" xfId="0" applyFill="1" applyBorder="1" applyAlignment="1">
      <alignment horizontal="center" vertical="center"/>
    </xf>
    <xf numFmtId="0" fontId="0" fillId="0" borderId="0" xfId="0" applyFill="1" applyAlignment="1">
      <alignment horizontal="center" vertical="center"/>
    </xf>
    <xf numFmtId="0" fontId="0" fillId="0" borderId="0" xfId="0" applyFill="1" applyAlignment="1">
      <alignment horizontal="center" vertical="center" wrapText="1"/>
    </xf>
    <xf numFmtId="0" fontId="0" fillId="0" borderId="12" xfId="0" applyFill="1" applyBorder="1" applyAlignment="1">
      <alignment horizontal="center" vertical="center" wrapText="1"/>
    </xf>
    <xf numFmtId="0" fontId="0" fillId="9" borderId="18" xfId="0" applyFont="1" applyFill="1" applyBorder="1" applyAlignment="1">
      <alignment horizontal="center" vertical="center"/>
    </xf>
    <xf numFmtId="0" fontId="2" fillId="5" borderId="13" xfId="0" applyFont="1" applyFill="1" applyBorder="1" applyAlignment="1">
      <alignment vertical="center"/>
    </xf>
    <xf numFmtId="0" fontId="2" fillId="5" borderId="14" xfId="0" applyFont="1" applyFill="1" applyBorder="1" applyAlignment="1">
      <alignment vertical="center"/>
    </xf>
    <xf numFmtId="0" fontId="2" fillId="5" borderId="15" xfId="0" applyFont="1" applyFill="1" applyBorder="1" applyAlignment="1">
      <alignment vertical="center"/>
    </xf>
    <xf numFmtId="0" fontId="0" fillId="10" borderId="19" xfId="0" applyFont="1" applyFill="1" applyBorder="1" applyAlignment="1">
      <alignment horizontal="center" vertical="center"/>
    </xf>
    <xf numFmtId="0" fontId="0" fillId="10" borderId="20" xfId="0" applyFont="1" applyFill="1" applyBorder="1" applyAlignment="1">
      <alignment horizontal="center" vertical="center"/>
    </xf>
    <xf numFmtId="16" fontId="0" fillId="10" borderId="23" xfId="0" applyNumberFormat="1" applyFont="1" applyFill="1" applyBorder="1" applyAlignment="1">
      <alignment horizontal="center" vertical="center"/>
    </xf>
    <xf numFmtId="164" fontId="0" fillId="10" borderId="21" xfId="0" applyNumberFormat="1" applyFont="1" applyFill="1" applyBorder="1" applyAlignment="1">
      <alignment horizontal="center" vertical="center"/>
    </xf>
    <xf numFmtId="0" fontId="0" fillId="10" borderId="22" xfId="0" applyFont="1" applyFill="1" applyBorder="1" applyAlignment="1">
      <alignment horizontal="center" vertical="center"/>
    </xf>
    <xf numFmtId="164" fontId="0" fillId="10" borderId="7" xfId="0" applyNumberFormat="1" applyFont="1" applyFill="1" applyBorder="1" applyAlignment="1">
      <alignment horizontal="center" vertical="center"/>
    </xf>
    <xf numFmtId="0" fontId="0" fillId="11" borderId="21" xfId="0" applyFont="1" applyFill="1" applyBorder="1" applyAlignment="1">
      <alignment horizontal="center" vertical="center"/>
    </xf>
    <xf numFmtId="0" fontId="0" fillId="11" borderId="7" xfId="0" applyFont="1" applyFill="1" applyBorder="1" applyAlignment="1">
      <alignment horizontal="center" vertical="center"/>
    </xf>
    <xf numFmtId="0" fontId="0" fillId="11" borderId="22" xfId="0" applyFont="1" applyFill="1" applyBorder="1" applyAlignment="1">
      <alignment horizontal="center" vertical="center"/>
    </xf>
    <xf numFmtId="0" fontId="0" fillId="11" borderId="1" xfId="0" applyFont="1" applyFill="1" applyBorder="1" applyAlignment="1">
      <alignment horizontal="center" vertical="center"/>
    </xf>
    <xf numFmtId="164" fontId="1" fillId="11" borderId="7" xfId="2" applyNumberFormat="1" applyFont="1" applyFill="1" applyBorder="1" applyAlignment="1">
      <alignment horizontal="center" vertical="center"/>
    </xf>
    <xf numFmtId="0" fontId="0" fillId="12" borderId="19" xfId="0" applyFont="1" applyFill="1" applyBorder="1" applyAlignment="1">
      <alignment horizontal="center" vertical="center"/>
    </xf>
    <xf numFmtId="0" fontId="0" fillId="12" borderId="20" xfId="0" applyFont="1" applyFill="1" applyBorder="1" applyAlignment="1">
      <alignment horizontal="center" vertical="center"/>
    </xf>
    <xf numFmtId="0" fontId="0" fillId="12" borderId="18" xfId="0" applyFont="1" applyFill="1" applyBorder="1" applyAlignment="1">
      <alignment horizontal="center" vertical="center"/>
    </xf>
    <xf numFmtId="164" fontId="1" fillId="12" borderId="7" xfId="2" applyNumberFormat="1" applyFont="1" applyFill="1" applyBorder="1" applyAlignment="1">
      <alignment horizontal="center" vertical="center"/>
    </xf>
    <xf numFmtId="0" fontId="0" fillId="13" borderId="19" xfId="0" applyFont="1" applyFill="1" applyBorder="1" applyAlignment="1">
      <alignment horizontal="center" vertical="center"/>
    </xf>
    <xf numFmtId="0" fontId="0" fillId="13" borderId="20" xfId="0" applyFont="1" applyFill="1" applyBorder="1" applyAlignment="1">
      <alignment horizontal="center" vertical="center"/>
    </xf>
    <xf numFmtId="16" fontId="0" fillId="13" borderId="23" xfId="0" applyNumberFormat="1" applyFont="1" applyFill="1" applyBorder="1" applyAlignment="1">
      <alignment horizontal="center" vertical="center"/>
    </xf>
    <xf numFmtId="0" fontId="0" fillId="13" borderId="18" xfId="0" applyFont="1" applyFill="1" applyBorder="1" applyAlignment="1">
      <alignment horizontal="center" vertical="center"/>
    </xf>
    <xf numFmtId="0" fontId="10" fillId="2" borderId="0" xfId="0" applyFont="1" applyFill="1"/>
    <xf numFmtId="0" fontId="2" fillId="2" borderId="0" xfId="0" applyFont="1" applyFill="1" applyBorder="1" applyAlignment="1"/>
    <xf numFmtId="0" fontId="0" fillId="14" borderId="20" xfId="0" applyFont="1" applyFill="1" applyBorder="1"/>
    <xf numFmtId="0" fontId="0" fillId="15" borderId="20" xfId="0" applyFont="1" applyFill="1" applyBorder="1"/>
    <xf numFmtId="0" fontId="0" fillId="16" borderId="20" xfId="0" applyFont="1" applyFill="1" applyBorder="1"/>
    <xf numFmtId="0" fontId="2" fillId="15" borderId="1" xfId="0" applyFont="1" applyFill="1" applyBorder="1"/>
    <xf numFmtId="0" fontId="2" fillId="14" borderId="1" xfId="0" applyFont="1" applyFill="1" applyBorder="1"/>
    <xf numFmtId="49" fontId="2" fillId="16" borderId="1" xfId="0" applyNumberFormat="1" applyFont="1" applyFill="1" applyBorder="1" applyAlignment="1">
      <alignment horizontal="left" vertical="center"/>
    </xf>
    <xf numFmtId="0" fontId="11" fillId="9" borderId="19" xfId="0" applyFont="1" applyFill="1" applyBorder="1" applyAlignment="1">
      <alignment horizontal="center" vertical="center"/>
    </xf>
    <xf numFmtId="0" fontId="11" fillId="9" borderId="20" xfId="0" applyFont="1" applyFill="1" applyBorder="1" applyAlignment="1">
      <alignment horizontal="center" vertical="center"/>
    </xf>
    <xf numFmtId="16" fontId="11" fillId="9" borderId="23" xfId="0" applyNumberFormat="1" applyFont="1" applyFill="1" applyBorder="1" applyAlignment="1">
      <alignment horizontal="center" vertical="center"/>
    </xf>
    <xf numFmtId="0" fontId="12" fillId="9" borderId="18" xfId="0" applyFont="1" applyFill="1" applyBorder="1" applyAlignment="1">
      <alignment horizontal="center" vertical="center"/>
    </xf>
    <xf numFmtId="164" fontId="1" fillId="17" borderId="2" xfId="2" applyNumberFormat="1" applyFont="1" applyFill="1" applyBorder="1" applyAlignment="1">
      <alignment horizontal="center" vertical="center"/>
    </xf>
    <xf numFmtId="0" fontId="0" fillId="2" borderId="19" xfId="0" applyFont="1" applyFill="1" applyBorder="1" applyAlignment="1">
      <alignment horizontal="center" vertical="center"/>
    </xf>
    <xf numFmtId="164" fontId="1" fillId="2" borderId="7" xfId="2" applyNumberFormat="1" applyFont="1" applyFill="1" applyBorder="1" applyAlignment="1">
      <alignment horizontal="center" vertical="center"/>
    </xf>
    <xf numFmtId="0" fontId="2" fillId="17" borderId="13" xfId="0" applyFont="1" applyFill="1" applyBorder="1" applyAlignment="1">
      <alignment vertical="center"/>
    </xf>
    <xf numFmtId="0" fontId="2" fillId="17" borderId="14" xfId="0" applyFont="1" applyFill="1" applyBorder="1" applyAlignment="1">
      <alignment vertical="center"/>
    </xf>
    <xf numFmtId="0" fontId="2" fillId="17" borderId="15" xfId="0" applyFont="1" applyFill="1" applyBorder="1" applyAlignment="1">
      <alignment vertical="center"/>
    </xf>
    <xf numFmtId="0" fontId="0" fillId="18" borderId="1" xfId="0" applyFont="1" applyFill="1" applyBorder="1" applyAlignment="1">
      <alignment horizontal="center" vertical="center"/>
    </xf>
    <xf numFmtId="14" fontId="0" fillId="18" borderId="1" xfId="0" applyNumberFormat="1" applyFont="1" applyFill="1" applyBorder="1" applyAlignment="1">
      <alignment horizontal="center" vertical="center"/>
    </xf>
    <xf numFmtId="0" fontId="0" fillId="19" borderId="1" xfId="0" applyFill="1" applyBorder="1"/>
    <xf numFmtId="0" fontId="0" fillId="7" borderId="1" xfId="0" applyFill="1" applyBorder="1"/>
    <xf numFmtId="14" fontId="0" fillId="21" borderId="1" xfId="0" applyNumberFormat="1" applyFill="1" applyBorder="1"/>
    <xf numFmtId="14" fontId="0" fillId="7" borderId="1" xfId="0" applyNumberFormat="1" applyFill="1" applyBorder="1"/>
    <xf numFmtId="0" fontId="0" fillId="6" borderId="21" xfId="0" applyFill="1" applyBorder="1"/>
    <xf numFmtId="0" fontId="0" fillId="6" borderId="19" xfId="0" applyFill="1" applyBorder="1"/>
    <xf numFmtId="0" fontId="0" fillId="0" borderId="19" xfId="0" applyBorder="1"/>
    <xf numFmtId="0" fontId="0" fillId="0" borderId="28" xfId="0" applyBorder="1"/>
    <xf numFmtId="0" fontId="0" fillId="6" borderId="7" xfId="0" applyFill="1" applyBorder="1"/>
    <xf numFmtId="0" fontId="0" fillId="6" borderId="20" xfId="0" applyFill="1" applyBorder="1"/>
    <xf numFmtId="0" fontId="0" fillId="0" borderId="20" xfId="0" applyBorder="1"/>
    <xf numFmtId="0" fontId="0" fillId="6" borderId="22" xfId="0" applyFill="1" applyBorder="1"/>
    <xf numFmtId="0" fontId="0" fillId="6" borderId="23" xfId="0" applyFill="1" applyBorder="1"/>
    <xf numFmtId="0" fontId="0" fillId="0" borderId="23" xfId="0" applyBorder="1"/>
    <xf numFmtId="0" fontId="0" fillId="20" borderId="1" xfId="0" applyFill="1" applyBorder="1"/>
    <xf numFmtId="0" fontId="2" fillId="0" borderId="20" xfId="0" applyNumberFormat="1" applyFont="1" applyFill="1" applyBorder="1" applyAlignment="1">
      <alignment horizontal="left" vertical="center"/>
    </xf>
    <xf numFmtId="0" fontId="2" fillId="14" borderId="20" xfId="0" applyNumberFormat="1" applyFont="1" applyFill="1" applyBorder="1" applyAlignment="1">
      <alignment horizontal="left" vertical="center"/>
    </xf>
    <xf numFmtId="0" fontId="2" fillId="16" borderId="20" xfId="0" applyNumberFormat="1" applyFont="1" applyFill="1" applyBorder="1" applyAlignment="1">
      <alignment horizontal="left" vertical="center"/>
    </xf>
    <xf numFmtId="0" fontId="2" fillId="5" borderId="14" xfId="0" applyNumberFormat="1" applyFont="1" applyFill="1" applyBorder="1" applyAlignment="1">
      <alignment vertical="center"/>
    </xf>
    <xf numFmtId="0" fontId="2" fillId="15" borderId="20" xfId="0" applyNumberFormat="1" applyFont="1" applyFill="1" applyBorder="1" applyAlignment="1">
      <alignment horizontal="left" vertical="center"/>
    </xf>
    <xf numFmtId="0" fontId="2" fillId="5" borderId="14" xfId="0" applyNumberFormat="1" applyFont="1" applyFill="1" applyBorder="1" applyAlignment="1">
      <alignment horizontal="left" vertical="center"/>
    </xf>
    <xf numFmtId="0" fontId="0" fillId="0" borderId="20" xfId="0" applyNumberFormat="1" applyFont="1" applyFill="1" applyBorder="1" applyAlignment="1">
      <alignment horizontal="left" vertical="center"/>
    </xf>
    <xf numFmtId="0" fontId="0" fillId="14" borderId="20" xfId="0" applyNumberFormat="1" applyFont="1" applyFill="1" applyBorder="1" applyAlignment="1">
      <alignment horizontal="left" vertical="center"/>
    </xf>
    <xf numFmtId="0" fontId="0" fillId="16" borderId="20" xfId="0" applyNumberFormat="1" applyFont="1" applyFill="1" applyBorder="1" applyAlignment="1">
      <alignment horizontal="left" vertical="center"/>
    </xf>
    <xf numFmtId="0" fontId="0" fillId="15" borderId="20" xfId="0" applyNumberFormat="1" applyFont="1" applyFill="1" applyBorder="1" applyAlignment="1">
      <alignment horizontal="left" vertical="center"/>
    </xf>
    <xf numFmtId="0" fontId="0" fillId="20" borderId="1" xfId="0" applyFill="1" applyBorder="1" applyAlignment="1">
      <alignment vertical="center"/>
    </xf>
    <xf numFmtId="0" fontId="0" fillId="6" borderId="4" xfId="0" applyFont="1" applyFill="1" applyBorder="1" applyAlignment="1">
      <alignment vertical="center"/>
    </xf>
    <xf numFmtId="0" fontId="0" fillId="6" borderId="27" xfId="0" applyFont="1" applyFill="1" applyBorder="1" applyAlignment="1">
      <alignment vertical="center"/>
    </xf>
    <xf numFmtId="0" fontId="0" fillId="2" borderId="20" xfId="0" applyNumberFormat="1" applyFont="1" applyFill="1" applyBorder="1" applyAlignment="1">
      <alignment horizontal="left" vertical="center"/>
    </xf>
    <xf numFmtId="0" fontId="2" fillId="2" borderId="20" xfId="0" applyNumberFormat="1" applyFont="1" applyFill="1" applyBorder="1" applyAlignment="1">
      <alignment horizontal="left" vertical="center"/>
    </xf>
    <xf numFmtId="0" fontId="0" fillId="22" borderId="20" xfId="0" applyNumberFormat="1" applyFont="1" applyFill="1" applyBorder="1" applyAlignment="1">
      <alignment horizontal="left" vertical="center"/>
    </xf>
    <xf numFmtId="0" fontId="2" fillId="22" borderId="20" xfId="0" applyNumberFormat="1" applyFont="1" applyFill="1" applyBorder="1" applyAlignment="1">
      <alignment horizontal="left" vertical="center"/>
    </xf>
    <xf numFmtId="0" fontId="2" fillId="2" borderId="14" xfId="0" applyNumberFormat="1" applyFont="1" applyFill="1" applyBorder="1" applyAlignment="1">
      <alignment horizontal="left" vertical="center"/>
    </xf>
    <xf numFmtId="0" fontId="2" fillId="2" borderId="14" xfId="0" applyNumberFormat="1" applyFont="1" applyFill="1" applyBorder="1" applyAlignment="1">
      <alignment vertical="center"/>
    </xf>
    <xf numFmtId="164" fontId="1" fillId="13" borderId="7" xfId="2" applyNumberFormat="1" applyFont="1" applyFill="1" applyBorder="1" applyAlignment="1">
      <alignment horizontal="center" vertical="center"/>
    </xf>
    <xf numFmtId="16" fontId="0" fillId="12" borderId="23" xfId="0" applyNumberFormat="1" applyFont="1" applyFill="1" applyBorder="1" applyAlignment="1">
      <alignment horizontal="center" vertical="center"/>
    </xf>
    <xf numFmtId="0" fontId="13" fillId="9" borderId="19" xfId="0" applyFont="1" applyFill="1" applyBorder="1" applyAlignment="1">
      <alignment horizontal="center" vertical="center"/>
    </xf>
    <xf numFmtId="0" fontId="13" fillId="9" borderId="20" xfId="0" applyFont="1" applyFill="1" applyBorder="1" applyAlignment="1">
      <alignment horizontal="center" vertical="center"/>
    </xf>
    <xf numFmtId="16" fontId="13" fillId="9" borderId="23" xfId="0" applyNumberFormat="1" applyFont="1" applyFill="1" applyBorder="1" applyAlignment="1">
      <alignment horizontal="center" vertical="center"/>
    </xf>
    <xf numFmtId="0" fontId="0" fillId="23" borderId="19" xfId="0" applyFont="1" applyFill="1" applyBorder="1" applyAlignment="1">
      <alignment horizontal="center" vertical="center"/>
    </xf>
    <xf numFmtId="0" fontId="0" fillId="23" borderId="20" xfId="0" applyFont="1" applyFill="1" applyBorder="1" applyAlignment="1">
      <alignment horizontal="center" vertical="center"/>
    </xf>
    <xf numFmtId="16" fontId="0" fillId="23" borderId="23" xfId="0" applyNumberFormat="1" applyFont="1" applyFill="1" applyBorder="1" applyAlignment="1">
      <alignment horizontal="center" vertical="center"/>
    </xf>
    <xf numFmtId="0" fontId="0" fillId="23" borderId="18" xfId="0" applyFont="1" applyFill="1" applyBorder="1" applyAlignment="1">
      <alignment horizontal="center" vertical="center"/>
    </xf>
    <xf numFmtId="164" fontId="0" fillId="23" borderId="25" xfId="0" applyNumberFormat="1" applyFont="1" applyFill="1" applyBorder="1" applyAlignment="1">
      <alignment horizontal="center" vertical="center"/>
    </xf>
    <xf numFmtId="0" fontId="0" fillId="23" borderId="26" xfId="0" applyFont="1" applyFill="1" applyBorder="1" applyAlignment="1">
      <alignment horizontal="center" vertical="center"/>
    </xf>
    <xf numFmtId="0" fontId="0" fillId="23" borderId="25" xfId="0" applyFont="1" applyFill="1" applyBorder="1" applyAlignment="1">
      <alignment horizontal="center" vertical="center"/>
    </xf>
    <xf numFmtId="0" fontId="0" fillId="18" borderId="1" xfId="0" applyFill="1" applyBorder="1"/>
    <xf numFmtId="14" fontId="0" fillId="18" borderId="1" xfId="0" applyNumberFormat="1" applyFill="1" applyBorder="1"/>
    <xf numFmtId="0" fontId="0" fillId="18" borderId="1" xfId="0" applyFill="1" applyBorder="1" applyAlignment="1">
      <alignment horizontal="center" vertical="center"/>
    </xf>
    <xf numFmtId="0" fontId="0" fillId="0" borderId="0" xfId="0" applyFill="1" applyBorder="1"/>
    <xf numFmtId="0" fontId="0" fillId="0" borderId="20" xfId="0" applyFill="1" applyBorder="1"/>
    <xf numFmtId="0" fontId="0" fillId="2" borderId="1" xfId="0" applyFill="1" applyBorder="1" applyAlignment="1">
      <alignment horizontal="center" vertical="center"/>
    </xf>
    <xf numFmtId="0" fontId="13" fillId="2" borderId="1" xfId="0" applyFont="1" applyFill="1" applyBorder="1" applyAlignment="1">
      <alignment horizontal="center" vertical="center"/>
    </xf>
    <xf numFmtId="0" fontId="0" fillId="0" borderId="21" xfId="0" applyBorder="1"/>
    <xf numFmtId="0" fontId="0" fillId="0" borderId="7" xfId="0" applyBorder="1"/>
    <xf numFmtId="0" fontId="0" fillId="0" borderId="22" xfId="0" applyBorder="1"/>
    <xf numFmtId="164" fontId="1" fillId="11" borderId="29" xfId="2" applyNumberFormat="1" applyFont="1" applyFill="1" applyBorder="1" applyAlignment="1">
      <alignment horizontal="center" vertical="center"/>
    </xf>
    <xf numFmtId="164" fontId="1" fillId="5" borderId="13" xfId="2" applyNumberFormat="1" applyFont="1" applyFill="1" applyBorder="1" applyAlignment="1">
      <alignment horizontal="center" vertical="center"/>
    </xf>
    <xf numFmtId="164" fontId="11" fillId="9" borderId="21" xfId="0" applyNumberFormat="1" applyFont="1" applyFill="1" applyBorder="1" applyAlignment="1">
      <alignment horizontal="center" vertical="center"/>
    </xf>
    <xf numFmtId="0" fontId="11" fillId="9" borderId="7" xfId="0" applyFont="1" applyFill="1" applyBorder="1" applyAlignment="1">
      <alignment horizontal="center" vertical="center"/>
    </xf>
    <xf numFmtId="0" fontId="11" fillId="9" borderId="22" xfId="0" applyFont="1" applyFill="1" applyBorder="1" applyAlignment="1">
      <alignment horizontal="center" vertical="center"/>
    </xf>
    <xf numFmtId="0" fontId="11" fillId="9" borderId="23" xfId="0" applyFont="1" applyFill="1" applyBorder="1" applyAlignment="1">
      <alignment horizontal="center" vertical="center"/>
    </xf>
    <xf numFmtId="164" fontId="1" fillId="12" borderId="20" xfId="2" applyNumberFormat="1" applyFont="1" applyFill="1" applyBorder="1" applyAlignment="1">
      <alignment horizontal="center" vertical="center"/>
    </xf>
    <xf numFmtId="164" fontId="11" fillId="9" borderId="19" xfId="0" applyNumberFormat="1" applyFont="1" applyFill="1" applyBorder="1" applyAlignment="1">
      <alignment horizontal="center" vertical="center"/>
    </xf>
    <xf numFmtId="164" fontId="0" fillId="23" borderId="20" xfId="0" applyNumberFormat="1" applyFont="1" applyFill="1" applyBorder="1" applyAlignment="1">
      <alignment horizontal="center" vertical="center"/>
    </xf>
    <xf numFmtId="0" fontId="0" fillId="11" borderId="30" xfId="0" applyFont="1" applyFill="1" applyBorder="1" applyAlignment="1">
      <alignment horizontal="center" vertical="center"/>
    </xf>
    <xf numFmtId="0" fontId="0" fillId="11" borderId="29" xfId="0" applyFont="1" applyFill="1" applyBorder="1" applyAlignment="1">
      <alignment horizontal="center" vertical="center"/>
    </xf>
    <xf numFmtId="0" fontId="0" fillId="11" borderId="31" xfId="0" applyFont="1" applyFill="1" applyBorder="1" applyAlignment="1">
      <alignment horizontal="center" vertical="center"/>
    </xf>
    <xf numFmtId="0" fontId="0" fillId="11" borderId="16" xfId="0" applyFont="1" applyFill="1" applyBorder="1" applyAlignment="1">
      <alignment horizontal="center" vertical="center"/>
    </xf>
    <xf numFmtId="164" fontId="1" fillId="17" borderId="13" xfId="2" applyNumberFormat="1" applyFont="1" applyFill="1" applyBorder="1" applyAlignment="1">
      <alignment horizontal="center" vertical="center"/>
    </xf>
    <xf numFmtId="0" fontId="13" fillId="9" borderId="21" xfId="0" applyFont="1" applyFill="1" applyBorder="1" applyAlignment="1">
      <alignment horizontal="center" vertical="center"/>
    </xf>
    <xf numFmtId="0" fontId="13" fillId="9" borderId="7" xfId="0" applyFont="1" applyFill="1" applyBorder="1" applyAlignment="1">
      <alignment horizontal="center" vertical="center"/>
    </xf>
    <xf numFmtId="16" fontId="13" fillId="9" borderId="22" xfId="0" applyNumberFormat="1" applyFont="1" applyFill="1" applyBorder="1" applyAlignment="1">
      <alignment horizontal="center" vertical="center"/>
    </xf>
    <xf numFmtId="0" fontId="0" fillId="9" borderId="1" xfId="0" applyFont="1" applyFill="1" applyBorder="1" applyAlignment="1">
      <alignment horizontal="center" vertical="center"/>
    </xf>
    <xf numFmtId="0" fontId="0" fillId="9" borderId="20" xfId="0" applyFont="1" applyFill="1" applyBorder="1" applyAlignment="1">
      <alignment horizontal="center" vertical="center"/>
    </xf>
    <xf numFmtId="0" fontId="0" fillId="9" borderId="7" xfId="0" applyFont="1" applyFill="1" applyBorder="1" applyAlignment="1">
      <alignment horizontal="center" vertical="center"/>
    </xf>
    <xf numFmtId="0" fontId="14" fillId="2" borderId="0" xfId="0" applyFont="1" applyFill="1" applyAlignment="1">
      <alignment horizontal="center" vertical="center"/>
    </xf>
    <xf numFmtId="0" fontId="14" fillId="2" borderId="0" xfId="0" applyFont="1" applyFill="1"/>
    <xf numFmtId="0" fontId="2" fillId="14" borderId="1" xfId="0" applyFont="1" applyFill="1" applyBorder="1" applyAlignment="1">
      <alignment horizontal="left" vertical="top"/>
    </xf>
    <xf numFmtId="0" fontId="0" fillId="24" borderId="19" xfId="0" applyFont="1" applyFill="1" applyBorder="1" applyAlignment="1">
      <alignment horizontal="center" vertical="center"/>
    </xf>
    <xf numFmtId="0" fontId="0" fillId="24" borderId="20" xfId="0" applyFont="1" applyFill="1" applyBorder="1" applyAlignment="1">
      <alignment horizontal="center" vertical="center"/>
    </xf>
    <xf numFmtId="16" fontId="0" fillId="24" borderId="23" xfId="0" applyNumberFormat="1" applyFont="1" applyFill="1" applyBorder="1" applyAlignment="1">
      <alignment horizontal="center" vertical="center"/>
    </xf>
    <xf numFmtId="0" fontId="0" fillId="24" borderId="18" xfId="0" applyFont="1" applyFill="1" applyBorder="1" applyAlignment="1">
      <alignment horizontal="center" vertical="center"/>
    </xf>
    <xf numFmtId="164" fontId="1" fillId="24" borderId="7" xfId="2" applyNumberFormat="1" applyFont="1" applyFill="1" applyBorder="1" applyAlignment="1">
      <alignment horizontal="center" vertical="center"/>
    </xf>
    <xf numFmtId="0" fontId="13" fillId="24" borderId="21" xfId="0" applyFont="1" applyFill="1" applyBorder="1" applyAlignment="1">
      <alignment horizontal="center" vertical="center"/>
    </xf>
    <xf numFmtId="0" fontId="13" fillId="24" borderId="7" xfId="0" applyFont="1" applyFill="1" applyBorder="1" applyAlignment="1">
      <alignment horizontal="center" vertical="center"/>
    </xf>
    <xf numFmtId="16" fontId="13" fillId="24" borderId="22" xfId="0" applyNumberFormat="1" applyFont="1" applyFill="1" applyBorder="1" applyAlignment="1">
      <alignment horizontal="center" vertical="center"/>
    </xf>
    <xf numFmtId="0" fontId="0" fillId="24" borderId="1" xfId="0" applyFont="1" applyFill="1" applyBorder="1" applyAlignment="1">
      <alignment horizontal="center" vertical="center"/>
    </xf>
    <xf numFmtId="0" fontId="0" fillId="24" borderId="7" xfId="0" applyFont="1" applyFill="1" applyBorder="1" applyAlignment="1">
      <alignment horizontal="center" vertical="center"/>
    </xf>
    <xf numFmtId="0" fontId="0" fillId="25" borderId="1" xfId="0" applyFill="1" applyBorder="1"/>
    <xf numFmtId="14" fontId="0" fillId="24" borderId="1" xfId="0" applyNumberFormat="1" applyFill="1" applyBorder="1"/>
    <xf numFmtId="0" fontId="0" fillId="24" borderId="19" xfId="0" applyFill="1" applyBorder="1"/>
    <xf numFmtId="0" fontId="0" fillId="24" borderId="20" xfId="0" applyFill="1" applyBorder="1"/>
    <xf numFmtId="0" fontId="0" fillId="24" borderId="23" xfId="0" applyFill="1" applyBorder="1"/>
    <xf numFmtId="0" fontId="5" fillId="2" borderId="0" xfId="0" applyFont="1" applyFill="1" applyAlignment="1">
      <alignment horizontal="center" vertical="center"/>
    </xf>
    <xf numFmtId="0" fontId="5" fillId="2" borderId="0" xfId="0" applyFont="1" applyFill="1"/>
    <xf numFmtId="0" fontId="13" fillId="2" borderId="0" xfId="0" applyFont="1" applyFill="1" applyAlignment="1">
      <alignment horizontal="center" vertical="center"/>
    </xf>
    <xf numFmtId="0" fontId="13" fillId="2" borderId="0" xfId="0" applyFont="1" applyFill="1"/>
    <xf numFmtId="164" fontId="5" fillId="2" borderId="0" xfId="0" applyNumberFormat="1" applyFont="1" applyFill="1" applyAlignment="1">
      <alignment horizontal="center" vertical="center"/>
    </xf>
    <xf numFmtId="0" fontId="0" fillId="23" borderId="20" xfId="0" applyFill="1" applyBorder="1"/>
    <xf numFmtId="0" fontId="2" fillId="24" borderId="1" xfId="0" applyFont="1" applyFill="1" applyBorder="1" applyAlignment="1">
      <alignment horizontal="center" vertical="center"/>
    </xf>
    <xf numFmtId="0" fontId="0" fillId="18" borderId="1" xfId="0" applyFill="1" applyBorder="1" applyAlignment="1">
      <alignment horizontal="left" vertical="center"/>
    </xf>
    <xf numFmtId="0" fontId="0" fillId="18" borderId="12" xfId="0" applyFont="1" applyFill="1" applyBorder="1"/>
    <xf numFmtId="0" fontId="0" fillId="26" borderId="7" xfId="0" applyFill="1" applyBorder="1"/>
    <xf numFmtId="0" fontId="0" fillId="26" borderId="20" xfId="0" applyFill="1" applyBorder="1"/>
    <xf numFmtId="0" fontId="0" fillId="26" borderId="22" xfId="0" applyFill="1" applyBorder="1"/>
    <xf numFmtId="0" fontId="0" fillId="26" borderId="23" xfId="0" applyFill="1" applyBorder="1"/>
    <xf numFmtId="0" fontId="0" fillId="24" borderId="1" xfId="0" applyFill="1" applyBorder="1"/>
    <xf numFmtId="0" fontId="11" fillId="9" borderId="21" xfId="0" applyFont="1" applyFill="1" applyBorder="1" applyAlignment="1">
      <alignment horizontal="center" vertical="center"/>
    </xf>
    <xf numFmtId="16" fontId="11" fillId="9" borderId="22" xfId="0" applyNumberFormat="1" applyFont="1" applyFill="1" applyBorder="1" applyAlignment="1">
      <alignment horizontal="center" vertical="center"/>
    </xf>
    <xf numFmtId="0" fontId="11" fillId="9" borderId="1" xfId="0" applyFont="1" applyFill="1" applyBorder="1" applyAlignment="1">
      <alignment horizontal="center" vertical="center"/>
    </xf>
    <xf numFmtId="0" fontId="11" fillId="9" borderId="18" xfId="0" applyFont="1" applyFill="1" applyBorder="1" applyAlignment="1">
      <alignment horizontal="center" vertical="center"/>
    </xf>
    <xf numFmtId="0" fontId="11" fillId="2" borderId="0" xfId="0" applyFont="1" applyFill="1" applyAlignment="1">
      <alignment horizontal="center" vertical="center"/>
    </xf>
    <xf numFmtId="0" fontId="0" fillId="27" borderId="1" xfId="0" applyFill="1" applyBorder="1"/>
    <xf numFmtId="0" fontId="0" fillId="28" borderId="1" xfId="0" applyFill="1" applyBorder="1"/>
    <xf numFmtId="14" fontId="0" fillId="28" borderId="1" xfId="0" applyNumberFormat="1" applyFill="1" applyBorder="1"/>
    <xf numFmtId="16" fontId="0" fillId="0" borderId="0" xfId="0" applyNumberFormat="1"/>
    <xf numFmtId="0" fontId="0" fillId="0" borderId="0" xfId="0" applyAlignment="1">
      <alignment horizontal="left"/>
    </xf>
    <xf numFmtId="0" fontId="0" fillId="0" borderId="0" xfId="0" pivotButton="1"/>
    <xf numFmtId="0" fontId="0" fillId="20" borderId="16" xfId="0" applyFill="1" applyBorder="1"/>
    <xf numFmtId="164" fontId="1" fillId="29" borderId="7" xfId="2" applyNumberFormat="1" applyFont="1" applyFill="1" applyBorder="1" applyAlignment="1">
      <alignment horizontal="center" vertical="center"/>
    </xf>
    <xf numFmtId="0" fontId="0" fillId="30" borderId="1" xfId="0" applyFont="1" applyFill="1" applyBorder="1" applyAlignment="1">
      <alignment horizontal="center" vertical="center"/>
    </xf>
    <xf numFmtId="14" fontId="0" fillId="30" borderId="1" xfId="0" applyNumberFormat="1" applyFont="1" applyFill="1" applyBorder="1" applyAlignment="1">
      <alignment horizontal="center" vertical="center"/>
    </xf>
    <xf numFmtId="164" fontId="1" fillId="23" borderId="7" xfId="2" applyNumberFormat="1" applyFont="1" applyFill="1" applyBorder="1" applyAlignment="1">
      <alignment horizontal="center" vertical="center"/>
    </xf>
    <xf numFmtId="0" fontId="0" fillId="0" borderId="1" xfId="0" applyBorder="1"/>
    <xf numFmtId="0" fontId="0" fillId="0" borderId="1" xfId="0" applyBorder="1" applyAlignment="1">
      <alignment horizontal="left" vertical="center"/>
    </xf>
    <xf numFmtId="14" fontId="0" fillId="0" borderId="1" xfId="0" applyNumberFormat="1" applyBorder="1"/>
    <xf numFmtId="0" fontId="0" fillId="2" borderId="1" xfId="0" applyFill="1" applyBorder="1" applyAlignment="1">
      <alignment horizontal="left" vertical="center"/>
    </xf>
    <xf numFmtId="0" fontId="0" fillId="21" borderId="1" xfId="0" applyFill="1" applyBorder="1"/>
    <xf numFmtId="0" fontId="15" fillId="31" borderId="1" xfId="0" applyFont="1" applyFill="1" applyBorder="1" applyAlignment="1">
      <alignment horizontal="center" vertical="center"/>
    </xf>
    <xf numFmtId="0" fontId="2" fillId="6" borderId="13" xfId="0" applyFont="1" applyFill="1" applyBorder="1" applyAlignment="1">
      <alignment horizontal="left" vertical="center"/>
    </xf>
    <xf numFmtId="0" fontId="2" fillId="6" borderId="15" xfId="0" applyFont="1" applyFill="1" applyBorder="1" applyAlignment="1">
      <alignment horizontal="left" vertical="center"/>
    </xf>
    <xf numFmtId="17" fontId="0" fillId="3" borderId="16" xfId="0" applyNumberFormat="1" applyFont="1" applyFill="1" applyBorder="1" applyAlignment="1">
      <alignment horizontal="center" vertical="center"/>
    </xf>
    <xf numFmtId="17" fontId="0" fillId="3" borderId="17" xfId="0" applyNumberFormat="1" applyFont="1" applyFill="1" applyBorder="1" applyAlignment="1">
      <alignment horizontal="center" vertical="center"/>
    </xf>
    <xf numFmtId="17" fontId="0" fillId="3" borderId="18" xfId="0" applyNumberFormat="1" applyFont="1" applyFill="1" applyBorder="1" applyAlignment="1">
      <alignment horizontal="center" vertical="center"/>
    </xf>
    <xf numFmtId="17" fontId="5" fillId="3" borderId="16" xfId="0" applyNumberFormat="1" applyFont="1" applyFill="1" applyBorder="1" applyAlignment="1">
      <alignment horizontal="center" vertical="center"/>
    </xf>
    <xf numFmtId="17" fontId="5" fillId="3" borderId="17" xfId="0" applyNumberFormat="1" applyFont="1" applyFill="1" applyBorder="1" applyAlignment="1">
      <alignment horizontal="center" vertical="center"/>
    </xf>
    <xf numFmtId="17" fontId="5" fillId="3" borderId="18" xfId="0" applyNumberFormat="1" applyFont="1" applyFill="1" applyBorder="1" applyAlignment="1">
      <alignment horizontal="center" vertical="center"/>
    </xf>
    <xf numFmtId="0" fontId="0" fillId="0" borderId="16" xfId="0" applyFont="1" applyFill="1" applyBorder="1" applyAlignment="1">
      <alignment horizontal="center" vertical="center"/>
    </xf>
    <xf numFmtId="0" fontId="0" fillId="0" borderId="17" xfId="0" applyFont="1" applyFill="1" applyBorder="1" applyAlignment="1">
      <alignment horizontal="center" vertical="center"/>
    </xf>
    <xf numFmtId="0" fontId="0" fillId="0" borderId="18" xfId="0" applyFont="1" applyFill="1" applyBorder="1" applyAlignment="1">
      <alignment horizontal="center" vertical="center"/>
    </xf>
    <xf numFmtId="17" fontId="0" fillId="4" borderId="16" xfId="0" applyNumberFormat="1" applyFont="1" applyFill="1" applyBorder="1" applyAlignment="1">
      <alignment horizontal="center" vertical="center"/>
    </xf>
    <xf numFmtId="17" fontId="0" fillId="4" borderId="17" xfId="0" applyNumberFormat="1" applyFont="1" applyFill="1" applyBorder="1" applyAlignment="1">
      <alignment horizontal="center" vertical="center"/>
    </xf>
    <xf numFmtId="17" fontId="0" fillId="4" borderId="18" xfId="0" applyNumberFormat="1" applyFont="1" applyFill="1" applyBorder="1" applyAlignment="1">
      <alignment horizontal="center" vertical="center"/>
    </xf>
    <xf numFmtId="17" fontId="0" fillId="4" borderId="32" xfId="0" applyNumberFormat="1" applyFont="1" applyFill="1" applyBorder="1" applyAlignment="1">
      <alignment horizontal="center" vertical="center"/>
    </xf>
    <xf numFmtId="0" fontId="13" fillId="2" borderId="16" xfId="0" applyFont="1" applyFill="1" applyBorder="1" applyAlignment="1">
      <alignment horizontal="center" vertical="center"/>
    </xf>
    <xf numFmtId="0" fontId="13" fillId="2" borderId="18" xfId="0" applyFont="1" applyFill="1" applyBorder="1" applyAlignment="1">
      <alignment horizontal="center" vertical="center"/>
    </xf>
    <xf numFmtId="0" fontId="0" fillId="6" borderId="3" xfId="0" applyFont="1" applyFill="1" applyBorder="1" applyAlignment="1">
      <alignment horizontal="center" vertical="center"/>
    </xf>
    <xf numFmtId="0" fontId="0" fillId="6" borderId="6" xfId="0" applyFont="1" applyFill="1" applyBorder="1" applyAlignment="1">
      <alignment horizontal="center" vertical="center"/>
    </xf>
    <xf numFmtId="0" fontId="0" fillId="6" borderId="9" xfId="0" applyFont="1" applyFill="1" applyBorder="1" applyAlignment="1">
      <alignment horizontal="center" vertical="center"/>
    </xf>
    <xf numFmtId="0" fontId="0" fillId="6" borderId="4" xfId="0" applyFont="1" applyFill="1" applyBorder="1" applyAlignment="1">
      <alignment horizontal="center" vertical="center"/>
    </xf>
    <xf numFmtId="0" fontId="0" fillId="6" borderId="7" xfId="0" applyFont="1" applyFill="1" applyBorder="1" applyAlignment="1">
      <alignment horizontal="center" vertical="center"/>
    </xf>
    <xf numFmtId="0" fontId="0" fillId="6" borderId="10" xfId="0" applyFont="1" applyFill="1" applyBorder="1" applyAlignment="1">
      <alignment horizontal="center" vertical="center"/>
    </xf>
    <xf numFmtId="0" fontId="0" fillId="6" borderId="27" xfId="0" applyFont="1" applyFill="1" applyBorder="1" applyAlignment="1">
      <alignment horizontal="center" vertical="center"/>
    </xf>
    <xf numFmtId="0" fontId="0" fillId="6" borderId="4" xfId="0" applyFont="1" applyFill="1" applyBorder="1" applyAlignment="1">
      <alignment horizontal="center" vertical="center" wrapText="1"/>
    </xf>
    <xf numFmtId="0" fontId="0" fillId="6" borderId="7" xfId="0" applyFont="1" applyFill="1" applyBorder="1" applyAlignment="1">
      <alignment horizontal="center" vertical="center" wrapText="1"/>
    </xf>
    <xf numFmtId="0" fontId="0" fillId="6" borderId="10" xfId="0" applyFont="1" applyFill="1" applyBorder="1" applyAlignment="1">
      <alignment horizontal="center" vertical="center" wrapText="1"/>
    </xf>
    <xf numFmtId="0" fontId="0" fillId="6" borderId="5" xfId="0" applyFont="1" applyFill="1" applyBorder="1" applyAlignment="1">
      <alignment horizontal="center" vertical="center" wrapText="1"/>
    </xf>
    <xf numFmtId="0" fontId="0" fillId="6" borderId="8" xfId="0" applyFont="1" applyFill="1" applyBorder="1" applyAlignment="1">
      <alignment horizontal="center" vertical="center" wrapText="1"/>
    </xf>
    <xf numFmtId="0" fontId="0" fillId="6" borderId="11" xfId="0" applyFont="1" applyFill="1" applyBorder="1" applyAlignment="1">
      <alignment horizontal="center" vertical="center" wrapText="1"/>
    </xf>
    <xf numFmtId="0" fontId="2" fillId="24" borderId="16" xfId="0" applyFont="1" applyFill="1" applyBorder="1" applyAlignment="1">
      <alignment horizontal="center" vertical="center"/>
    </xf>
    <xf numFmtId="0" fontId="2" fillId="24" borderId="17" xfId="0" applyFont="1" applyFill="1" applyBorder="1" applyAlignment="1">
      <alignment horizontal="center" vertical="center"/>
    </xf>
    <xf numFmtId="0" fontId="2" fillId="24" borderId="18" xfId="0" applyFont="1" applyFill="1" applyBorder="1" applyAlignment="1">
      <alignment horizontal="center" vertical="center"/>
    </xf>
    <xf numFmtId="14" fontId="0" fillId="18" borderId="16" xfId="0" applyNumberFormat="1" applyFont="1" applyFill="1" applyBorder="1" applyAlignment="1">
      <alignment horizontal="center" vertical="center"/>
    </xf>
    <xf numFmtId="14" fontId="0" fillId="18" borderId="18" xfId="0" applyNumberFormat="1" applyFont="1" applyFill="1" applyBorder="1" applyAlignment="1">
      <alignment horizontal="center" vertical="center"/>
    </xf>
    <xf numFmtId="0" fontId="0" fillId="7" borderId="1" xfId="0" applyFill="1" applyBorder="1" applyAlignment="1">
      <alignment horizontal="left" vertical="center"/>
    </xf>
    <xf numFmtId="49" fontId="0" fillId="0" borderId="0" xfId="0" applyNumberFormat="1"/>
  </cellXfs>
  <cellStyles count="10">
    <cellStyle name="AutoFormat-Optionen" xfId="2" xr:uid="{ADF07CE6-BB07-4554-83F9-7A0E658A11BA}"/>
    <cellStyle name="Normal" xfId="0" builtinId="0"/>
    <cellStyle name="Normal 2" xfId="3" xr:uid="{CC0468A8-2D0C-4E3C-9EA9-EA37153B26A2}"/>
    <cellStyle name="Normal 2 2" xfId="8" xr:uid="{A19DAB5F-BC5F-4953-A444-BDB4FFEBA7AA}"/>
    <cellStyle name="Normal 2 3" xfId="7" xr:uid="{D73DD9A1-35B4-43F7-80B9-09B5516286B5}"/>
    <cellStyle name="Normal 3" xfId="4" xr:uid="{D068877B-D0F0-460D-BBAE-7500F90CCC48}"/>
    <cellStyle name="Normal 4" xfId="6" xr:uid="{B4941C80-ACC8-4201-B87B-244116605D2E}"/>
    <cellStyle name="Normal 5" xfId="5" xr:uid="{28CD09EB-914C-44B5-B177-B4C9AE145076}"/>
    <cellStyle name="Normal 5 2" xfId="9" xr:uid="{EDF6B92C-8055-4E24-A111-E6788BCEDC7F}"/>
    <cellStyle name="Normal_Model forecast_Stock Position Report TMMF 15-02-2011-2" xfId="1" xr:uid="{F57AC36E-F167-439C-98E8-9E7DCB93B557}"/>
  </cellStyles>
  <dxfs count="1595">
    <dxf>
      <font>
        <color rgb="FF9C0006"/>
      </font>
      <fill>
        <patternFill>
          <bgColor rgb="FFFFC7CE"/>
        </patternFill>
      </fill>
    </dxf>
    <dxf>
      <font>
        <color rgb="FF9C6500"/>
      </font>
      <fill>
        <patternFill>
          <bgColor rgb="FFFFEB9C"/>
        </patternFill>
      </fill>
    </dxf>
    <dxf>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theme="1"/>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ill>
        <gradientFill degree="90">
          <stop position="0">
            <color theme="0"/>
          </stop>
          <stop position="1">
            <color rgb="FFFF0000"/>
          </stop>
        </gradientFill>
      </fill>
    </dxf>
    <dxf>
      <font>
        <b/>
        <i val="0"/>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theme="0"/>
      </font>
      <fill>
        <patternFill>
          <bgColor rgb="FFFF0000"/>
        </patternFill>
      </fill>
    </dxf>
    <dxf>
      <font>
        <color theme="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ont>
        <color theme="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CCD5"/>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ill>
        <patternFill>
          <bgColor rgb="FFFFFF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color auto="1"/>
      </font>
      <fill>
        <gradientFill degree="90">
          <stop position="0">
            <color theme="0"/>
          </stop>
          <stop position="1">
            <color rgb="FFFF0000"/>
          </stop>
        </gradient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color theme="1"/>
      </font>
      <fill>
        <gradientFill degree="90">
          <stop position="0">
            <color theme="0"/>
          </stop>
          <stop position="1">
            <color rgb="FFFF0000"/>
          </stop>
        </gradient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ill>
        <patternFill>
          <bgColor rgb="FFFFFF00"/>
        </patternFill>
      </fill>
    </dxf>
    <dxf>
      <font>
        <color theme="1"/>
      </font>
      <fill>
        <gradientFill degree="90">
          <stop position="0">
            <color theme="0"/>
          </stop>
          <stop position="1">
            <color rgb="FFFF0000"/>
          </stop>
        </gradientFill>
      </fill>
    </dxf>
    <dxf>
      <font>
        <b/>
        <i val="0"/>
        <color theme="0"/>
      </font>
      <fill>
        <patternFill>
          <bgColor rgb="FFFF0000"/>
        </patternFill>
      </fill>
    </dxf>
    <dxf>
      <font>
        <b/>
        <i val="0"/>
        <color auto="1"/>
      </font>
      <fill>
        <gradientFill degree="90">
          <stop position="0">
            <color theme="0"/>
          </stop>
          <stop position="1">
            <color rgb="FFFF0000"/>
          </stop>
        </gradient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0"/>
      </font>
      <fill>
        <patternFill>
          <bgColor rgb="FFFF00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auto="1"/>
      </font>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color theme="0"/>
      </font>
      <fill>
        <patternFill>
          <bgColor rgb="FFEF233C"/>
        </patternFill>
      </fill>
    </dxf>
    <dxf>
      <font>
        <b/>
        <i val="0"/>
        <color theme="0"/>
      </font>
      <fill>
        <patternFill>
          <bgColor rgb="FFEF233C"/>
        </patternFill>
      </fill>
    </dxf>
    <dxf>
      <font>
        <b/>
        <i val="0"/>
        <color theme="1"/>
      </font>
      <fill>
        <patternFill>
          <bgColor rgb="FF95D5B2"/>
        </patternFill>
      </fill>
    </dxf>
    <dxf>
      <font>
        <b/>
        <i val="0"/>
      </font>
      <fill>
        <patternFill patternType="solid">
          <fgColor auto="1"/>
          <bgColor rgb="FFF6B076"/>
        </patternFill>
      </fill>
      <border>
        <left style="thin">
          <color auto="1"/>
        </left>
        <right style="thin">
          <color auto="1"/>
        </right>
        <top style="thin">
          <color auto="1"/>
        </top>
        <bottom style="thin">
          <color auto="1"/>
        </bottom>
      </border>
    </dxf>
    <dxf>
      <font>
        <color theme="1"/>
      </font>
      <fill>
        <gradientFill degree="90">
          <stop position="0">
            <color theme="0"/>
          </stop>
          <stop position="1">
            <color rgb="FFFF0000"/>
          </stop>
        </gradientFill>
      </fill>
    </dxf>
    <dxf>
      <font>
        <b/>
        <i val="0"/>
        <color theme="0"/>
      </font>
      <fill>
        <patternFill>
          <bgColor rgb="FFFF0000"/>
        </patternFill>
      </fill>
    </dxf>
    <dxf>
      <fill>
        <patternFill>
          <bgColor rgb="FFFFFF00"/>
        </patternFill>
      </fill>
    </dxf>
    <dxf>
      <font>
        <b/>
        <i val="0"/>
      </font>
      <fill>
        <gradientFill degree="90">
          <stop position="0">
            <color theme="0"/>
          </stop>
          <stop position="1">
            <color rgb="FFFF0000"/>
          </stop>
        </gradientFill>
      </fill>
    </dxf>
    <dxf>
      <font>
        <color rgb="FF9C6500"/>
      </font>
      <fill>
        <patternFill>
          <bgColor rgb="FFFFEB9C"/>
        </patternFill>
      </fill>
    </dxf>
    <dxf>
      <fill>
        <gradientFill degree="90">
          <stop position="0">
            <color theme="0"/>
          </stop>
          <stop position="1">
            <color rgb="FFFF0000"/>
          </stop>
        </gradientFill>
      </fill>
    </dxf>
    <dxf>
      <font>
        <color theme="1"/>
      </font>
      <fill>
        <gradientFill degree="90">
          <stop position="0">
            <color theme="0"/>
          </stop>
          <stop position="1">
            <color rgb="FFFF0000"/>
          </stop>
        </gradient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theme="1"/>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ill>
        <gradientFill degree="90">
          <stop position="0">
            <color theme="0"/>
          </stop>
          <stop position="1">
            <color rgb="FFFF0000"/>
          </stop>
        </gradientFill>
      </fill>
    </dxf>
    <dxf>
      <font>
        <b/>
        <i val="0"/>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gradientFill degree="90">
          <stop position="0">
            <color theme="0"/>
          </stop>
          <stop position="1">
            <color rgb="FFFF0000"/>
          </stop>
        </gradient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ill>
        <gradientFill degree="90">
          <stop position="0">
            <color theme="0"/>
          </stop>
          <stop position="1">
            <color rgb="FFFF0000"/>
          </stop>
        </gradientFill>
      </fill>
    </dxf>
    <dxf>
      <font>
        <color theme="1"/>
      </font>
      <fill>
        <gradientFill degree="90">
          <stop position="0">
            <color theme="0"/>
          </stop>
          <stop position="1">
            <color rgb="FFFF0000"/>
          </stop>
        </gradientFill>
      </fill>
    </dxf>
    <dxf>
      <font>
        <b/>
        <i val="0"/>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theme="1"/>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ill>
        <gradientFill degree="90">
          <stop position="0">
            <color theme="0"/>
          </stop>
          <stop position="1">
            <color rgb="FFFF0000"/>
          </stop>
        </gradientFill>
      </fill>
    </dxf>
    <dxf>
      <font>
        <b/>
        <i val="0"/>
      </font>
      <fill>
        <gradientFill degree="90">
          <stop position="0">
            <color theme="0"/>
          </stop>
          <stop position="1">
            <color rgb="FFFF0000"/>
          </stop>
        </gradientFill>
      </fill>
    </dxf>
    <dxf>
      <font>
        <color rgb="FF9C0006"/>
      </font>
      <fill>
        <patternFill>
          <bgColor rgb="FFFFC7CE"/>
        </patternFill>
      </fill>
    </dxf>
    <dxf>
      <font>
        <color rgb="FF9C6500"/>
      </font>
      <fill>
        <patternFill>
          <bgColor rgb="FFFFEB9C"/>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D5"/>
      <color rgb="FFC7F9CC"/>
      <color rgb="FFECF39E"/>
      <color rgb="FFDEE2E6"/>
      <color rgb="FFC6E0B4"/>
      <color rgb="FF007F5F"/>
      <color rgb="FFFFE2D5"/>
      <color rgb="FFFFCCB6"/>
      <color rgb="FFFFD2D2"/>
      <color rgb="FFD2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33620</xdr:colOff>
      <xdr:row>0</xdr:row>
      <xdr:rowOff>11206</xdr:rowOff>
    </xdr:from>
    <xdr:to>
      <xdr:col>2</xdr:col>
      <xdr:colOff>1221444</xdr:colOff>
      <xdr:row>2</xdr:row>
      <xdr:rowOff>67234</xdr:rowOff>
    </xdr:to>
    <xdr:pic>
      <xdr:nvPicPr>
        <xdr:cNvPr id="2" name="Picture 1" descr="Adient Logo Vector Free Download | Logowik">
          <a:extLst>
            <a:ext uri="{FF2B5EF4-FFF2-40B4-BE49-F238E27FC236}">
              <a16:creationId xmlns:a16="http://schemas.microsoft.com/office/drawing/2014/main" id="{CAAA049A-2DCF-7481-82E0-EE72516F102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24819" r="-950" b="23123"/>
        <a:stretch/>
      </xdr:blipFill>
      <xdr:spPr bwMode="auto">
        <a:xfrm>
          <a:off x="1994649" y="11206"/>
          <a:ext cx="1187824" cy="459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280148</xdr:colOff>
      <xdr:row>1</xdr:row>
      <xdr:rowOff>107768</xdr:rowOff>
    </xdr:from>
    <xdr:to>
      <xdr:col>2</xdr:col>
      <xdr:colOff>1019735</xdr:colOff>
      <xdr:row>4</xdr:row>
      <xdr:rowOff>179294</xdr:rowOff>
    </xdr:to>
    <xdr:pic>
      <xdr:nvPicPr>
        <xdr:cNvPr id="5" name="Picture 4" descr="Volvo logo PNG transparent image download, size: 2278x1909px">
          <a:extLst>
            <a:ext uri="{FF2B5EF4-FFF2-40B4-BE49-F238E27FC236}">
              <a16:creationId xmlns:a16="http://schemas.microsoft.com/office/drawing/2014/main" id="{2AA2D3B9-073C-13E0-B5EB-D1D91411AD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1177" y="309474"/>
          <a:ext cx="739587" cy="676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Galal, Mohamed (Port Said)" id="{103E92DD-C4F5-4359-AC7B-2352BCDAA886}" userId="S::Mohamed.Galal@SEWS-E.com::f116ce06-813b-4c37-8a46-e0ca4e936c82"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galalm\AppData\Local\Microsoft\Windows\INetCache\Content.Outlook\BSXFH1KN\CAR_STOCK2026420.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lal, Mohamed (Port Said)" refreshedDate="46132.31173090278" createdVersion="8" refreshedVersion="8" minRefreshableVersion="3" recordCount="2006" xr:uid="{907EEB96-1AC4-4585-A49B-D40165568162}">
  <cacheSource type="worksheet">
    <worksheetSource ref="A1:H2007" sheet="CAR_STOCK2026420" r:id="rId2"/>
  </cacheSource>
  <cacheFields count="8">
    <cacheField name="CAR CD" numFmtId="0">
      <sharedItems/>
    </cacheField>
    <cacheField name="CAR MODEL" numFmtId="0">
      <sharedItems/>
    </cacheField>
    <cacheField name="PART NO" numFmtId="0">
      <sharedItems containsMixedTypes="1" containsNumber="1" containsInteger="1" minValue="66514" maxValue="3028929900000" count="1655">
        <n v="18114183"/>
        <n v="18114184"/>
        <n v="18114187"/>
        <n v="18114190"/>
        <n v="18114196"/>
        <n v="18114200"/>
        <n v="18114204"/>
        <n v="18114208"/>
        <n v="3847649"/>
        <n v="3905868"/>
        <n v="4433024"/>
        <s v="423372-10140"/>
        <s v="0304-307-0019"/>
        <s v="821210H46200"/>
        <s v="821210H50200"/>
        <s v="821530H02000"/>
        <s v="8211106Y3300"/>
        <s v="8211106Y4300"/>
        <s v="8211106Y7300"/>
        <n v="821140602000"/>
        <n v="821140602100"/>
        <s v="8211506B9300"/>
        <s v="8211506D6200"/>
        <s v="8211506Q5000"/>
        <n v="8212106"/>
        <s v="8212106F6000"/>
        <n v="822170601000"/>
        <n v="822180601000"/>
        <n v="822840601000"/>
        <n v="822840602000"/>
        <s v="CZ246470-7292"/>
        <s v="CZ246470-9153"/>
        <s v="CZ246480-2550"/>
        <s v="CZ246480-5502"/>
        <s v="CZ246480-6231"/>
        <s v="CZ246480-7021"/>
        <s v="CZ246480-7030"/>
        <s v="CZ246510-7400"/>
        <s v="HU216530-5021"/>
        <s v="2E0971951AH"/>
        <s v="A9068203700"/>
        <s v="A9068204100"/>
        <s v="A9078203500"/>
        <s v="A9078203800"/>
        <s v="A9078203900"/>
        <s v="A9078204000"/>
        <s v="A9078207701"/>
        <s v="A9078207801"/>
        <s v="A9078207901"/>
        <n v="16475139"/>
        <n v="66514"/>
        <n v="66515"/>
        <n v="52429761"/>
        <n v="52429763"/>
        <n v="52401164"/>
        <n v="52422968"/>
        <n v="52422969"/>
        <n v="52422972"/>
        <n v="52422973"/>
        <n v="52422974"/>
        <n v="52422975"/>
        <n v="52428032"/>
        <s v="MF246470-9224"/>
        <s v="MF246480-6630"/>
        <s v="4152H1"/>
        <s v="HSS-DVR-PWR2-DTM"/>
        <n v="986846552"/>
        <n v="605696551"/>
        <n v="632736553"/>
        <n v="986846554"/>
        <n v="3481915"/>
        <n v="3481927"/>
        <n v="3482121"/>
        <n v="3482174"/>
        <n v="3671435"/>
        <n v="3671453"/>
        <n v="3756424"/>
        <n v="3756429"/>
        <n v="3756602"/>
        <n v="3756618"/>
        <n v="3756686"/>
        <n v="3756714"/>
        <n v="3757551"/>
        <n v="3757556"/>
        <n v="3757559"/>
        <n v="3757563"/>
        <n v="3757567"/>
        <n v="3757574"/>
        <n v="3757581"/>
        <n v="3757583"/>
        <n v="3757584"/>
        <n v="4115906"/>
        <n v="4139263"/>
        <n v="4139264"/>
        <n v="4139265"/>
        <n v="4147728"/>
        <n v="4147729"/>
        <n v="4172749"/>
        <n v="4172750"/>
        <n v="4172753"/>
        <n v="4172755"/>
        <n v="4172759"/>
        <n v="4172763"/>
        <n v="4172771"/>
        <n v="4172773"/>
        <n v="4172784"/>
        <n v="4172789"/>
        <n v="4172790"/>
        <n v="4172800"/>
        <n v="4172820"/>
        <n v="4172821"/>
        <n v="4172825"/>
        <n v="4172826"/>
        <n v="4176514"/>
        <n v="4210465"/>
        <n v="4210467"/>
        <n v="4210468"/>
        <n v="4264989"/>
        <n v="4264992"/>
        <n v="4264994"/>
        <n v="4360036"/>
        <n v="4360038"/>
        <n v="4360039"/>
        <n v="4360040"/>
        <n v="4360041"/>
        <n v="4360042"/>
        <n v="4360043"/>
        <n v="4360044"/>
        <n v="4383053"/>
        <n v="4429348"/>
        <n v="4429349"/>
        <n v="4429351"/>
        <n v="4429352"/>
        <n v="4429355"/>
        <n v="4429356"/>
        <n v="4429358"/>
        <n v="4754918"/>
        <n v="4755038"/>
        <n v="4755081"/>
        <n v="4755146"/>
        <n v="4755147"/>
        <n v="4817100"/>
        <n v="4817101"/>
        <n v="4817103"/>
        <n v="4817111"/>
        <n v="4817114"/>
        <n v="4817124"/>
        <n v="4817125"/>
        <n v="4817129"/>
        <n v="4817130"/>
        <n v="4817131"/>
        <n v="4817133"/>
        <n v="4817134"/>
        <n v="4817136"/>
        <n v="4898611"/>
        <n v="4898626"/>
        <n v="4898628"/>
        <n v="4898629"/>
        <n v="4898631"/>
        <n v="4898632"/>
        <n v="4898638"/>
        <n v="4898640"/>
        <n v="4898643"/>
        <n v="4898644"/>
        <n v="4898645"/>
        <n v="4898647"/>
        <n v="4898648"/>
        <n v="4901370"/>
        <n v="5073058"/>
        <n v="5073059"/>
        <n v="5073061"/>
        <n v="5073064"/>
        <n v="5080263"/>
        <n v="5080268"/>
        <n v="5080284"/>
        <n v="5080285"/>
        <n v="5080294"/>
        <n v="5080417"/>
        <n v="5080431"/>
        <n v="5080443"/>
        <n v="5080446"/>
        <n v="5176088"/>
        <n v="5180031"/>
        <n v="5180032"/>
        <n v="5180033"/>
        <n v="5180039"/>
        <n v="5180040"/>
        <n v="5180041"/>
        <n v="5278528"/>
        <n v="5278732"/>
        <n v="5328577"/>
        <n v="5410917"/>
        <n v="5459358"/>
        <n v="5493141"/>
        <n v="5543428"/>
        <n v="5597063"/>
        <n v="5755217"/>
        <n v="5759549"/>
        <n v="5848956"/>
        <n v="5848963"/>
        <n v="5951382"/>
        <n v="5951384"/>
        <n v="6167996"/>
        <n v="6168001"/>
        <n v="6188078"/>
        <n v="6188086"/>
        <n v="6188094"/>
        <n v="6188099"/>
        <n v="6188108"/>
        <n v="6188111"/>
        <n v="6188127"/>
        <n v="6188129"/>
        <n v="6351551"/>
        <n v="6351568"/>
        <n v="6351569"/>
        <n v="6352813"/>
        <n v="6352819"/>
        <n v="6461432"/>
        <n v="6464892"/>
        <n v="6465880"/>
        <n v="6466023"/>
        <n v="6573123"/>
        <n v="6573124"/>
        <n v="6573125"/>
        <n v="6573126"/>
        <n v="6599555"/>
        <n v="6599559"/>
        <n v="6718202"/>
        <n v="6718207"/>
        <n v="6718208"/>
        <n v="6718211"/>
        <n v="6718227"/>
        <n v="6718233"/>
        <n v="6718248"/>
        <n v="6718251"/>
        <n v="6737895"/>
        <n v="6737904"/>
        <n v="6737910"/>
        <n v="6750832"/>
        <n v="6750841"/>
        <n v="6750844"/>
        <n v="6750849"/>
        <n v="7506616"/>
        <n v="7506617"/>
        <n v="7506626"/>
        <n v="7506627"/>
        <n v="7506629"/>
        <n v="7506630"/>
        <n v="1100217002"/>
        <n v="1100766002"/>
        <s v="10008-6B023"/>
        <s v="10008-6B02A"/>
        <s v="10008-6E006"/>
        <s v="10008-6E008"/>
        <s v="10008-6E00E"/>
        <s v="10008-8A0EG"/>
        <s v="10018-6E006"/>
        <s v="10018-8A0EG"/>
        <s v="10018-8D02F"/>
        <s v="10028-6E00E"/>
        <s v="10028-8D02F"/>
        <s v="22008-8A0EE"/>
        <s v="22008-8A0EF"/>
        <s v="22008-8D02F"/>
        <n v="16452439"/>
        <s v="HZ224001"/>
        <s v="HZ225001"/>
        <s v="52429034M"/>
        <s v="52429036M"/>
        <n v="52418412"/>
        <n v="52418413"/>
        <n v="52418414"/>
        <n v="52418415"/>
        <n v="52434577"/>
        <s v="040084320D00"/>
        <s v="040084540D00"/>
        <s v="040084560D00"/>
        <s v="451070H01000"/>
        <s v="821110FK0100"/>
        <s v="821210DM8000"/>
        <s v="821210DP7000"/>
        <s v="821210DQ2000"/>
        <s v="821210H52000"/>
        <s v="821210H53000"/>
        <s v="821210H54000"/>
        <s v="821210H56000"/>
        <s v="821210H57000"/>
        <s v="821210H58000"/>
        <s v="821210H59000"/>
        <s v="821210H60000"/>
        <s v="821210H61000"/>
        <s v="821210H62000"/>
        <s v="821210H64000"/>
        <s v="821210U24000"/>
        <s v="821210U25000"/>
        <s v="821210U26000"/>
        <s v="821210U36000"/>
        <s v="821210U37000"/>
        <s v="821210U41000"/>
        <s v="821210U42000"/>
        <s v="821210U55000"/>
        <s v="82121K006000"/>
        <s v="82121K008000"/>
        <s v="82121K010000"/>
        <s v="82121K011000"/>
        <s v="82121K012000"/>
        <s v="82121K033000"/>
        <s v="82121K034000"/>
        <s v="82121K038000"/>
        <s v="82121K039000"/>
        <s v="821230D53000"/>
        <s v="821230H03000"/>
        <s v="82141F539000"/>
        <s v="821460D13100"/>
        <s v="821460D16000"/>
        <s v="821460D75000"/>
        <s v="821510DP5000"/>
        <s v="821510DP6000"/>
        <s v="821510DP7000"/>
        <s v="821510DP8000"/>
        <s v="821510DQ1000"/>
        <s v="821510DQ2000"/>
        <s v="821510DQ3000"/>
        <s v="821510DQ4000"/>
        <s v="821510DQ7000"/>
        <s v="821510DQ8000"/>
        <s v="821510DQ9000"/>
        <s v="821510DS4000"/>
        <s v="821510DS6000"/>
        <s v="821510DS7000"/>
        <s v="821510DU5000"/>
        <s v="821510DU6000"/>
        <s v="821510DU7000"/>
        <s v="821510DU8000"/>
        <s v="821510DV4000"/>
        <s v="82151K006000"/>
        <s v="82151K008000"/>
        <s v="82151K064000"/>
        <s v="82151K065000"/>
        <s v="82151K066000"/>
        <s v="82151K068000"/>
        <s v="82151K069000"/>
        <s v="82151K071000"/>
        <s v="82151K072000"/>
        <s v="82151K077000"/>
        <s v="82151K078000"/>
        <s v="82151K080000"/>
        <s v="82151K082000"/>
        <s v="82151K083000"/>
        <s v="82151K084000"/>
        <s v="82151K088000"/>
        <s v="82151K089000"/>
        <s v="82151K0A0000"/>
        <s v="82151K0A1000"/>
        <s v="82151K0A5000"/>
        <s v="821520DQ1000"/>
        <s v="821520DQ2000"/>
        <s v="821520DQ3000"/>
        <s v="821520DQ4000"/>
        <s v="821520DQ7000"/>
        <s v="821520DQ8000"/>
        <s v="821520DQ9000"/>
        <s v="821520DR6000"/>
        <s v="821520DR9000"/>
        <s v="821520DS0000"/>
        <s v="821520DS1000"/>
        <s v="821520DS7000"/>
        <s v="821520DS9000"/>
        <s v="821520DU0000"/>
        <s v="821520DU3000"/>
        <s v="821520DV3000"/>
        <s v="821520DV4000"/>
        <s v="821520DV5000"/>
        <s v="821520DV6000"/>
        <s v="821520DW0000"/>
        <s v="821520UB1000"/>
        <s v="821520UB2000"/>
        <s v="82152K005000"/>
        <s v="82152K006000"/>
        <s v="82152K007000"/>
        <s v="82152K008000"/>
        <s v="82152K064000"/>
        <s v="82152K065000"/>
        <s v="82152K066000"/>
        <s v="82152K067000"/>
        <s v="82152K069000"/>
        <s v="82152K070000"/>
        <s v="82152K075000"/>
        <s v="82152K076000"/>
        <s v="82152K077000"/>
        <s v="82152K078000"/>
        <s v="82152K080000"/>
        <s v="82152K082000"/>
        <s v="82152K087000"/>
        <s v="82152K088000"/>
        <s v="82152K089000"/>
        <s v="82152K0A3000"/>
        <s v="82152K0A4000"/>
        <s v="821530DD8000"/>
        <s v="821530DD9000"/>
        <s v="821530DD9100"/>
        <s v="821530DE0000"/>
        <s v="821530DE2000"/>
        <s v="821530H03000"/>
        <s v="821530H05000"/>
        <s v="82153K005000"/>
        <s v="82153K006000"/>
        <s v="82153K007000"/>
        <s v="82153K008000"/>
        <s v="82153K018000"/>
        <s v="82153K019000"/>
        <s v="821540DC5000"/>
        <s v="821540DC6000"/>
        <s v="821540DC6100"/>
        <s v="821540DC7000"/>
        <s v="821540DC9000"/>
        <s v="82154K005000"/>
        <s v="82154K006000"/>
        <s v="82154K007000"/>
        <s v="82154K008000"/>
        <s v="82154K018000"/>
        <s v="82154K019000"/>
        <s v="821610DN3200"/>
        <s v="821610DS3100"/>
        <s v="821610DS4100"/>
        <s v="821610DS7100"/>
        <s v="821610DS9100"/>
        <s v="821610DU8200"/>
        <s v="821610DV0200"/>
        <s v="821610DV6200"/>
        <s v="821610DX2000"/>
        <s v="821610DX2100"/>
        <s v="821610DX3100"/>
        <s v="821610DX8100"/>
        <s v="821610DX9100"/>
        <s v="821610DZ2200"/>
        <s v="821610DZ4200"/>
        <s v="821610U48200"/>
        <s v="821610U73100"/>
        <s v="821610U74100"/>
        <s v="821610U77200"/>
        <s v="821610U83100"/>
        <s v="821610U84100"/>
        <s v="821610UA0100"/>
        <s v="821610UA1100"/>
        <s v="821610UA9100"/>
        <s v="821610UB3200"/>
        <s v="821610UC5000"/>
        <s v="821610UC5200"/>
        <s v="821610UC9000"/>
        <s v="821610UC9100"/>
        <s v="821610UD5100"/>
        <s v="821610UF3100"/>
        <s v="821610UF9100"/>
        <s v="821610UG2000"/>
        <s v="821610UG3000"/>
        <s v="821610UG4000"/>
        <s v="821610UG6000"/>
        <s v="821610UG7000"/>
        <s v="821610UG8000"/>
        <s v="821610UG9000"/>
        <s v="821610UJ1000"/>
        <s v="821610UJ2000"/>
        <s v="821610UJ3000"/>
        <s v="821610UK3100"/>
        <s v="821610UK4100"/>
        <s v="821610UK5100"/>
        <s v="821610UK6100"/>
        <s v="821610UM0000"/>
        <s v="821610UM3000"/>
        <s v="821610UM8200"/>
        <s v="821610UM9200"/>
        <s v="821610UP6200"/>
        <s v="821610UP7200"/>
        <s v="821610UP8200"/>
        <s v="821610UP9200"/>
        <s v="821610UQ0200"/>
        <s v="821610UQ1000"/>
        <s v="821610UQ1200"/>
        <s v="821610UQ3200"/>
        <s v="821610UQ4200"/>
        <s v="821610UQ5200"/>
        <s v="821610UQ6200"/>
        <s v="821610UQ7200"/>
        <s v="821610UQ8200"/>
        <s v="821610UQ9200"/>
        <s v="821610UR0200"/>
        <s v="821610UR1200"/>
        <s v="821610UR3200"/>
        <s v="821610UR4200"/>
        <s v="821610UR7200"/>
        <s v="821610UR8200"/>
        <s v="821610US4200"/>
        <s v="821610US6200"/>
        <s v="821610US7200"/>
        <s v="821610US8000"/>
        <s v="821610US9000"/>
        <s v="821610UT2000"/>
        <s v="821610UT3000"/>
        <s v="821610UT5000"/>
        <s v="821610UT6000"/>
        <s v="821610UT7000"/>
        <s v="821610UT8000"/>
        <s v="821610UT9000"/>
        <s v="821610UU3000"/>
        <s v="821610UU4000"/>
        <s v="821610UU5000"/>
        <s v="821610UU6000"/>
        <s v="821610UU8000"/>
        <s v="821610UU8100"/>
        <s v="821610UU9100"/>
        <s v="821610UV1000"/>
        <s v="821610UV3000"/>
        <s v="821610UV3100"/>
        <s v="821610UV4000"/>
        <s v="821610UV5000"/>
        <s v="821610UV6000"/>
        <s v="821610UV6100"/>
        <s v="821610UV7000"/>
        <s v="821610UV7100"/>
        <s v="821610UV8000"/>
        <s v="821610UV8100"/>
        <s v="821610UW0000"/>
        <s v="821610UW1000"/>
        <s v="821610UW1100"/>
        <s v="821610UW2000"/>
        <s v="821610UW3000"/>
        <s v="821610UW4000"/>
        <s v="821610UW7000"/>
        <s v="821610UW8000"/>
        <s v="821610UW9000"/>
        <s v="821610UX0000"/>
        <s v="821610UX0100"/>
        <s v="821610UX2000"/>
        <s v="821610UX2100"/>
        <s v="821610UX4000"/>
        <s v="821610UX4100"/>
        <s v="821610UX6000"/>
        <s v="821610UY0000"/>
        <s v="821610UY2000"/>
        <s v="821610UZ1000"/>
        <s v="821610UZ1100"/>
        <s v="821610UZ2000"/>
        <s v="821610UZ2100"/>
        <s v="821610UZ4000"/>
        <s v="821610UZ4100"/>
        <s v="821610UZ5000"/>
        <s v="821610UZ5100"/>
        <s v="821610UZ8000"/>
        <s v="821610UZ8100"/>
        <s v="821610UZ9000"/>
        <s v="821610UZ9100"/>
        <s v="82161F501000"/>
        <s v="82161F501100"/>
        <s v="82161F502000"/>
        <s v="82161F502100"/>
        <s v="82161F505000"/>
        <s v="82161F505100"/>
        <s v="82161F506000"/>
        <s v="82161F506100"/>
        <s v="82161F507000"/>
        <s v="82161F508000"/>
        <s v="82161F508100"/>
        <s v="82161F512000"/>
        <s v="82161F512100"/>
        <s v="82161F514000"/>
        <s v="82161F514100"/>
        <s v="82161F517000"/>
        <s v="82161F521000"/>
        <s v="82161F522000"/>
        <s v="82161F522100"/>
        <s v="82161F523000"/>
        <s v="82161F527000"/>
        <s v="82161F528000"/>
        <s v="82161F529000"/>
        <s v="82161K007000"/>
        <s v="82161K008000"/>
        <s v="82161K009200"/>
        <s v="82161K011200"/>
        <s v="82161K012100"/>
        <s v="82161K012200"/>
        <s v="82161K064000"/>
        <s v="82161K065000"/>
        <s v="82161K066000"/>
        <s v="82161K067000"/>
        <s v="82161K070000"/>
        <s v="82161K071000"/>
        <s v="82161K073000"/>
        <s v="82161K074000"/>
        <s v="82161K075000"/>
        <s v="82161K078000"/>
        <s v="82161K079000"/>
        <s v="82161K082000"/>
        <s v="82161K087000"/>
        <s v="82161K0A0000"/>
        <s v="82161K0A2000"/>
        <s v="82161K0A3000"/>
        <s v="82161K0A4200"/>
        <s v="82161K0A5200"/>
        <s v="82161K0A8000"/>
        <s v="82161K0A8200"/>
        <s v="82161K0A9200"/>
        <s v="82161K0B2200"/>
        <s v="82161K0B3200"/>
        <s v="82161K0V1200"/>
        <s v="82161K0V2200"/>
        <s v="82161K0V6000"/>
        <s v="82161K0W7000"/>
        <s v="82161K0W8000"/>
        <s v="82161K0W8200"/>
        <s v="82161K0X3000"/>
        <s v="82163K003000"/>
        <s v="821710D67000"/>
        <s v="821710DD5000"/>
        <s v="821710DD6000"/>
        <s v="821710DD7000"/>
        <s v="821710DD8000"/>
        <s v="821710DD9000"/>
        <s v="821710DE0000"/>
        <s v="821710DE1000"/>
        <s v="821710DE2000"/>
        <s v="821710DE3000"/>
        <s v="821710DE4000"/>
        <s v="821710DE7000"/>
        <s v="821710DF4000"/>
        <s v="821710DF5000"/>
        <s v="821710DQ3000"/>
        <s v="821710DQ5000"/>
        <s v="821710DQ8000"/>
        <s v="821710DS8000"/>
        <s v="821710DT0000"/>
        <s v="821710DT6000"/>
        <s v="821710H24000"/>
        <s v="821710H31000"/>
        <s v="821710H32000"/>
        <s v="821710H33000"/>
        <s v="821710H34000"/>
        <s v="82171K058000"/>
        <s v="82171K059000"/>
        <s v="82171K060000"/>
        <s v="82171K062000"/>
        <s v="82171K064000"/>
        <s v="82171K065000"/>
        <s v="82171K066000"/>
        <s v="82171K067000"/>
        <s v="82171K068000"/>
        <s v="82171K069000"/>
        <s v="821840D46100"/>
        <s v="821840D47100"/>
        <s v="821840D48100"/>
        <s v="821840DA1100"/>
        <s v="821840DA2100"/>
        <s v="821840DA3100"/>
        <s v="821840DA5000"/>
        <s v="821840DA5100"/>
        <s v="821840DA6100"/>
        <s v="821840DA7100"/>
        <s v="82184K005000"/>
        <s v="82184K013000"/>
        <s v="821850DC4100"/>
        <s v="821850DC5100"/>
        <s v="821850DC7100"/>
        <s v="821850DD0000"/>
        <s v="821850DD0100"/>
        <s v="821850DD1100"/>
        <s v="821850DD3100"/>
        <s v="821850DE3100"/>
        <s v="821850DE3200"/>
        <s v="821850DE9100"/>
        <s v="821850DE9200"/>
        <s v="821850DF1200"/>
        <s v="821850DF2100"/>
        <s v="821850DF2200"/>
        <s v="821850DF4100"/>
        <s v="821850DF4200"/>
        <s v="821850DF5100"/>
        <s v="821850DF7100"/>
        <s v="821850DF8000"/>
        <s v="821850DF8100"/>
        <s v="821850DG0000"/>
        <s v="821850DG0100"/>
        <s v="82185K005000"/>
        <s v="82185K007000"/>
        <s v="82185K020000"/>
        <s v="82185K021000"/>
        <s v="82219K003000"/>
        <s v="82219K004000"/>
        <s v="826660D11000"/>
        <n v="826665215000"/>
        <n v="827112838000"/>
        <s v="828150D52000"/>
        <s v="828150D54000"/>
        <s v="828150D59000"/>
        <s v="828150D60000"/>
        <s v="828150D63000"/>
        <s v="828150D67000"/>
        <s v="828150D68000"/>
        <s v="828150D72000"/>
        <s v="828150D73000"/>
        <s v="828170D22000"/>
        <s v="828170D50000"/>
        <s v="828170DD5000"/>
        <s v="828170DD9000"/>
        <s v="828170DE0000"/>
        <s v="828170DE1000"/>
        <s v="828170DE2000"/>
        <s v="828170DE3000"/>
        <s v="828170DE4000"/>
        <s v="828170DE9000"/>
        <s v="828170DF1000"/>
        <s v="828170DF2000"/>
        <s v="828170DF3000"/>
        <s v="828170DF5000"/>
        <s v="828170DG3000"/>
        <s v="828170DG4000"/>
        <s v="828170H37000"/>
        <s v="828170H38000"/>
        <s v="890C00D01000"/>
        <s v="89516K003000"/>
        <s v="89516K004000"/>
        <s v="EA5CEH-002"/>
        <s v="EAWCEH-001"/>
        <n v="3020960350000"/>
        <n v="3028929900000"/>
        <s v="040084310D00"/>
        <s v="040084340D00"/>
        <s v="040084360D00"/>
        <s v="040084370D00"/>
        <s v="040084390D00"/>
        <s v="040084410D00"/>
        <s v="040084430D00"/>
        <s v="040084440D00"/>
        <s v="040084450D00"/>
        <s v="040084470D00"/>
        <s v="040084570D00"/>
        <s v="040084580D00"/>
        <s v="040084590D00"/>
        <s v="1723A0R01200"/>
        <s v="8211105U0000"/>
        <s v="8211105W8100"/>
        <s v="8211105W9100"/>
        <s v="8211106Y5300"/>
        <s v="821110FG3100"/>
        <s v="821110FG6100"/>
        <s v="821110FG7100"/>
        <s v="821110FK1100"/>
        <s v="821110FK6100"/>
        <s v="821110FL4100"/>
        <s v="821110FM6100"/>
        <s v="821110FN0200"/>
        <s v="821110FN2000"/>
        <s v="821110FN6000"/>
        <s v="821110FN7000"/>
        <s v="821110FP3000"/>
        <s v="821110FP6000"/>
        <s v="821110FQ4100"/>
        <s v="821210DG6100"/>
        <s v="821210DG7100"/>
        <s v="821210DN9000"/>
        <s v="821210DQ0000"/>
        <s v="821210F28100"/>
        <s v="821210F31000"/>
        <s v="821210F39000"/>
        <s v="821210F40000"/>
        <s v="821210H39200"/>
        <s v="821210H42200"/>
        <s v="821210H45200"/>
        <s v="821210U11000"/>
        <s v="821210U14000"/>
        <n v="821220226000"/>
        <s v="82122YV01000"/>
        <n v="821230228000"/>
        <s v="821230D55000"/>
        <s v="821230D56000"/>
        <s v="821230H04000"/>
        <n v="821250205000"/>
        <s v="821250D03000"/>
        <s v="82125F402000"/>
        <s v="821260H01000"/>
        <s v="82126F401000"/>
        <s v="82126K003000"/>
        <s v="821410DZ9000"/>
        <s v="821410U10000"/>
        <s v="821410U35100"/>
        <s v="821410U66000"/>
        <s v="821410U69000"/>
        <s v="821410U73000"/>
        <s v="82141F501000"/>
        <s v="82141F521100"/>
        <s v="82141F547100"/>
        <s v="82141F560000"/>
        <s v="82141F560100"/>
        <s v="821450UY5000"/>
        <s v="821450UY6000"/>
        <s v="821460D04000"/>
        <s v="821460D13000"/>
        <s v="821460D14000"/>
        <s v="821460D15000"/>
        <s v="821460D18000"/>
        <s v="821460D27000"/>
        <s v="821460D40000"/>
        <s v="821460D49000"/>
        <s v="821460D52000"/>
        <s v="821460D62000"/>
        <s v="821460D77000"/>
        <s v="821460D80000"/>
        <s v="821460D81000"/>
        <s v="821460UK8000"/>
        <s v="821460UL4000"/>
        <s v="821460UL9000"/>
        <s v="821460UM9000"/>
        <s v="821460UQ1000"/>
        <s v="821460UZ9000"/>
        <s v="821510DB7000"/>
        <s v="821510DP1100"/>
        <s v="821510DP2100"/>
        <s v="821510DP4100"/>
        <s v="821510DR4100"/>
        <s v="821510DT1100"/>
        <s v="821510DT4100"/>
        <s v="821510DY3100"/>
        <s v="821510DY7100"/>
        <s v="821510U73000"/>
        <s v="821510U74000"/>
        <s v="821510U75000"/>
        <s v="821510U76000"/>
        <s v="821510U88000"/>
        <s v="821510U89000"/>
        <s v="821520DP1100"/>
        <s v="821520DP6100"/>
        <s v="821520DR2100"/>
        <s v="821520DT1100"/>
        <s v="821520DT4100"/>
        <s v="821520DY3100"/>
        <s v="821520U84000"/>
        <s v="821520U85000"/>
        <s v="821520UA0000"/>
        <s v="821520UA5000"/>
        <s v="821530D67000"/>
        <s v="821530D77000"/>
        <s v="821540D57000"/>
        <s v="821610DM8200"/>
        <s v="821610F45000"/>
        <s v="821610F46000"/>
        <s v="821610F55200"/>
        <s v="821610F59100"/>
        <s v="821610F62100"/>
        <s v="821610F65100"/>
        <s v="821610F66100"/>
        <s v="821610F69000"/>
        <s v="821610F70000"/>
        <s v="821610F71000"/>
        <s v="821610F72000"/>
        <s v="821610F74000"/>
        <s v="821610F75000"/>
        <s v="821610F76000"/>
        <s v="821610FD8000"/>
        <s v="821610FE3000"/>
        <s v="821610FE5000"/>
        <s v="821610FF0000"/>
        <s v="821610FF1000"/>
        <s v="821610FF2000"/>
        <s v="821610HF1000"/>
        <s v="821610U12100"/>
        <s v="821610U13100"/>
        <s v="821610U16100"/>
        <s v="821610U17100"/>
        <s v="821610U19100"/>
        <s v="821610U20200"/>
        <s v="821610U21200"/>
        <s v="821610U23100"/>
        <s v="821610U27100"/>
        <s v="821610U28200"/>
        <s v="821610U30100"/>
        <s v="821610U31000"/>
        <s v="821610U31100"/>
        <s v="821610U32100"/>
        <s v="821610U33100"/>
        <s v="821610U35200"/>
        <s v="821610U36000"/>
        <s v="821610U38100"/>
        <s v="821610U39200"/>
        <s v="821610U56200"/>
        <s v="821610U61200"/>
        <s v="821610U62100"/>
        <s v="821610U63100"/>
        <s v="821610U64100"/>
        <s v="821610U65100"/>
        <s v="821610U68300"/>
        <s v="821610U70100"/>
        <s v="821610U71100"/>
        <s v="821610U72200"/>
        <s v="821620F45000"/>
        <s v="821620F46000"/>
        <s v="821620F48000"/>
        <s v="821620F49000"/>
        <s v="821630F10100"/>
        <s v="821710D36000"/>
        <s v="821710DC5000"/>
        <s v="821710H07000"/>
        <s v="821710H08000"/>
        <s v="821710H09000"/>
        <s v="821710H10000"/>
        <s v="821710H11000"/>
        <s v="821710H12000"/>
        <s v="821710H23000"/>
        <s v="821710H25000"/>
        <s v="821710H26000"/>
        <s v="821840D50000"/>
        <s v="821840D81000"/>
        <s v="821840D84000"/>
        <s v="821840D85000"/>
        <s v="821850DA4000"/>
        <s v="821850DB3000"/>
        <s v="821850DB4000"/>
        <s v="821860D29000"/>
        <s v="821910D02000"/>
        <s v="821910D03000"/>
        <n v="821920506000"/>
        <s v="822190R02000"/>
        <s v="82219F401000"/>
        <n v="823452006000"/>
        <n v="823453201000"/>
        <s v="826660D07000"/>
        <s v="826660D08000"/>
        <s v="826660H10000"/>
        <n v="826662214000"/>
        <s v="82666K007000"/>
        <s v="82666K008000"/>
        <s v="82666K009000"/>
        <s v="826690D01000"/>
        <n v="826695201000"/>
        <n v="826735209000"/>
        <s v="827112A53000"/>
        <s v="827112C25000"/>
        <n v="828150208000"/>
        <s v="828150D07000"/>
        <s v="828150D11000"/>
        <s v="828150D22000"/>
        <s v="828150D42000"/>
        <s v="828150D45000"/>
        <s v="828150D47000"/>
        <s v="828150D48000"/>
        <s v="828150D49000"/>
        <s v="828150D50000"/>
        <s v="828150D51000"/>
        <s v="828150D62000"/>
        <s v="828150H06000"/>
        <n v="828155241000"/>
        <n v="828170238000"/>
        <n v="828170239000"/>
        <n v="828170242000"/>
        <n v="828170244000"/>
        <n v="828170279000"/>
        <n v="828170280000"/>
        <s v="828170D14000"/>
        <s v="828170D18000"/>
        <s v="828170D21000"/>
        <s v="828170D89000"/>
        <s v="828170DC1000"/>
        <s v="828170DE6000"/>
        <s v="828170DE7000"/>
        <s v="828170DF6000"/>
        <s v="828170DF7000"/>
        <s v="828170DG2000"/>
        <s v="828170H32000"/>
        <s v="828170H33000"/>
        <s v="8281712B2000"/>
        <s v="8281712J6000"/>
        <s v="8281712J7000"/>
        <s v="8281728G1000"/>
        <n v="828210504000"/>
        <n v="828211265000"/>
        <s v="82823K001000"/>
        <s v="892210D86000"/>
        <n v="895160202000"/>
        <n v="900809812800"/>
        <s v="90980W700300"/>
        <n v="908761300"/>
        <n v="3619733101"/>
        <s v="1723A0R01100"/>
        <s v="8211105U0100"/>
        <s v="8211105U2100"/>
        <s v="8211105U4000"/>
        <s v="8211105U5000"/>
        <s v="8211105U5100"/>
        <s v="8211105U6100"/>
        <s v="8211105U7000"/>
        <s v="8211105U8000"/>
        <s v="8211105U8100"/>
        <s v="8211105U9000"/>
        <s v="8211105U9100"/>
        <s v="8211105V0000"/>
        <s v="8211105V0100"/>
        <s v="8211105V1000"/>
        <s v="8211105V2000"/>
        <s v="8211105V2100"/>
        <s v="8211105V3000"/>
        <s v="8211105V3100"/>
        <s v="8211105V4000"/>
        <s v="8211105V4100"/>
        <s v="8211105V5100"/>
        <s v="8211105V6000"/>
        <s v="8211105V6100"/>
        <s v="8211105V7000"/>
        <s v="8211105V7100"/>
        <s v="8211105V8000"/>
        <s v="8211105V8100"/>
        <s v="8211105V9100"/>
        <s v="8211105W0000"/>
        <s v="8211105W1100"/>
        <s v="8211105W3000"/>
        <s v="8211105W3100"/>
        <s v="8211105W4000"/>
        <s v="8211105W5000"/>
        <s v="8211105W6000"/>
        <s v="8211105W7000"/>
        <s v="8211105W8000"/>
        <s v="8211105W9000"/>
        <s v="8211105X0100"/>
        <s v="8211105X1000"/>
        <s v="8211105X1100"/>
        <s v="8211105X3000"/>
        <s v="8211105X3100"/>
        <s v="8211105X5100"/>
        <s v="8211105X6100"/>
        <s v="8211105X7100"/>
        <s v="8211105X8100"/>
        <s v="8211105X9100"/>
        <s v="8211105Y0100"/>
        <s v="8211105Y2100"/>
        <s v="8211105Y6100"/>
        <s v="8211105Y7100"/>
        <s v="8211105Y8100"/>
        <s v="8211105Z0100"/>
        <s v="8211105Z2100"/>
        <s v="8211105Z5100"/>
        <s v="8211105Z6100"/>
        <s v="8211105Z8100"/>
        <s v="8211105Z9100"/>
        <s v="8211505A1100"/>
        <s v="8211505A2100"/>
        <s v="8211505A4100"/>
        <s v="8212105C7000"/>
        <s v="8212105C8000"/>
        <s v="8212105C9000"/>
        <s v="8212105D0000"/>
        <n v="821220508000"/>
        <n v="821220509000"/>
        <n v="821220511000"/>
        <s v="821220F03000"/>
        <n v="821230527000"/>
        <n v="821230529000"/>
        <n v="821710522000"/>
        <n v="829910501000"/>
        <n v="900808204400"/>
        <n v="900808204500"/>
        <n v="900808204800"/>
        <s v="8212102V8000"/>
        <n v="821220209000"/>
        <n v="821230227000"/>
        <n v="821230242000"/>
        <n v="821250232000"/>
        <n v="861010228000"/>
        <n v="861010231100"/>
        <n v="861010248000"/>
        <n v="861010273000"/>
        <n v="861010274000"/>
        <n v="861010275000"/>
        <n v="861010276000"/>
        <n v="861010277000"/>
        <n v="868080206100"/>
        <n v="895160217000"/>
        <n v="895160218000"/>
        <s v="821110FM8100"/>
        <s v="821110FN1000"/>
        <s v="821110FN3000"/>
        <s v="821110FN5000"/>
        <s v="821110FN9000"/>
        <s v="821110FP5000"/>
        <s v="821110FP7000"/>
        <s v="821110FQ0000"/>
        <s v="821110FQ8200"/>
        <s v="821110FS6000"/>
        <s v="821110FS9000"/>
        <s v="821210F33000"/>
        <s v="821210F35000"/>
        <s v="821230F01000"/>
        <n v="821250502000"/>
        <s v="821610F52100"/>
        <s v="821610F53100"/>
        <s v="821610F54100"/>
        <s v="821610F56100"/>
        <s v="821610F57100"/>
        <s v="821610F58100"/>
        <s v="821610F64100"/>
        <s v="821610FD6000"/>
        <s v="821610FE1000"/>
        <s v="821610FE2000"/>
        <s v="821610FE6000"/>
        <s v="821610FE8000"/>
        <s v="821610FE9000"/>
        <s v="821620F36100"/>
        <s v="821620F37100"/>
        <s v="821620F38100"/>
        <s v="821620F39100"/>
        <s v="821620F40100"/>
        <s v="821630F08100"/>
        <s v="821630F09100"/>
        <s v="828230F02000"/>
        <s v="821210DC3000"/>
        <s v="821210DE3000"/>
        <s v="821210DE5000"/>
        <s v="821210DE8200"/>
        <s v="821210DE9100"/>
        <s v="821210DE9200"/>
        <s v="821210DF1000"/>
        <s v="821210DF4000"/>
        <s v="821210DF5000"/>
        <s v="821210DG5000"/>
        <s v="821210DM7000"/>
        <s v="821210DN2000"/>
        <s v="821210DN3000"/>
        <s v="821210DN4000"/>
        <s v="821210DN5000"/>
        <s v="821210DN8100"/>
        <s v="821210DP0000"/>
        <s v="821210DP3000"/>
        <s v="821210DP5100"/>
        <s v="821210DP9000"/>
        <s v="821210DQ1000"/>
        <s v="821210DR2000"/>
        <s v="821210DT8000"/>
        <s v="821210DT9000"/>
        <s v="821210U12000"/>
        <s v="821210U13000"/>
        <s v="821210U15000"/>
        <s v="821210U16000"/>
        <s v="82121K035000"/>
        <s v="821220D08000"/>
        <s v="821230D16000"/>
        <s v="821230D39000"/>
        <s v="821230D54000"/>
        <s v="821230DA2000"/>
        <s v="821230DA3000"/>
        <s v="821410U34000"/>
        <s v="821410US9300"/>
        <s v="821410UT0300"/>
        <s v="821410UT6000"/>
        <s v="821410UU0000"/>
        <s v="821410UV6000"/>
        <s v="821410UV8100"/>
        <s v="821410UX6000"/>
        <s v="82141F521000"/>
        <s v="82141F523000"/>
        <s v="82141F525000"/>
        <s v="82141F525100"/>
        <s v="82141F526000"/>
        <s v="82141F527000"/>
        <s v="82141F527100"/>
        <s v="82141F528000"/>
        <s v="82141F529000"/>
        <s v="82141F530000"/>
        <s v="82141F530100"/>
        <s v="82141F532000"/>
        <s v="82141F533000"/>
        <s v="82141F533100"/>
        <s v="82141F535000"/>
        <s v="82141F535100"/>
        <s v="82141F538000"/>
        <s v="82141F538100"/>
        <s v="82141F543000"/>
        <s v="82141F544000"/>
        <s v="82141F545000"/>
        <s v="82141F547000"/>
        <s v="82141F548000"/>
        <s v="82141F549000"/>
        <s v="82141F549100"/>
        <s v="82141F550000"/>
        <s v="82141F551000"/>
        <s v="82141F551100"/>
        <s v="82141F552000"/>
        <s v="82141F555000"/>
        <s v="82141F555100"/>
        <s v="82141F556000"/>
        <s v="82141F556100"/>
        <s v="82141F557000"/>
        <s v="82141F557100"/>
        <s v="82141F559000"/>
        <s v="82141F562000"/>
        <s v="82141F563000"/>
        <s v="821450D03300"/>
        <s v="821450D08000"/>
        <s v="821450D09000"/>
        <s v="821450D10000"/>
        <s v="821450D13000"/>
        <s v="821450D26000"/>
        <s v="821450DY6100"/>
        <s v="821450U21000"/>
        <s v="821450U23000"/>
        <s v="821450U24000"/>
        <s v="821450U25000"/>
        <s v="821450U26000"/>
        <s v="821450U27000"/>
        <s v="821450U28000"/>
        <s v="821450U29000"/>
        <s v="821450U30000"/>
        <s v="821450U31000"/>
        <s v="821450U32000"/>
        <s v="821450U48000"/>
        <s v="821450U49000"/>
        <s v="821450U67000"/>
        <s v="821450U70000"/>
        <s v="821450U71000"/>
        <s v="821450U73000"/>
        <s v="821450U78000"/>
        <s v="821450U79000"/>
        <s v="821450U80000"/>
        <s v="821450U83000"/>
        <s v="821450U84000"/>
        <s v="821450U85000"/>
        <s v="821450U86000"/>
        <s v="821450U87000"/>
        <s v="821450UA0000"/>
        <s v="821450UA1000"/>
        <s v="821450UA3000"/>
        <s v="821450UA4000"/>
        <s v="821450UB2100"/>
        <s v="821450UC2000"/>
        <s v="821450UC3000"/>
        <s v="821450UC7000"/>
        <s v="821450UF1000"/>
        <s v="821450UF2000"/>
        <s v="821450UF3000"/>
        <s v="821450UF5000"/>
        <s v="821450UF6000"/>
        <s v="821450UF8000"/>
        <s v="821450UF9000"/>
        <s v="821450UG2000"/>
        <s v="821450UG3000"/>
        <s v="821450UG5000"/>
        <s v="821450UG6000"/>
        <s v="821450UG7000"/>
        <s v="821450UK8000"/>
        <s v="821450UK9000"/>
        <s v="821450UL4000"/>
        <s v="821450UL5000"/>
        <s v="821450UR9000"/>
        <s v="821450US0000"/>
        <s v="821450US4000"/>
        <s v="821450US4100"/>
        <s v="821450US5000"/>
        <s v="821450US6000"/>
        <s v="821450US7000"/>
        <s v="821450US8000"/>
        <s v="821450US8100"/>
        <s v="821450UT0000"/>
        <s v="821450UT0100"/>
        <s v="821450UT2000"/>
        <s v="821450UT2100"/>
        <s v="821450UT3000"/>
        <s v="821450UT6000"/>
        <s v="821450UZ2000"/>
        <s v="821450UZ3000"/>
        <s v="821450UZ4000"/>
        <s v="821450UZ5000"/>
        <s v="821450UZ6000"/>
        <s v="821450UZ7000"/>
        <s v="821450UZ8000"/>
        <s v="821450UZ9100"/>
        <s v="821460D01000"/>
        <s v="821460D02000"/>
        <s v="821460D03000"/>
        <s v="821460D04100"/>
        <s v="821460D05000"/>
        <s v="821460D06000"/>
        <s v="821460D06100"/>
        <s v="821460D07000"/>
        <s v="821460D07100"/>
        <s v="821460D08000"/>
        <s v="821460D09000"/>
        <s v="821460D10000"/>
        <s v="821460D11100"/>
        <s v="821460D12000"/>
        <s v="821460D16100"/>
        <s v="821460D17000"/>
        <s v="821460D18100"/>
        <s v="821460D19000"/>
        <s v="821460D20000"/>
        <s v="821460D22100"/>
        <s v="821460D24000"/>
        <s v="821460D26000"/>
        <s v="821460D31000"/>
        <s v="821460D34000"/>
        <s v="821460D35100"/>
        <s v="821460D36000"/>
        <s v="821460D38000"/>
        <s v="821460D41000"/>
        <s v="821460D43000"/>
        <s v="821460D46000"/>
        <s v="821460D46200"/>
        <s v="821460D47000"/>
        <s v="821460D47200"/>
        <s v="821460D48100"/>
        <s v="821460D49100"/>
        <s v="821460D50100"/>
        <s v="821460D52200"/>
        <s v="821460D53100"/>
        <s v="821460D61100"/>
        <s v="821460D62200"/>
        <s v="821460D71300"/>
        <s v="821460D73000"/>
        <s v="821460D74200"/>
        <s v="821460D75200"/>
        <s v="821460D80200"/>
        <s v="821460D81200"/>
        <s v="821460UJ7000"/>
        <s v="821460UJ8000"/>
        <s v="821460UK2000"/>
        <s v="821460UK3000"/>
        <s v="821460UK4000"/>
        <s v="821460UK6000"/>
        <s v="821460UL0000"/>
        <s v="821460UL1000"/>
        <s v="821460UL3000"/>
        <s v="821460UL5000"/>
        <s v="821460UL6000"/>
        <s v="821460UL7000"/>
        <s v="821460UL8000"/>
        <s v="821460UM0000"/>
        <s v="821460UM1000"/>
        <s v="821460UM2000"/>
        <s v="821460UM3000"/>
        <s v="821460UM4000"/>
        <s v="821460UM6000"/>
        <s v="821460UM7000"/>
        <s v="821460UN2000"/>
        <s v="821460UN6000"/>
        <s v="821460UN7000"/>
        <s v="821460UN8000"/>
        <s v="821460UN9000"/>
        <s v="821460UP0000"/>
        <s v="821460UP1000"/>
        <s v="821460UP2000"/>
        <s v="821460UP3000"/>
        <s v="821460UP4000"/>
        <s v="821460UP5000"/>
        <s v="821460UP6000"/>
        <s v="821460UP7000"/>
        <s v="821460UP8000"/>
        <s v="821460UQ3000"/>
        <s v="821460UQ5000"/>
        <s v="821460UQ6000"/>
        <s v="821510DB9000"/>
        <s v="821510DC0000"/>
        <s v="821510DD4000"/>
        <s v="821510DD9000"/>
        <s v="821510DL6000"/>
        <s v="821510DL8000"/>
        <s v="821510DL9000"/>
        <s v="821510DL9100"/>
        <s v="821510DM6000"/>
        <s v="821510DM7000"/>
        <s v="821510DN0000"/>
        <s v="821510DP0100"/>
        <s v="821510DR8100"/>
        <s v="821510DX6100"/>
        <s v="821510DX8100"/>
        <s v="821510DY4100"/>
        <s v="821510DY5100"/>
        <s v="821510U71000"/>
        <s v="821510U72000"/>
        <s v="821510U77000"/>
        <s v="821510U82000"/>
        <s v="821510U82100"/>
        <s v="821510U84000"/>
        <s v="821510U86000"/>
        <s v="821510U87000"/>
        <s v="821510UA0000"/>
        <s v="821510UA3000"/>
        <s v="821510UA4000"/>
        <s v="821520D40000"/>
        <s v="821520DB6000"/>
        <s v="821520DB8000"/>
        <s v="821520DB9000"/>
        <s v="821520DC3000"/>
        <s v="821520DD3000"/>
        <s v="821520DE3000"/>
        <s v="821520DE8000"/>
        <s v="821520DL9000"/>
        <s v="821520DM6000"/>
        <s v="821520DM8000"/>
        <s v="821520DN2000"/>
        <s v="821520DN2100"/>
        <s v="821520DN4000"/>
        <s v="821520DN5000"/>
        <s v="821520DN6000"/>
        <s v="821520DN8000"/>
        <s v="821520DX9100"/>
        <s v="821520DY7100"/>
        <s v="821520U78000"/>
        <s v="821520U80000"/>
        <s v="821520U82000"/>
        <s v="821520U83000"/>
        <s v="821520U83100"/>
        <s v="821520U86000"/>
        <s v="821520U87000"/>
        <s v="821520U88000"/>
        <s v="821520UA3000"/>
        <s v="821520UA8000"/>
        <s v="821520UA9000"/>
        <s v="821530D14000"/>
        <s v="821530D30000"/>
        <s v="821530D31000"/>
        <s v="821530D34000"/>
        <s v="821530D66000"/>
        <s v="821530D68000"/>
        <s v="821530D69000"/>
        <s v="821530D70000"/>
        <s v="821530D71000"/>
        <s v="821530D72000"/>
        <s v="821530D75000"/>
        <s v="821540D19000"/>
        <s v="821540D21000"/>
        <s v="821540D51000"/>
        <s v="821540D52000"/>
        <s v="821540D53000"/>
        <s v="821540D56000"/>
        <s v="821540D60000"/>
        <s v="821540D61000"/>
        <s v="821540D63000"/>
        <s v="821540D65000"/>
        <s v="821610DJ8000"/>
        <s v="821610DK8000"/>
        <s v="821610DM8000"/>
        <s v="821610DN0000"/>
        <s v="821610DN1000"/>
        <s v="821610DN2000"/>
        <s v="821610DN3000"/>
        <s v="821610DN3100"/>
        <s v="821610DP4000"/>
        <s v="821610DQ0000"/>
        <s v="821610DQ1000"/>
        <s v="821610DQ6000"/>
        <s v="821610DQ9000"/>
        <s v="821610DR0000"/>
        <s v="821610DR1000"/>
        <s v="821610DR4000"/>
        <s v="821610DR6000"/>
        <s v="821610DS3000"/>
        <s v="821610DS4000"/>
        <s v="821610DS7000"/>
        <s v="821610DS9000"/>
        <s v="821610DT3000"/>
        <s v="821610DT7000"/>
        <s v="821610DU0000"/>
        <s v="821610DU2000"/>
        <s v="821610DU7000"/>
        <s v="821610DU8000"/>
        <s v="821610DU8100"/>
        <s v="821610DV0000"/>
        <s v="821610DV0100"/>
        <s v="821610DV6000"/>
        <s v="821610DV6100"/>
        <s v="821610DW2000"/>
        <s v="821610DX3000"/>
        <s v="821610DX8000"/>
        <s v="821610DX9000"/>
        <s v="821610DY7000"/>
        <s v="821610DY9000"/>
        <s v="821610DZ2000"/>
        <s v="821610DZ2100"/>
        <s v="821610DZ4000"/>
        <s v="821610DZ4100"/>
        <s v="821610U11000"/>
        <s v="821610U11100"/>
        <s v="821610U12000"/>
        <s v="821610U13000"/>
        <s v="821610U16000"/>
        <s v="821610U18000"/>
        <s v="821610U19000"/>
        <s v="821610U20100"/>
        <s v="821610U21100"/>
        <s v="821610U23000"/>
        <s v="821610U27000"/>
        <s v="821610U28100"/>
        <s v="821610U30000"/>
        <s v="821610U32000"/>
        <s v="821610U33000"/>
        <s v="821610U35100"/>
        <s v="821610U38000"/>
        <s v="821610U39100"/>
        <s v="821610U48000"/>
        <s v="821610U48100"/>
        <s v="821610U56000"/>
        <s v="821610U57200"/>
        <s v="821610U58200"/>
        <s v="821610U59000"/>
        <s v="821610U62200"/>
        <s v="821610U66200"/>
        <s v="821610U72000"/>
        <s v="821610U74200"/>
        <s v="821610U75000"/>
        <s v="821610U77300"/>
        <s v="821610U83000"/>
        <s v="821610U84000"/>
        <s v="821610U89000"/>
        <s v="821610UA0000"/>
        <s v="821610UA1000"/>
        <s v="821610UA9000"/>
        <s v="821610UB3000"/>
        <s v="821610UB3100"/>
        <s v="821610UC5100"/>
        <s v="821610UD5000"/>
        <s v="821610UE9100"/>
        <s v="821610UF2000"/>
        <s v="821610UF3000"/>
        <s v="821610UF9000"/>
        <s v="821610UK3000"/>
        <s v="821610UK4000"/>
        <s v="821610UK5000"/>
        <s v="821610UK6000"/>
        <s v="821610UL5000"/>
        <s v="821610UL7000"/>
        <s v="821610UM8000"/>
        <s v="821610UM8100"/>
        <s v="821610UM9000"/>
        <s v="821610UM9100"/>
        <s v="821610UN3000"/>
        <s v="821610UN5000"/>
        <s v="821610UN8000"/>
        <s v="821610UP6000"/>
        <s v="821610UP6100"/>
        <s v="821610UP7000"/>
        <s v="821610UP7100"/>
        <s v="821610UP8000"/>
        <s v="821610UP8100"/>
        <s v="821610UP9000"/>
        <s v="821610UP9100"/>
        <s v="821610UQ0100"/>
        <s v="821610UQ1100"/>
        <s v="821610UQ3000"/>
        <s v="821610UQ4000"/>
        <s v="821610UQ4100"/>
        <s v="821610UQ5000"/>
        <s v="821610UQ5100"/>
        <s v="821610UQ6000"/>
        <s v="821610UQ6100"/>
        <s v="821610UQ7000"/>
        <s v="821610UQ7100"/>
        <s v="821610UQ8000"/>
        <s v="821610UQ8100"/>
        <s v="821610UQ9000"/>
        <s v="821610UQ9100"/>
        <s v="821610UR0000"/>
        <s v="821610UR1000"/>
        <s v="821610UR1100"/>
        <s v="821610UR2000"/>
        <s v="821610UR3000"/>
        <s v="821610UR3100"/>
        <s v="821610UR4000"/>
        <s v="821610UR4100"/>
        <s v="821610UR7000"/>
        <s v="821610UR7100"/>
        <s v="821610UR8000"/>
        <s v="821610UR8100"/>
        <s v="821610US4000"/>
        <s v="821610US4100"/>
        <s v="821610US5000"/>
        <s v="821610US5100"/>
        <s v="821610US6000"/>
        <s v="821610US6100"/>
        <s v="821610US7000"/>
        <s v="821610US7100"/>
        <s v="82161K009000"/>
        <s v="82161K009100"/>
        <s v="82161K011000"/>
        <s v="82161K011100"/>
        <s v="82161K012000"/>
        <s v="82161K0A4000"/>
        <s v="82161K0A4100"/>
        <s v="82161K0A5000"/>
        <s v="82161K0A5100"/>
        <s v="82161K0A8100"/>
        <s v="82161K0A9000"/>
        <s v="82161K0A9100"/>
        <s v="82161K0B2000"/>
        <s v="82161K0B2100"/>
        <s v="82161K0B3000"/>
        <s v="82161K0B3100"/>
        <s v="82161K0V1000"/>
        <s v="82161K0V1100"/>
        <s v="82161K0V2000"/>
        <s v="82161K0V2100"/>
        <s v="82161K0W0000"/>
        <s v="82161K0W0100"/>
        <s v="82161K0W8100"/>
        <s v="821710D18000"/>
        <s v="821710D23000"/>
        <s v="821710D38000"/>
        <s v="821710D39000"/>
        <s v="821710D40000"/>
        <s v="821710D41000"/>
        <s v="821710D42000"/>
        <s v="821710D43000"/>
        <s v="821710D44000"/>
        <s v="821710D45000"/>
        <s v="821710D67100"/>
        <s v="821710D67200"/>
        <s v="821710D68100"/>
        <s v="821710D68200"/>
        <s v="821710D69100"/>
        <s v="821710D69200"/>
        <s v="821710D70100"/>
        <s v="821710D70200"/>
        <s v="821710D71000"/>
        <s v="821710D71100"/>
        <s v="821710D71200"/>
        <s v="821710D72200"/>
        <s v="821710DC0000"/>
        <s v="821710DC1000"/>
        <s v="821710DC3000"/>
        <s v="821710DC4000"/>
        <s v="821820D06000"/>
        <s v="82182YP01000"/>
        <s v="821840D04000"/>
        <s v="821840D05000"/>
        <s v="821840D15000"/>
        <s v="821840D16000"/>
        <s v="821840D18000"/>
        <s v="821840D53000"/>
        <s v="821840D55000"/>
        <s v="821840D56000"/>
        <s v="821840D80000"/>
        <s v="821840D83000"/>
        <s v="821850D50000"/>
        <s v="821850D51000"/>
        <s v="821850D53000"/>
        <s v="821850D57000"/>
        <s v="821850DA2000"/>
        <s v="821850DA3000"/>
        <s v="821850DA5000"/>
        <s v="821850DA6000"/>
        <s v="821850DB0000"/>
        <s v="821850DB1000"/>
        <s v="821850DB7000"/>
        <s v="821850DB8000"/>
        <s v="821850DC0000"/>
        <s v="821850DC1000"/>
        <s v="821860D03000"/>
        <s v="828170DF9000"/>
        <n v="828175262000"/>
        <n v="828175274000"/>
        <s v="892210D42000"/>
        <s v="895160D24000"/>
      </sharedItems>
    </cacheField>
    <cacheField name="MFG SITE" numFmtId="0">
      <sharedItems/>
    </cacheField>
    <cacheField name="LOCATION" numFmtId="0">
      <sharedItems/>
    </cacheField>
    <cacheField name="QUANTITY" numFmtId="0">
      <sharedItems containsSemiMixedTypes="0" containsString="0" containsNumber="1" containsInteger="1" minValue="1" maxValue="30000"/>
    </cacheField>
    <cacheField name="TRANSFER PRICE" numFmtId="0">
      <sharedItems containsSemiMixedTypes="0" containsString="0" containsNumber="1" minValue="0.01" maxValue="161.16785999999999"/>
    </cacheField>
    <cacheField name="SELLING PRICE" numFmtId="0">
      <sharedItems containsSemiMixedTypes="0" containsString="0" containsNumber="1" minValue="0" maxValue="14.4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6">
  <r>
    <s v="AC"/>
    <s v="Actros"/>
    <x v="0"/>
    <s v="ALBA"/>
    <s v="SPC1"/>
    <n v="96"/>
    <n v="18.143750000000001"/>
    <n v="0"/>
  </r>
  <r>
    <s v="AC"/>
    <s v="Actros"/>
    <x v="1"/>
    <s v="ALBA"/>
    <s v="SPC1"/>
    <n v="108"/>
    <n v="17.783069999999999"/>
    <n v="0"/>
  </r>
  <r>
    <s v="AC"/>
    <s v="Actros"/>
    <x v="2"/>
    <s v="ALBA"/>
    <s v="SPC1"/>
    <n v="12"/>
    <n v="21.643319999999999"/>
    <n v="0"/>
  </r>
  <r>
    <s v="AC"/>
    <s v="Actros"/>
    <x v="3"/>
    <s v="ALBA"/>
    <s v="SPC1"/>
    <n v="72"/>
    <n v="18.704319999999999"/>
    <n v="0"/>
  </r>
  <r>
    <s v="AC"/>
    <s v="Actros"/>
    <x v="4"/>
    <s v="ALBA"/>
    <s v="SPC1"/>
    <n v="36"/>
    <n v="18.094259999999998"/>
    <n v="0"/>
  </r>
  <r>
    <s v="AC"/>
    <s v="Actros"/>
    <x v="5"/>
    <s v="ALBA"/>
    <s v="OBSL"/>
    <n v="24"/>
    <n v="21.479600000000001"/>
    <n v="0"/>
  </r>
  <r>
    <s v="AC"/>
    <s v="Actros"/>
    <x v="6"/>
    <s v="ALBA"/>
    <s v="SPC1"/>
    <n v="12"/>
    <n v="19.007940000000001"/>
    <n v="0"/>
  </r>
  <r>
    <s v="AC"/>
    <s v="Actros"/>
    <x v="7"/>
    <s v="ALBA"/>
    <s v="SPC1"/>
    <n v="12"/>
    <n v="22.392150000000001"/>
    <n v="0"/>
  </r>
  <r>
    <s v="AD"/>
    <s v="ADIENT SLOVAKIA"/>
    <x v="8"/>
    <s v="ALBA"/>
    <s v="ADIS"/>
    <n v="8400"/>
    <n v="1.4418500000000001"/>
    <n v="0"/>
  </r>
  <r>
    <s v="AD"/>
    <s v="ADIENT SLOVAKIA"/>
    <x v="8"/>
    <s v="ALBA"/>
    <s v="RECV"/>
    <n v="1800"/>
    <n v="1.4418500000000001"/>
    <n v="0"/>
  </r>
  <r>
    <s v="AD"/>
    <s v="ADIENT SLOVAKIA"/>
    <x v="8"/>
    <s v="ALBA"/>
    <s v="TBOX"/>
    <n v="420"/>
    <n v="1.4418500000000001"/>
    <n v="0"/>
  </r>
  <r>
    <s v="AD"/>
    <s v="ADIENT SLOVAKIA"/>
    <x v="9"/>
    <s v="ALBA"/>
    <s v="RECV"/>
    <n v="600"/>
    <n v="3.3201299999999998"/>
    <n v="0"/>
  </r>
  <r>
    <s v="AD"/>
    <s v="ADIENT SLOVAKIA"/>
    <x v="10"/>
    <s v="ALBA"/>
    <s v="ADIS"/>
    <n v="3900"/>
    <n v="5.7451999999999996"/>
    <n v="0"/>
  </r>
  <r>
    <s v="AD"/>
    <s v="ADIENT SLOVAKIA"/>
    <x v="10"/>
    <s v="ALBA"/>
    <s v="RECV"/>
    <n v="900"/>
    <n v="5.7451999999999996"/>
    <n v="0"/>
  </r>
  <r>
    <s v="AD"/>
    <s v="ADIENT SLOVAKIA"/>
    <x v="10"/>
    <s v="ALBA"/>
    <s v="TBOX"/>
    <n v="400"/>
    <n v="5.7451999999999996"/>
    <n v="0"/>
  </r>
  <r>
    <s v="AI"/>
    <s v="AISIN"/>
    <x v="11"/>
    <s v="ALBA"/>
    <s v="DESP"/>
    <n v="30000"/>
    <n v="1.7587200000000001"/>
    <n v="0"/>
  </r>
  <r>
    <s v="AI"/>
    <s v="AISIN"/>
    <x v="11"/>
    <s v="ALBA"/>
    <s v="RECV"/>
    <n v="750"/>
    <n v="1.7587200000000001"/>
    <n v="0"/>
  </r>
  <r>
    <s v="AI"/>
    <s v="AISIN"/>
    <x v="11"/>
    <s v="ALBA"/>
    <s v="T143"/>
    <n v="15000"/>
    <n v="1.7587200000000001"/>
    <n v="0"/>
  </r>
  <r>
    <s v="AI"/>
    <s v="AISIN"/>
    <x v="11"/>
    <s v="ALBA"/>
    <s v="T222"/>
    <n v="15000"/>
    <n v="1.7587200000000001"/>
    <n v="0"/>
  </r>
  <r>
    <s v="AI"/>
    <s v="AISIN"/>
    <x v="11"/>
    <s v="ALBA"/>
    <s v="T323"/>
    <n v="15000"/>
    <n v="1.7587200000000001"/>
    <n v="0"/>
  </r>
  <r>
    <s v="AP"/>
    <s v="APA PSA"/>
    <x v="12"/>
    <s v="ALBA"/>
    <s v="T411"/>
    <n v="100"/>
    <n v="2.6783800000000002"/>
    <n v="0"/>
  </r>
  <r>
    <s v="B0"/>
    <s v="b0 phase ii"/>
    <x v="13"/>
    <s v="ALBA"/>
    <s v="GERA"/>
    <n v="1"/>
    <n v="45.226529999999997"/>
    <n v="0"/>
  </r>
  <r>
    <s v="B0"/>
    <s v="b0 phase ii"/>
    <x v="14"/>
    <s v="ALBA"/>
    <s v="GERA"/>
    <n v="2"/>
    <n v="50.8386"/>
    <n v="0"/>
  </r>
  <r>
    <s v="B0"/>
    <s v="b0 phase ii"/>
    <x v="15"/>
    <s v="ALBA"/>
    <s v="SPCO"/>
    <n v="37"/>
    <n v="1.8911"/>
    <n v="0"/>
  </r>
  <r>
    <s v="CA"/>
    <s v="TOYOTA CAMRY"/>
    <x v="16"/>
    <s v="ALBA"/>
    <s v="SEPA"/>
    <n v="3"/>
    <n v="14.68"/>
    <n v="0"/>
  </r>
  <r>
    <s v="CA"/>
    <s v="TOYOTA CAMRY"/>
    <x v="17"/>
    <s v="ALBA"/>
    <s v="SEPA"/>
    <n v="4"/>
    <n v="14.68"/>
    <n v="0"/>
  </r>
  <r>
    <s v="CA"/>
    <s v="TOYOTA CAMRY"/>
    <x v="18"/>
    <s v="ALBA"/>
    <s v="SEPA"/>
    <n v="20"/>
    <n v="14.68"/>
    <n v="0"/>
  </r>
  <r>
    <s v="CA"/>
    <s v="TOYOTA CAMRY"/>
    <x v="19"/>
    <s v="ALBA"/>
    <s v="SPCO"/>
    <n v="269"/>
    <n v="1.3675999999999999"/>
    <n v="0"/>
  </r>
  <r>
    <s v="CA"/>
    <s v="TOYOTA CAMRY"/>
    <x v="20"/>
    <s v="ALBA"/>
    <s v="OBSL"/>
    <n v="1189"/>
    <n v="1.1636200000000001"/>
    <n v="0"/>
  </r>
  <r>
    <s v="CA"/>
    <s v="TOYOTA CAMRY"/>
    <x v="20"/>
    <s v="ALBA"/>
    <s v="SPC1"/>
    <n v="21"/>
    <n v="1.1636200000000001"/>
    <n v="0"/>
  </r>
  <r>
    <s v="CA"/>
    <s v="TOYOTA CAMRY"/>
    <x v="21"/>
    <s v="ALBA"/>
    <s v="SEPA"/>
    <n v="5"/>
    <n v="11.25"/>
    <n v="0"/>
  </r>
  <r>
    <s v="CA"/>
    <s v="TOYOTA CAMRY"/>
    <x v="22"/>
    <s v="ALBA"/>
    <s v="SEPA"/>
    <n v="8"/>
    <n v="13.46"/>
    <n v="0"/>
  </r>
  <r>
    <s v="CA"/>
    <s v="TOYOTA CAMRY"/>
    <x v="23"/>
    <s v="ALBA"/>
    <s v="SEPA"/>
    <n v="17"/>
    <n v="13.46"/>
    <n v="0"/>
  </r>
  <r>
    <s v="CA"/>
    <s v="TOYOTA CAMRY"/>
    <x v="24"/>
    <s v="ALBA"/>
    <s v="SEPA"/>
    <n v="18"/>
    <n v="37.039920000000002"/>
    <n v="0"/>
  </r>
  <r>
    <s v="CA"/>
    <s v="TOYOTA CAMRY"/>
    <x v="25"/>
    <s v="ALBA"/>
    <s v="SEPA"/>
    <n v="25"/>
    <n v="5.08"/>
    <n v="0"/>
  </r>
  <r>
    <s v="CA"/>
    <s v="TOYOTA CAMRY"/>
    <x v="26"/>
    <s v="ALBA"/>
    <s v="SPCO"/>
    <n v="400"/>
    <n v="1.38985"/>
    <n v="0"/>
  </r>
  <r>
    <s v="CA"/>
    <s v="TOYOTA CAMRY"/>
    <x v="27"/>
    <s v="ALBA"/>
    <s v="SPCO"/>
    <n v="1600"/>
    <n v="1.47356"/>
    <n v="0"/>
  </r>
  <r>
    <s v="CA"/>
    <s v="TOYOTA CAMRY"/>
    <x v="28"/>
    <s v="ALBA"/>
    <s v="SEPA"/>
    <n v="195"/>
    <n v="0.87"/>
    <n v="0"/>
  </r>
  <r>
    <s v="CA"/>
    <s v="TOYOTA CAMRY"/>
    <x v="29"/>
    <s v="ALBA"/>
    <s v="SEPA"/>
    <n v="98"/>
    <n v="1.29"/>
    <n v="0"/>
  </r>
  <r>
    <s v="D"/>
    <s v="DENSO"/>
    <x v="30"/>
    <s v="ALBA"/>
    <s v="SPC1"/>
    <n v="336"/>
    <n v="10.035729999999999"/>
    <n v="0"/>
  </r>
  <r>
    <s v="D"/>
    <s v="DENSO"/>
    <x v="31"/>
    <s v="ALBA"/>
    <s v="SPC1"/>
    <n v="792"/>
    <n v="4.7286299999999999"/>
    <n v="0"/>
  </r>
  <r>
    <s v="D"/>
    <s v="DENSO"/>
    <x v="32"/>
    <s v="ALBA"/>
    <s v="SPC1"/>
    <n v="1032"/>
    <n v="8.48977"/>
    <n v="0"/>
  </r>
  <r>
    <s v="D"/>
    <s v="DENSO"/>
    <x v="33"/>
    <s v="ALBA"/>
    <s v="RECV"/>
    <n v="360"/>
    <n v="5.0258200000000004"/>
    <n v="0"/>
  </r>
  <r>
    <s v="D"/>
    <s v="DENSO"/>
    <x v="33"/>
    <s v="ALBA"/>
    <s v="TBOX"/>
    <n v="15"/>
    <n v="5.0258200000000004"/>
    <n v="0"/>
  </r>
  <r>
    <s v="D"/>
    <s v="DENSO"/>
    <x v="34"/>
    <s v="ALBA"/>
    <s v="TBOX"/>
    <n v="14"/>
    <n v="1.3735599999999999"/>
    <n v="0"/>
  </r>
  <r>
    <s v="D"/>
    <s v="DENSO"/>
    <x v="34"/>
    <s v="ALBA"/>
    <s v="RECV"/>
    <n v="384"/>
    <n v="1.3735599999999999"/>
    <n v="0"/>
  </r>
  <r>
    <s v="D"/>
    <s v="DENSO"/>
    <x v="35"/>
    <s v="ALBA"/>
    <s v="MQBA"/>
    <n v="10800"/>
    <n v="2.0379200000000002"/>
    <n v="0"/>
  </r>
  <r>
    <s v="D"/>
    <s v="DENSO"/>
    <x v="35"/>
    <s v="ALBA"/>
    <s v="RARA"/>
    <n v="4824"/>
    <n v="2.0379200000000002"/>
    <n v="0"/>
  </r>
  <r>
    <s v="D"/>
    <s v="DENSO"/>
    <x v="35"/>
    <s v="ALBA"/>
    <s v="RECV"/>
    <n v="6480"/>
    <n v="2.0379200000000002"/>
    <n v="0"/>
  </r>
  <r>
    <s v="D"/>
    <s v="DENSO"/>
    <x v="36"/>
    <s v="ALBA"/>
    <s v="OBSL"/>
    <n v="48"/>
    <n v="1.7399899999999999"/>
    <n v="0"/>
  </r>
  <r>
    <s v="D"/>
    <s v="DENSO"/>
    <x v="37"/>
    <s v="ALBA"/>
    <s v="MQBA"/>
    <n v="960"/>
    <n v="2.4905499999999998"/>
    <n v="0"/>
  </r>
  <r>
    <s v="D"/>
    <s v="DENSO"/>
    <x v="37"/>
    <s v="ALBA"/>
    <s v="RARA"/>
    <n v="1968"/>
    <n v="2.4905499999999998"/>
    <n v="0"/>
  </r>
  <r>
    <s v="D"/>
    <s v="DENSO"/>
    <x v="37"/>
    <s v="ALBA"/>
    <s v="RECV"/>
    <n v="1344"/>
    <n v="2.4905499999999998"/>
    <n v="0"/>
  </r>
  <r>
    <s v="D"/>
    <s v="DENSO"/>
    <x v="38"/>
    <s v="ALBA"/>
    <s v="SPC1"/>
    <n v="3825"/>
    <n v="3.8322799999999999"/>
    <n v="0"/>
  </r>
  <r>
    <s v="DA"/>
    <s v="DAIMLER"/>
    <x v="39"/>
    <s v="ALBA"/>
    <s v="RECV"/>
    <n v="32"/>
    <n v="21.09188"/>
    <n v="0"/>
  </r>
  <r>
    <s v="DA"/>
    <s v="DAIMLER"/>
    <x v="40"/>
    <s v="ALBA"/>
    <s v="RECV"/>
    <n v="72"/>
    <n v="21.453320000000001"/>
    <n v="14.44"/>
  </r>
  <r>
    <s v="DA"/>
    <s v="DAIMLER"/>
    <x v="41"/>
    <s v="ALBA"/>
    <s v="RECV"/>
    <n v="144"/>
    <n v="21.604289999999999"/>
    <n v="14.350099999999999"/>
  </r>
  <r>
    <s v="DA"/>
    <s v="DAIMLER"/>
    <x v="42"/>
    <s v="ALBA"/>
    <s v="RECV"/>
    <n v="680"/>
    <n v="26.643350000000002"/>
    <n v="0"/>
  </r>
  <r>
    <s v="DA"/>
    <s v="DAIMLER"/>
    <x v="42"/>
    <s v="ALBA"/>
    <s v="TBOX"/>
    <n v="28"/>
    <n v="26.643350000000002"/>
    <n v="0"/>
  </r>
  <r>
    <s v="DA"/>
    <s v="DAIMLER"/>
    <x v="43"/>
    <s v="ALBA"/>
    <s v="RECV"/>
    <n v="48"/>
    <n v="26.7851"/>
    <n v="0"/>
  </r>
  <r>
    <s v="DA"/>
    <s v="DAIMLER"/>
    <x v="43"/>
    <s v="ALBA"/>
    <s v="TBOX"/>
    <n v="16"/>
    <n v="26.7851"/>
    <n v="0"/>
  </r>
  <r>
    <s v="DA"/>
    <s v="DAIMLER"/>
    <x v="44"/>
    <s v="ALBA"/>
    <s v="TBOX"/>
    <n v="28"/>
    <n v="33.083950000000002"/>
    <n v="0"/>
  </r>
  <r>
    <s v="DA"/>
    <s v="DAIMLER"/>
    <x v="44"/>
    <s v="ALBA"/>
    <s v="RECV"/>
    <n v="48"/>
    <n v="33.083950000000002"/>
    <n v="0"/>
  </r>
  <r>
    <s v="DA"/>
    <s v="DAIMLER"/>
    <x v="45"/>
    <s v="ALBA"/>
    <s v="DESP"/>
    <n v="224"/>
    <n v="33.139789999999998"/>
    <n v="0"/>
  </r>
  <r>
    <s v="DA"/>
    <s v="DAIMLER"/>
    <x v="45"/>
    <s v="ALBA"/>
    <s v="RECV"/>
    <n v="512"/>
    <n v="33.139789999999998"/>
    <n v="0"/>
  </r>
  <r>
    <s v="DA"/>
    <s v="DAIMLER"/>
    <x v="45"/>
    <s v="ALBA"/>
    <s v="TBOX"/>
    <n v="4"/>
    <n v="33.139789999999998"/>
    <n v="0"/>
  </r>
  <r>
    <s v="DA"/>
    <s v="DAIMLER"/>
    <x v="46"/>
    <s v="ALBA"/>
    <s v="RECV"/>
    <n v="56"/>
    <n v="33.284849999999999"/>
    <n v="0"/>
  </r>
  <r>
    <s v="DA"/>
    <s v="DAIMLER"/>
    <x v="46"/>
    <s v="ALBA"/>
    <s v="TBOX"/>
    <n v="12"/>
    <n v="33.284849999999999"/>
    <n v="0"/>
  </r>
  <r>
    <s v="DA"/>
    <s v="DAIMLER"/>
    <x v="47"/>
    <s v="ALBA"/>
    <s v="DESP"/>
    <n v="512"/>
    <n v="27.19415"/>
    <n v="0"/>
  </r>
  <r>
    <s v="DA"/>
    <s v="DAIMLER"/>
    <x v="47"/>
    <s v="ALBA"/>
    <s v="RECV"/>
    <n v="192"/>
    <n v="27.19415"/>
    <n v="0"/>
  </r>
  <r>
    <s v="DA"/>
    <s v="DAIMLER"/>
    <x v="48"/>
    <s v="ALBA"/>
    <s v="RECV"/>
    <n v="280"/>
    <n v="33.443150000000003"/>
    <n v="0"/>
  </r>
  <r>
    <s v="DM"/>
    <s v="Delphi Molinella"/>
    <x v="49"/>
    <s v="ALBA"/>
    <s v="OBSL"/>
    <n v="16"/>
    <n v="17.38251"/>
    <n v="0"/>
  </r>
  <r>
    <s v="DM"/>
    <s v="Delphi Molinella"/>
    <x v="50"/>
    <s v="ALBA"/>
    <s v="DESP"/>
    <n v="440"/>
    <n v="2.6894300000000002"/>
    <n v="0"/>
  </r>
  <r>
    <s v="DM"/>
    <s v="Delphi Molinella"/>
    <x v="50"/>
    <s v="ALBA"/>
    <s v="RECV"/>
    <n v="40"/>
    <n v="2.6894300000000002"/>
    <n v="0"/>
  </r>
  <r>
    <s v="DM"/>
    <s v="Delphi Molinella"/>
    <x v="50"/>
    <s v="ALBA"/>
    <s v="T511"/>
    <n v="120"/>
    <n v="2.6894300000000002"/>
    <n v="0"/>
  </r>
  <r>
    <s v="DM"/>
    <s v="Delphi Molinella"/>
    <x v="51"/>
    <s v="ALBA"/>
    <s v="DESP"/>
    <n v="450"/>
    <n v="9.0714299999999994"/>
    <n v="0"/>
  </r>
  <r>
    <s v="DM"/>
    <s v="Delphi Molinella"/>
    <x v="51"/>
    <s v="ALBA"/>
    <s v="RECV"/>
    <n v="40"/>
    <n v="9.0714299999999994"/>
    <n v="0"/>
  </r>
  <r>
    <s v="DM"/>
    <s v="Delphi Molinella"/>
    <x v="51"/>
    <s v="ALBA"/>
    <s v="T511"/>
    <n v="50"/>
    <n v="9.0714299999999994"/>
    <n v="0"/>
  </r>
  <r>
    <s v="DO"/>
    <s v="Delphi Ostr¢w"/>
    <x v="52"/>
    <s v="ALBA"/>
    <s v="OBSL"/>
    <n v="120"/>
    <n v="9.2799999999999994"/>
    <n v="0"/>
  </r>
  <r>
    <s v="DO"/>
    <s v="Delphi Ostr¢w"/>
    <x v="53"/>
    <s v="ALBA"/>
    <s v="OBSL"/>
    <n v="330"/>
    <n v="9.61"/>
    <n v="0"/>
  </r>
  <r>
    <s v="DS"/>
    <s v="DELPHI SLOVAKIA"/>
    <x v="54"/>
    <s v="ALBA"/>
    <s v="RECV"/>
    <n v="10"/>
    <n v="14.571009999999999"/>
    <n v="0"/>
  </r>
  <r>
    <s v="DS"/>
    <s v="DELPHI SLOVAKIA"/>
    <x v="55"/>
    <s v="ALBA"/>
    <s v="SPC1"/>
    <n v="120"/>
    <n v="9.7896199999999993"/>
    <n v="0"/>
  </r>
  <r>
    <s v="DS"/>
    <s v="DELPHI SLOVAKIA"/>
    <x v="56"/>
    <s v="ALBA"/>
    <s v="SPC1"/>
    <n v="90"/>
    <n v="9.6613000000000007"/>
    <n v="0"/>
  </r>
  <r>
    <s v="DS"/>
    <s v="DELPHI SLOVAKIA"/>
    <x v="57"/>
    <s v="ALBA"/>
    <s v="SPC1"/>
    <n v="30"/>
    <n v="10.58813"/>
    <n v="0"/>
  </r>
  <r>
    <s v="DS"/>
    <s v="DELPHI SLOVAKIA"/>
    <x v="58"/>
    <s v="ALBA"/>
    <s v="SPC1"/>
    <n v="60"/>
    <n v="10.562469999999999"/>
    <n v="0"/>
  </r>
  <r>
    <s v="DS"/>
    <s v="DELPHI SLOVAKIA"/>
    <x v="59"/>
    <s v="ALBA"/>
    <s v="SPC1"/>
    <n v="390"/>
    <n v="11.09287"/>
    <n v="0"/>
  </r>
  <r>
    <s v="DS"/>
    <s v="DELPHI SLOVAKIA"/>
    <x v="60"/>
    <s v="ALBA"/>
    <s v="SPC1"/>
    <n v="60"/>
    <n v="11.067489999999999"/>
    <n v="0"/>
  </r>
  <r>
    <s v="DS"/>
    <s v="DELPHI SLOVAKIA"/>
    <x v="61"/>
    <s v="ALBA"/>
    <s v="SPC1"/>
    <n v="30"/>
    <n v="6.7829300000000003"/>
    <n v="0"/>
  </r>
  <r>
    <s v="DU"/>
    <s v="DENSO UK"/>
    <x v="62"/>
    <s v="ALBA"/>
    <s v="RECV"/>
    <n v="600"/>
    <n v="7.64506"/>
    <n v="0"/>
  </r>
  <r>
    <s v="DU"/>
    <s v="DENSO UK"/>
    <x v="62"/>
    <s v="ALBA"/>
    <s v="TBOX"/>
    <n v="85"/>
    <n v="7.64506"/>
    <n v="0"/>
  </r>
  <r>
    <s v="DU"/>
    <s v="DENSO UK"/>
    <x v="63"/>
    <s v="ALBA"/>
    <s v="RECV"/>
    <n v="920"/>
    <n v="2.3868800000000001"/>
    <n v="0"/>
  </r>
  <r>
    <s v="FA"/>
    <s v="FALCON"/>
    <x v="64"/>
    <s v="ALBA"/>
    <s v="SPC1"/>
    <n v="6500"/>
    <n v="2.3363900000000002"/>
    <n v="0"/>
  </r>
  <r>
    <s v="FA"/>
    <s v="FALCON"/>
    <x v="65"/>
    <s v="ALBA"/>
    <s v="RECV"/>
    <n v="40"/>
    <n v="0.67523"/>
    <n v="0"/>
  </r>
  <r>
    <s v="GO"/>
    <s v="GOLDE SK NEO"/>
    <x v="66"/>
    <s v="ALBA"/>
    <s v="TBOX"/>
    <n v="158"/>
    <n v="1.4805600000000001"/>
    <n v="0"/>
  </r>
  <r>
    <s v="GR"/>
    <s v="GOLDE ORADEA"/>
    <x v="67"/>
    <s v="ALBA"/>
    <s v="RECV"/>
    <n v="1300"/>
    <n v="1.5768500000000001"/>
    <n v="0"/>
  </r>
  <r>
    <s v="GR"/>
    <s v="GOLDE ORADEA"/>
    <x v="67"/>
    <s v="ALBA"/>
    <s v="T423"/>
    <n v="500"/>
    <n v="1.5768500000000001"/>
    <n v="0"/>
  </r>
  <r>
    <s v="GR"/>
    <s v="GOLDE ORADEA"/>
    <x v="68"/>
    <s v="ALBA"/>
    <s v="RECV"/>
    <n v="1500"/>
    <n v="8.9207400000000003"/>
    <n v="0"/>
  </r>
  <r>
    <s v="GR"/>
    <s v="GOLDE ORADEA"/>
    <x v="68"/>
    <s v="ALBA"/>
    <s v="T221"/>
    <n v="600"/>
    <n v="8.9207400000000003"/>
    <n v="0"/>
  </r>
  <r>
    <s v="GR"/>
    <s v="GOLDE ORADEA"/>
    <x v="68"/>
    <s v="ALBA"/>
    <s v="T232"/>
    <n v="600"/>
    <n v="8.9207400000000003"/>
    <n v="0"/>
  </r>
  <r>
    <s v="GR"/>
    <s v="GOLDE ORADEA"/>
    <x v="68"/>
    <s v="ALBA"/>
    <s v="T233"/>
    <n v="600"/>
    <n v="8.9207400000000003"/>
    <n v="0"/>
  </r>
  <r>
    <s v="GR"/>
    <s v="GOLDE ORADEA"/>
    <x v="68"/>
    <s v="ALBA"/>
    <s v="T241"/>
    <n v="600"/>
    <n v="8.9207400000000003"/>
    <n v="0"/>
  </r>
  <r>
    <s v="GR"/>
    <s v="GOLDE ORADEA"/>
    <x v="68"/>
    <s v="ALBA"/>
    <s v="T251"/>
    <n v="600"/>
    <n v="8.9207400000000003"/>
    <n v="0"/>
  </r>
  <r>
    <s v="GR"/>
    <s v="GOLDE ORADEA"/>
    <x v="68"/>
    <s v="ALBA"/>
    <s v="T253"/>
    <n v="600"/>
    <n v="8.9207400000000003"/>
    <n v="0"/>
  </r>
  <r>
    <s v="GR"/>
    <s v="GOLDE ORADEA"/>
    <x v="68"/>
    <s v="ALBA"/>
    <s v="T321"/>
    <n v="600"/>
    <n v="8.9207400000000003"/>
    <n v="0"/>
  </r>
  <r>
    <s v="GR"/>
    <s v="GOLDE ORADEA"/>
    <x v="68"/>
    <s v="ALBA"/>
    <s v="T433"/>
    <n v="600"/>
    <n v="8.9207400000000003"/>
    <n v="0"/>
  </r>
  <r>
    <s v="GR"/>
    <s v="GOLDE ORADEA"/>
    <x v="68"/>
    <s v="ALBA"/>
    <s v="T441"/>
    <n v="600"/>
    <n v="8.9207400000000003"/>
    <n v="0"/>
  </r>
  <r>
    <s v="GR"/>
    <s v="GOLDE ORADEA"/>
    <x v="68"/>
    <s v="ALBA"/>
    <s v="T442"/>
    <n v="600"/>
    <n v="8.9207400000000003"/>
    <n v="0"/>
  </r>
  <r>
    <s v="GR"/>
    <s v="GOLDE ORADEA"/>
    <x v="68"/>
    <s v="ALBA"/>
    <s v="T443"/>
    <n v="600"/>
    <n v="8.9207400000000003"/>
    <n v="0"/>
  </r>
  <r>
    <s v="GR"/>
    <s v="GOLDE ORADEA"/>
    <x v="68"/>
    <s v="ALBA"/>
    <s v="T531"/>
    <n v="600"/>
    <n v="8.9207400000000003"/>
    <n v="0"/>
  </r>
  <r>
    <s v="GR"/>
    <s v="GOLDE ORADEA"/>
    <x v="68"/>
    <s v="ALBA"/>
    <s v="T532"/>
    <n v="600"/>
    <n v="8.9207400000000003"/>
    <n v="0"/>
  </r>
  <r>
    <s v="GR"/>
    <s v="GOLDE ORADEA"/>
    <x v="68"/>
    <s v="ALBA"/>
    <s v="T551"/>
    <n v="600"/>
    <n v="8.9207400000000003"/>
    <n v="0"/>
  </r>
  <r>
    <s v="GR"/>
    <s v="GOLDE ORADEA"/>
    <x v="68"/>
    <s v="ALBA"/>
    <s v="T552"/>
    <n v="600"/>
    <n v="8.9207400000000003"/>
    <n v="0"/>
  </r>
  <r>
    <s v="GR"/>
    <s v="GOLDE ORADEA"/>
    <x v="66"/>
    <s v="ALBA"/>
    <s v="RECV"/>
    <n v="4500"/>
    <n v="1.4805600000000001"/>
    <n v="0"/>
  </r>
  <r>
    <s v="GR"/>
    <s v="GOLDE ORADEA"/>
    <x v="69"/>
    <s v="ALBA"/>
    <s v="RECV"/>
    <n v="2400"/>
    <n v="1.4805600000000001"/>
    <n v="0"/>
  </r>
  <r>
    <s v="JC"/>
    <s v="JOHNSON CONTROLS AUTOMOTIVE"/>
    <x v="70"/>
    <s v="ALBA"/>
    <s v="B203"/>
    <n v="9"/>
    <n v="19.734439999999999"/>
    <n v="0"/>
  </r>
  <r>
    <s v="JC"/>
    <s v="JOHNSON CONTROLS AUTOMOTIVE"/>
    <x v="71"/>
    <s v="ALBA"/>
    <s v="SPC1"/>
    <n v="20"/>
    <n v="17.708449999999999"/>
    <n v="0"/>
  </r>
  <r>
    <s v="JC"/>
    <s v="JOHNSON CONTROLS AUTOMOTIVE"/>
    <x v="72"/>
    <s v="ALBA"/>
    <s v="SPC1"/>
    <n v="40"/>
    <n v="7.4170100000000003"/>
    <n v="0"/>
  </r>
  <r>
    <s v="JC"/>
    <s v="JOHNSON CONTROLS AUTOMOTIVE"/>
    <x v="73"/>
    <s v="ALBA"/>
    <s v="SPC1"/>
    <n v="80"/>
    <n v="11.23048"/>
    <n v="0"/>
  </r>
  <r>
    <s v="JC"/>
    <s v="JOHNSON CONTROLS AUTOMOTIVE"/>
    <x v="74"/>
    <s v="ALBA"/>
    <s v="DESP"/>
    <n v="2160"/>
    <n v="0.86787999999999998"/>
    <n v="0"/>
  </r>
  <r>
    <s v="JC"/>
    <s v="JOHNSON CONTROLS AUTOMOTIVE"/>
    <x v="74"/>
    <s v="ALBA"/>
    <s v="RECV"/>
    <n v="3280"/>
    <n v="0.86787999999999998"/>
    <n v="0"/>
  </r>
  <r>
    <s v="JC"/>
    <s v="JOHNSON CONTROLS AUTOMOTIVE"/>
    <x v="75"/>
    <s v="ALBA"/>
    <s v="RECV"/>
    <n v="1080"/>
    <n v="4.35684"/>
    <n v="0"/>
  </r>
  <r>
    <s v="JC"/>
    <s v="JOHNSON CONTROLS AUTOMOTIVE"/>
    <x v="75"/>
    <s v="ALBA"/>
    <s v="T252"/>
    <n v="800"/>
    <n v="4.35684"/>
    <n v="0"/>
  </r>
  <r>
    <s v="JC"/>
    <s v="JOHNSON CONTROLS AUTOMOTIVE"/>
    <x v="76"/>
    <s v="ALBA"/>
    <s v="SPC1"/>
    <n v="560"/>
    <n v="11.05067"/>
    <n v="0"/>
  </r>
  <r>
    <s v="JC"/>
    <s v="JOHNSON CONTROLS AUTOMOTIVE"/>
    <x v="77"/>
    <s v="ALBA"/>
    <s v="SPC1"/>
    <n v="40"/>
    <n v="7.5045000000000002"/>
    <n v="0"/>
  </r>
  <r>
    <s v="JC"/>
    <s v="JOHNSON CONTROLS AUTOMOTIVE"/>
    <x v="78"/>
    <s v="ALBA"/>
    <s v="SPC1"/>
    <n v="20"/>
    <n v="8.3319600000000005"/>
    <n v="0"/>
  </r>
  <r>
    <s v="JC"/>
    <s v="JOHNSON CONTROLS AUTOMOTIVE"/>
    <x v="79"/>
    <s v="ALBA"/>
    <s v="SPC1"/>
    <n v="497"/>
    <n v="16.795069999999999"/>
    <n v="0"/>
  </r>
  <r>
    <s v="JC"/>
    <s v="JOHNSON CONTROLS AUTOMOTIVE"/>
    <x v="80"/>
    <s v="ALBA"/>
    <s v="SPC1"/>
    <n v="40"/>
    <n v="11.81312"/>
    <n v="0"/>
  </r>
  <r>
    <s v="JC"/>
    <s v="JOHNSON CONTROLS AUTOMOTIVE"/>
    <x v="81"/>
    <s v="ALBA"/>
    <s v="SPC1"/>
    <n v="20"/>
    <n v="8.0216999999999992"/>
    <n v="0"/>
  </r>
  <r>
    <s v="JC"/>
    <s v="JOHNSON CONTROLS AUTOMOTIVE"/>
    <x v="82"/>
    <s v="ALBA"/>
    <s v="SPC1"/>
    <n v="560"/>
    <n v="18.431039999999999"/>
    <n v="0"/>
  </r>
  <r>
    <s v="JC"/>
    <s v="JOHNSON CONTROLS AUTOMOTIVE"/>
    <x v="83"/>
    <s v="ALBA"/>
    <s v="SPC1"/>
    <n v="20"/>
    <n v="12.428800000000001"/>
    <n v="0"/>
  </r>
  <r>
    <s v="JC"/>
    <s v="JOHNSON CONTROLS AUTOMOTIVE"/>
    <x v="84"/>
    <s v="ALBA"/>
    <s v="SPC1"/>
    <n v="460"/>
    <n v="13.13373"/>
    <n v="0"/>
  </r>
  <r>
    <s v="JC"/>
    <s v="JOHNSON CONTROLS AUTOMOTIVE"/>
    <x v="85"/>
    <s v="ALBA"/>
    <s v="SPC1"/>
    <n v="20"/>
    <n v="12.51634"/>
    <n v="0"/>
  </r>
  <r>
    <s v="JC"/>
    <s v="JOHNSON CONTROLS AUTOMOTIVE"/>
    <x v="86"/>
    <s v="ALBA"/>
    <s v="SPC1"/>
    <n v="180"/>
    <n v="8.7171800000000008"/>
    <n v="0"/>
  </r>
  <r>
    <s v="JC"/>
    <s v="JOHNSON CONTROLS AUTOMOTIVE"/>
    <x v="87"/>
    <s v="ALBA"/>
    <s v="SPC1"/>
    <n v="40"/>
    <n v="18.241980000000002"/>
    <n v="0"/>
  </r>
  <r>
    <s v="JC"/>
    <s v="JOHNSON CONTROLS AUTOMOTIVE"/>
    <x v="88"/>
    <s v="ALBA"/>
    <s v="SPC1"/>
    <n v="100"/>
    <n v="13.2294"/>
    <n v="0"/>
  </r>
  <r>
    <s v="JC"/>
    <s v="JOHNSON CONTROLS AUTOMOTIVE"/>
    <x v="89"/>
    <s v="ALBA"/>
    <s v="SPC1"/>
    <n v="20"/>
    <n v="9.2424499999999998"/>
    <n v="0"/>
  </r>
  <r>
    <s v="JC"/>
    <s v="JOHNSON CONTROLS AUTOMOTIVE"/>
    <x v="90"/>
    <s v="ALBA"/>
    <s v="SPC1"/>
    <n v="80"/>
    <n v="12.72275"/>
    <n v="0"/>
  </r>
  <r>
    <s v="JC"/>
    <s v="JOHNSON CONTROLS AUTOMOTIVE"/>
    <x v="91"/>
    <s v="ALBA"/>
    <s v="RECV"/>
    <n v="2520"/>
    <n v="3.5826500000000001"/>
    <n v="0"/>
  </r>
  <r>
    <s v="JC"/>
    <s v="JOHNSON CONTROLS AUTOMOTIVE"/>
    <x v="91"/>
    <s v="ALBA"/>
    <s v="T432"/>
    <n v="1200"/>
    <n v="3.5826500000000001"/>
    <n v="0"/>
  </r>
  <r>
    <s v="JC"/>
    <s v="JOHNSON CONTROLS AUTOMOTIVE"/>
    <x v="91"/>
    <s v="ALBA"/>
    <s v="VOL1"/>
    <n v="2880"/>
    <n v="3.5826500000000001"/>
    <n v="0"/>
  </r>
  <r>
    <s v="JC"/>
    <s v="JOHNSON CONTROLS AUTOMOTIVE"/>
    <x v="92"/>
    <s v="ALBA"/>
    <s v="RECV"/>
    <n v="120"/>
    <n v="8.39818"/>
    <n v="0"/>
  </r>
  <r>
    <s v="JC"/>
    <s v="JOHNSON CONTROLS AUTOMOTIVE"/>
    <x v="92"/>
    <s v="ALBA"/>
    <s v="VOL1"/>
    <n v="600"/>
    <n v="8.39818"/>
    <n v="0"/>
  </r>
  <r>
    <s v="JC"/>
    <s v="JOHNSON CONTROLS AUTOMOTIVE"/>
    <x v="93"/>
    <s v="ALBA"/>
    <s v="RECV"/>
    <n v="1800"/>
    <n v="6.0046200000000001"/>
    <n v="0"/>
  </r>
  <r>
    <s v="JC"/>
    <s v="JOHNSON CONTROLS AUTOMOTIVE"/>
    <x v="94"/>
    <s v="ALBA"/>
    <s v="RECV"/>
    <n v="280"/>
    <n v="4.7320099999999998"/>
    <n v="0"/>
  </r>
  <r>
    <s v="JC"/>
    <s v="JOHNSON CONTROLS AUTOMOTIVE"/>
    <x v="94"/>
    <s v="ALBA"/>
    <s v="T223"/>
    <n v="800"/>
    <n v="4.7320099999999998"/>
    <n v="0"/>
  </r>
  <r>
    <s v="JC"/>
    <s v="JOHNSON CONTROLS AUTOMOTIVE"/>
    <x v="94"/>
    <s v="ALBA"/>
    <s v="T242"/>
    <n v="800"/>
    <n v="4.7320099999999998"/>
    <n v="0"/>
  </r>
  <r>
    <s v="JC"/>
    <s v="JOHNSON CONTROLS AUTOMOTIVE"/>
    <x v="94"/>
    <s v="ALBA"/>
    <s v="T533"/>
    <n v="800"/>
    <n v="4.7320099999999998"/>
    <n v="0"/>
  </r>
  <r>
    <s v="JC"/>
    <s v="JOHNSON CONTROLS AUTOMOTIVE"/>
    <x v="95"/>
    <s v="ALBA"/>
    <s v="RECV"/>
    <n v="1080"/>
    <n v="6.3654500000000001"/>
    <n v="0"/>
  </r>
  <r>
    <s v="JC"/>
    <s v="JOHNSON CONTROLS AUTOMOTIVE"/>
    <x v="95"/>
    <s v="ALBA"/>
    <s v="T352"/>
    <n v="800"/>
    <n v="6.3654500000000001"/>
    <n v="0"/>
  </r>
  <r>
    <s v="JC"/>
    <s v="JOHNSON CONTROLS AUTOMOTIVE"/>
    <x v="96"/>
    <s v="ALBA"/>
    <s v="DESP"/>
    <n v="800"/>
    <n v="5.1218500000000002"/>
    <n v="0"/>
  </r>
  <r>
    <s v="JC"/>
    <s v="JOHNSON CONTROLS AUTOMOTIVE"/>
    <x v="96"/>
    <s v="ALBA"/>
    <s v="RECV"/>
    <n v="1040"/>
    <n v="5.1218500000000002"/>
    <n v="0"/>
  </r>
  <r>
    <s v="JC"/>
    <s v="JOHNSON CONTROLS AUTOMOTIVE"/>
    <x v="96"/>
    <s v="ALBA"/>
    <s v="T452"/>
    <n v="800"/>
    <n v="5.1218500000000002"/>
    <n v="0"/>
  </r>
  <r>
    <s v="JC"/>
    <s v="JOHNSON CONTROLS AUTOMOTIVE"/>
    <x v="96"/>
    <s v="ALBA"/>
    <s v="VOL1"/>
    <n v="800"/>
    <n v="5.1218500000000002"/>
    <n v="0"/>
  </r>
  <r>
    <s v="JC"/>
    <s v="JOHNSON CONTROLS AUTOMOTIVE"/>
    <x v="97"/>
    <s v="ALBA"/>
    <s v="EGP2"/>
    <n v="25"/>
    <n v="13.751139999999999"/>
    <n v="0"/>
  </r>
  <r>
    <s v="JC"/>
    <s v="JOHNSON CONTROLS AUTOMOTIVE"/>
    <x v="97"/>
    <s v="ALBA"/>
    <s v="RARA"/>
    <n v="275"/>
    <n v="13.751139999999999"/>
    <n v="0"/>
  </r>
  <r>
    <s v="JC"/>
    <s v="JOHNSON CONTROLS AUTOMOTIVE"/>
    <x v="97"/>
    <s v="ALBA"/>
    <s v="VOL2"/>
    <n v="100"/>
    <n v="13.751139999999999"/>
    <n v="0"/>
  </r>
  <r>
    <s v="JC"/>
    <s v="JOHNSON CONTROLS AUTOMOTIVE"/>
    <x v="98"/>
    <s v="ALBA"/>
    <s v="EGP2"/>
    <n v="120"/>
    <n v="9.7828599999999994"/>
    <n v="0"/>
  </r>
  <r>
    <s v="JC"/>
    <s v="JOHNSON CONTROLS AUTOMOTIVE"/>
    <x v="98"/>
    <s v="ALBA"/>
    <s v="RARA"/>
    <n v="40"/>
    <n v="9.7828599999999994"/>
    <n v="0"/>
  </r>
  <r>
    <s v="JC"/>
    <s v="JOHNSON CONTROLS AUTOMOTIVE"/>
    <x v="98"/>
    <s v="ALBA"/>
    <s v="VOL2"/>
    <n v="160"/>
    <n v="9.7828599999999994"/>
    <n v="0"/>
  </r>
  <r>
    <s v="JC"/>
    <s v="JOHNSON CONTROLS AUTOMOTIVE"/>
    <x v="99"/>
    <s v="ALBA"/>
    <s v="VOL2"/>
    <n v="100"/>
    <n v="10.511979999999999"/>
    <n v="0"/>
  </r>
  <r>
    <s v="JC"/>
    <s v="JOHNSON CONTROLS AUTOMOTIVE"/>
    <x v="100"/>
    <s v="ALBA"/>
    <s v="EGP1"/>
    <n v="200"/>
    <n v="6.7719100000000001"/>
    <n v="0"/>
  </r>
  <r>
    <s v="JC"/>
    <s v="JOHNSON CONTROLS AUTOMOTIVE"/>
    <x v="100"/>
    <s v="ALBA"/>
    <s v="RARA"/>
    <n v="40"/>
    <n v="6.7719100000000001"/>
    <n v="0"/>
  </r>
  <r>
    <s v="JC"/>
    <s v="JOHNSON CONTROLS AUTOMOTIVE"/>
    <x v="101"/>
    <s v="ALBA"/>
    <s v="SPC1"/>
    <n v="20"/>
    <n v="14.433439999999999"/>
    <n v="0"/>
  </r>
  <r>
    <s v="JC"/>
    <s v="JOHNSON CONTROLS AUTOMOTIVE"/>
    <x v="102"/>
    <s v="ALBA"/>
    <s v="EGP2"/>
    <n v="20"/>
    <n v="11.531840000000001"/>
    <n v="0"/>
  </r>
  <r>
    <s v="JC"/>
    <s v="JOHNSON CONTROLS AUTOMOTIVE"/>
    <x v="102"/>
    <s v="ALBA"/>
    <s v="VOL2"/>
    <n v="80"/>
    <n v="11.531840000000001"/>
    <n v="0"/>
  </r>
  <r>
    <s v="JC"/>
    <s v="JOHNSON CONTROLS AUTOMOTIVE"/>
    <x v="103"/>
    <s v="ALBA"/>
    <s v="VOL5"/>
    <n v="50"/>
    <n v="12.00582"/>
    <n v="0"/>
  </r>
  <r>
    <s v="JC"/>
    <s v="JOHNSON CONTROLS AUTOMOTIVE"/>
    <x v="104"/>
    <s v="ALBA"/>
    <s v="EGP1"/>
    <n v="200"/>
    <n v="12.67184"/>
    <n v="0"/>
  </r>
  <r>
    <s v="JC"/>
    <s v="JOHNSON CONTROLS AUTOMOTIVE"/>
    <x v="104"/>
    <s v="ALBA"/>
    <s v="EGP2"/>
    <n v="440"/>
    <n v="12.67184"/>
    <n v="0"/>
  </r>
  <r>
    <s v="JC"/>
    <s v="JOHNSON CONTROLS AUTOMOTIVE"/>
    <x v="104"/>
    <s v="ALBA"/>
    <s v="RARA"/>
    <n v="360"/>
    <n v="12.67184"/>
    <n v="0"/>
  </r>
  <r>
    <s v="JC"/>
    <s v="JOHNSON CONTROLS AUTOMOTIVE"/>
    <x v="105"/>
    <s v="ALBA"/>
    <s v="EGP2"/>
    <n v="350"/>
    <n v="13.680999999999999"/>
    <n v="0"/>
  </r>
  <r>
    <s v="JC"/>
    <s v="JOHNSON CONTROLS AUTOMOTIVE"/>
    <x v="105"/>
    <s v="ALBA"/>
    <s v="RARA"/>
    <n v="300"/>
    <n v="13.680999999999999"/>
    <n v="0"/>
  </r>
  <r>
    <s v="JC"/>
    <s v="JOHNSON CONTROLS AUTOMOTIVE"/>
    <x v="105"/>
    <s v="ALBA"/>
    <s v="T513"/>
    <n v="7"/>
    <n v="13.680999999999999"/>
    <n v="0"/>
  </r>
  <r>
    <s v="JC"/>
    <s v="JOHNSON CONTROLS AUTOMOTIVE"/>
    <x v="106"/>
    <s v="ALBA"/>
    <s v="VOL5"/>
    <n v="100"/>
    <n v="10.34587"/>
    <n v="0"/>
  </r>
  <r>
    <s v="JC"/>
    <s v="JOHNSON CONTROLS AUTOMOTIVE"/>
    <x v="107"/>
    <s v="ALBA"/>
    <s v="VOL5"/>
    <n v="40"/>
    <n v="6.83223"/>
    <n v="0"/>
  </r>
  <r>
    <s v="JC"/>
    <s v="JOHNSON CONTROLS AUTOMOTIVE"/>
    <x v="108"/>
    <s v="ALBA"/>
    <s v="EGP1"/>
    <n v="25"/>
    <n v="11.13813"/>
    <n v="0"/>
  </r>
  <r>
    <s v="JC"/>
    <s v="JOHNSON CONTROLS AUTOMOTIVE"/>
    <x v="108"/>
    <s v="ALBA"/>
    <s v="EGP2"/>
    <n v="175"/>
    <n v="11.13813"/>
    <n v="0"/>
  </r>
  <r>
    <s v="JC"/>
    <s v="JOHNSON CONTROLS AUTOMOTIVE"/>
    <x v="108"/>
    <s v="ALBA"/>
    <s v="RARA"/>
    <n v="100"/>
    <n v="11.13813"/>
    <n v="0"/>
  </r>
  <r>
    <s v="JC"/>
    <s v="JOHNSON CONTROLS AUTOMOTIVE"/>
    <x v="109"/>
    <s v="ALBA"/>
    <s v="EGP2"/>
    <n v="240"/>
    <n v="15.54214"/>
    <n v="0"/>
  </r>
  <r>
    <s v="JC"/>
    <s v="JOHNSON CONTROLS AUTOMOTIVE"/>
    <x v="109"/>
    <s v="ALBA"/>
    <s v="RARA"/>
    <n v="100"/>
    <n v="15.54214"/>
    <n v="0"/>
  </r>
  <r>
    <s v="JC"/>
    <s v="JOHNSON CONTROLS AUTOMOTIVE"/>
    <x v="110"/>
    <s v="ALBA"/>
    <s v="EGP2"/>
    <n v="25"/>
    <n v="12.26876"/>
    <n v="0"/>
  </r>
  <r>
    <s v="JC"/>
    <s v="JOHNSON CONTROLS AUTOMOTIVE"/>
    <x v="110"/>
    <s v="ALBA"/>
    <s v="RARA"/>
    <n v="100"/>
    <n v="12.26876"/>
    <n v="0"/>
  </r>
  <r>
    <s v="JC"/>
    <s v="JOHNSON CONTROLS AUTOMOTIVE"/>
    <x v="111"/>
    <s v="ALBA"/>
    <s v="EGP1"/>
    <n v="280"/>
    <n v="12.530290000000001"/>
    <n v="0"/>
  </r>
  <r>
    <s v="JC"/>
    <s v="JOHNSON CONTROLS AUTOMOTIVE"/>
    <x v="111"/>
    <s v="ALBA"/>
    <s v="RARA"/>
    <n v="1140"/>
    <n v="12.530290000000001"/>
    <n v="0"/>
  </r>
  <r>
    <s v="JC"/>
    <s v="JOHNSON CONTROLS AUTOMOTIVE"/>
    <x v="112"/>
    <s v="ALBA"/>
    <s v="EGP1"/>
    <n v="75"/>
    <n v="8.85684"/>
    <n v="0"/>
  </r>
  <r>
    <s v="JC"/>
    <s v="JOHNSON CONTROLS AUTOMOTIVE"/>
    <x v="112"/>
    <s v="ALBA"/>
    <s v="EGP2"/>
    <n v="125"/>
    <n v="8.85684"/>
    <n v="0"/>
  </r>
  <r>
    <s v="JC"/>
    <s v="JOHNSON CONTROLS AUTOMOTIVE"/>
    <x v="112"/>
    <s v="ALBA"/>
    <s v="RARA"/>
    <n v="825"/>
    <n v="8.85684"/>
    <n v="0"/>
  </r>
  <r>
    <s v="JC"/>
    <s v="JOHNSON CONTROLS AUTOMOTIVE"/>
    <x v="113"/>
    <s v="ALBA"/>
    <s v="RECV"/>
    <n v="540"/>
    <n v="8.7592499999999998"/>
    <n v="0"/>
  </r>
  <r>
    <s v="JC"/>
    <s v="JOHNSON CONTROLS AUTOMOTIVE"/>
    <x v="114"/>
    <s v="ALBA"/>
    <s v="SPC1"/>
    <n v="40"/>
    <n v="7.6142500000000002"/>
    <n v="0"/>
  </r>
  <r>
    <s v="JC"/>
    <s v="JOHNSON CONTROLS AUTOMOTIVE"/>
    <x v="115"/>
    <s v="ALBA"/>
    <s v="SPC1"/>
    <n v="20"/>
    <n v="11.97137"/>
    <n v="0"/>
  </r>
  <r>
    <s v="JC"/>
    <s v="JOHNSON CONTROLS AUTOMOTIVE"/>
    <x v="116"/>
    <s v="ALBA"/>
    <s v="SPC1"/>
    <n v="225"/>
    <n v="8.3067600000000006"/>
    <n v="0"/>
  </r>
  <r>
    <s v="JC"/>
    <s v="JOHNSON CONTROLS AUTOMOTIVE"/>
    <x v="117"/>
    <s v="ALBA"/>
    <s v="EGP2"/>
    <n v="20"/>
    <n v="16.509989999999998"/>
    <n v="0"/>
  </r>
  <r>
    <s v="JC"/>
    <s v="JOHNSON CONTROLS AUTOMOTIVE"/>
    <x v="117"/>
    <s v="ALBA"/>
    <s v="VOL2"/>
    <n v="80"/>
    <n v="16.509989999999998"/>
    <n v="0"/>
  </r>
  <r>
    <s v="JC"/>
    <s v="JOHNSON CONTROLS AUTOMOTIVE"/>
    <x v="118"/>
    <s v="ALBA"/>
    <s v="VOL5"/>
    <n v="25"/>
    <n v="13.11917"/>
    <n v="0"/>
  </r>
  <r>
    <s v="JC"/>
    <s v="JOHNSON CONTROLS AUTOMOTIVE"/>
    <x v="119"/>
    <s v="ALBA"/>
    <s v="RARA"/>
    <n v="100"/>
    <n v="13.495240000000001"/>
    <n v="0"/>
  </r>
  <r>
    <s v="JC"/>
    <s v="JOHNSON CONTROLS AUTOMOTIVE"/>
    <x v="120"/>
    <s v="ALBA"/>
    <s v="RECV"/>
    <n v="280"/>
    <n v="4.8724100000000004"/>
    <n v="0"/>
  </r>
  <r>
    <s v="JC"/>
    <s v="JOHNSON CONTROLS AUTOMOTIVE"/>
    <x v="120"/>
    <s v="ALBA"/>
    <s v="STAG"/>
    <n v="120"/>
    <n v="4.8724100000000004"/>
    <n v="0"/>
  </r>
  <r>
    <s v="JC"/>
    <s v="JOHNSON CONTROLS AUTOMOTIVE"/>
    <x v="120"/>
    <s v="ALBA"/>
    <s v="T342"/>
    <n v="80"/>
    <n v="4.8724100000000004"/>
    <n v="0"/>
  </r>
  <r>
    <s v="JC"/>
    <s v="JOHNSON CONTROLS AUTOMOTIVE"/>
    <x v="120"/>
    <s v="ALBA"/>
    <s v="T423"/>
    <n v="40"/>
    <n v="4.8724100000000004"/>
    <n v="0"/>
  </r>
  <r>
    <s v="JC"/>
    <s v="JOHNSON CONTROLS AUTOMOTIVE"/>
    <x v="120"/>
    <s v="ALBA"/>
    <s v="TBOX"/>
    <n v="6"/>
    <n v="4.8724100000000004"/>
    <n v="0"/>
  </r>
  <r>
    <s v="JC"/>
    <s v="JOHNSON CONTROLS AUTOMOTIVE"/>
    <x v="121"/>
    <s v="ALBA"/>
    <s v="TBOX"/>
    <n v="75"/>
    <n v="4.1524099999999997"/>
    <n v="0"/>
  </r>
  <r>
    <s v="JC"/>
    <s v="JOHNSON CONTROLS AUTOMOTIVE"/>
    <x v="121"/>
    <s v="ALBA"/>
    <s v="DESP"/>
    <n v="720"/>
    <n v="4.1524099999999997"/>
    <n v="0"/>
  </r>
  <r>
    <s v="JC"/>
    <s v="JOHNSON CONTROLS AUTOMOTIVE"/>
    <x v="121"/>
    <s v="ALBA"/>
    <s v="QUAR"/>
    <n v="6"/>
    <n v="4.1524099999999997"/>
    <n v="0"/>
  </r>
  <r>
    <s v="JC"/>
    <s v="JOHNSON CONTROLS AUTOMOTIVE"/>
    <x v="121"/>
    <s v="ALBA"/>
    <s v="RARA"/>
    <n v="1200"/>
    <n v="4.1524099999999997"/>
    <n v="0"/>
  </r>
  <r>
    <s v="JC"/>
    <s v="JOHNSON CONTROLS AUTOMOTIVE"/>
    <x v="121"/>
    <s v="ALBA"/>
    <s v="RECV"/>
    <n v="120"/>
    <n v="4.1524099999999997"/>
    <n v="0"/>
  </r>
  <r>
    <s v="JC"/>
    <s v="JOHNSON CONTROLS AUTOMOTIVE"/>
    <x v="121"/>
    <s v="ALBA"/>
    <s v="STAG"/>
    <n v="2100"/>
    <n v="4.1524099999999997"/>
    <n v="0"/>
  </r>
  <r>
    <s v="JC"/>
    <s v="JOHNSON CONTROLS AUTOMOTIVE"/>
    <x v="121"/>
    <s v="ALBA"/>
    <s v="T343"/>
    <n v="1200"/>
    <n v="4.1524099999999997"/>
    <n v="0"/>
  </r>
  <r>
    <s v="JC"/>
    <s v="JOHNSON CONTROLS AUTOMOTIVE"/>
    <x v="122"/>
    <s v="ALBA"/>
    <s v="DESP"/>
    <n v="360"/>
    <n v="8.3277800000000006"/>
    <n v="0"/>
  </r>
  <r>
    <s v="JC"/>
    <s v="JOHNSON CONTROLS AUTOMOTIVE"/>
    <x v="122"/>
    <s v="ALBA"/>
    <s v="QUAR"/>
    <n v="6"/>
    <n v="8.3277800000000006"/>
    <n v="0"/>
  </r>
  <r>
    <s v="JC"/>
    <s v="JOHNSON CONTROLS AUTOMOTIVE"/>
    <x v="122"/>
    <s v="ALBA"/>
    <s v="RECV"/>
    <n v="240"/>
    <n v="8.3277800000000006"/>
    <n v="0"/>
  </r>
  <r>
    <s v="JC"/>
    <s v="JOHNSON CONTROLS AUTOMOTIVE"/>
    <x v="122"/>
    <s v="ALBA"/>
    <s v="STAG"/>
    <n v="700"/>
    <n v="8.3277800000000006"/>
    <n v="0"/>
  </r>
  <r>
    <s v="JC"/>
    <s v="JOHNSON CONTROLS AUTOMOTIVE"/>
    <x v="122"/>
    <s v="ALBA"/>
    <s v="TBOX"/>
    <n v="14"/>
    <n v="8.3277800000000006"/>
    <n v="0"/>
  </r>
  <r>
    <s v="JC"/>
    <s v="JOHNSON CONTROLS AUTOMOTIVE"/>
    <x v="123"/>
    <s v="ALBA"/>
    <s v="TBOX"/>
    <n v="24"/>
    <n v="7.6113900000000001"/>
    <n v="0"/>
  </r>
  <r>
    <s v="JC"/>
    <s v="JOHNSON CONTROLS AUTOMOTIVE"/>
    <x v="123"/>
    <s v="ALBA"/>
    <s v="QUAR"/>
    <n v="5"/>
    <n v="7.6113900000000001"/>
    <n v="0"/>
  </r>
  <r>
    <s v="JC"/>
    <s v="JOHNSON CONTROLS AUTOMOTIVE"/>
    <x v="123"/>
    <s v="ALBA"/>
    <s v="RARA"/>
    <n v="10624"/>
    <n v="7.6113900000000001"/>
    <n v="0"/>
  </r>
  <r>
    <s v="JC"/>
    <s v="JOHNSON CONTROLS AUTOMOTIVE"/>
    <x v="123"/>
    <s v="ALBA"/>
    <s v="RECV"/>
    <n v="32"/>
    <n v="7.6113900000000001"/>
    <n v="0"/>
  </r>
  <r>
    <s v="JC"/>
    <s v="JOHNSON CONTROLS AUTOMOTIVE"/>
    <x v="123"/>
    <s v="ALBA"/>
    <s v="STAG"/>
    <n v="448"/>
    <n v="7.6113900000000001"/>
    <n v="0"/>
  </r>
  <r>
    <s v="JC"/>
    <s v="JOHNSON CONTROLS AUTOMOTIVE"/>
    <x v="123"/>
    <s v="ALBA"/>
    <s v="VOL5"/>
    <n v="672"/>
    <n v="7.6113900000000001"/>
    <n v="0"/>
  </r>
  <r>
    <s v="JC"/>
    <s v="JOHNSON CONTROLS AUTOMOTIVE"/>
    <x v="124"/>
    <s v="ALBA"/>
    <s v="RARA"/>
    <n v="800"/>
    <n v="4.8724100000000004"/>
    <n v="0"/>
  </r>
  <r>
    <s v="JC"/>
    <s v="JOHNSON CONTROLS AUTOMOTIVE"/>
    <x v="124"/>
    <s v="ALBA"/>
    <s v="RECV"/>
    <n v="1160"/>
    <n v="4.8724100000000004"/>
    <n v="0"/>
  </r>
  <r>
    <s v="JC"/>
    <s v="JOHNSON CONTROLS AUTOMOTIVE"/>
    <x v="124"/>
    <s v="ALBA"/>
    <s v="STAG"/>
    <n v="2600"/>
    <n v="4.8724100000000004"/>
    <n v="0"/>
  </r>
  <r>
    <s v="JC"/>
    <s v="JOHNSON CONTROLS AUTOMOTIVE"/>
    <x v="124"/>
    <s v="ALBA"/>
    <s v="VOL5"/>
    <n v="720"/>
    <n v="4.8724100000000004"/>
    <n v="0"/>
  </r>
  <r>
    <s v="JC"/>
    <s v="JOHNSON CONTROLS AUTOMOTIVE"/>
    <x v="125"/>
    <s v="ALBA"/>
    <s v="STAG"/>
    <n v="120"/>
    <n v="4.1524099999999997"/>
    <n v="0"/>
  </r>
  <r>
    <s v="JC"/>
    <s v="JOHNSON CONTROLS AUTOMOTIVE"/>
    <x v="125"/>
    <s v="ALBA"/>
    <s v="T342"/>
    <n v="300"/>
    <n v="4.1524099999999997"/>
    <n v="0"/>
  </r>
  <r>
    <s v="JC"/>
    <s v="JOHNSON CONTROLS AUTOMOTIVE"/>
    <x v="125"/>
    <s v="ALBA"/>
    <s v="T411"/>
    <n v="480"/>
    <n v="4.1524099999999997"/>
    <n v="0"/>
  </r>
  <r>
    <s v="JC"/>
    <s v="JOHNSON CONTROLS AUTOMOTIVE"/>
    <x v="125"/>
    <s v="ALBA"/>
    <s v="TBOX"/>
    <n v="10"/>
    <n v="4.1524099999999997"/>
    <n v="0"/>
  </r>
  <r>
    <s v="JC"/>
    <s v="JOHNSON CONTROLS AUTOMOTIVE"/>
    <x v="126"/>
    <s v="ALBA"/>
    <s v="TBOX"/>
    <n v="27"/>
    <n v="8.4235100000000003"/>
    <n v="0"/>
  </r>
  <r>
    <s v="JC"/>
    <s v="JOHNSON CONTROLS AUTOMOTIVE"/>
    <x v="126"/>
    <s v="ALBA"/>
    <s v="DESP"/>
    <n v="140"/>
    <n v="8.4235100000000003"/>
    <n v="0"/>
  </r>
  <r>
    <s v="JC"/>
    <s v="JOHNSON CONTROLS AUTOMOTIVE"/>
    <x v="126"/>
    <s v="ALBA"/>
    <s v="QUAR"/>
    <n v="95"/>
    <n v="8.4235100000000003"/>
    <n v="0"/>
  </r>
  <r>
    <s v="JC"/>
    <s v="JOHNSON CONTROLS AUTOMOTIVE"/>
    <x v="126"/>
    <s v="ALBA"/>
    <s v="RARA"/>
    <n v="8400"/>
    <n v="8.4235100000000003"/>
    <n v="0"/>
  </r>
  <r>
    <s v="JC"/>
    <s v="JOHNSON CONTROLS AUTOMOTIVE"/>
    <x v="126"/>
    <s v="ALBA"/>
    <s v="RECV"/>
    <n v="320"/>
    <n v="8.4235100000000003"/>
    <n v="0"/>
  </r>
  <r>
    <s v="JC"/>
    <s v="JOHNSON CONTROLS AUTOMOTIVE"/>
    <x v="126"/>
    <s v="ALBA"/>
    <s v="STAG"/>
    <n v="1500"/>
    <n v="8.4235100000000003"/>
    <n v="0"/>
  </r>
  <r>
    <s v="JC"/>
    <s v="JOHNSON CONTROLS AUTOMOTIVE"/>
    <x v="126"/>
    <s v="ALBA"/>
    <s v="VOL5"/>
    <n v="580"/>
    <n v="8.4235100000000003"/>
    <n v="0"/>
  </r>
  <r>
    <s v="JC"/>
    <s v="JOHNSON CONTROLS AUTOMOTIVE"/>
    <x v="127"/>
    <s v="ALBA"/>
    <s v="QUAR"/>
    <n v="5"/>
    <n v="7.7444600000000001"/>
    <n v="0"/>
  </r>
  <r>
    <s v="JC"/>
    <s v="JOHNSON CONTROLS AUTOMOTIVE"/>
    <x v="127"/>
    <s v="ALBA"/>
    <s v="RECV"/>
    <n v="128"/>
    <n v="7.7444600000000001"/>
    <n v="0"/>
  </r>
  <r>
    <s v="JC"/>
    <s v="JOHNSON CONTROLS AUTOMOTIVE"/>
    <x v="127"/>
    <s v="ALBA"/>
    <s v="STAG"/>
    <n v="32"/>
    <n v="7.7444600000000001"/>
    <n v="0"/>
  </r>
  <r>
    <s v="JC"/>
    <s v="JOHNSON CONTROLS AUTOMOTIVE"/>
    <x v="127"/>
    <s v="ALBA"/>
    <s v="T342"/>
    <n v="192"/>
    <n v="7.7444600000000001"/>
    <n v="0"/>
  </r>
  <r>
    <s v="JC"/>
    <s v="JOHNSON CONTROLS AUTOMOTIVE"/>
    <x v="127"/>
    <s v="ALBA"/>
    <s v="VOL5"/>
    <n v="288"/>
    <n v="7.7444600000000001"/>
    <n v="0"/>
  </r>
  <r>
    <s v="JC"/>
    <s v="JOHNSON CONTROLS AUTOMOTIVE"/>
    <x v="127"/>
    <s v="ALBA"/>
    <s v="TBOX"/>
    <n v="12"/>
    <n v="7.7444600000000001"/>
    <n v="0"/>
  </r>
  <r>
    <s v="JC"/>
    <s v="JOHNSON CONTROLS AUTOMOTIVE"/>
    <x v="128"/>
    <s v="ALBA"/>
    <s v="ADIS"/>
    <n v="16800"/>
    <n v="2.8106200000000001"/>
    <n v="0"/>
  </r>
  <r>
    <s v="JC"/>
    <s v="JOHNSON CONTROLS AUTOMOTIVE"/>
    <x v="128"/>
    <s v="ALBA"/>
    <s v="RECV"/>
    <n v="4000"/>
    <n v="2.8106200000000001"/>
    <n v="0"/>
  </r>
  <r>
    <s v="JC"/>
    <s v="JOHNSON CONTROLS AUTOMOTIVE"/>
    <x v="129"/>
    <s v="ALBA"/>
    <s v="EGP1"/>
    <n v="950"/>
    <n v="4.2243199999999996"/>
    <n v="0"/>
  </r>
  <r>
    <s v="JC"/>
    <s v="JOHNSON CONTROLS AUTOMOTIVE"/>
    <x v="129"/>
    <s v="ALBA"/>
    <s v="RARA"/>
    <n v="2900"/>
    <n v="4.2243199999999996"/>
    <n v="0"/>
  </r>
  <r>
    <s v="JC"/>
    <s v="JOHNSON CONTROLS AUTOMOTIVE"/>
    <x v="129"/>
    <s v="ALBA"/>
    <s v="VOL2"/>
    <n v="600"/>
    <n v="4.2243199999999996"/>
    <n v="0"/>
  </r>
  <r>
    <s v="JC"/>
    <s v="JOHNSON CONTROLS AUTOMOTIVE"/>
    <x v="130"/>
    <s v="ALBA"/>
    <s v="EGP1"/>
    <n v="100"/>
    <n v="4.2243199999999996"/>
    <n v="0"/>
  </r>
  <r>
    <s v="JC"/>
    <s v="JOHNSON CONTROLS AUTOMOTIVE"/>
    <x v="130"/>
    <s v="ALBA"/>
    <s v="RARA"/>
    <n v="3100"/>
    <n v="4.2243199999999996"/>
    <n v="0"/>
  </r>
  <r>
    <s v="JC"/>
    <s v="JOHNSON CONTROLS AUTOMOTIVE"/>
    <x v="130"/>
    <s v="ALBA"/>
    <s v="VOL2"/>
    <n v="800"/>
    <n v="4.2243199999999996"/>
    <n v="0"/>
  </r>
  <r>
    <s v="JC"/>
    <s v="JOHNSON CONTROLS AUTOMOTIVE"/>
    <x v="131"/>
    <s v="ALBA"/>
    <s v="EGP1"/>
    <n v="420"/>
    <n v="3.1777799999999998"/>
    <n v="0"/>
  </r>
  <r>
    <s v="JC"/>
    <s v="JOHNSON CONTROLS AUTOMOTIVE"/>
    <x v="131"/>
    <s v="ALBA"/>
    <s v="HAL3"/>
    <n v="180"/>
    <n v="3.1777799999999998"/>
    <n v="0"/>
  </r>
  <r>
    <s v="JC"/>
    <s v="JOHNSON CONTROLS AUTOMOTIVE"/>
    <x v="131"/>
    <s v="ALBA"/>
    <s v="RARA"/>
    <n v="2040"/>
    <n v="3.1777799999999998"/>
    <n v="0"/>
  </r>
  <r>
    <s v="JC"/>
    <s v="JOHNSON CONTROLS AUTOMOTIVE"/>
    <x v="131"/>
    <s v="ALBA"/>
    <s v="VOL2"/>
    <n v="720"/>
    <n v="3.1777799999999998"/>
    <n v="0"/>
  </r>
  <r>
    <s v="JC"/>
    <s v="JOHNSON CONTROLS AUTOMOTIVE"/>
    <x v="132"/>
    <s v="ALBA"/>
    <s v="EGP1"/>
    <n v="780"/>
    <n v="3.1777799999999998"/>
    <n v="0"/>
  </r>
  <r>
    <s v="JC"/>
    <s v="JOHNSON CONTROLS AUTOMOTIVE"/>
    <x v="132"/>
    <s v="ALBA"/>
    <s v="RARA"/>
    <n v="1800"/>
    <n v="3.1777799999999998"/>
    <n v="0"/>
  </r>
  <r>
    <s v="JC"/>
    <s v="JOHNSON CONTROLS AUTOMOTIVE"/>
    <x v="132"/>
    <s v="ALBA"/>
    <s v="VOL2"/>
    <n v="960"/>
    <n v="3.1777799999999998"/>
    <n v="0"/>
  </r>
  <r>
    <s v="JC"/>
    <s v="JOHNSON CONTROLS AUTOMOTIVE"/>
    <x v="133"/>
    <s v="ALBA"/>
    <s v="EGP1"/>
    <n v="1020"/>
    <n v="2.4036900000000001"/>
    <n v="0"/>
  </r>
  <r>
    <s v="JC"/>
    <s v="JOHNSON CONTROLS AUTOMOTIVE"/>
    <x v="133"/>
    <s v="ALBA"/>
    <s v="EGP2"/>
    <n v="1020"/>
    <n v="2.4036900000000001"/>
    <n v="0"/>
  </r>
  <r>
    <s v="JC"/>
    <s v="JOHNSON CONTROLS AUTOMOTIVE"/>
    <x v="133"/>
    <s v="ALBA"/>
    <s v="RARA"/>
    <n v="1200"/>
    <n v="2.4036900000000001"/>
    <n v="0"/>
  </r>
  <r>
    <s v="JC"/>
    <s v="JOHNSON CONTROLS AUTOMOTIVE"/>
    <x v="133"/>
    <s v="ALBA"/>
    <s v="VOL2"/>
    <n v="720"/>
    <n v="2.4036900000000001"/>
    <n v="0"/>
  </r>
  <r>
    <s v="JC"/>
    <s v="JOHNSON CONTROLS AUTOMOTIVE"/>
    <x v="134"/>
    <s v="ALBA"/>
    <s v="EGP1"/>
    <n v="240"/>
    <n v="2.4036900000000001"/>
    <n v="0"/>
  </r>
  <r>
    <s v="JC"/>
    <s v="JOHNSON CONTROLS AUTOMOTIVE"/>
    <x v="134"/>
    <s v="ALBA"/>
    <s v="RARA"/>
    <n v="1680"/>
    <n v="2.4036900000000001"/>
    <n v="0"/>
  </r>
  <r>
    <s v="JC"/>
    <s v="JOHNSON CONTROLS AUTOMOTIVE"/>
    <x v="134"/>
    <s v="ALBA"/>
    <s v="VOL2"/>
    <n v="960"/>
    <n v="2.4036900000000001"/>
    <n v="0"/>
  </r>
  <r>
    <s v="JC"/>
    <s v="JOHNSON CONTROLS AUTOMOTIVE"/>
    <x v="135"/>
    <s v="ALBA"/>
    <s v="EGP1"/>
    <n v="600"/>
    <n v="2.00787"/>
    <n v="0"/>
  </r>
  <r>
    <s v="JC"/>
    <s v="JOHNSON CONTROLS AUTOMOTIVE"/>
    <x v="135"/>
    <s v="ALBA"/>
    <s v="RARA"/>
    <n v="7200"/>
    <n v="2.00787"/>
    <n v="0"/>
  </r>
  <r>
    <s v="JC"/>
    <s v="JOHNSON CONTROLS AUTOMOTIVE"/>
    <x v="135"/>
    <s v="ALBA"/>
    <s v="VOL2"/>
    <n v="2880"/>
    <n v="2.00787"/>
    <n v="0"/>
  </r>
  <r>
    <s v="JC"/>
    <s v="JOHNSON CONTROLS AUTOMOTIVE"/>
    <x v="136"/>
    <s v="ALBA"/>
    <s v="EGP1"/>
    <n v="60"/>
    <n v="21.382459999999998"/>
    <n v="0"/>
  </r>
  <r>
    <s v="JC"/>
    <s v="JOHNSON CONTROLS AUTOMOTIVE"/>
    <x v="136"/>
    <s v="ALBA"/>
    <s v="RARA"/>
    <n v="380"/>
    <n v="21.382459999999998"/>
    <n v="0"/>
  </r>
  <r>
    <s v="JC"/>
    <s v="JOHNSON CONTROLS AUTOMOTIVE"/>
    <x v="136"/>
    <s v="ALBA"/>
    <s v="VOL2"/>
    <n v="560"/>
    <n v="21.382459999999998"/>
    <n v="0"/>
  </r>
  <r>
    <s v="JC"/>
    <s v="JOHNSON CONTROLS AUTOMOTIVE"/>
    <x v="137"/>
    <s v="ALBA"/>
    <s v="EGP2"/>
    <n v="220"/>
    <n v="19.468060000000001"/>
    <n v="0"/>
  </r>
  <r>
    <s v="JC"/>
    <s v="JOHNSON CONTROLS AUTOMOTIVE"/>
    <x v="137"/>
    <s v="ALBA"/>
    <s v="RARA"/>
    <n v="20"/>
    <n v="19.468060000000001"/>
    <n v="0"/>
  </r>
  <r>
    <s v="JC"/>
    <s v="JOHNSON CONTROLS AUTOMOTIVE"/>
    <x v="137"/>
    <s v="ALBA"/>
    <s v="VOL2"/>
    <n v="160"/>
    <n v="19.468060000000001"/>
    <n v="0"/>
  </r>
  <r>
    <s v="JC"/>
    <s v="JOHNSON CONTROLS AUTOMOTIVE"/>
    <x v="138"/>
    <s v="ALBA"/>
    <s v="EGP2"/>
    <n v="480"/>
    <n v="22.09686"/>
    <n v="0"/>
  </r>
  <r>
    <s v="JC"/>
    <s v="JOHNSON CONTROLS AUTOMOTIVE"/>
    <x v="139"/>
    <s v="ALBA"/>
    <s v="RARA"/>
    <n v="300"/>
    <n v="21.581679999999999"/>
    <n v="0"/>
  </r>
  <r>
    <s v="JC"/>
    <s v="JOHNSON CONTROLS AUTOMOTIVE"/>
    <x v="139"/>
    <s v="ALBA"/>
    <s v="VOL2"/>
    <n v="80"/>
    <n v="21.581679999999999"/>
    <n v="0"/>
  </r>
  <r>
    <s v="JC"/>
    <s v="JOHNSON CONTROLS AUTOMOTIVE"/>
    <x v="140"/>
    <s v="ALBA"/>
    <s v="VOL5"/>
    <n v="20"/>
    <n v="19.644929999999999"/>
    <n v="0"/>
  </r>
  <r>
    <s v="JC"/>
    <s v="JOHNSON CONTROLS AUTOMOTIVE"/>
    <x v="141"/>
    <s v="ALBA"/>
    <s v="EGP1"/>
    <n v="140"/>
    <n v="20.653729999999999"/>
    <n v="0"/>
  </r>
  <r>
    <s v="JC"/>
    <s v="JOHNSON CONTROLS AUTOMOTIVE"/>
    <x v="141"/>
    <s v="ALBA"/>
    <s v="RARA"/>
    <n v="20"/>
    <n v="20.653729999999999"/>
    <n v="0"/>
  </r>
  <r>
    <s v="JC"/>
    <s v="JOHNSON CONTROLS AUTOMOTIVE"/>
    <x v="141"/>
    <s v="ALBA"/>
    <s v="VOL2"/>
    <n v="640"/>
    <n v="20.653729999999999"/>
    <n v="0"/>
  </r>
  <r>
    <s v="JC"/>
    <s v="JOHNSON CONTROLS AUTOMOTIVE"/>
    <x v="142"/>
    <s v="ALBA"/>
    <s v="EGP2"/>
    <n v="240"/>
    <n v="18.739090000000001"/>
    <n v="0"/>
  </r>
  <r>
    <s v="JC"/>
    <s v="JOHNSON CONTROLS AUTOMOTIVE"/>
    <x v="142"/>
    <s v="ALBA"/>
    <s v="VOL2"/>
    <n v="80"/>
    <n v="18.739090000000001"/>
    <n v="0"/>
  </r>
  <r>
    <s v="JC"/>
    <s v="JOHNSON CONTROLS AUTOMOTIVE"/>
    <x v="143"/>
    <s v="ALBA"/>
    <s v="EGP1"/>
    <n v="80"/>
    <n v="21.36908"/>
    <n v="0"/>
  </r>
  <r>
    <s v="JC"/>
    <s v="JOHNSON CONTROLS AUTOMOTIVE"/>
    <x v="143"/>
    <s v="ALBA"/>
    <s v="RARA"/>
    <n v="480"/>
    <n v="21.36908"/>
    <n v="0"/>
  </r>
  <r>
    <s v="JC"/>
    <s v="JOHNSON CONTROLS AUTOMOTIVE"/>
    <x v="143"/>
    <s v="ALBA"/>
    <s v="VOL2"/>
    <n v="320"/>
    <n v="21.36908"/>
    <n v="0"/>
  </r>
  <r>
    <s v="JC"/>
    <s v="JOHNSON CONTROLS AUTOMOTIVE"/>
    <x v="144"/>
    <s v="ALBA"/>
    <s v="EGP2"/>
    <n v="20"/>
    <n v="17.986910000000002"/>
    <n v="0"/>
  </r>
  <r>
    <s v="JC"/>
    <s v="JOHNSON CONTROLS AUTOMOTIVE"/>
    <x v="145"/>
    <s v="ALBA"/>
    <s v="EGP2"/>
    <n v="60"/>
    <n v="20.616420000000002"/>
    <n v="0"/>
  </r>
  <r>
    <s v="JC"/>
    <s v="JOHNSON CONTROLS AUTOMOTIVE"/>
    <x v="145"/>
    <s v="ALBA"/>
    <s v="RARA"/>
    <n v="120"/>
    <n v="20.616420000000002"/>
    <n v="0"/>
  </r>
  <r>
    <s v="JC"/>
    <s v="JOHNSON CONTROLS AUTOMOTIVE"/>
    <x v="145"/>
    <s v="ALBA"/>
    <s v="VOL2"/>
    <n v="160"/>
    <n v="20.616420000000002"/>
    <n v="0"/>
  </r>
  <r>
    <s v="JC"/>
    <s v="JOHNSON CONTROLS AUTOMOTIVE"/>
    <x v="146"/>
    <s v="ALBA"/>
    <s v="EGP1"/>
    <n v="500"/>
    <n v="20.808019999999999"/>
    <n v="0"/>
  </r>
  <r>
    <s v="JC"/>
    <s v="JOHNSON CONTROLS AUTOMOTIVE"/>
    <x v="146"/>
    <s v="ALBA"/>
    <s v="EGP2"/>
    <n v="80"/>
    <n v="20.808019999999999"/>
    <n v="0"/>
  </r>
  <r>
    <s v="JC"/>
    <s v="JOHNSON CONTROLS AUTOMOTIVE"/>
    <x v="146"/>
    <s v="ALBA"/>
    <s v="RARA"/>
    <n v="1320"/>
    <n v="20.808019999999999"/>
    <n v="0"/>
  </r>
  <r>
    <s v="JC"/>
    <s v="JOHNSON CONTROLS AUTOMOTIVE"/>
    <x v="146"/>
    <s v="ALBA"/>
    <s v="VOL2"/>
    <n v="240"/>
    <n v="20.808019999999999"/>
    <n v="0"/>
  </r>
  <r>
    <s v="JC"/>
    <s v="JOHNSON CONTROLS AUTOMOTIVE"/>
    <x v="147"/>
    <s v="ALBA"/>
    <s v="VOL5"/>
    <n v="20"/>
    <n v="18.913799999999998"/>
    <n v="0"/>
  </r>
  <r>
    <s v="JC"/>
    <s v="JOHNSON CONTROLS AUTOMOTIVE"/>
    <x v="148"/>
    <s v="ALBA"/>
    <s v="EGP1"/>
    <n v="160"/>
    <n v="20.14425"/>
    <n v="0"/>
  </r>
  <r>
    <s v="JC"/>
    <s v="JOHNSON CONTROLS AUTOMOTIVE"/>
    <x v="148"/>
    <s v="ALBA"/>
    <s v="EGP2"/>
    <n v="140"/>
    <n v="20.14425"/>
    <n v="0"/>
  </r>
  <r>
    <s v="JC"/>
    <s v="JOHNSON CONTROLS AUTOMOTIVE"/>
    <x v="148"/>
    <s v="ALBA"/>
    <s v="RARA"/>
    <n v="180"/>
    <n v="20.14425"/>
    <n v="0"/>
  </r>
  <r>
    <s v="JC"/>
    <s v="JOHNSON CONTROLS AUTOMOTIVE"/>
    <x v="149"/>
    <s v="ALBA"/>
    <s v="EGP2"/>
    <n v="140"/>
    <n v="18.21284"/>
    <n v="0"/>
  </r>
  <r>
    <s v="JC"/>
    <s v="JOHNSON CONTROLS AUTOMOTIVE"/>
    <x v="149"/>
    <s v="ALBA"/>
    <s v="RARA"/>
    <n v="140"/>
    <n v="18.21284"/>
    <n v="0"/>
  </r>
  <r>
    <s v="JC"/>
    <s v="JOHNSON CONTROLS AUTOMOTIVE"/>
    <x v="149"/>
    <s v="ALBA"/>
    <s v="VOL2"/>
    <n v="80"/>
    <n v="18.21284"/>
    <n v="0"/>
  </r>
  <r>
    <s v="JC"/>
    <s v="JOHNSON CONTROLS AUTOMOTIVE"/>
    <x v="150"/>
    <s v="ALBA"/>
    <s v="EGP1"/>
    <n v="160"/>
    <n v="21.803840000000001"/>
    <n v="0"/>
  </r>
  <r>
    <s v="JC"/>
    <s v="JOHNSON CONTROLS AUTOMOTIVE"/>
    <x v="150"/>
    <s v="ALBA"/>
    <s v="EGP2"/>
    <n v="160"/>
    <n v="21.803840000000001"/>
    <n v="0"/>
  </r>
  <r>
    <s v="JC"/>
    <s v="JOHNSON CONTROLS AUTOMOTIVE"/>
    <x v="150"/>
    <s v="ALBA"/>
    <s v="RARA"/>
    <n v="540"/>
    <n v="21.803840000000001"/>
    <n v="0"/>
  </r>
  <r>
    <s v="JC"/>
    <s v="JOHNSON CONTROLS AUTOMOTIVE"/>
    <x v="150"/>
    <s v="ALBA"/>
    <s v="VOL2"/>
    <n v="160"/>
    <n v="21.803840000000001"/>
    <n v="0"/>
  </r>
  <r>
    <s v="JC"/>
    <s v="JOHNSON CONTROLS AUTOMOTIVE"/>
    <x v="151"/>
    <s v="ALBA"/>
    <s v="VOL5"/>
    <n v="100"/>
    <n v="19.911809999999999"/>
    <n v="0"/>
  </r>
  <r>
    <s v="JC"/>
    <s v="JOHNSON CONTROLS AUTOMOTIVE"/>
    <x v="152"/>
    <s v="ALBA"/>
    <s v="EGP1"/>
    <n v="600"/>
    <n v="20.826180000000001"/>
    <n v="0"/>
  </r>
  <r>
    <s v="JC"/>
    <s v="JOHNSON CONTROLS AUTOMOTIVE"/>
    <x v="152"/>
    <s v="ALBA"/>
    <s v="EGP2"/>
    <n v="280"/>
    <n v="20.826180000000001"/>
    <n v="0"/>
  </r>
  <r>
    <s v="JC"/>
    <s v="JOHNSON CONTROLS AUTOMOTIVE"/>
    <x v="152"/>
    <s v="ALBA"/>
    <s v="QUAR"/>
    <n v="2"/>
    <n v="20.826180000000001"/>
    <n v="0"/>
  </r>
  <r>
    <s v="JC"/>
    <s v="JOHNSON CONTROLS AUTOMOTIVE"/>
    <x v="152"/>
    <s v="ALBA"/>
    <s v="RARA"/>
    <n v="3580"/>
    <n v="20.826180000000001"/>
    <n v="0"/>
  </r>
  <r>
    <s v="JC"/>
    <s v="JOHNSON CONTROLS AUTOMOTIVE"/>
    <x v="152"/>
    <s v="ALBA"/>
    <s v="VOL2"/>
    <n v="80"/>
    <n v="20.826180000000001"/>
    <n v="0"/>
  </r>
  <r>
    <s v="JC"/>
    <s v="JOHNSON CONTROLS AUTOMOTIVE"/>
    <x v="153"/>
    <s v="ALBA"/>
    <s v="VOL5"/>
    <n v="340"/>
    <n v="18.894770000000001"/>
    <n v="0"/>
  </r>
  <r>
    <s v="JC"/>
    <s v="JOHNSON CONTROLS AUTOMOTIVE"/>
    <x v="154"/>
    <s v="ALBA"/>
    <s v="RARA"/>
    <n v="60"/>
    <n v="19.44172"/>
    <n v="0"/>
  </r>
  <r>
    <s v="JC"/>
    <s v="JOHNSON CONTROLS AUTOMOTIVE"/>
    <x v="155"/>
    <s v="ALBA"/>
    <s v="RARA"/>
    <n v="1200"/>
    <n v="4.3361000000000001"/>
    <n v="0"/>
  </r>
  <r>
    <s v="JC"/>
    <s v="JOHNSON CONTROLS AUTOMOTIVE"/>
    <x v="155"/>
    <s v="ALBA"/>
    <s v="RECV"/>
    <n v="40"/>
    <n v="4.3361000000000001"/>
    <n v="0"/>
  </r>
  <r>
    <s v="JC"/>
    <s v="JOHNSON CONTROLS AUTOMOTIVE"/>
    <x v="155"/>
    <s v="ALBA"/>
    <s v="STAG"/>
    <n v="40"/>
    <n v="4.3361000000000001"/>
    <n v="0"/>
  </r>
  <r>
    <s v="JC"/>
    <s v="JOHNSON CONTROLS AUTOMOTIVE"/>
    <x v="155"/>
    <s v="ALBA"/>
    <s v="VOL3"/>
    <n v="320"/>
    <n v="4.3361000000000001"/>
    <n v="0"/>
  </r>
  <r>
    <s v="JC"/>
    <s v="JOHNSON CONTROLS AUTOMOTIVE"/>
    <x v="156"/>
    <s v="ALBA"/>
    <s v="VOL3"/>
    <n v="80"/>
    <n v="4.3084899999999999"/>
    <n v="0"/>
  </r>
  <r>
    <s v="JC"/>
    <s v="JOHNSON CONTROLS AUTOMOTIVE"/>
    <x v="157"/>
    <s v="ALBA"/>
    <s v="RARA"/>
    <n v="520"/>
    <n v="11.405060000000001"/>
    <n v="0"/>
  </r>
  <r>
    <s v="JC"/>
    <s v="JOHNSON CONTROLS AUTOMOTIVE"/>
    <x v="157"/>
    <s v="ALBA"/>
    <s v="STAG"/>
    <n v="160"/>
    <n v="11.405060000000001"/>
    <n v="0"/>
  </r>
  <r>
    <s v="JC"/>
    <s v="JOHNSON CONTROLS AUTOMOTIVE"/>
    <x v="157"/>
    <s v="ALBA"/>
    <s v="VOL3"/>
    <n v="200"/>
    <n v="11.405060000000001"/>
    <n v="0"/>
  </r>
  <r>
    <s v="JC"/>
    <s v="JOHNSON CONTROLS AUTOMOTIVE"/>
    <x v="157"/>
    <s v="ALBA"/>
    <s v="VOL5"/>
    <n v="180"/>
    <n v="11.405060000000001"/>
    <n v="0"/>
  </r>
  <r>
    <s v="JC"/>
    <s v="JOHNSON CONTROLS AUTOMOTIVE"/>
    <x v="158"/>
    <s v="ALBA"/>
    <s v="ADPL"/>
    <n v="260"/>
    <n v="14.751150000000001"/>
    <n v="0"/>
  </r>
  <r>
    <s v="JC"/>
    <s v="JOHNSON CONTROLS AUTOMOTIVE"/>
    <x v="158"/>
    <s v="ALBA"/>
    <s v="RARA"/>
    <n v="2760"/>
    <n v="14.751150000000001"/>
    <n v="0"/>
  </r>
  <r>
    <s v="JC"/>
    <s v="JOHNSON CONTROLS AUTOMOTIVE"/>
    <x v="158"/>
    <s v="ALBA"/>
    <s v="STAG"/>
    <n v="500"/>
    <n v="14.751150000000001"/>
    <n v="0"/>
  </r>
  <r>
    <s v="JC"/>
    <s v="JOHNSON CONTROLS AUTOMOTIVE"/>
    <x v="159"/>
    <s v="ALBA"/>
    <s v="RARA"/>
    <n v="920"/>
    <n v="15.42296"/>
    <n v="0"/>
  </r>
  <r>
    <s v="JC"/>
    <s v="JOHNSON CONTROLS AUTOMOTIVE"/>
    <x v="159"/>
    <s v="ALBA"/>
    <s v="VOL3"/>
    <n v="20"/>
    <n v="15.42296"/>
    <n v="0"/>
  </r>
  <r>
    <s v="JC"/>
    <s v="JOHNSON CONTROLS AUTOMOTIVE"/>
    <x v="160"/>
    <s v="ALBA"/>
    <s v="RARA"/>
    <n v="1360"/>
    <n v="4.8376000000000001"/>
    <n v="0"/>
  </r>
  <r>
    <s v="JC"/>
    <s v="JOHNSON CONTROLS AUTOMOTIVE"/>
    <x v="160"/>
    <s v="ALBA"/>
    <s v="STAG"/>
    <n v="320"/>
    <n v="4.8376000000000001"/>
    <n v="0"/>
  </r>
  <r>
    <s v="JC"/>
    <s v="JOHNSON CONTROLS AUTOMOTIVE"/>
    <x v="160"/>
    <s v="ALBA"/>
    <s v="VOL3"/>
    <n v="200"/>
    <n v="4.8376000000000001"/>
    <n v="0"/>
  </r>
  <r>
    <s v="JC"/>
    <s v="JOHNSON CONTROLS AUTOMOTIVE"/>
    <x v="160"/>
    <s v="ALBA"/>
    <s v="VOL5"/>
    <n v="320"/>
    <n v="4.8376000000000001"/>
    <n v="0"/>
  </r>
  <r>
    <s v="JC"/>
    <s v="JOHNSON CONTROLS AUTOMOTIVE"/>
    <x v="161"/>
    <s v="ALBA"/>
    <s v="RARA"/>
    <n v="80"/>
    <n v="4.8539700000000003"/>
    <n v="0"/>
  </r>
  <r>
    <s v="JC"/>
    <s v="JOHNSON CONTROLS AUTOMOTIVE"/>
    <x v="161"/>
    <s v="ALBA"/>
    <s v="VOL3"/>
    <n v="160"/>
    <n v="4.8539700000000003"/>
    <n v="0"/>
  </r>
  <r>
    <s v="JC"/>
    <s v="JOHNSON CONTROLS AUTOMOTIVE"/>
    <x v="162"/>
    <s v="ALBA"/>
    <s v="ADPL"/>
    <n v="180"/>
    <n v="8.4524899999999992"/>
    <n v="0"/>
  </r>
  <r>
    <s v="JC"/>
    <s v="JOHNSON CONTROLS AUTOMOTIVE"/>
    <x v="162"/>
    <s v="ALBA"/>
    <s v="RARA"/>
    <n v="3200"/>
    <n v="8.4524899999999992"/>
    <n v="0"/>
  </r>
  <r>
    <s v="JC"/>
    <s v="JOHNSON CONTROLS AUTOMOTIVE"/>
    <x v="162"/>
    <s v="ALBA"/>
    <s v="STAG"/>
    <n v="560"/>
    <n v="8.4524899999999992"/>
    <n v="0"/>
  </r>
  <r>
    <s v="JC"/>
    <s v="JOHNSON CONTROLS AUTOMOTIVE"/>
    <x v="162"/>
    <s v="ALBA"/>
    <s v="VOL3"/>
    <n v="20"/>
    <n v="8.4524899999999992"/>
    <n v="0"/>
  </r>
  <r>
    <s v="JC"/>
    <s v="JOHNSON CONTROLS AUTOMOTIVE"/>
    <x v="162"/>
    <s v="ALBA"/>
    <s v="VOL5"/>
    <n v="40"/>
    <n v="8.4524899999999992"/>
    <n v="0"/>
  </r>
  <r>
    <s v="JC"/>
    <s v="JOHNSON CONTROLS AUTOMOTIVE"/>
    <x v="163"/>
    <s v="ALBA"/>
    <s v="RARA"/>
    <n v="780"/>
    <n v="8.3227499999999992"/>
    <n v="0"/>
  </r>
  <r>
    <s v="JC"/>
    <s v="JOHNSON CONTROLS AUTOMOTIVE"/>
    <x v="163"/>
    <s v="ALBA"/>
    <s v="VOL3"/>
    <n v="60"/>
    <n v="8.3227499999999992"/>
    <n v="0"/>
  </r>
  <r>
    <s v="JC"/>
    <s v="JOHNSON CONTROLS AUTOMOTIVE"/>
    <x v="164"/>
    <s v="ALBA"/>
    <s v="RARA"/>
    <n v="1160"/>
    <n v="16.025970000000001"/>
    <n v="0"/>
  </r>
  <r>
    <s v="JC"/>
    <s v="JOHNSON CONTROLS AUTOMOTIVE"/>
    <x v="164"/>
    <s v="ALBA"/>
    <s v="VOL3"/>
    <n v="180"/>
    <n v="16.025970000000001"/>
    <n v="0"/>
  </r>
  <r>
    <s v="JC"/>
    <s v="JOHNSON CONTROLS AUTOMOTIVE"/>
    <x v="165"/>
    <s v="ALBA"/>
    <s v="RARA"/>
    <n v="580"/>
    <n v="15.32771"/>
    <n v="0"/>
  </r>
  <r>
    <s v="JC"/>
    <s v="JOHNSON CONTROLS AUTOMOTIVE"/>
    <x v="166"/>
    <s v="ALBA"/>
    <s v="RARA"/>
    <n v="340"/>
    <n v="19.876819999999999"/>
    <n v="0"/>
  </r>
  <r>
    <s v="JC"/>
    <s v="JOHNSON CONTROLS AUTOMOTIVE"/>
    <x v="167"/>
    <s v="ALBA"/>
    <s v="RARA"/>
    <n v="240"/>
    <n v="7.8743800000000004"/>
    <n v="0"/>
  </r>
  <r>
    <s v="JC"/>
    <s v="JOHNSON CONTROLS AUTOMOTIVE"/>
    <x v="167"/>
    <s v="ALBA"/>
    <s v="T431"/>
    <n v="400"/>
    <n v="7.8743800000000004"/>
    <n v="0"/>
  </r>
  <r>
    <s v="JC"/>
    <s v="JOHNSON CONTROLS AUTOMOTIVE"/>
    <x v="168"/>
    <s v="ALBA"/>
    <s v="EGP2"/>
    <n v="100"/>
    <n v="14.495150000000001"/>
    <n v="0"/>
  </r>
  <r>
    <s v="JC"/>
    <s v="JOHNSON CONTROLS AUTOMOTIVE"/>
    <x v="168"/>
    <s v="ALBA"/>
    <s v="VOL2"/>
    <n v="100"/>
    <n v="14.495150000000001"/>
    <n v="0"/>
  </r>
  <r>
    <s v="JC"/>
    <s v="JOHNSON CONTROLS AUTOMOTIVE"/>
    <x v="169"/>
    <s v="ALBA"/>
    <s v="EGP2"/>
    <n v="120"/>
    <n v="10.56382"/>
    <n v="0"/>
  </r>
  <r>
    <s v="JC"/>
    <s v="JOHNSON CONTROLS AUTOMOTIVE"/>
    <x v="170"/>
    <s v="ALBA"/>
    <s v="HAL3"/>
    <n v="120"/>
    <n v="7.5674000000000001"/>
    <n v="0"/>
  </r>
  <r>
    <s v="JC"/>
    <s v="JOHNSON CONTROLS AUTOMOTIVE"/>
    <x v="171"/>
    <s v="ALBA"/>
    <s v="EGP2"/>
    <n v="100"/>
    <n v="14.46799"/>
    <n v="0"/>
  </r>
  <r>
    <s v="JC"/>
    <s v="JOHNSON CONTROLS AUTOMOTIVE"/>
    <x v="171"/>
    <s v="ALBA"/>
    <s v="RARA"/>
    <n v="100"/>
    <n v="14.46799"/>
    <n v="0"/>
  </r>
  <r>
    <s v="JC"/>
    <s v="JOHNSON CONTROLS AUTOMOTIVE"/>
    <x v="171"/>
    <s v="ALBA"/>
    <s v="VOL5"/>
    <n v="150"/>
    <n v="14.46799"/>
    <n v="0"/>
  </r>
  <r>
    <s v="JC"/>
    <s v="JOHNSON CONTROLS AUTOMOTIVE"/>
    <x v="172"/>
    <s v="ALBA"/>
    <s v="EGP2"/>
    <n v="220"/>
    <n v="19.914809999999999"/>
    <n v="0"/>
  </r>
  <r>
    <s v="JC"/>
    <s v="JOHNSON CONTROLS AUTOMOTIVE"/>
    <x v="172"/>
    <s v="ALBA"/>
    <s v="RARA"/>
    <n v="160"/>
    <n v="19.914809999999999"/>
    <n v="0"/>
  </r>
  <r>
    <s v="JC"/>
    <s v="JOHNSON CONTROLS AUTOMOTIVE"/>
    <x v="172"/>
    <s v="ALBA"/>
    <s v="VOL2"/>
    <n v="80"/>
    <n v="19.914809999999999"/>
    <n v="0"/>
  </r>
  <r>
    <s v="JC"/>
    <s v="JOHNSON CONTROLS AUTOMOTIVE"/>
    <x v="173"/>
    <s v="ALBA"/>
    <s v="RARA"/>
    <n v="100"/>
    <n v="16.683109999999999"/>
    <n v="0"/>
  </r>
  <r>
    <s v="JC"/>
    <s v="JOHNSON CONTROLS AUTOMOTIVE"/>
    <x v="174"/>
    <s v="ALBA"/>
    <s v="VOL5"/>
    <n v="25"/>
    <n v="13.101940000000001"/>
    <n v="0"/>
  </r>
  <r>
    <s v="JC"/>
    <s v="JOHNSON CONTROLS AUTOMOTIVE"/>
    <x v="175"/>
    <s v="ALBA"/>
    <s v="EGP2"/>
    <n v="80"/>
    <n v="21.128050000000002"/>
    <n v="0"/>
  </r>
  <r>
    <s v="JC"/>
    <s v="JOHNSON CONTROLS AUTOMOTIVE"/>
    <x v="175"/>
    <s v="ALBA"/>
    <s v="VOL2"/>
    <n v="80"/>
    <n v="21.128050000000002"/>
    <n v="0"/>
  </r>
  <r>
    <s v="JC"/>
    <s v="JOHNSON CONTROLS AUTOMOTIVE"/>
    <x v="176"/>
    <s v="ALBA"/>
    <s v="EGP2"/>
    <n v="25"/>
    <n v="16.745080000000002"/>
    <n v="0"/>
  </r>
  <r>
    <s v="JC"/>
    <s v="JOHNSON CONTROLS AUTOMOTIVE"/>
    <x v="176"/>
    <s v="ALBA"/>
    <s v="RARA"/>
    <n v="50"/>
    <n v="16.745080000000002"/>
    <n v="0"/>
  </r>
  <r>
    <s v="JC"/>
    <s v="JOHNSON CONTROLS AUTOMOTIVE"/>
    <x v="177"/>
    <s v="ALBA"/>
    <s v="HAL3"/>
    <n v="140"/>
    <n v="21.247610000000002"/>
    <n v="0"/>
  </r>
  <r>
    <s v="JC"/>
    <s v="JOHNSON CONTROLS AUTOMOTIVE"/>
    <x v="178"/>
    <s v="ALBA"/>
    <s v="RARA"/>
    <n v="100"/>
    <n v="20.07715"/>
    <n v="0"/>
  </r>
  <r>
    <s v="JC"/>
    <s v="JOHNSON CONTROLS AUTOMOTIVE"/>
    <x v="179"/>
    <s v="ALBA"/>
    <s v="EGP2"/>
    <n v="120"/>
    <n v="16.602910000000001"/>
    <n v="0"/>
  </r>
  <r>
    <s v="JC"/>
    <s v="JOHNSON CONTROLS AUTOMOTIVE"/>
    <x v="180"/>
    <s v="ALBA"/>
    <s v="EGP1"/>
    <n v="175"/>
    <n v="13.31836"/>
    <n v="0"/>
  </r>
  <r>
    <s v="JC"/>
    <s v="JOHNSON CONTROLS AUTOMOTIVE"/>
    <x v="180"/>
    <s v="ALBA"/>
    <s v="EGP2"/>
    <n v="300"/>
    <n v="13.31836"/>
    <n v="0"/>
  </r>
  <r>
    <s v="JC"/>
    <s v="JOHNSON CONTROLS AUTOMOTIVE"/>
    <x v="180"/>
    <s v="ALBA"/>
    <s v="RARA"/>
    <n v="50"/>
    <n v="13.31836"/>
    <n v="0"/>
  </r>
  <r>
    <s v="JC"/>
    <s v="JOHNSON CONTROLS AUTOMOTIVE"/>
    <x v="181"/>
    <s v="ALBA"/>
    <s v="B301"/>
    <n v="300"/>
    <n v="10.690569999999999"/>
    <n v="0"/>
  </r>
  <r>
    <s v="JC"/>
    <s v="JOHNSON CONTROLS AUTOMOTIVE"/>
    <x v="182"/>
    <s v="ALBA"/>
    <s v="T513"/>
    <n v="10"/>
    <n v="23.764019999999999"/>
    <n v="0"/>
  </r>
  <r>
    <s v="JC"/>
    <s v="JOHNSON CONTROLS AUTOMOTIVE"/>
    <x v="182"/>
    <s v="ALBA"/>
    <s v="VOL2"/>
    <n v="80"/>
    <n v="23.764019999999999"/>
    <n v="0"/>
  </r>
  <r>
    <s v="JC"/>
    <s v="JOHNSON CONTROLS AUTOMOTIVE"/>
    <x v="183"/>
    <s v="ALBA"/>
    <s v="EGP2"/>
    <n v="20"/>
    <n v="23.046240000000001"/>
    <n v="0"/>
  </r>
  <r>
    <s v="JC"/>
    <s v="JOHNSON CONTROLS AUTOMOTIVE"/>
    <x v="183"/>
    <s v="ALBA"/>
    <s v="RARA"/>
    <n v="280"/>
    <n v="23.046240000000001"/>
    <n v="0"/>
  </r>
  <r>
    <s v="JC"/>
    <s v="JOHNSON CONTROLS AUTOMOTIVE"/>
    <x v="183"/>
    <s v="ALBA"/>
    <s v="VOL2"/>
    <n v="80"/>
    <n v="23.046240000000001"/>
    <n v="0"/>
  </r>
  <r>
    <s v="JC"/>
    <s v="JOHNSON CONTROLS AUTOMOTIVE"/>
    <x v="184"/>
    <s v="ALBA"/>
    <s v="EGP2"/>
    <n v="60"/>
    <n v="21.833259999999999"/>
    <n v="0"/>
  </r>
  <r>
    <s v="JC"/>
    <s v="JOHNSON CONTROLS AUTOMOTIVE"/>
    <x v="184"/>
    <s v="ALBA"/>
    <s v="VOL2"/>
    <n v="160"/>
    <n v="21.833259999999999"/>
    <n v="0"/>
  </r>
  <r>
    <s v="JC"/>
    <s v="JOHNSON CONTROLS AUTOMOTIVE"/>
    <x v="185"/>
    <s v="ALBA"/>
    <s v="HAL3"/>
    <n v="20"/>
    <n v="23.675439999999998"/>
    <n v="0"/>
  </r>
  <r>
    <s v="JC"/>
    <s v="JOHNSON CONTROLS AUTOMOTIVE"/>
    <x v="185"/>
    <s v="ALBA"/>
    <s v="VOL2"/>
    <n v="80"/>
    <n v="23.675439999999998"/>
    <n v="0"/>
  </r>
  <r>
    <s v="JC"/>
    <s v="JOHNSON CONTROLS AUTOMOTIVE"/>
    <x v="185"/>
    <s v="ALBA"/>
    <s v="VOL5"/>
    <n v="40"/>
    <n v="23.675439999999998"/>
    <n v="0"/>
  </r>
  <r>
    <s v="JC"/>
    <s v="JOHNSON CONTROLS AUTOMOTIVE"/>
    <x v="186"/>
    <s v="ALBA"/>
    <s v="EGP2"/>
    <n v="120"/>
    <n v="22.01587"/>
    <n v="0"/>
  </r>
  <r>
    <s v="JC"/>
    <s v="JOHNSON CONTROLS AUTOMOTIVE"/>
    <x v="187"/>
    <s v="ALBA"/>
    <s v="EGP2"/>
    <n v="160"/>
    <n v="23.187919999999998"/>
    <n v="0"/>
  </r>
  <r>
    <s v="JC"/>
    <s v="JOHNSON CONTROLS AUTOMOTIVE"/>
    <x v="188"/>
    <s v="ALBA"/>
    <s v="DESP"/>
    <n v="300"/>
    <n v="7.1763199999999996"/>
    <n v="0"/>
  </r>
  <r>
    <s v="JC"/>
    <s v="JOHNSON CONTROLS AUTOMOTIVE"/>
    <x v="188"/>
    <s v="ALBA"/>
    <s v="RECV"/>
    <n v="330"/>
    <n v="7.1763199999999996"/>
    <n v="0"/>
  </r>
  <r>
    <s v="JC"/>
    <s v="JOHNSON CONTROLS AUTOMOTIVE"/>
    <x v="189"/>
    <s v="ALBA"/>
    <s v="RECV"/>
    <n v="30"/>
    <n v="7.5750999999999999"/>
    <n v="0"/>
  </r>
  <r>
    <s v="JC"/>
    <s v="JOHNSON CONTROLS AUTOMOTIVE"/>
    <x v="190"/>
    <s v="ALBA"/>
    <s v="DESP"/>
    <n v="1120"/>
    <n v="3.1115599999999999"/>
    <n v="0"/>
  </r>
  <r>
    <s v="JC"/>
    <s v="JOHNSON CONTROLS AUTOMOTIVE"/>
    <x v="190"/>
    <s v="ALBA"/>
    <s v="RECV"/>
    <n v="1750"/>
    <n v="3.1115599999999999"/>
    <n v="0"/>
  </r>
  <r>
    <s v="JC"/>
    <s v="JOHNSON CONTROLS AUTOMOTIVE"/>
    <x v="190"/>
    <s v="ALBA"/>
    <s v="T243"/>
    <n v="1120"/>
    <n v="3.1115599999999999"/>
    <n v="0"/>
  </r>
  <r>
    <s v="JC"/>
    <s v="JOHNSON CONTROLS AUTOMOTIVE"/>
    <x v="190"/>
    <s v="ALBA"/>
    <s v="T331"/>
    <n v="1120"/>
    <n v="3.1115599999999999"/>
    <n v="0"/>
  </r>
  <r>
    <s v="JC"/>
    <s v="JOHNSON CONTROLS AUTOMOTIVE"/>
    <x v="190"/>
    <s v="ALBA"/>
    <s v="T451"/>
    <n v="1120"/>
    <n v="3.1115599999999999"/>
    <n v="0"/>
  </r>
  <r>
    <s v="JC"/>
    <s v="JOHNSON CONTROLS AUTOMOTIVE"/>
    <x v="190"/>
    <s v="ALBA"/>
    <s v="VOL1"/>
    <n v="3220"/>
    <n v="3.1115599999999999"/>
    <n v="0"/>
  </r>
  <r>
    <s v="JC"/>
    <s v="JOHNSON CONTROLS AUTOMOTIVE"/>
    <x v="190"/>
    <s v="ALBA"/>
    <s v="TBOX"/>
    <n v="272"/>
    <n v="3.1115599999999999"/>
    <n v="0"/>
  </r>
  <r>
    <s v="JC"/>
    <s v="JOHNSON CONTROLS AUTOMOTIVE"/>
    <x v="191"/>
    <s v="ALBA"/>
    <s v="QUAR"/>
    <n v="18"/>
    <n v="2.9387500000000002"/>
    <n v="0"/>
  </r>
  <r>
    <s v="JC"/>
    <s v="JOHNSON CONTROLS AUTOMOTIVE"/>
    <x v="191"/>
    <s v="ALBA"/>
    <s v="RARA"/>
    <n v="13500"/>
    <n v="2.9387500000000002"/>
    <n v="0"/>
  </r>
  <r>
    <s v="JC"/>
    <s v="JOHNSON CONTROLS AUTOMOTIVE"/>
    <x v="191"/>
    <s v="ALBA"/>
    <s v="RECV"/>
    <n v="525"/>
    <n v="2.9387500000000002"/>
    <n v="0"/>
  </r>
  <r>
    <s v="JC"/>
    <s v="JOHNSON CONTROLS AUTOMOTIVE"/>
    <x v="191"/>
    <s v="ALBA"/>
    <s v="STAG"/>
    <n v="3900"/>
    <n v="2.9387500000000002"/>
    <n v="0"/>
  </r>
  <r>
    <s v="JC"/>
    <s v="JOHNSON CONTROLS AUTOMOTIVE"/>
    <x v="191"/>
    <s v="ALBA"/>
    <s v="VOL3"/>
    <n v="375"/>
    <n v="2.9387500000000002"/>
    <n v="0"/>
  </r>
  <r>
    <s v="JC"/>
    <s v="JOHNSON CONTROLS AUTOMOTIVE"/>
    <x v="191"/>
    <s v="ALBA"/>
    <s v="VOL5"/>
    <n v="1125"/>
    <n v="2.9387500000000002"/>
    <n v="0"/>
  </r>
  <r>
    <s v="JC"/>
    <s v="JOHNSON CONTROLS AUTOMOTIVE"/>
    <x v="192"/>
    <s v="ALBA"/>
    <s v="B302"/>
    <n v="240"/>
    <n v="11.420360000000001"/>
    <n v="0"/>
  </r>
  <r>
    <s v="JC"/>
    <s v="JOHNSON CONTROLS AUTOMOTIVE"/>
    <x v="192"/>
    <s v="ALBA"/>
    <s v="T411"/>
    <n v="30"/>
    <n v="11.420360000000001"/>
    <n v="0"/>
  </r>
  <r>
    <s v="JC"/>
    <s v="JOHNSON CONTROLS AUTOMOTIVE"/>
    <x v="193"/>
    <s v="ALBA"/>
    <s v="ADIS"/>
    <n v="2400"/>
    <n v="1.6006800000000001"/>
    <n v="0"/>
  </r>
  <r>
    <s v="JC"/>
    <s v="JOHNSON CONTROLS AUTOMOTIVE"/>
    <x v="193"/>
    <s v="ALBA"/>
    <s v="RECV"/>
    <n v="400"/>
    <n v="1.6006800000000001"/>
    <n v="0"/>
  </r>
  <r>
    <s v="JC"/>
    <s v="JOHNSON CONTROLS AUTOMOTIVE"/>
    <x v="194"/>
    <s v="ALBA"/>
    <s v="RARA"/>
    <n v="480"/>
    <n v="20.567869999999999"/>
    <n v="0"/>
  </r>
  <r>
    <s v="JC"/>
    <s v="JOHNSON CONTROLS AUTOMOTIVE"/>
    <x v="195"/>
    <s v="ALBA"/>
    <s v="DESP"/>
    <n v="3360"/>
    <n v="10.031180000000001"/>
    <n v="0"/>
  </r>
  <r>
    <s v="JC"/>
    <s v="JOHNSON CONTROLS AUTOMOTIVE"/>
    <x v="195"/>
    <s v="ALBA"/>
    <s v="RECV"/>
    <n v="1148"/>
    <n v="10.031180000000001"/>
    <n v="0"/>
  </r>
  <r>
    <s v="JC"/>
    <s v="JOHNSON CONTROLS AUTOMOTIVE"/>
    <x v="195"/>
    <s v="ALBA"/>
    <s v="T322"/>
    <n v="560"/>
    <n v="10.031180000000001"/>
    <n v="0"/>
  </r>
  <r>
    <s v="JC"/>
    <s v="JOHNSON CONTROLS AUTOMOTIVE"/>
    <x v="195"/>
    <s v="ALBA"/>
    <s v="T341"/>
    <n v="560"/>
    <n v="10.031180000000001"/>
    <n v="0"/>
  </r>
  <r>
    <s v="JC"/>
    <s v="JOHNSON CONTROLS AUTOMOTIVE"/>
    <x v="195"/>
    <s v="ALBA"/>
    <s v="T351"/>
    <n v="560"/>
    <n v="10.031180000000001"/>
    <n v="0"/>
  </r>
  <r>
    <s v="JC"/>
    <s v="JOHNSON CONTROLS AUTOMOTIVE"/>
    <x v="195"/>
    <s v="ALBA"/>
    <s v="T353"/>
    <n v="560"/>
    <n v="10.031180000000001"/>
    <n v="0"/>
  </r>
  <r>
    <s v="JC"/>
    <s v="JOHNSON CONTROLS AUTOMOTIVE"/>
    <x v="195"/>
    <s v="ALBA"/>
    <s v="T541"/>
    <n v="560"/>
    <n v="10.031180000000001"/>
    <n v="0"/>
  </r>
  <r>
    <s v="JC"/>
    <s v="JOHNSON CONTROLS AUTOMOTIVE"/>
    <x v="195"/>
    <s v="ALBA"/>
    <s v="T542"/>
    <n v="560"/>
    <n v="10.031180000000001"/>
    <n v="0"/>
  </r>
  <r>
    <s v="JC"/>
    <s v="JOHNSON CONTROLS AUTOMOTIVE"/>
    <x v="195"/>
    <s v="ALBA"/>
    <s v="T543"/>
    <n v="560"/>
    <n v="10.031180000000001"/>
    <n v="0"/>
  </r>
  <r>
    <s v="JC"/>
    <s v="JOHNSON CONTROLS AUTOMOTIVE"/>
    <x v="195"/>
    <s v="ALBA"/>
    <s v="T553"/>
    <n v="560"/>
    <n v="10.031180000000001"/>
    <n v="0"/>
  </r>
  <r>
    <s v="JC"/>
    <s v="JOHNSON CONTROLS AUTOMOTIVE"/>
    <x v="195"/>
    <s v="ALBA"/>
    <s v="TBOX"/>
    <n v="24"/>
    <n v="10.031180000000001"/>
    <n v="0"/>
  </r>
  <r>
    <s v="JC"/>
    <s v="JOHNSON CONTROLS AUTOMOTIVE"/>
    <x v="196"/>
    <s v="ALBA"/>
    <s v="RARA"/>
    <n v="540"/>
    <n v="16.900860000000002"/>
    <n v="0"/>
  </r>
  <r>
    <s v="JC"/>
    <s v="JOHNSON CONTROLS AUTOMOTIVE"/>
    <x v="196"/>
    <s v="ALBA"/>
    <s v="STAG"/>
    <n v="15"/>
    <n v="16.900860000000002"/>
    <n v="0"/>
  </r>
  <r>
    <s v="JC"/>
    <s v="JOHNSON CONTROLS AUTOMOTIVE"/>
    <x v="196"/>
    <s v="ALBA"/>
    <s v="T411"/>
    <n v="15"/>
    <n v="16.900860000000002"/>
    <n v="0"/>
  </r>
  <r>
    <s v="JC"/>
    <s v="JOHNSON CONTROLS AUTOMOTIVE"/>
    <x v="196"/>
    <s v="ALBA"/>
    <s v="VOL3"/>
    <n v="150"/>
    <n v="16.900860000000002"/>
    <n v="0"/>
  </r>
  <r>
    <s v="JC"/>
    <s v="JOHNSON CONTROLS AUTOMOTIVE"/>
    <x v="197"/>
    <s v="ALBA"/>
    <s v="VOL3"/>
    <n v="30"/>
    <n v="16.978649999999998"/>
    <n v="0"/>
  </r>
  <r>
    <s v="JC"/>
    <s v="JOHNSON CONTROLS AUTOMOTIVE"/>
    <x v="198"/>
    <s v="ALBA"/>
    <s v="QUAR"/>
    <n v="87"/>
    <n v="15.84043"/>
    <n v="0"/>
  </r>
  <r>
    <s v="JC"/>
    <s v="JOHNSON CONTROLS AUTOMOTIVE"/>
    <x v="198"/>
    <s v="ALBA"/>
    <s v="RARA"/>
    <n v="4000"/>
    <n v="15.84043"/>
    <n v="0"/>
  </r>
  <r>
    <s v="JC"/>
    <s v="JOHNSON CONTROLS AUTOMOTIVE"/>
    <x v="198"/>
    <s v="ALBA"/>
    <s v="RECV"/>
    <n v="20"/>
    <n v="15.84043"/>
    <n v="0"/>
  </r>
  <r>
    <s v="JC"/>
    <s v="JOHNSON CONTROLS AUTOMOTIVE"/>
    <x v="198"/>
    <s v="ALBA"/>
    <s v="STAG"/>
    <n v="900"/>
    <n v="15.84043"/>
    <n v="0"/>
  </r>
  <r>
    <s v="JC"/>
    <s v="JOHNSON CONTROLS AUTOMOTIVE"/>
    <x v="198"/>
    <s v="ALBA"/>
    <s v="VOL5"/>
    <n v="180"/>
    <n v="15.84043"/>
    <n v="0"/>
  </r>
  <r>
    <s v="JC"/>
    <s v="JOHNSON CONTROLS AUTOMOTIVE"/>
    <x v="199"/>
    <s v="ALBA"/>
    <s v="DESP"/>
    <n v="140"/>
    <n v="16.08858"/>
    <n v="0"/>
  </r>
  <r>
    <s v="JC"/>
    <s v="JOHNSON CONTROLS AUTOMOTIVE"/>
    <x v="199"/>
    <s v="ALBA"/>
    <s v="QUAR"/>
    <n v="10"/>
    <n v="16.08858"/>
    <n v="0"/>
  </r>
  <r>
    <s v="JC"/>
    <s v="JOHNSON CONTROLS AUTOMOTIVE"/>
    <x v="199"/>
    <s v="ALBA"/>
    <s v="RARA"/>
    <n v="400"/>
    <n v="16.08858"/>
    <n v="0"/>
  </r>
  <r>
    <s v="JC"/>
    <s v="JOHNSON CONTROLS AUTOMOTIVE"/>
    <x v="199"/>
    <s v="ALBA"/>
    <s v="RECV"/>
    <n v="20"/>
    <n v="16.08858"/>
    <n v="0"/>
  </r>
  <r>
    <s v="JC"/>
    <s v="JOHNSON CONTROLS AUTOMOTIVE"/>
    <x v="199"/>
    <s v="ALBA"/>
    <s v="STAG"/>
    <n v="260"/>
    <n v="16.08858"/>
    <n v="0"/>
  </r>
  <r>
    <s v="JC"/>
    <s v="JOHNSON CONTROLS AUTOMOTIVE"/>
    <x v="199"/>
    <s v="ALBA"/>
    <s v="TBOX"/>
    <n v="3"/>
    <n v="16.08858"/>
    <n v="0"/>
  </r>
  <r>
    <s v="JC"/>
    <s v="JOHNSON CONTROLS AUTOMOTIVE"/>
    <x v="200"/>
    <s v="ALBA"/>
    <s v="RARA"/>
    <n v="320"/>
    <n v="23.76408"/>
    <n v="0"/>
  </r>
  <r>
    <s v="JC"/>
    <s v="JOHNSON CONTROLS AUTOMOTIVE"/>
    <x v="201"/>
    <s v="ALBA"/>
    <s v="RARA"/>
    <n v="1780"/>
    <n v="19.92305"/>
    <n v="0"/>
  </r>
  <r>
    <s v="JC"/>
    <s v="JOHNSON CONTROLS AUTOMOTIVE"/>
    <x v="202"/>
    <s v="ALBA"/>
    <s v="RARA"/>
    <n v="400"/>
    <n v="13.831429999999999"/>
    <n v="0"/>
  </r>
  <r>
    <s v="JC"/>
    <s v="JOHNSON CONTROLS AUTOMOTIVE"/>
    <x v="202"/>
    <s v="ALBA"/>
    <s v="VOL3"/>
    <n v="20"/>
    <n v="13.831429999999999"/>
    <n v="0"/>
  </r>
  <r>
    <s v="JC"/>
    <s v="JOHNSON CONTROLS AUTOMOTIVE"/>
    <x v="203"/>
    <s v="ALBA"/>
    <s v="RARA"/>
    <n v="180"/>
    <n v="13.032109999999999"/>
    <n v="0"/>
  </r>
  <r>
    <s v="JC"/>
    <s v="JOHNSON CONTROLS AUTOMOTIVE"/>
    <x v="204"/>
    <s v="ALBA"/>
    <s v="DESP"/>
    <n v="48"/>
    <n v="2.0435599999999998"/>
    <n v="0"/>
  </r>
  <r>
    <s v="JC"/>
    <s v="JOHNSON CONTROLS AUTOMOTIVE"/>
    <x v="204"/>
    <s v="ALBA"/>
    <s v="RARA"/>
    <n v="1200"/>
    <n v="2.0435599999999998"/>
    <n v="0"/>
  </r>
  <r>
    <s v="JC"/>
    <s v="JOHNSON CONTROLS AUTOMOTIVE"/>
    <x v="205"/>
    <s v="ALBA"/>
    <s v="DESP"/>
    <n v="33"/>
    <n v="4.0997300000000001"/>
    <n v="0"/>
  </r>
  <r>
    <s v="JC"/>
    <s v="JOHNSON CONTROLS AUTOMOTIVE"/>
    <x v="205"/>
    <s v="ALBA"/>
    <s v="RARA"/>
    <n v="1080"/>
    <n v="4.0997300000000001"/>
    <n v="0"/>
  </r>
  <r>
    <s v="JC"/>
    <s v="JOHNSON CONTROLS AUTOMOTIVE"/>
    <x v="206"/>
    <s v="ALBA"/>
    <s v="RARA"/>
    <n v="2835"/>
    <n v="1.7264299999999999"/>
    <n v="0"/>
  </r>
  <r>
    <s v="JC"/>
    <s v="JOHNSON CONTROLS AUTOMOTIVE"/>
    <x v="207"/>
    <s v="ALBA"/>
    <s v="DESP"/>
    <n v="5"/>
    <n v="4.0388799999999998"/>
    <n v="0"/>
  </r>
  <r>
    <s v="JC"/>
    <s v="JOHNSON CONTROLS AUTOMOTIVE"/>
    <x v="207"/>
    <s v="ALBA"/>
    <s v="RARA"/>
    <n v="5940"/>
    <n v="4.0388799999999998"/>
    <n v="0"/>
  </r>
  <r>
    <s v="JC"/>
    <s v="JOHNSON CONTROLS AUTOMOTIVE"/>
    <x v="208"/>
    <s v="ALBA"/>
    <s v="RARA"/>
    <n v="1280"/>
    <n v="15.42788"/>
    <n v="0"/>
  </r>
  <r>
    <s v="JC"/>
    <s v="JOHNSON CONTROLS AUTOMOTIVE"/>
    <x v="209"/>
    <s v="ALBA"/>
    <s v="RARA"/>
    <n v="870"/>
    <n v="9.7712199999999996"/>
    <n v="0"/>
  </r>
  <r>
    <s v="JC"/>
    <s v="JOHNSON CONTROLS AUTOMOTIVE"/>
    <x v="210"/>
    <s v="ALBA"/>
    <s v="RARA"/>
    <n v="740"/>
    <n v="15.43688"/>
    <n v="0"/>
  </r>
  <r>
    <s v="JC"/>
    <s v="JOHNSON CONTROLS AUTOMOTIVE"/>
    <x v="211"/>
    <s v="ALBA"/>
    <s v="RARA"/>
    <n v="360"/>
    <n v="9.6974499999999999"/>
    <n v="0"/>
  </r>
  <r>
    <s v="JC"/>
    <s v="JOHNSON CONTROLS AUTOMOTIVE"/>
    <x v="212"/>
    <s v="ALBA"/>
    <s v="RARA"/>
    <n v="40"/>
    <n v="5.5519299999999996"/>
    <n v="0"/>
  </r>
  <r>
    <s v="JC"/>
    <s v="JOHNSON CONTROLS AUTOMOTIVE"/>
    <x v="213"/>
    <s v="ALBA"/>
    <s v="RARA"/>
    <n v="690"/>
    <n v="13.90596"/>
    <n v="0"/>
  </r>
  <r>
    <s v="JC"/>
    <s v="JOHNSON CONTROLS AUTOMOTIVE"/>
    <x v="214"/>
    <s v="ALBA"/>
    <s v="RARA"/>
    <n v="1040"/>
    <n v="7.9708500000000004"/>
    <n v="0"/>
  </r>
  <r>
    <s v="JC"/>
    <s v="JOHNSON CONTROLS AUTOMOTIVE"/>
    <x v="215"/>
    <s v="ALBA"/>
    <s v="T231"/>
    <n v="400"/>
    <n v="12.74527"/>
    <n v="0"/>
  </r>
  <r>
    <s v="JC"/>
    <s v="JOHNSON CONTROLS AUTOMOTIVE"/>
    <x v="216"/>
    <s v="ALBA"/>
    <s v="RECV"/>
    <n v="200"/>
    <n v="12.385479999999999"/>
    <n v="0"/>
  </r>
  <r>
    <s v="JC"/>
    <s v="JOHNSON CONTROLS AUTOMOTIVE"/>
    <x v="217"/>
    <s v="ALBA"/>
    <s v="DESP"/>
    <n v="480"/>
    <n v="1.1015699999999999"/>
    <n v="0"/>
  </r>
  <r>
    <s v="JC"/>
    <s v="JOHNSON CONTROLS AUTOMOTIVE"/>
    <x v="217"/>
    <s v="ALBA"/>
    <s v="RECV"/>
    <n v="320"/>
    <n v="1.1015699999999999"/>
    <n v="0"/>
  </r>
  <r>
    <s v="JC"/>
    <s v="JOHNSON CONTROLS AUTOMOTIVE"/>
    <x v="217"/>
    <s v="ALBA"/>
    <s v="T421"/>
    <n v="2560"/>
    <n v="1.1015699999999999"/>
    <n v="0"/>
  </r>
  <r>
    <s v="JC"/>
    <s v="JOHNSON CONTROLS AUTOMOTIVE"/>
    <x v="217"/>
    <s v="ALBA"/>
    <s v="TBOX"/>
    <n v="360"/>
    <n v="1.1015699999999999"/>
    <n v="0"/>
  </r>
  <r>
    <s v="JC"/>
    <s v="JOHNSON CONTROLS AUTOMOTIVE"/>
    <x v="218"/>
    <s v="ALBA"/>
    <s v="RECV"/>
    <n v="720"/>
    <n v="2.5084300000000002"/>
    <n v="0"/>
  </r>
  <r>
    <s v="JC"/>
    <s v="JOHNSON CONTROLS AUTOMOTIVE"/>
    <x v="219"/>
    <s v="ALBA"/>
    <s v="RECV"/>
    <n v="320"/>
    <n v="2.5084300000000002"/>
    <n v="0"/>
  </r>
  <r>
    <s v="JC"/>
    <s v="JOHNSON CONTROLS AUTOMOTIVE"/>
    <x v="220"/>
    <s v="ALBA"/>
    <s v="DESP"/>
    <n v="400"/>
    <n v="7.7161"/>
    <n v="0"/>
  </r>
  <r>
    <s v="JC"/>
    <s v="JOHNSON CONTROLS AUTOMOTIVE"/>
    <x v="220"/>
    <s v="ALBA"/>
    <s v="RECV"/>
    <n v="225"/>
    <n v="7.7161"/>
    <n v="0"/>
  </r>
  <r>
    <s v="JC"/>
    <s v="JOHNSON CONTROLS AUTOMOTIVE"/>
    <x v="220"/>
    <s v="ALBA"/>
    <s v="T333"/>
    <n v="400"/>
    <n v="7.7161"/>
    <n v="0"/>
  </r>
  <r>
    <s v="JC"/>
    <s v="JOHNSON CONTROLS AUTOMOTIVE"/>
    <x v="220"/>
    <s v="ALBA"/>
    <s v="T521"/>
    <n v="400"/>
    <n v="7.7161"/>
    <n v="0"/>
  </r>
  <r>
    <s v="JC"/>
    <s v="JOHNSON CONTROLS AUTOMOTIVE"/>
    <x v="220"/>
    <s v="ALBA"/>
    <s v="VOL1"/>
    <n v="200"/>
    <n v="7.7161"/>
    <n v="0"/>
  </r>
  <r>
    <s v="JC"/>
    <s v="JOHNSON CONTROLS AUTOMOTIVE"/>
    <x v="221"/>
    <s v="ALBA"/>
    <s v="DESP"/>
    <n v="44"/>
    <n v="1.7398199999999999"/>
    <n v="0"/>
  </r>
  <r>
    <s v="JC"/>
    <s v="JOHNSON CONTROLS AUTOMOTIVE"/>
    <x v="221"/>
    <s v="ALBA"/>
    <s v="RARA"/>
    <n v="3000"/>
    <n v="1.7398199999999999"/>
    <n v="0"/>
  </r>
  <r>
    <s v="JC"/>
    <s v="JOHNSON CONTROLS AUTOMOTIVE"/>
    <x v="222"/>
    <s v="ALBA"/>
    <s v="DESP"/>
    <n v="48"/>
    <n v="3.8543400000000001"/>
    <n v="0"/>
  </r>
  <r>
    <s v="JC"/>
    <s v="JOHNSON CONTROLS AUTOMOTIVE"/>
    <x v="222"/>
    <s v="ALBA"/>
    <s v="RARA"/>
    <n v="10120"/>
    <n v="3.8543400000000001"/>
    <n v="0"/>
  </r>
  <r>
    <s v="JC"/>
    <s v="JOHNSON CONTROLS AUTOMOTIVE"/>
    <x v="223"/>
    <s v="ALBA"/>
    <s v="RARA"/>
    <n v="210"/>
    <n v="1.4169400000000001"/>
    <n v="0"/>
  </r>
  <r>
    <s v="JC"/>
    <s v="JOHNSON CONTROLS AUTOMOTIVE"/>
    <x v="224"/>
    <s v="ALBA"/>
    <s v="RARA"/>
    <n v="1880"/>
    <n v="3.7462499999999999"/>
    <n v="0"/>
  </r>
  <r>
    <s v="JC"/>
    <s v="JOHNSON CONTROLS AUTOMOTIVE"/>
    <x v="225"/>
    <s v="ALBA"/>
    <s v="RECV"/>
    <n v="480"/>
    <n v="2.7581199999999999"/>
    <n v="0"/>
  </r>
  <r>
    <s v="JC"/>
    <s v="JOHNSON CONTROLS AUTOMOTIVE"/>
    <x v="226"/>
    <s v="ALBA"/>
    <s v="RECV"/>
    <n v="560"/>
    <n v="2.7581199999999999"/>
    <n v="0"/>
  </r>
  <r>
    <s v="JC"/>
    <s v="JOHNSON CONTROLS AUTOMOTIVE"/>
    <x v="226"/>
    <s v="ALBA"/>
    <s v="TBOX"/>
    <n v="186"/>
    <n v="2.7581199999999999"/>
    <n v="0"/>
  </r>
  <r>
    <s v="JC"/>
    <s v="JOHNSON CONTROLS AUTOMOTIVE"/>
    <x v="227"/>
    <s v="ALBA"/>
    <s v="ADPL"/>
    <n v="140"/>
    <n v="20.552040000000002"/>
    <n v="0"/>
  </r>
  <r>
    <s v="JC"/>
    <s v="JOHNSON CONTROLS AUTOMOTIVE"/>
    <x v="227"/>
    <s v="ALBA"/>
    <s v="RARA"/>
    <n v="240"/>
    <n v="20.552040000000002"/>
    <n v="0"/>
  </r>
  <r>
    <s v="JC"/>
    <s v="JOHNSON CONTROLS AUTOMOTIVE"/>
    <x v="227"/>
    <s v="ALBA"/>
    <s v="STAG"/>
    <n v="80"/>
    <n v="20.552040000000002"/>
    <n v="0"/>
  </r>
  <r>
    <s v="JC"/>
    <s v="JOHNSON CONTROLS AUTOMOTIVE"/>
    <x v="227"/>
    <s v="ALBA"/>
    <s v="VOL3"/>
    <n v="60"/>
    <n v="20.552040000000002"/>
    <n v="0"/>
  </r>
  <r>
    <s v="JC"/>
    <s v="JOHNSON CONTROLS AUTOMOTIVE"/>
    <x v="228"/>
    <s v="ALBA"/>
    <s v="ADPL"/>
    <n v="180"/>
    <n v="16.964200000000002"/>
    <n v="0"/>
  </r>
  <r>
    <s v="JC"/>
    <s v="JOHNSON CONTROLS AUTOMOTIVE"/>
    <x v="228"/>
    <s v="ALBA"/>
    <s v="RARA"/>
    <n v="280"/>
    <n v="16.964200000000002"/>
    <n v="0"/>
  </r>
  <r>
    <s v="JC"/>
    <s v="JOHNSON CONTROLS AUTOMOTIVE"/>
    <x v="228"/>
    <s v="ALBA"/>
    <s v="STAG"/>
    <n v="80"/>
    <n v="16.964200000000002"/>
    <n v="0"/>
  </r>
  <r>
    <s v="JC"/>
    <s v="JOHNSON CONTROLS AUTOMOTIVE"/>
    <x v="229"/>
    <s v="ALBA"/>
    <s v="RARA"/>
    <n v="60"/>
    <n v="21.31277"/>
    <n v="0"/>
  </r>
  <r>
    <s v="JC"/>
    <s v="JOHNSON CONTROLS AUTOMOTIVE"/>
    <x v="229"/>
    <s v="ALBA"/>
    <s v="STAG"/>
    <n v="30"/>
    <n v="21.31277"/>
    <n v="0"/>
  </r>
  <r>
    <s v="JC"/>
    <s v="JOHNSON CONTROLS AUTOMOTIVE"/>
    <x v="230"/>
    <s v="ALBA"/>
    <s v="ADPL"/>
    <n v="60"/>
    <n v="16.053270000000001"/>
    <n v="0"/>
  </r>
  <r>
    <s v="JC"/>
    <s v="JOHNSON CONTROLS AUTOMOTIVE"/>
    <x v="230"/>
    <s v="ALBA"/>
    <s v="RARA"/>
    <n v="40"/>
    <n v="16.053270000000001"/>
    <n v="0"/>
  </r>
  <r>
    <s v="JC"/>
    <s v="JOHNSON CONTROLS AUTOMOTIVE"/>
    <x v="231"/>
    <s v="ALBA"/>
    <s v="ADPL"/>
    <n v="30"/>
    <n v="17.97193"/>
    <n v="0"/>
  </r>
  <r>
    <s v="JC"/>
    <s v="JOHNSON CONTROLS AUTOMOTIVE"/>
    <x v="231"/>
    <s v="ALBA"/>
    <s v="RARA"/>
    <n v="120"/>
    <n v="17.97193"/>
    <n v="0"/>
  </r>
  <r>
    <s v="JC"/>
    <s v="JOHNSON CONTROLS AUTOMOTIVE"/>
    <x v="231"/>
    <s v="ALBA"/>
    <s v="VOL3"/>
    <n v="135"/>
    <n v="17.97193"/>
    <n v="0"/>
  </r>
  <r>
    <s v="JC"/>
    <s v="JOHNSON CONTROLS AUTOMOTIVE"/>
    <x v="232"/>
    <s v="ALBA"/>
    <s v="ADPL"/>
    <n v="30"/>
    <n v="18.70628"/>
    <n v="0"/>
  </r>
  <r>
    <s v="JC"/>
    <s v="JOHNSON CONTROLS AUTOMOTIVE"/>
    <x v="232"/>
    <s v="ALBA"/>
    <s v="RARA"/>
    <n v="210"/>
    <n v="18.70628"/>
    <n v="0"/>
  </r>
  <r>
    <s v="JC"/>
    <s v="JOHNSON CONTROLS AUTOMOTIVE"/>
    <x v="232"/>
    <s v="ALBA"/>
    <s v="VOL3"/>
    <n v="45"/>
    <n v="18.70628"/>
    <n v="0"/>
  </r>
  <r>
    <s v="JC"/>
    <s v="JOHNSON CONTROLS AUTOMOTIVE"/>
    <x v="232"/>
    <s v="ALBA"/>
    <s v="VOL5"/>
    <n v="45"/>
    <n v="18.70628"/>
    <n v="0"/>
  </r>
  <r>
    <s v="JC"/>
    <s v="JOHNSON CONTROLS AUTOMOTIVE"/>
    <x v="233"/>
    <s v="ALBA"/>
    <s v="ADPL"/>
    <n v="45"/>
    <n v="18.250260000000001"/>
    <n v="0"/>
  </r>
  <r>
    <s v="JC"/>
    <s v="JOHNSON CONTROLS AUTOMOTIVE"/>
    <x v="233"/>
    <s v="ALBA"/>
    <s v="RARA"/>
    <n v="60"/>
    <n v="18.250260000000001"/>
    <n v="0"/>
  </r>
  <r>
    <s v="JC"/>
    <s v="JOHNSON CONTROLS AUTOMOTIVE"/>
    <x v="234"/>
    <s v="ALBA"/>
    <s v="ADPL"/>
    <n v="15"/>
    <n v="18.430789999999998"/>
    <n v="0"/>
  </r>
  <r>
    <s v="JC"/>
    <s v="JOHNSON CONTROLS AUTOMOTIVE"/>
    <x v="234"/>
    <s v="ALBA"/>
    <s v="RARA"/>
    <n v="15"/>
    <n v="18.430789999999998"/>
    <n v="0"/>
  </r>
  <r>
    <s v="JC"/>
    <s v="JOHNSON CONTROLS AUTOMOTIVE"/>
    <x v="235"/>
    <s v="ALBA"/>
    <s v="VOL3"/>
    <n v="60"/>
    <n v="12.57339"/>
    <n v="0"/>
  </r>
  <r>
    <s v="JC"/>
    <s v="JOHNSON CONTROLS AUTOMOTIVE"/>
    <x v="236"/>
    <s v="ALBA"/>
    <s v="ADPL"/>
    <n v="160"/>
    <n v="12.72939"/>
    <n v="0"/>
  </r>
  <r>
    <s v="JC"/>
    <s v="JOHNSON CONTROLS AUTOMOTIVE"/>
    <x v="236"/>
    <s v="ALBA"/>
    <s v="VOL3"/>
    <n v="60"/>
    <n v="12.72939"/>
    <n v="0"/>
  </r>
  <r>
    <s v="JC"/>
    <s v="JOHNSON CONTROLS AUTOMOTIVE"/>
    <x v="237"/>
    <s v="ALBA"/>
    <s v="RARA"/>
    <n v="40"/>
    <n v="12.55524"/>
    <n v="0"/>
  </r>
  <r>
    <s v="JC"/>
    <s v="JOHNSON CONTROLS AUTOMOTIVE"/>
    <x v="237"/>
    <s v="ALBA"/>
    <s v="VOL3"/>
    <n v="20"/>
    <n v="12.55524"/>
    <n v="0"/>
  </r>
  <r>
    <s v="JC"/>
    <s v="JOHNSON CONTROLS AUTOMOTIVE"/>
    <x v="238"/>
    <s v="ALBA"/>
    <s v="DESP"/>
    <n v="2400"/>
    <n v="1.6556200000000001"/>
    <n v="0"/>
  </r>
  <r>
    <s v="JC"/>
    <s v="JOHNSON CONTROLS AUTOMOTIVE"/>
    <x v="238"/>
    <s v="ALBA"/>
    <s v="T522"/>
    <n v="2400"/>
    <n v="1.6556200000000001"/>
    <n v="0"/>
  </r>
  <r>
    <s v="JC"/>
    <s v="JOHNSON CONTROLS AUTOMOTIVE"/>
    <x v="238"/>
    <s v="ALBA"/>
    <s v="VOL1"/>
    <n v="1350"/>
    <n v="1.6556200000000001"/>
    <n v="0"/>
  </r>
  <r>
    <s v="JC"/>
    <s v="JOHNSON CONTROLS AUTOMOTIVE"/>
    <x v="239"/>
    <s v="ALBA"/>
    <s v="RECV"/>
    <n v="1530"/>
    <n v="3.62358"/>
    <n v="0"/>
  </r>
  <r>
    <s v="JC"/>
    <s v="JOHNSON CONTROLS AUTOMOTIVE"/>
    <x v="239"/>
    <s v="ALBA"/>
    <s v="T453"/>
    <n v="1440"/>
    <n v="3.62358"/>
    <n v="0"/>
  </r>
  <r>
    <s v="JC"/>
    <s v="JOHNSON CONTROLS AUTOMOTIVE"/>
    <x v="239"/>
    <s v="ALBA"/>
    <s v="T523"/>
    <n v="1440"/>
    <n v="3.62358"/>
    <n v="0"/>
  </r>
  <r>
    <s v="JC"/>
    <s v="JOHNSON CONTROLS AUTOMOTIVE"/>
    <x v="239"/>
    <s v="ALBA"/>
    <s v="VOL1"/>
    <n v="3960"/>
    <n v="3.62358"/>
    <n v="0"/>
  </r>
  <r>
    <s v="JC"/>
    <s v="JOHNSON CONTROLS AUTOMOTIVE"/>
    <x v="240"/>
    <s v="ALBA"/>
    <s v="DESP"/>
    <n v="800"/>
    <n v="6.2982800000000001"/>
    <n v="0"/>
  </r>
  <r>
    <s v="JC"/>
    <s v="JOHNSON CONTROLS AUTOMOTIVE"/>
    <x v="240"/>
    <s v="ALBA"/>
    <s v="RECV"/>
    <n v="700"/>
    <n v="6.2982800000000001"/>
    <n v="0"/>
  </r>
  <r>
    <s v="JC"/>
    <s v="JOHNSON CONTROLS AUTOMOTIVE"/>
    <x v="240"/>
    <s v="ALBA"/>
    <s v="T422"/>
    <n v="800"/>
    <n v="6.2982800000000001"/>
    <n v="0"/>
  </r>
  <r>
    <s v="JC"/>
    <s v="JOHNSON CONTROLS AUTOMOTIVE"/>
    <x v="240"/>
    <s v="ALBA"/>
    <s v="VOL1"/>
    <n v="950"/>
    <n v="6.2982800000000001"/>
    <n v="0"/>
  </r>
  <r>
    <s v="JC"/>
    <s v="JOHNSON CONTROLS AUTOMOTIVE"/>
    <x v="241"/>
    <s v="ALBA"/>
    <s v="DESP"/>
    <n v="1600"/>
    <n v="8.1598100000000002"/>
    <n v="0"/>
  </r>
  <r>
    <s v="JC"/>
    <s v="JOHNSON CONTROLS AUTOMOTIVE"/>
    <x v="241"/>
    <s v="ALBA"/>
    <s v="RECV"/>
    <n v="900"/>
    <n v="8.1598100000000002"/>
    <n v="0"/>
  </r>
  <r>
    <s v="JC"/>
    <s v="JOHNSON CONTROLS AUTOMOTIVE"/>
    <x v="241"/>
    <s v="ALBA"/>
    <s v="VOL1"/>
    <n v="450"/>
    <n v="8.1598100000000002"/>
    <n v="0"/>
  </r>
  <r>
    <s v="JC"/>
    <s v="JOHNSON CONTROLS AUTOMOTIVE"/>
    <x v="242"/>
    <s v="ALBA"/>
    <s v="T513"/>
    <n v="3"/>
    <n v="9.9505700000000008"/>
    <n v="0"/>
  </r>
  <r>
    <s v="JC"/>
    <s v="JOHNSON CONTROLS AUTOMOTIVE"/>
    <x v="243"/>
    <s v="ALBA"/>
    <s v="EGP2"/>
    <n v="120"/>
    <n v="13.929600000000001"/>
    <n v="0"/>
  </r>
  <r>
    <s v="JC"/>
    <s v="JOHNSON CONTROLS AUTOMOTIVE"/>
    <x v="243"/>
    <s v="ALBA"/>
    <s v="T513"/>
    <n v="3"/>
    <n v="13.929600000000001"/>
    <n v="0"/>
  </r>
  <r>
    <s v="JC"/>
    <s v="JOHNSON CONTROLS AUTOMOTIVE"/>
    <x v="244"/>
    <s v="ALBA"/>
    <s v="EGP2"/>
    <n v="200"/>
    <n v="10.634919999999999"/>
    <n v="0"/>
  </r>
  <r>
    <s v="JC"/>
    <s v="JOHNSON CONTROLS AUTOMOTIVE"/>
    <x v="244"/>
    <s v="ALBA"/>
    <s v="T513"/>
    <n v="3"/>
    <n v="10.634919999999999"/>
    <n v="0"/>
  </r>
  <r>
    <s v="JC"/>
    <s v="JOHNSON CONTROLS AUTOMOTIVE"/>
    <x v="245"/>
    <s v="ALBA"/>
    <s v="EGP2"/>
    <n v="320"/>
    <n v="14.31235"/>
    <n v="0"/>
  </r>
  <r>
    <s v="JC"/>
    <s v="JOHNSON CONTROLS AUTOMOTIVE"/>
    <x v="246"/>
    <s v="ALBA"/>
    <s v="T513"/>
    <n v="3"/>
    <n v="12.558479999999999"/>
    <n v="0"/>
  </r>
  <r>
    <s v="JC"/>
    <s v="JOHNSON CONTROLS AUTOMOTIVE"/>
    <x v="247"/>
    <s v="ALBA"/>
    <s v="T513"/>
    <n v="3"/>
    <n v="16.429549999999999"/>
    <n v="0"/>
  </r>
  <r>
    <s v="KA"/>
    <s v="KAUTEX"/>
    <x v="248"/>
    <s v="ALBA"/>
    <s v="RECV"/>
    <n v="480"/>
    <n v="3.4919899999999999"/>
    <n v="0"/>
  </r>
  <r>
    <s v="KA"/>
    <s v="KAUTEX"/>
    <x v="248"/>
    <s v="ALBA"/>
    <s v="T133"/>
    <n v="1000"/>
    <n v="3.4919899999999999"/>
    <n v="0"/>
  </r>
  <r>
    <s v="KA"/>
    <s v="KAUTEX"/>
    <x v="248"/>
    <s v="ALBA"/>
    <s v="T153"/>
    <n v="1000"/>
    <n v="3.4919899999999999"/>
    <n v="0"/>
  </r>
  <r>
    <s v="KA"/>
    <s v="KAUTEX"/>
    <x v="248"/>
    <s v="ALBA"/>
    <s v="TBOX"/>
    <n v="20"/>
    <n v="3.4919899999999999"/>
    <n v="0"/>
  </r>
  <r>
    <s v="KA"/>
    <s v="KAUTEX"/>
    <x v="249"/>
    <s v="ALBA"/>
    <s v="TBOX"/>
    <n v="100"/>
    <n v="0.45061000000000001"/>
    <n v="0"/>
  </r>
  <r>
    <s v="KA"/>
    <s v="KAUTEX"/>
    <x v="249"/>
    <s v="ALBA"/>
    <s v="RECV"/>
    <n v="2800"/>
    <n v="0.45061000000000001"/>
    <n v="0"/>
  </r>
  <r>
    <s v="KO"/>
    <s v="KOITO CZECH"/>
    <x v="250"/>
    <s v="ALBA"/>
    <s v="RECV"/>
    <n v="540"/>
    <n v="5.9212300000000004"/>
    <n v="0"/>
  </r>
  <r>
    <s v="KO"/>
    <s v="KOITO CZECH"/>
    <x v="250"/>
    <s v="ALBA"/>
    <s v="TBOX"/>
    <n v="15"/>
    <n v="5.9212300000000004"/>
    <n v="0"/>
  </r>
  <r>
    <s v="KO"/>
    <s v="KOITO CZECH"/>
    <x v="251"/>
    <s v="ALBA"/>
    <s v="KCZ"/>
    <n v="1140"/>
    <n v="10.25962"/>
    <n v="0"/>
  </r>
  <r>
    <s v="KO"/>
    <s v="KOITO CZECH"/>
    <x v="252"/>
    <s v="ALBA"/>
    <s v="KCZ"/>
    <n v="864"/>
    <n v="4.9908900000000003"/>
    <n v="0"/>
  </r>
  <r>
    <s v="KO"/>
    <s v="KOITO CZECH"/>
    <x v="252"/>
    <s v="ALBA"/>
    <s v="RECV"/>
    <n v="672"/>
    <n v="4.9908900000000003"/>
    <n v="0"/>
  </r>
  <r>
    <s v="KO"/>
    <s v="KOITO CZECH"/>
    <x v="253"/>
    <s v="ALBA"/>
    <s v="RECV"/>
    <n v="1560"/>
    <n v="4.3033900000000003"/>
    <n v="0"/>
  </r>
  <r>
    <s v="KO"/>
    <s v="KOITO CZECH"/>
    <x v="254"/>
    <s v="ALBA"/>
    <s v="RECV"/>
    <n v="1200"/>
    <n v="4.2233200000000002"/>
    <n v="0"/>
  </r>
  <r>
    <s v="KO"/>
    <s v="KOITO CZECH"/>
    <x v="255"/>
    <s v="ALBA"/>
    <s v="RECV"/>
    <n v="600"/>
    <n v="4.4440200000000001"/>
    <n v="0"/>
  </r>
  <r>
    <s v="KO"/>
    <s v="KOITO CZECH"/>
    <x v="256"/>
    <s v="ALBA"/>
    <s v="KCZ"/>
    <n v="400"/>
    <n v="4.3121200000000002"/>
    <n v="0"/>
  </r>
  <r>
    <s v="KO"/>
    <s v="KOITO CZECH"/>
    <x v="256"/>
    <s v="ALBA"/>
    <s v="QMHC"/>
    <n v="1"/>
    <n v="4.3121200000000002"/>
    <n v="0"/>
  </r>
  <r>
    <s v="KO"/>
    <s v="KOITO CZECH"/>
    <x v="256"/>
    <s v="ALBA"/>
    <s v="RECV"/>
    <n v="400"/>
    <n v="4.3121200000000002"/>
    <n v="0"/>
  </r>
  <r>
    <s v="KO"/>
    <s v="KOITO CZECH"/>
    <x v="257"/>
    <s v="ALBA"/>
    <s v="RECV"/>
    <n v="2400"/>
    <n v="2.00969"/>
    <n v="0"/>
  </r>
  <r>
    <s v="KO"/>
    <s v="KOITO CZECH"/>
    <x v="258"/>
    <s v="ALBA"/>
    <s v="RECV"/>
    <n v="1800"/>
    <n v="3.6082399999999999"/>
    <n v="0"/>
  </r>
  <r>
    <s v="KO"/>
    <s v="KOITO CZECH"/>
    <x v="259"/>
    <s v="ALBA"/>
    <s v="RECV"/>
    <n v="1600"/>
    <n v="0.9405"/>
    <n v="0"/>
  </r>
  <r>
    <s v="KO"/>
    <s v="KOITO CZECH"/>
    <x v="260"/>
    <s v="ALBA"/>
    <s v="RECV"/>
    <n v="1620"/>
    <n v="1.78732"/>
    <n v="0"/>
  </r>
  <r>
    <s v="KO"/>
    <s v="KOITO CZECH"/>
    <x v="261"/>
    <s v="ALBA"/>
    <s v="RECV"/>
    <n v="560"/>
    <n v="3.7093099999999999"/>
    <n v="0"/>
  </r>
  <r>
    <s v="KO"/>
    <s v="KOITO CZECH"/>
    <x v="262"/>
    <s v="ALBA"/>
    <s v="RECV"/>
    <n v="800"/>
    <n v="3.8386100000000001"/>
    <n v="0"/>
  </r>
  <r>
    <s v="KU"/>
    <s v="KOITO UK"/>
    <x v="263"/>
    <s v="ALBA"/>
    <s v="RECV"/>
    <n v="140"/>
    <n v="1.99028"/>
    <n v="0"/>
  </r>
  <r>
    <s v="MF"/>
    <s v="MAHLE FRANCE"/>
    <x v="264"/>
    <s v="ALBA"/>
    <s v="TBOX"/>
    <n v="2"/>
    <n v="16.65174"/>
    <n v="0"/>
  </r>
  <r>
    <s v="MF"/>
    <s v="MAHLE FRANCE"/>
    <x v="265"/>
    <s v="ALBA"/>
    <s v="OBSL"/>
    <n v="20"/>
    <n v="2.9967000000000001"/>
    <n v="0"/>
  </r>
  <r>
    <s v="MF"/>
    <s v="MAHLE FRANCE"/>
    <x v="266"/>
    <s v="ALBA"/>
    <s v="OBSL"/>
    <n v="20"/>
    <n v="4.2610700000000001"/>
    <n v="0"/>
  </r>
  <r>
    <s v="MP"/>
    <s v="MAHLE BEHR OSTROW WIELKOPOLSKI SP SRO"/>
    <x v="267"/>
    <s v="ALBA"/>
    <s v="OBSL"/>
    <n v="555"/>
    <n v="14.771140000000001"/>
    <n v="0"/>
  </r>
  <r>
    <s v="MP"/>
    <s v="MAHLE BEHR OSTROW WIELKOPOLSKI SP SRO"/>
    <x v="268"/>
    <s v="ALBA"/>
    <s v="OBSL"/>
    <n v="15"/>
    <n v="16.363589999999999"/>
    <n v="0"/>
  </r>
  <r>
    <s v="MS"/>
    <s v="MAHLE BEHR SENICA SRO"/>
    <x v="269"/>
    <s v="ALBA"/>
    <s v="RECV"/>
    <n v="100"/>
    <n v="4.0501199999999997"/>
    <n v="0"/>
  </r>
  <r>
    <s v="MS"/>
    <s v="MAHLE BEHR SENICA SRO"/>
    <x v="270"/>
    <s v="ALBA"/>
    <s v="RECV"/>
    <n v="300"/>
    <n v="4.9214200000000003"/>
    <n v="0"/>
  </r>
  <r>
    <s v="MS"/>
    <s v="MAHLE BEHR SENICA SRO"/>
    <x v="271"/>
    <s v="ALBA"/>
    <s v="RECV"/>
    <n v="50"/>
    <n v="4.0394699999999997"/>
    <n v="0"/>
  </r>
  <r>
    <s v="MS"/>
    <s v="MAHLE BEHR SENICA SRO"/>
    <x v="272"/>
    <s v="ALBA"/>
    <s v="RECV"/>
    <n v="50"/>
    <n v="4.8997700000000002"/>
    <n v="0"/>
  </r>
  <r>
    <s v="MS"/>
    <s v="MAHLE BEHR SENICA SRO"/>
    <x v="273"/>
    <s v="ALBA"/>
    <s v="SPC1"/>
    <n v="30"/>
    <n v="5.3116199999999996"/>
    <n v="0"/>
  </r>
  <r>
    <s v="N"/>
    <s v="DEFAULT CAR"/>
    <x v="274"/>
    <s v="POSA"/>
    <s v="SPCO"/>
    <n v="55"/>
    <n v="5.05"/>
    <n v="0"/>
  </r>
  <r>
    <s v="N"/>
    <s v="DEFAULT CAR"/>
    <x v="275"/>
    <s v="ONNA"/>
    <s v="SPCO"/>
    <n v="150"/>
    <n v="7.23"/>
    <n v="0"/>
  </r>
  <r>
    <s v="N"/>
    <s v="DEFAULT CAR"/>
    <x v="276"/>
    <s v="ONNA"/>
    <s v="SPCO"/>
    <n v="60"/>
    <n v="9.14"/>
    <n v="0"/>
  </r>
  <r>
    <s v="N"/>
    <s v="DEFAULT CAR"/>
    <x v="277"/>
    <s v="ALBA"/>
    <s v="GERA"/>
    <n v="15"/>
    <n v="0.32673000000000002"/>
    <n v="0"/>
  </r>
  <r>
    <s v="N"/>
    <s v="DEFAULT CAR"/>
    <x v="277"/>
    <s v="ALBA"/>
    <s v="SPCO"/>
    <n v="400"/>
    <n v="0.32673000000000002"/>
    <n v="0"/>
  </r>
  <r>
    <s v="N"/>
    <s v="DEFAULT CAR"/>
    <x v="278"/>
    <s v="ALBA"/>
    <s v="GERA"/>
    <n v="21"/>
    <n v="119.71644999999999"/>
    <n v="0"/>
  </r>
  <r>
    <s v="N"/>
    <s v="DEFAULT CAR"/>
    <x v="279"/>
    <s v="ALBA"/>
    <s v="SEPA"/>
    <n v="1"/>
    <n v="58.780070000000002"/>
    <n v="0"/>
  </r>
  <r>
    <s v="N"/>
    <s v="DEFAULT CAR"/>
    <x v="280"/>
    <s v="ONNA"/>
    <s v="SEPA"/>
    <n v="25"/>
    <n v="60.92"/>
    <n v="0"/>
  </r>
  <r>
    <s v="N"/>
    <s v="DEFAULT CAR"/>
    <x v="281"/>
    <s v="ONNA"/>
    <s v="SEPA"/>
    <n v="6"/>
    <n v="65.59"/>
    <n v="0"/>
  </r>
  <r>
    <s v="N"/>
    <s v="DEFAULT CAR"/>
    <x v="282"/>
    <s v="ALBA"/>
    <s v="SPCO"/>
    <n v="8"/>
    <n v="50.527369999999998"/>
    <n v="0"/>
  </r>
  <r>
    <s v="N"/>
    <s v="DEFAULT CAR"/>
    <x v="283"/>
    <s v="ALBA"/>
    <s v="SPCO"/>
    <n v="4"/>
    <n v="50.528399999999998"/>
    <n v="0"/>
  </r>
  <r>
    <s v="N"/>
    <s v="DEFAULT CAR"/>
    <x v="284"/>
    <s v="ALBA"/>
    <s v="SPCO"/>
    <n v="8"/>
    <n v="50.784439999999996"/>
    <n v="0"/>
  </r>
  <r>
    <s v="N"/>
    <s v="DEFAULT CAR"/>
    <x v="285"/>
    <s v="ALBA"/>
    <s v="SPCO"/>
    <n v="4"/>
    <n v="56.34592"/>
    <n v="0"/>
  </r>
  <r>
    <s v="N"/>
    <s v="DEFAULT CAR"/>
    <x v="286"/>
    <s v="ALBA"/>
    <s v="SPCO"/>
    <n v="9"/>
    <n v="57.648560000000003"/>
    <n v="0"/>
  </r>
  <r>
    <s v="N"/>
    <s v="DEFAULT CAR"/>
    <x v="287"/>
    <s v="ALBA"/>
    <s v="SPCO"/>
    <n v="4"/>
    <n v="52.781010000000002"/>
    <n v="0"/>
  </r>
  <r>
    <s v="N"/>
    <s v="DEFAULT CAR"/>
    <x v="288"/>
    <s v="ALBA"/>
    <s v="GERA"/>
    <n v="1"/>
    <n v="54.052399999999999"/>
    <n v="0"/>
  </r>
  <r>
    <s v="N"/>
    <s v="DEFAULT CAR"/>
    <x v="288"/>
    <s v="ALBA"/>
    <s v="SPCO"/>
    <n v="4"/>
    <n v="54.052399999999999"/>
    <n v="0"/>
  </r>
  <r>
    <s v="N"/>
    <s v="DEFAULT CAR"/>
    <x v="289"/>
    <s v="ALBA"/>
    <s v="SPCO"/>
    <n v="4"/>
    <n v="53.1081"/>
    <n v="0"/>
  </r>
  <r>
    <s v="N"/>
    <s v="DEFAULT CAR"/>
    <x v="290"/>
    <s v="ALBA"/>
    <s v="SPCO"/>
    <n v="12"/>
    <n v="54.309399999999997"/>
    <n v="0"/>
  </r>
  <r>
    <s v="N"/>
    <s v="DEFAULT CAR"/>
    <x v="291"/>
    <s v="ALBA"/>
    <s v="SPCO"/>
    <n v="4"/>
    <n v="59.679169999999999"/>
    <n v="0"/>
  </r>
  <r>
    <s v="N"/>
    <s v="DEFAULT CAR"/>
    <x v="292"/>
    <s v="ALBA"/>
    <s v="SPCO"/>
    <n v="8"/>
    <n v="39.930799999999998"/>
    <n v="0"/>
  </r>
  <r>
    <s v="N"/>
    <s v="DEFAULT CAR"/>
    <x v="293"/>
    <s v="ONNA"/>
    <s v="SEPA"/>
    <n v="2"/>
    <n v="62.588900000000002"/>
    <n v="0"/>
  </r>
  <r>
    <s v="N"/>
    <s v="DEFAULT CAR"/>
    <x v="294"/>
    <s v="ONNA"/>
    <s v="SEPA"/>
    <n v="2"/>
    <n v="60.064900000000002"/>
    <n v="0"/>
  </r>
  <r>
    <s v="N"/>
    <s v="DEFAULT CAR"/>
    <x v="295"/>
    <s v="ONNA"/>
    <s v="SEPA"/>
    <n v="1"/>
    <n v="60.9345"/>
    <n v="0"/>
  </r>
  <r>
    <s v="N"/>
    <s v="DEFAULT CAR"/>
    <x v="296"/>
    <s v="ONNA"/>
    <s v="SEPA"/>
    <n v="5"/>
    <n v="60.1"/>
    <n v="0"/>
  </r>
  <r>
    <s v="N"/>
    <s v="DEFAULT CAR"/>
    <x v="297"/>
    <s v="ONNA"/>
    <s v="SEPA"/>
    <n v="9"/>
    <n v="48.19"/>
    <n v="0"/>
  </r>
  <r>
    <s v="N"/>
    <s v="DEFAULT CAR"/>
    <x v="298"/>
    <s v="ONNA"/>
    <s v="SEPA"/>
    <n v="5"/>
    <n v="72.827699999999993"/>
    <n v="0"/>
  </r>
  <r>
    <s v="N"/>
    <s v="DEFAULT CAR"/>
    <x v="299"/>
    <s v="ONNA"/>
    <s v="SEPA"/>
    <n v="6"/>
    <n v="74.042400000000001"/>
    <n v="0"/>
  </r>
  <r>
    <s v="N"/>
    <s v="DEFAULT CAR"/>
    <x v="300"/>
    <s v="ONNA"/>
    <s v="SEPA"/>
    <n v="2"/>
    <n v="60.92"/>
    <n v="0"/>
  </r>
  <r>
    <s v="N"/>
    <s v="DEFAULT CAR"/>
    <x v="301"/>
    <s v="ONNA"/>
    <s v="SEPA"/>
    <n v="21"/>
    <n v="57.898110000000003"/>
    <n v="0"/>
  </r>
  <r>
    <s v="N"/>
    <s v="DEFAULT CAR"/>
    <x v="302"/>
    <s v="ONNA"/>
    <s v="SEPA"/>
    <n v="7"/>
    <n v="79.08"/>
    <n v="0"/>
  </r>
  <r>
    <s v="N"/>
    <s v="DEFAULT CAR"/>
    <x v="303"/>
    <s v="ONNA"/>
    <s v="SEPA"/>
    <n v="7"/>
    <n v="49.29"/>
    <n v="0"/>
  </r>
  <r>
    <s v="N"/>
    <s v="DEFAULT CAR"/>
    <x v="304"/>
    <s v="ONNA"/>
    <s v="SEPA"/>
    <n v="10"/>
    <n v="59.23"/>
    <n v="0"/>
  </r>
  <r>
    <s v="N"/>
    <s v="DEFAULT CAR"/>
    <x v="305"/>
    <s v="ONNA"/>
    <s v="SEPA"/>
    <n v="36"/>
    <n v="62.19"/>
    <n v="0"/>
  </r>
  <r>
    <s v="N"/>
    <s v="DEFAULT CAR"/>
    <x v="306"/>
    <s v="ONNA"/>
    <s v="SEPA"/>
    <n v="12"/>
    <n v="72.81"/>
    <n v="0"/>
  </r>
  <r>
    <s v="N"/>
    <s v="DEFAULT CAR"/>
    <x v="307"/>
    <s v="ONNA"/>
    <s v="SEPA"/>
    <n v="10"/>
    <n v="75.760000000000005"/>
    <n v="0"/>
  </r>
  <r>
    <s v="N"/>
    <s v="DEFAULT CAR"/>
    <x v="308"/>
    <s v="ONNA"/>
    <s v="SEPA"/>
    <n v="19"/>
    <n v="46.92"/>
    <n v="0"/>
  </r>
  <r>
    <s v="N"/>
    <s v="DEFAULT CAR"/>
    <x v="309"/>
    <s v="ONNA"/>
    <s v="SEPA"/>
    <n v="6"/>
    <n v="48.7"/>
    <n v="0"/>
  </r>
  <r>
    <s v="N"/>
    <s v="DEFAULT CAR"/>
    <x v="310"/>
    <s v="ALBA"/>
    <s v="SEPA"/>
    <n v="12"/>
    <n v="4.5552900000000003"/>
    <n v="0"/>
  </r>
  <r>
    <s v="N"/>
    <s v="DEFAULT CAR"/>
    <x v="311"/>
    <s v="ALBA"/>
    <s v="GERA"/>
    <n v="556"/>
    <n v="4.6402000000000001"/>
    <n v="0"/>
  </r>
  <r>
    <s v="N"/>
    <s v="DEFAULT CAR"/>
    <x v="311"/>
    <s v="ALBA"/>
    <s v="STAG"/>
    <n v="1"/>
    <n v="4.6402000000000001"/>
    <n v="0"/>
  </r>
  <r>
    <s v="N"/>
    <s v="DEFAULT CAR"/>
    <x v="312"/>
    <s v="ONNA"/>
    <s v="SEPA"/>
    <n v="6"/>
    <n v="74.790000000000006"/>
    <n v="0"/>
  </r>
  <r>
    <s v="N"/>
    <s v="DEFAULT CAR"/>
    <x v="313"/>
    <s v="ALBA"/>
    <s v="SEPA"/>
    <n v="1"/>
    <n v="114.75529"/>
    <n v="0"/>
  </r>
  <r>
    <s v="N"/>
    <s v="DEFAULT CAR"/>
    <x v="314"/>
    <s v="ALBA"/>
    <s v="SEPA"/>
    <n v="3"/>
    <n v="125.57661"/>
    <n v="0"/>
  </r>
  <r>
    <s v="N"/>
    <s v="DEFAULT CAR"/>
    <x v="315"/>
    <s v="ALBA"/>
    <s v="SEPA"/>
    <n v="2"/>
    <n v="124.40966"/>
    <n v="0"/>
  </r>
  <r>
    <s v="N"/>
    <s v="DEFAULT CAR"/>
    <x v="316"/>
    <s v="ONNA"/>
    <s v="SEPA"/>
    <n v="66"/>
    <n v="6.9867999999999997"/>
    <n v="0"/>
  </r>
  <r>
    <s v="N"/>
    <s v="DEFAULT CAR"/>
    <x v="317"/>
    <s v="ONNA"/>
    <s v="SEPA"/>
    <n v="20"/>
    <n v="7.2068000000000003"/>
    <n v="0"/>
  </r>
  <r>
    <s v="N"/>
    <s v="DEFAULT CAR"/>
    <x v="318"/>
    <s v="ONNA"/>
    <s v="SEPA"/>
    <n v="29"/>
    <n v="7.2249999999999996"/>
    <n v="0"/>
  </r>
  <r>
    <s v="N"/>
    <s v="DEFAULT CAR"/>
    <x v="319"/>
    <s v="ONNA"/>
    <s v="SEPA"/>
    <n v="120"/>
    <n v="7.5415000000000001"/>
    <n v="0"/>
  </r>
  <r>
    <s v="N"/>
    <s v="DEFAULT CAR"/>
    <x v="320"/>
    <s v="ONNA"/>
    <s v="SEPA"/>
    <n v="47"/>
    <n v="7.7214999999999998"/>
    <n v="0"/>
  </r>
  <r>
    <s v="N"/>
    <s v="DEFAULT CAR"/>
    <x v="321"/>
    <s v="ONNA"/>
    <s v="SEPA"/>
    <n v="5"/>
    <n v="8.0378000000000007"/>
    <n v="0"/>
  </r>
  <r>
    <s v="N"/>
    <s v="DEFAULT CAR"/>
    <x v="322"/>
    <s v="ONNA"/>
    <s v="SEPA"/>
    <n v="62"/>
    <n v="8.0570000000000004"/>
    <n v="0"/>
  </r>
  <r>
    <s v="N"/>
    <s v="DEFAULT CAR"/>
    <x v="323"/>
    <s v="ONNA"/>
    <s v="SEPA"/>
    <n v="65"/>
    <n v="8.6064000000000007"/>
    <n v="0"/>
  </r>
  <r>
    <s v="N"/>
    <s v="DEFAULT CAR"/>
    <x v="324"/>
    <s v="ONNA"/>
    <s v="SEPA"/>
    <n v="20"/>
    <n v="12.1874"/>
    <n v="0"/>
  </r>
  <r>
    <s v="N"/>
    <s v="DEFAULT CAR"/>
    <x v="325"/>
    <s v="ONNA"/>
    <s v="SEPA"/>
    <n v="18"/>
    <n v="12.6188"/>
    <n v="0"/>
  </r>
  <r>
    <s v="N"/>
    <s v="DEFAULT CAR"/>
    <x v="326"/>
    <s v="ONNA"/>
    <s v="SEPA"/>
    <n v="5"/>
    <n v="8.5512999999999995"/>
    <n v="0"/>
  </r>
  <r>
    <s v="N"/>
    <s v="DEFAULT CAR"/>
    <x v="327"/>
    <s v="ONNA"/>
    <s v="SEPA"/>
    <n v="20"/>
    <n v="9.3812999999999995"/>
    <n v="0"/>
  </r>
  <r>
    <s v="N"/>
    <s v="DEFAULT CAR"/>
    <x v="328"/>
    <s v="ONNA"/>
    <s v="SEPA"/>
    <n v="5"/>
    <n v="10.0023"/>
    <n v="0"/>
  </r>
  <r>
    <s v="N"/>
    <s v="DEFAULT CAR"/>
    <x v="329"/>
    <s v="ONNA"/>
    <s v="SEPA"/>
    <n v="20"/>
    <n v="10.313800000000001"/>
    <n v="0"/>
  </r>
  <r>
    <s v="N"/>
    <s v="DEFAULT CAR"/>
    <x v="330"/>
    <s v="ONNA"/>
    <s v="SEPA"/>
    <n v="30"/>
    <n v="10.504799999999999"/>
    <n v="0"/>
  </r>
  <r>
    <s v="N"/>
    <s v="DEFAULT CAR"/>
    <x v="331"/>
    <s v="ONNA"/>
    <s v="SEPA"/>
    <n v="30"/>
    <n v="10.8147"/>
    <n v="0"/>
  </r>
  <r>
    <s v="N"/>
    <s v="DEFAULT CAR"/>
    <x v="332"/>
    <s v="ONNA"/>
    <s v="SEPA"/>
    <n v="5"/>
    <n v="11.1264"/>
    <n v="0"/>
  </r>
  <r>
    <s v="N"/>
    <s v="DEFAULT CAR"/>
    <x v="333"/>
    <s v="ONNA"/>
    <s v="SEPA"/>
    <n v="17"/>
    <n v="16.6936"/>
    <n v="0"/>
  </r>
  <r>
    <s v="N"/>
    <s v="DEFAULT CAR"/>
    <x v="334"/>
    <s v="ONNA"/>
    <s v="SEPA"/>
    <n v="5"/>
    <n v="15.5715"/>
    <n v="0"/>
  </r>
  <r>
    <s v="N"/>
    <s v="DEFAULT CAR"/>
    <x v="335"/>
    <s v="ONNA"/>
    <s v="SEPA"/>
    <n v="14"/>
    <n v="6.6268099999999999"/>
    <n v="0"/>
  </r>
  <r>
    <s v="N"/>
    <s v="DEFAULT CAR"/>
    <x v="336"/>
    <s v="ONNA"/>
    <s v="SEPA"/>
    <n v="21"/>
    <n v="7.15"/>
    <n v="0"/>
  </r>
  <r>
    <s v="N"/>
    <s v="DEFAULT CAR"/>
    <x v="337"/>
    <s v="ONNA"/>
    <s v="SEPA"/>
    <n v="13"/>
    <n v="7.13"/>
    <n v="0"/>
  </r>
  <r>
    <s v="N"/>
    <s v="DEFAULT CAR"/>
    <x v="338"/>
    <s v="ONNA"/>
    <s v="SEPA"/>
    <n v="10"/>
    <n v="7.47"/>
    <n v="0"/>
  </r>
  <r>
    <s v="N"/>
    <s v="DEFAULT CAR"/>
    <x v="339"/>
    <s v="ONNA"/>
    <s v="SEPA"/>
    <n v="16"/>
    <n v="7.91"/>
    <n v="0"/>
  </r>
  <r>
    <s v="N"/>
    <s v="DEFAULT CAR"/>
    <x v="340"/>
    <s v="ONNA"/>
    <s v="SEPA"/>
    <n v="15"/>
    <n v="8.24"/>
    <n v="0"/>
  </r>
  <r>
    <s v="N"/>
    <s v="DEFAULT CAR"/>
    <x v="341"/>
    <s v="ONNA"/>
    <s v="SEPA"/>
    <n v="22"/>
    <n v="8.3677799999999998"/>
    <n v="0"/>
  </r>
  <r>
    <s v="N"/>
    <s v="DEFAULT CAR"/>
    <x v="342"/>
    <s v="ONNA"/>
    <s v="SEPA"/>
    <n v="10"/>
    <n v="8.48"/>
    <n v="0"/>
  </r>
  <r>
    <s v="N"/>
    <s v="DEFAULT CAR"/>
    <x v="343"/>
    <s v="ONNA"/>
    <s v="SEPA"/>
    <n v="10"/>
    <n v="8.7899999999999991"/>
    <n v="0"/>
  </r>
  <r>
    <s v="N"/>
    <s v="DEFAULT CAR"/>
    <x v="344"/>
    <s v="ONNA"/>
    <s v="SEPA"/>
    <n v="10"/>
    <n v="9.57"/>
    <n v="0"/>
  </r>
  <r>
    <s v="N"/>
    <s v="DEFAULT CAR"/>
    <x v="345"/>
    <s v="ONNA"/>
    <s v="SEPA"/>
    <n v="10"/>
    <n v="9.8800000000000008"/>
    <n v="0"/>
  </r>
  <r>
    <s v="N"/>
    <s v="DEFAULT CAR"/>
    <x v="346"/>
    <s v="ONNA"/>
    <s v="SEPA"/>
    <n v="10"/>
    <n v="10.5"/>
    <n v="0"/>
  </r>
  <r>
    <s v="N"/>
    <s v="DEFAULT CAR"/>
    <x v="347"/>
    <s v="ONNA"/>
    <s v="SEPA"/>
    <n v="27"/>
    <n v="9.58"/>
    <n v="0"/>
  </r>
  <r>
    <s v="N"/>
    <s v="DEFAULT CAR"/>
    <x v="348"/>
    <s v="ONNA"/>
    <s v="SEPA"/>
    <n v="10"/>
    <n v="9.89"/>
    <n v="0"/>
  </r>
  <r>
    <s v="N"/>
    <s v="DEFAULT CAR"/>
    <x v="349"/>
    <s v="ONNA"/>
    <s v="SEPA"/>
    <n v="20"/>
    <n v="10.199999999999999"/>
    <n v="0"/>
  </r>
  <r>
    <s v="N"/>
    <s v="DEFAULT CAR"/>
    <x v="350"/>
    <s v="ONNA"/>
    <s v="SEPA"/>
    <n v="20"/>
    <n v="10.68"/>
    <n v="0"/>
  </r>
  <r>
    <s v="N"/>
    <s v="DEFAULT CAR"/>
    <x v="351"/>
    <s v="ONNA"/>
    <s v="SEPA"/>
    <n v="10"/>
    <n v="10.99"/>
    <n v="0"/>
  </r>
  <r>
    <s v="N"/>
    <s v="DEFAULT CAR"/>
    <x v="352"/>
    <s v="ONNA"/>
    <s v="SEPA"/>
    <n v="10"/>
    <n v="11.29"/>
    <n v="0"/>
  </r>
  <r>
    <s v="N"/>
    <s v="DEFAULT CAR"/>
    <x v="353"/>
    <s v="ONNA"/>
    <s v="SEPA"/>
    <n v="4"/>
    <n v="11.6"/>
    <n v="0"/>
  </r>
  <r>
    <s v="N"/>
    <s v="DEFAULT CAR"/>
    <x v="354"/>
    <s v="ONNA"/>
    <s v="SEPA"/>
    <n v="2"/>
    <n v="8.2013200000000008"/>
    <n v="0"/>
  </r>
  <r>
    <s v="N"/>
    <s v="DEFAULT CAR"/>
    <x v="355"/>
    <s v="ONNA"/>
    <s v="SEPA"/>
    <n v="60"/>
    <n v="8.5520999999999994"/>
    <n v="0"/>
  </r>
  <r>
    <s v="N"/>
    <s v="DEFAULT CAR"/>
    <x v="356"/>
    <s v="ONNA"/>
    <s v="SEPA"/>
    <n v="20"/>
    <n v="8.8627000000000002"/>
    <n v="0"/>
  </r>
  <r>
    <s v="N"/>
    <s v="DEFAULT CAR"/>
    <x v="357"/>
    <s v="ONNA"/>
    <s v="SEPA"/>
    <n v="27"/>
    <n v="9.1734000000000009"/>
    <n v="0"/>
  </r>
  <r>
    <s v="N"/>
    <s v="DEFAULT CAR"/>
    <x v="358"/>
    <s v="ONNA"/>
    <s v="SEPA"/>
    <n v="80"/>
    <n v="9.484"/>
    <n v="0"/>
  </r>
  <r>
    <s v="N"/>
    <s v="DEFAULT CAR"/>
    <x v="359"/>
    <s v="ONNA"/>
    <s v="SEPA"/>
    <n v="46"/>
    <n v="9.4077999999999999"/>
    <n v="0"/>
  </r>
  <r>
    <s v="N"/>
    <s v="DEFAULT CAR"/>
    <x v="360"/>
    <s v="ONNA"/>
    <s v="SEPA"/>
    <n v="10"/>
    <n v="9.7187999999999999"/>
    <n v="0"/>
  </r>
  <r>
    <s v="N"/>
    <s v="DEFAULT CAR"/>
    <x v="361"/>
    <s v="ONNA"/>
    <s v="SEPA"/>
    <n v="58"/>
    <n v="10.020200000000001"/>
    <n v="0"/>
  </r>
  <r>
    <s v="N"/>
    <s v="DEFAULT CAR"/>
    <x v="362"/>
    <s v="ONNA"/>
    <s v="SEPA"/>
    <n v="70"/>
    <n v="10.3314"/>
    <n v="0"/>
  </r>
  <r>
    <s v="N"/>
    <s v="DEFAULT CAR"/>
    <x v="363"/>
    <s v="ONNA"/>
    <s v="SEPA"/>
    <n v="80"/>
    <n v="14.1554"/>
    <n v="0"/>
  </r>
  <r>
    <s v="N"/>
    <s v="DEFAULT CAR"/>
    <x v="364"/>
    <s v="ONNA"/>
    <s v="SEPA"/>
    <n v="3"/>
    <n v="14.466200000000001"/>
    <n v="0"/>
  </r>
  <r>
    <s v="N"/>
    <s v="DEFAULT CAR"/>
    <x v="365"/>
    <s v="ONNA"/>
    <s v="SEPA"/>
    <n v="5"/>
    <n v="6.8921999999999999"/>
    <n v="0"/>
  </r>
  <r>
    <s v="N"/>
    <s v="DEFAULT CAR"/>
    <x v="366"/>
    <s v="ONNA"/>
    <s v="SEPA"/>
    <n v="5"/>
    <n v="7.7484000000000002"/>
    <n v="0"/>
  </r>
  <r>
    <s v="N"/>
    <s v="DEFAULT CAR"/>
    <x v="367"/>
    <s v="ONNA"/>
    <s v="SEPA"/>
    <n v="5"/>
    <n v="8.0828000000000007"/>
    <n v="0"/>
  </r>
  <r>
    <s v="N"/>
    <s v="DEFAULT CAR"/>
    <x v="368"/>
    <s v="ONNA"/>
    <s v="SEPA"/>
    <n v="20"/>
    <n v="8.3980999999999995"/>
    <n v="0"/>
  </r>
  <r>
    <s v="N"/>
    <s v="DEFAULT CAR"/>
    <x v="369"/>
    <s v="ONNA"/>
    <s v="SEPA"/>
    <n v="5"/>
    <n v="12.2166"/>
    <n v="0"/>
  </r>
  <r>
    <s v="N"/>
    <s v="DEFAULT CAR"/>
    <x v="370"/>
    <s v="ONNA"/>
    <s v="SEPA"/>
    <n v="30"/>
    <n v="8.8741000000000003"/>
    <n v="0"/>
  </r>
  <r>
    <s v="N"/>
    <s v="DEFAULT CAR"/>
    <x v="371"/>
    <s v="ONNA"/>
    <s v="SEPA"/>
    <n v="37"/>
    <n v="9.3384"/>
    <n v="0"/>
  </r>
  <r>
    <s v="N"/>
    <s v="DEFAULT CAR"/>
    <x v="372"/>
    <s v="ONNA"/>
    <s v="SEPA"/>
    <n v="5"/>
    <n v="9.2062000000000008"/>
    <n v="0"/>
  </r>
  <r>
    <s v="N"/>
    <s v="DEFAULT CAR"/>
    <x v="373"/>
    <s v="ONNA"/>
    <s v="SEPA"/>
    <n v="43"/>
    <n v="9.5184999999999995"/>
    <n v="0"/>
  </r>
  <r>
    <s v="N"/>
    <s v="DEFAULT CAR"/>
    <x v="374"/>
    <s v="ONNA"/>
    <s v="SEPA"/>
    <n v="5"/>
    <n v="13.643000000000001"/>
    <n v="0"/>
  </r>
  <r>
    <s v="N"/>
    <s v="DEFAULT CAR"/>
    <x v="375"/>
    <s v="ONNA"/>
    <s v="SEPA"/>
    <n v="10"/>
    <n v="9"/>
    <n v="0"/>
  </r>
  <r>
    <s v="N"/>
    <s v="DEFAULT CAR"/>
    <x v="376"/>
    <s v="ONNA"/>
    <s v="SEPA"/>
    <n v="10"/>
    <n v="9.31"/>
    <n v="0"/>
  </r>
  <r>
    <s v="N"/>
    <s v="DEFAULT CAR"/>
    <x v="377"/>
    <s v="ONNA"/>
    <s v="SEPA"/>
    <n v="11"/>
    <n v="8.49"/>
    <n v="0"/>
  </r>
  <r>
    <s v="N"/>
    <s v="DEFAULT CAR"/>
    <x v="378"/>
    <s v="ONNA"/>
    <s v="SEPA"/>
    <n v="10"/>
    <n v="8.8000000000000007"/>
    <n v="0"/>
  </r>
  <r>
    <s v="N"/>
    <s v="DEFAULT CAR"/>
    <x v="379"/>
    <s v="ONNA"/>
    <s v="SEPA"/>
    <n v="10"/>
    <n v="9.11"/>
    <n v="0"/>
  </r>
  <r>
    <s v="N"/>
    <s v="DEFAULT CAR"/>
    <x v="380"/>
    <s v="ONNA"/>
    <s v="SEPA"/>
    <n v="10"/>
    <n v="9.42"/>
    <n v="0"/>
  </r>
  <r>
    <s v="N"/>
    <s v="DEFAULT CAR"/>
    <x v="381"/>
    <s v="ONNA"/>
    <s v="SEPA"/>
    <n v="19"/>
    <n v="9.58"/>
    <n v="0"/>
  </r>
  <r>
    <s v="N"/>
    <s v="DEFAULT CAR"/>
    <x v="382"/>
    <s v="ONNA"/>
    <s v="SEPA"/>
    <n v="16"/>
    <n v="9.89"/>
    <n v="0"/>
  </r>
  <r>
    <s v="N"/>
    <s v="DEFAULT CAR"/>
    <x v="383"/>
    <s v="ONNA"/>
    <s v="SEPA"/>
    <n v="26"/>
    <n v="10.1974"/>
    <n v="0"/>
  </r>
  <r>
    <s v="N"/>
    <s v="DEFAULT CAR"/>
    <x v="384"/>
    <s v="ONNA"/>
    <s v="SEPA"/>
    <n v="18"/>
    <n v="10.204879999999999"/>
    <n v="0"/>
  </r>
  <r>
    <s v="N"/>
    <s v="DEFAULT CAR"/>
    <x v="385"/>
    <s v="ONNA"/>
    <s v="SEPA"/>
    <n v="11"/>
    <n v="6.83"/>
    <n v="0"/>
  </r>
  <r>
    <s v="N"/>
    <s v="DEFAULT CAR"/>
    <x v="386"/>
    <s v="ONNA"/>
    <s v="SEPA"/>
    <n v="10"/>
    <n v="7.14"/>
    <n v="0"/>
  </r>
  <r>
    <s v="N"/>
    <s v="DEFAULT CAR"/>
    <x v="387"/>
    <s v="ONNA"/>
    <s v="SEPA"/>
    <n v="15"/>
    <n v="7.8449999999999998"/>
    <n v="0"/>
  </r>
  <r>
    <s v="N"/>
    <s v="DEFAULT CAR"/>
    <x v="388"/>
    <s v="ONNA"/>
    <s v="SEPA"/>
    <n v="10"/>
    <n v="8.23"/>
    <n v="0"/>
  </r>
  <r>
    <s v="N"/>
    <s v="DEFAULT CAR"/>
    <x v="389"/>
    <s v="ONNA"/>
    <s v="SEPA"/>
    <n v="10"/>
    <n v="8.25"/>
    <n v="0"/>
  </r>
  <r>
    <s v="N"/>
    <s v="DEFAULT CAR"/>
    <x v="390"/>
    <s v="ONNA"/>
    <s v="SEPA"/>
    <n v="10"/>
    <n v="8.56"/>
    <n v="0"/>
  </r>
  <r>
    <s v="N"/>
    <s v="DEFAULT CAR"/>
    <x v="391"/>
    <s v="ONNA"/>
    <s v="SEPA"/>
    <n v="30"/>
    <n v="7.94"/>
    <n v="0"/>
  </r>
  <r>
    <s v="N"/>
    <s v="DEFAULT CAR"/>
    <x v="392"/>
    <s v="ONNA"/>
    <s v="SEPA"/>
    <n v="25"/>
    <n v="8.2799999999999994"/>
    <n v="0"/>
  </r>
  <r>
    <s v="N"/>
    <s v="DEFAULT CAR"/>
    <x v="393"/>
    <s v="ONNA"/>
    <s v="SEPA"/>
    <n v="10"/>
    <n v="9.34"/>
    <n v="0"/>
  </r>
  <r>
    <s v="N"/>
    <s v="DEFAULT CAR"/>
    <x v="394"/>
    <s v="ONNA"/>
    <s v="SEPA"/>
    <n v="10"/>
    <n v="9.36"/>
    <n v="0"/>
  </r>
  <r>
    <s v="N"/>
    <s v="DEFAULT CAR"/>
    <x v="395"/>
    <s v="ONNA"/>
    <s v="SEPA"/>
    <n v="10"/>
    <n v="9.67"/>
    <n v="0"/>
  </r>
  <r>
    <s v="N"/>
    <s v="DEFAULT CAR"/>
    <x v="396"/>
    <s v="ONNA"/>
    <s v="SEPA"/>
    <n v="10"/>
    <n v="10.09"/>
    <n v="0"/>
  </r>
  <r>
    <s v="N"/>
    <s v="DEFAULT CAR"/>
    <x v="397"/>
    <s v="ONNA"/>
    <s v="SEPA"/>
    <n v="11"/>
    <n v="10.4"/>
    <n v="0"/>
  </r>
  <r>
    <s v="N"/>
    <s v="DEFAULT CAR"/>
    <x v="398"/>
    <s v="ONNA"/>
    <s v="SEPA"/>
    <n v="150"/>
    <n v="4.4783999999999997"/>
    <n v="0"/>
  </r>
  <r>
    <s v="N"/>
    <s v="DEFAULT CAR"/>
    <x v="399"/>
    <s v="ONNA"/>
    <s v="SEPA"/>
    <n v="5"/>
    <n v="2.5880999999999998"/>
    <n v="0"/>
  </r>
  <r>
    <s v="N"/>
    <s v="DEFAULT CAR"/>
    <x v="400"/>
    <s v="ONNA"/>
    <s v="SEPA"/>
    <n v="24"/>
    <n v="2.6618499999999998"/>
    <n v="0"/>
  </r>
  <r>
    <s v="N"/>
    <s v="DEFAULT CAR"/>
    <x v="401"/>
    <s v="ONNA"/>
    <s v="SEPA"/>
    <n v="67"/>
    <n v="5.3140000000000001"/>
    <n v="0"/>
  </r>
  <r>
    <s v="N"/>
    <s v="DEFAULT CAR"/>
    <x v="402"/>
    <s v="ONNA"/>
    <s v="SEPA"/>
    <n v="5"/>
    <n v="3.113"/>
    <n v="0"/>
  </r>
  <r>
    <s v="N"/>
    <s v="DEFAULT CAR"/>
    <x v="403"/>
    <s v="ALBA"/>
    <s v="GERA"/>
    <n v="21"/>
    <n v="2.1305299999999998"/>
    <n v="0"/>
  </r>
  <r>
    <s v="N"/>
    <s v="DEFAULT CAR"/>
    <x v="403"/>
    <s v="ALBA"/>
    <s v="SPCO"/>
    <n v="79"/>
    <n v="2.1305299999999998"/>
    <n v="0"/>
  </r>
  <r>
    <s v="N"/>
    <s v="DEFAULT CAR"/>
    <x v="404"/>
    <s v="ALBA"/>
    <s v="SPCO"/>
    <n v="111"/>
    <n v="1.88043"/>
    <n v="0"/>
  </r>
  <r>
    <s v="N"/>
    <s v="DEFAULT CAR"/>
    <x v="405"/>
    <s v="ONNA"/>
    <s v="SEPA"/>
    <n v="78"/>
    <n v="4.66"/>
    <n v="0"/>
  </r>
  <r>
    <s v="N"/>
    <s v="DEFAULT CAR"/>
    <x v="406"/>
    <s v="ONNA"/>
    <s v="SEPA"/>
    <n v="24"/>
    <n v="2.39"/>
    <n v="0"/>
  </r>
  <r>
    <s v="N"/>
    <s v="DEFAULT CAR"/>
    <x v="407"/>
    <s v="ONNA"/>
    <s v="SEPA"/>
    <n v="39"/>
    <n v="4.9400000000000004"/>
    <n v="0"/>
  </r>
  <r>
    <s v="N"/>
    <s v="DEFAULT CAR"/>
    <x v="408"/>
    <s v="ONNA"/>
    <s v="SEPA"/>
    <n v="26"/>
    <n v="3.45"/>
    <n v="0"/>
  </r>
  <r>
    <s v="N"/>
    <s v="DEFAULT CAR"/>
    <x v="409"/>
    <s v="ONNA"/>
    <s v="SEPA"/>
    <n v="13"/>
    <n v="2.9018000000000002"/>
    <n v="0"/>
  </r>
  <r>
    <s v="N"/>
    <s v="DEFAULT CAR"/>
    <x v="410"/>
    <s v="ONNA"/>
    <s v="SEPA"/>
    <n v="24"/>
    <n v="3.8276400000000002"/>
    <n v="0"/>
  </r>
  <r>
    <s v="N"/>
    <s v="DEFAULT CAR"/>
    <x v="411"/>
    <s v="ONNA"/>
    <s v="SEPA"/>
    <n v="144"/>
    <n v="4.4581999999999997"/>
    <n v="0"/>
  </r>
  <r>
    <s v="N"/>
    <s v="DEFAULT CAR"/>
    <x v="412"/>
    <s v="ONNA"/>
    <s v="SEPA"/>
    <n v="20"/>
    <n v="2.5914000000000001"/>
    <n v="0"/>
  </r>
  <r>
    <s v="N"/>
    <s v="DEFAULT CAR"/>
    <x v="413"/>
    <s v="ONNA"/>
    <s v="SEPA"/>
    <n v="26"/>
    <n v="2.6684999999999999"/>
    <n v="0"/>
  </r>
  <r>
    <s v="N"/>
    <s v="DEFAULT CAR"/>
    <x v="414"/>
    <s v="ONNA"/>
    <s v="SEPA"/>
    <n v="47"/>
    <n v="5.2153"/>
    <n v="0"/>
  </r>
  <r>
    <s v="N"/>
    <s v="DEFAULT CAR"/>
    <x v="415"/>
    <s v="ONNA"/>
    <s v="SEPA"/>
    <n v="20"/>
    <n v="3.1147999999999998"/>
    <n v="0"/>
  </r>
  <r>
    <s v="N"/>
    <s v="DEFAULT CAR"/>
    <x v="416"/>
    <s v="ONNA"/>
    <s v="SEPA"/>
    <n v="16"/>
    <n v="4.2300000000000004"/>
    <n v="0"/>
  </r>
  <r>
    <s v="N"/>
    <s v="DEFAULT CAR"/>
    <x v="417"/>
    <s v="ONNA"/>
    <s v="SEPA"/>
    <n v="26"/>
    <n v="2.39"/>
    <n v="0"/>
  </r>
  <r>
    <s v="N"/>
    <s v="DEFAULT CAR"/>
    <x v="418"/>
    <s v="ONNA"/>
    <s v="SEPA"/>
    <n v="59"/>
    <n v="5.2858999999999998"/>
    <n v="0"/>
  </r>
  <r>
    <s v="N"/>
    <s v="DEFAULT CAR"/>
    <x v="419"/>
    <s v="ONNA"/>
    <s v="SEPA"/>
    <n v="26"/>
    <n v="3.45"/>
    <n v="0"/>
  </r>
  <r>
    <s v="N"/>
    <s v="DEFAULT CAR"/>
    <x v="420"/>
    <s v="ONNA"/>
    <s v="SEPA"/>
    <n v="46"/>
    <n v="2.9"/>
    <n v="0"/>
  </r>
  <r>
    <s v="N"/>
    <s v="DEFAULT CAR"/>
    <x v="421"/>
    <s v="ONNA"/>
    <s v="SEPA"/>
    <n v="43"/>
    <n v="3.97"/>
    <n v="0"/>
  </r>
  <r>
    <s v="N"/>
    <s v="DEFAULT CAR"/>
    <x v="422"/>
    <s v="ONNA"/>
    <s v="SEPA"/>
    <n v="13"/>
    <n v="62.94"/>
    <n v="0"/>
  </r>
  <r>
    <s v="N"/>
    <s v="DEFAULT CAR"/>
    <x v="423"/>
    <s v="ONNA"/>
    <s v="SEPA"/>
    <n v="14"/>
    <n v="76.897800000000004"/>
    <n v="0"/>
  </r>
  <r>
    <s v="N"/>
    <s v="DEFAULT CAR"/>
    <x v="424"/>
    <s v="ONNA"/>
    <s v="SEPA"/>
    <n v="2"/>
    <n v="82.362099999999998"/>
    <n v="0"/>
  </r>
  <r>
    <s v="N"/>
    <s v="DEFAULT CAR"/>
    <x v="425"/>
    <s v="ONNA"/>
    <s v="SEPA"/>
    <n v="4"/>
    <n v="79.372600000000006"/>
    <n v="0"/>
  </r>
  <r>
    <s v="N"/>
    <s v="DEFAULT CAR"/>
    <x v="426"/>
    <s v="ONNA"/>
    <s v="SEPA"/>
    <n v="2"/>
    <n v="86.399600000000007"/>
    <n v="0"/>
  </r>
  <r>
    <s v="N"/>
    <s v="DEFAULT CAR"/>
    <x v="427"/>
    <s v="ONNA"/>
    <s v="SEPA"/>
    <n v="38"/>
    <n v="100.76384"/>
    <n v="0"/>
  </r>
  <r>
    <s v="N"/>
    <s v="DEFAULT CAR"/>
    <x v="428"/>
    <s v="ONNA"/>
    <s v="SEPA"/>
    <n v="17"/>
    <n v="105.1698"/>
    <n v="0"/>
  </r>
  <r>
    <s v="N"/>
    <s v="DEFAULT CAR"/>
    <x v="429"/>
    <s v="ONNA"/>
    <s v="SEPA"/>
    <n v="8"/>
    <n v="101.9735"/>
    <n v="0"/>
  </r>
  <r>
    <s v="N"/>
    <s v="DEFAULT CAR"/>
    <x v="430"/>
    <s v="ONNA"/>
    <s v="SEPA"/>
    <n v="6"/>
    <n v="105.93"/>
    <n v="0"/>
  </r>
  <r>
    <s v="N"/>
    <s v="DEFAULT CAR"/>
    <x v="431"/>
    <s v="ONNA"/>
    <s v="SEPA"/>
    <n v="75"/>
    <n v="108.3614"/>
    <n v="0"/>
  </r>
  <r>
    <s v="N"/>
    <s v="DEFAULT CAR"/>
    <x v="432"/>
    <s v="ONNA"/>
    <s v="SEPA"/>
    <n v="13"/>
    <n v="109.2586"/>
    <n v="0"/>
  </r>
  <r>
    <s v="N"/>
    <s v="DEFAULT CAR"/>
    <x v="433"/>
    <s v="ONNA"/>
    <s v="SEPA"/>
    <n v="2"/>
    <n v="128.3887"/>
    <n v="0"/>
  </r>
  <r>
    <s v="N"/>
    <s v="DEFAULT CAR"/>
    <x v="434"/>
    <s v="ONNA"/>
    <s v="SEPA"/>
    <n v="3"/>
    <n v="129.2979"/>
    <n v="0"/>
  </r>
  <r>
    <s v="N"/>
    <s v="DEFAULT CAR"/>
    <x v="435"/>
    <s v="ONNA"/>
    <s v="SEPA"/>
    <n v="4"/>
    <n v="110.0361"/>
    <n v="0"/>
  </r>
  <r>
    <s v="N"/>
    <s v="DEFAULT CAR"/>
    <x v="436"/>
    <s v="ONNA"/>
    <s v="SEPA"/>
    <n v="2"/>
    <n v="115.5072"/>
    <n v="0"/>
  </r>
  <r>
    <s v="N"/>
    <s v="DEFAULT CAR"/>
    <x v="437"/>
    <s v="ONNA"/>
    <s v="SEPA"/>
    <n v="3"/>
    <n v="112.3263"/>
    <n v="0"/>
  </r>
  <r>
    <s v="N"/>
    <s v="DEFAULT CAR"/>
    <x v="438"/>
    <s v="ONNA"/>
    <s v="SEPA"/>
    <n v="2"/>
    <n v="52.220910000000003"/>
    <n v="0"/>
  </r>
  <r>
    <s v="N"/>
    <s v="DEFAULT CAR"/>
    <x v="439"/>
    <s v="ONNA"/>
    <s v="SEPA"/>
    <n v="2"/>
    <n v="51.278399999999998"/>
    <n v="0"/>
  </r>
  <r>
    <s v="N"/>
    <s v="DEFAULT CAR"/>
    <x v="440"/>
    <s v="ONNA"/>
    <s v="SEPA"/>
    <n v="3"/>
    <n v="72.58"/>
    <n v="0"/>
  </r>
  <r>
    <s v="N"/>
    <s v="DEFAULT CAR"/>
    <x v="441"/>
    <s v="ONNA"/>
    <s v="SEPA"/>
    <n v="15"/>
    <n v="118.71250000000001"/>
    <n v="0"/>
  </r>
  <r>
    <s v="N"/>
    <s v="DEFAULT CAR"/>
    <x v="442"/>
    <s v="ONNA"/>
    <s v="SEPA"/>
    <n v="6"/>
    <n v="119.6123"/>
    <n v="0"/>
  </r>
  <r>
    <s v="N"/>
    <s v="DEFAULT CAR"/>
    <x v="443"/>
    <s v="ONNA"/>
    <s v="SEPA"/>
    <n v="1"/>
    <n v="139.67099999999999"/>
    <n v="0"/>
  </r>
  <r>
    <s v="N"/>
    <s v="DEFAULT CAR"/>
    <x v="444"/>
    <s v="ONNA"/>
    <s v="SEPA"/>
    <n v="2"/>
    <n v="80.447100000000006"/>
    <n v="0"/>
  </r>
  <r>
    <s v="N"/>
    <s v="DEFAULT CAR"/>
    <x v="445"/>
    <s v="ONNA"/>
    <s v="SEPA"/>
    <n v="2"/>
    <n v="88.542500000000004"/>
    <n v="0"/>
  </r>
  <r>
    <s v="N"/>
    <s v="DEFAULT CAR"/>
    <x v="446"/>
    <s v="ONNA"/>
    <s v="SEPA"/>
    <n v="2"/>
    <n v="104.2607"/>
    <n v="0"/>
  </r>
  <r>
    <s v="N"/>
    <s v="DEFAULT CAR"/>
    <x v="447"/>
    <s v="ONNA"/>
    <s v="SEPA"/>
    <n v="9"/>
    <n v="107.38809999999999"/>
    <n v="0"/>
  </r>
  <r>
    <s v="N"/>
    <s v="DEFAULT CAR"/>
    <x v="448"/>
    <s v="ONNA"/>
    <s v="SEPA"/>
    <n v="13"/>
    <n v="109.6566"/>
    <n v="0"/>
  </r>
  <r>
    <s v="N"/>
    <s v="DEFAULT CAR"/>
    <x v="449"/>
    <s v="ONNA"/>
    <s v="SEPA"/>
    <n v="5"/>
    <n v="112.8095"/>
    <n v="0"/>
  </r>
  <r>
    <s v="N"/>
    <s v="DEFAULT CAR"/>
    <x v="450"/>
    <s v="ONNA"/>
    <s v="SEPA"/>
    <n v="20"/>
    <n v="120.85525"/>
    <n v="0"/>
  </r>
  <r>
    <s v="N"/>
    <s v="DEFAULT CAR"/>
    <x v="451"/>
    <s v="ONNA"/>
    <s v="SEPA"/>
    <n v="5"/>
    <n v="133.82509999999999"/>
    <n v="0"/>
  </r>
  <r>
    <s v="N"/>
    <s v="DEFAULT CAR"/>
    <x v="452"/>
    <s v="ONNA"/>
    <s v="SEPA"/>
    <n v="2"/>
    <n v="124.1724"/>
    <n v="0"/>
  </r>
  <r>
    <s v="N"/>
    <s v="DEFAULT CAR"/>
    <x v="453"/>
    <s v="ONNA"/>
    <s v="SEPA"/>
    <n v="2"/>
    <n v="144.1748"/>
    <n v="0"/>
  </r>
  <r>
    <s v="N"/>
    <s v="DEFAULT CAR"/>
    <x v="454"/>
    <s v="ONNA"/>
    <s v="SEPA"/>
    <n v="14"/>
    <n v="74.22"/>
    <n v="0"/>
  </r>
  <r>
    <s v="N"/>
    <s v="DEFAULT CAR"/>
    <x v="455"/>
    <s v="ONNA"/>
    <s v="SEPA"/>
    <n v="2"/>
    <n v="104.95871"/>
    <n v="0"/>
  </r>
  <r>
    <s v="N"/>
    <s v="DEFAULT CAR"/>
    <x v="456"/>
    <s v="ONNA"/>
    <s v="SEPA"/>
    <n v="2"/>
    <n v="72.849999999999994"/>
    <n v="0"/>
  </r>
  <r>
    <s v="N"/>
    <s v="DEFAULT CAR"/>
    <x v="457"/>
    <s v="ONNA"/>
    <s v="SEPA"/>
    <n v="3"/>
    <n v="98.465890000000002"/>
    <n v="0"/>
  </r>
  <r>
    <s v="N"/>
    <s v="DEFAULT CAR"/>
    <x v="458"/>
    <s v="ONNA"/>
    <s v="SEPA"/>
    <n v="4"/>
    <n v="100.86641"/>
    <n v="0"/>
  </r>
  <r>
    <s v="N"/>
    <s v="DEFAULT CAR"/>
    <x v="459"/>
    <s v="ONNA"/>
    <s v="SEPA"/>
    <n v="4"/>
    <n v="97.132090000000005"/>
    <n v="0"/>
  </r>
  <r>
    <s v="N"/>
    <s v="DEFAULT CAR"/>
    <x v="460"/>
    <s v="ONNA"/>
    <s v="SEPA"/>
    <n v="5"/>
    <n v="99.523939999999996"/>
    <n v="0"/>
  </r>
  <r>
    <s v="N"/>
    <s v="DEFAULT CAR"/>
    <x v="461"/>
    <s v="ONNA"/>
    <s v="SEPA"/>
    <n v="5"/>
    <n v="78.245279999999994"/>
    <n v="0"/>
  </r>
  <r>
    <s v="N"/>
    <s v="DEFAULT CAR"/>
    <x v="462"/>
    <s v="ONNA"/>
    <s v="SEPA"/>
    <n v="5"/>
    <n v="97.932519999999997"/>
    <n v="0"/>
  </r>
  <r>
    <s v="N"/>
    <s v="DEFAULT CAR"/>
    <x v="463"/>
    <s v="ONNA"/>
    <s v="SEPA"/>
    <n v="3"/>
    <n v="102.00391999999999"/>
    <n v="0"/>
  </r>
  <r>
    <s v="N"/>
    <s v="DEFAULT CAR"/>
    <x v="464"/>
    <s v="ONNA"/>
    <s v="SEPA"/>
    <n v="2"/>
    <n v="128.07640000000001"/>
    <n v="0"/>
  </r>
  <r>
    <s v="N"/>
    <s v="DEFAULT CAR"/>
    <x v="465"/>
    <s v="ONNA"/>
    <s v="SEPA"/>
    <n v="2"/>
    <n v="128.98490000000001"/>
    <n v="0"/>
  </r>
  <r>
    <s v="N"/>
    <s v="DEFAULT CAR"/>
    <x v="466"/>
    <s v="ONNA"/>
    <s v="SEPA"/>
    <n v="2"/>
    <n v="138.43219999999999"/>
    <n v="0"/>
  </r>
  <r>
    <s v="N"/>
    <s v="DEFAULT CAR"/>
    <x v="467"/>
    <s v="ONNA"/>
    <s v="SEPA"/>
    <n v="2"/>
    <n v="139.33500000000001"/>
    <n v="0"/>
  </r>
  <r>
    <s v="N"/>
    <s v="DEFAULT CAR"/>
    <x v="468"/>
    <s v="ONNA"/>
    <s v="SEPA"/>
    <n v="6"/>
    <n v="94.047160000000005"/>
    <n v="0"/>
  </r>
  <r>
    <s v="N"/>
    <s v="DEFAULT CAR"/>
    <x v="469"/>
    <s v="ONNA"/>
    <s v="SEPA"/>
    <n v="2"/>
    <n v="105.05158"/>
    <n v="0"/>
  </r>
  <r>
    <s v="N"/>
    <s v="DEFAULT CAR"/>
    <x v="470"/>
    <s v="ONNA"/>
    <s v="SEPA"/>
    <n v="5"/>
    <n v="58.88"/>
    <n v="0"/>
  </r>
  <r>
    <s v="N"/>
    <s v="DEFAULT CAR"/>
    <x v="471"/>
    <s v="ONNA"/>
    <s v="SEPA"/>
    <n v="15"/>
    <n v="55.886000000000003"/>
    <n v="0"/>
  </r>
  <r>
    <s v="N"/>
    <s v="DEFAULT CAR"/>
    <x v="472"/>
    <s v="ONNA"/>
    <s v="SEPA"/>
    <n v="15"/>
    <n v="61.61"/>
    <n v="0"/>
  </r>
  <r>
    <s v="N"/>
    <s v="DEFAULT CAR"/>
    <x v="473"/>
    <s v="ONNA"/>
    <s v="SEPA"/>
    <n v="16"/>
    <n v="58.618600000000001"/>
    <n v="0"/>
  </r>
  <r>
    <s v="N"/>
    <s v="DEFAULT CAR"/>
    <x v="474"/>
    <s v="ONNA"/>
    <s v="SEPA"/>
    <n v="5"/>
    <n v="89.01"/>
    <n v="0"/>
  </r>
  <r>
    <s v="N"/>
    <s v="DEFAULT CAR"/>
    <x v="475"/>
    <s v="ONNA"/>
    <s v="SEPA"/>
    <n v="5"/>
    <n v="91.23"/>
    <n v="0"/>
  </r>
  <r>
    <s v="N"/>
    <s v="DEFAULT CAR"/>
    <x v="476"/>
    <s v="ONNA"/>
    <s v="SEPA"/>
    <n v="6"/>
    <n v="87.76"/>
    <n v="0"/>
  </r>
  <r>
    <s v="N"/>
    <s v="DEFAULT CAR"/>
    <x v="477"/>
    <s v="ONNA"/>
    <s v="SEPA"/>
    <n v="5"/>
    <n v="81.977900000000005"/>
    <n v="0"/>
  </r>
  <r>
    <s v="N"/>
    <s v="DEFAULT CAR"/>
    <x v="478"/>
    <s v="ONNA"/>
    <s v="SEPA"/>
    <n v="9"/>
    <n v="93.33"/>
    <n v="0"/>
  </r>
  <r>
    <s v="N"/>
    <s v="DEFAULT CAR"/>
    <x v="479"/>
    <s v="ONNA"/>
    <s v="SEPA"/>
    <n v="8"/>
    <n v="66.72"/>
    <n v="0"/>
  </r>
  <r>
    <s v="N"/>
    <s v="DEFAULT CAR"/>
    <x v="480"/>
    <s v="ONNA"/>
    <s v="SEPA"/>
    <n v="9"/>
    <n v="68.94"/>
    <n v="0"/>
  </r>
  <r>
    <s v="N"/>
    <s v="DEFAULT CAR"/>
    <x v="481"/>
    <s v="ONNA"/>
    <s v="SEPA"/>
    <n v="10"/>
    <n v="69.22"/>
    <n v="0"/>
  </r>
  <r>
    <s v="N"/>
    <s v="DEFAULT CAR"/>
    <x v="482"/>
    <s v="ONNA"/>
    <s v="SEPA"/>
    <n v="5"/>
    <n v="65.41"/>
    <n v="0"/>
  </r>
  <r>
    <s v="N"/>
    <s v="DEFAULT CAR"/>
    <x v="483"/>
    <s v="ONNA"/>
    <s v="SEPA"/>
    <n v="3"/>
    <n v="67.63"/>
    <n v="0"/>
  </r>
  <r>
    <s v="N"/>
    <s v="DEFAULT CAR"/>
    <x v="484"/>
    <s v="ONNA"/>
    <s v="SEPA"/>
    <n v="6"/>
    <n v="63.722099999999998"/>
    <n v="0"/>
  </r>
  <r>
    <s v="N"/>
    <s v="DEFAULT CAR"/>
    <x v="485"/>
    <s v="ONNA"/>
    <s v="SEPA"/>
    <n v="2"/>
    <n v="65.944299999999998"/>
    <n v="0"/>
  </r>
  <r>
    <s v="N"/>
    <s v="DEFAULT CAR"/>
    <x v="486"/>
    <s v="ONNA"/>
    <s v="SEPA"/>
    <n v="5"/>
    <n v="62.412700000000001"/>
    <n v="0"/>
  </r>
  <r>
    <s v="N"/>
    <s v="DEFAULT CAR"/>
    <x v="487"/>
    <s v="ONNA"/>
    <s v="SEPA"/>
    <n v="42"/>
    <n v="64.634799999999998"/>
    <n v="0"/>
  </r>
  <r>
    <s v="N"/>
    <s v="DEFAULT CAR"/>
    <x v="488"/>
    <s v="ONNA"/>
    <s v="SEPA"/>
    <n v="4"/>
    <n v="72.17"/>
    <n v="0"/>
  </r>
  <r>
    <s v="N"/>
    <s v="DEFAULT CAR"/>
    <x v="489"/>
    <s v="ONNA"/>
    <s v="SEPA"/>
    <n v="4"/>
    <n v="68.66"/>
    <n v="0"/>
  </r>
  <r>
    <s v="N"/>
    <s v="DEFAULT CAR"/>
    <x v="490"/>
    <s v="ONNA"/>
    <s v="SEPA"/>
    <n v="4"/>
    <n v="69.149000000000001"/>
    <n v="0"/>
  </r>
  <r>
    <s v="N"/>
    <s v="DEFAULT CAR"/>
    <x v="491"/>
    <s v="ONNA"/>
    <s v="SEPA"/>
    <n v="3"/>
    <n v="65.671300000000002"/>
    <n v="0"/>
  </r>
  <r>
    <s v="N"/>
    <s v="DEFAULT CAR"/>
    <x v="492"/>
    <s v="ONNA"/>
    <s v="SEPA"/>
    <n v="12"/>
    <n v="95.49"/>
    <n v="0"/>
  </r>
  <r>
    <s v="N"/>
    <s v="DEFAULT CAR"/>
    <x v="493"/>
    <s v="ONNA"/>
    <s v="SEPA"/>
    <n v="4"/>
    <n v="98.95"/>
    <n v="0"/>
  </r>
  <r>
    <s v="N"/>
    <s v="DEFAULT CAR"/>
    <x v="494"/>
    <s v="ONNA"/>
    <s v="SEPA"/>
    <n v="9"/>
    <n v="101.12"/>
    <n v="0"/>
  </r>
  <r>
    <s v="N"/>
    <s v="DEFAULT CAR"/>
    <x v="495"/>
    <s v="ONNA"/>
    <s v="SEPA"/>
    <n v="9"/>
    <n v="108.30852"/>
    <n v="0"/>
  </r>
  <r>
    <s v="N"/>
    <s v="DEFAULT CAR"/>
    <x v="496"/>
    <s v="ONNA"/>
    <s v="SEPA"/>
    <n v="4"/>
    <n v="103.7175"/>
    <n v="0"/>
  </r>
  <r>
    <s v="N"/>
    <s v="DEFAULT CAR"/>
    <x v="497"/>
    <s v="ONNA"/>
    <s v="SEPA"/>
    <n v="2"/>
    <n v="100.83317"/>
    <n v="0"/>
  </r>
  <r>
    <s v="N"/>
    <s v="DEFAULT CAR"/>
    <x v="498"/>
    <s v="ONNA"/>
    <s v="SEPA"/>
    <n v="24"/>
    <n v="70.56"/>
    <n v="0"/>
  </r>
  <r>
    <s v="N"/>
    <s v="DEFAULT CAR"/>
    <x v="499"/>
    <s v="ONNA"/>
    <s v="SEPA"/>
    <n v="27"/>
    <n v="101.60875"/>
    <n v="0"/>
  </r>
  <r>
    <s v="N"/>
    <s v="DEFAULT CAR"/>
    <x v="500"/>
    <s v="ONNA"/>
    <s v="SEPA"/>
    <n v="2"/>
    <n v="105.27603000000001"/>
    <n v="0"/>
  </r>
  <r>
    <s v="N"/>
    <s v="DEFAULT CAR"/>
    <x v="501"/>
    <s v="ONNA"/>
    <s v="SEPA"/>
    <n v="6"/>
    <n v="102.01573999999999"/>
    <n v="0"/>
  </r>
  <r>
    <s v="N"/>
    <s v="DEFAULT CAR"/>
    <x v="502"/>
    <s v="ONNA"/>
    <s v="SEPA"/>
    <n v="2"/>
    <n v="108.03151"/>
    <n v="0"/>
  </r>
  <r>
    <s v="N"/>
    <s v="DEFAULT CAR"/>
    <x v="503"/>
    <s v="ONNA"/>
    <s v="SEPA"/>
    <n v="2"/>
    <n v="94.0946"/>
    <n v="0"/>
  </r>
  <r>
    <s v="N"/>
    <s v="DEFAULT CAR"/>
    <x v="504"/>
    <s v="ONNA"/>
    <s v="SEPA"/>
    <n v="8"/>
    <n v="104.6421"/>
    <n v="0"/>
  </r>
  <r>
    <s v="N"/>
    <s v="DEFAULT CAR"/>
    <x v="505"/>
    <s v="ONNA"/>
    <s v="SEPA"/>
    <n v="6"/>
    <n v="112.45995000000001"/>
    <n v="0"/>
  </r>
  <r>
    <s v="N"/>
    <s v="DEFAULT CAR"/>
    <x v="506"/>
    <s v="ONNA"/>
    <s v="SEPA"/>
    <n v="2"/>
    <n v="109.45862"/>
    <n v="0"/>
  </r>
  <r>
    <s v="N"/>
    <s v="DEFAULT CAR"/>
    <x v="507"/>
    <s v="ONNA"/>
    <s v="SEPA"/>
    <n v="5"/>
    <n v="118.32201000000001"/>
    <n v="0"/>
  </r>
  <r>
    <s v="N"/>
    <s v="DEFAULT CAR"/>
    <x v="508"/>
    <s v="ONNA"/>
    <s v="SEPA"/>
    <n v="27"/>
    <n v="103.24209"/>
    <n v="0"/>
  </r>
  <r>
    <s v="N"/>
    <s v="DEFAULT CAR"/>
    <x v="509"/>
    <s v="ONNA"/>
    <s v="SEPA"/>
    <n v="20"/>
    <n v="99.247370000000004"/>
    <n v="0"/>
  </r>
  <r>
    <s v="N"/>
    <s v="DEFAULT CAR"/>
    <x v="510"/>
    <s v="ONNA"/>
    <s v="SEPA"/>
    <n v="6"/>
    <n v="101.74890000000001"/>
    <n v="0"/>
  </r>
  <r>
    <s v="N"/>
    <s v="DEFAULT CAR"/>
    <x v="511"/>
    <s v="ONNA"/>
    <s v="SEPA"/>
    <n v="2"/>
    <n v="105.47843"/>
    <n v="0"/>
  </r>
  <r>
    <s v="N"/>
    <s v="DEFAULT CAR"/>
    <x v="512"/>
    <s v="ONNA"/>
    <s v="SEPA"/>
    <n v="51"/>
    <n v="118.24545000000001"/>
    <n v="0"/>
  </r>
  <r>
    <s v="N"/>
    <s v="DEFAULT CAR"/>
    <x v="513"/>
    <s v="ONNA"/>
    <s v="SEPA"/>
    <n v="17"/>
    <n v="107.95075"/>
    <n v="0"/>
  </r>
  <r>
    <s v="N"/>
    <s v="DEFAULT CAR"/>
    <x v="514"/>
    <s v="ONNA"/>
    <s v="SEPA"/>
    <n v="2"/>
    <n v="113.6611"/>
    <n v="0"/>
  </r>
  <r>
    <s v="N"/>
    <s v="DEFAULT CAR"/>
    <x v="515"/>
    <s v="ONNA"/>
    <s v="SEPA"/>
    <n v="2"/>
    <n v="137.22608"/>
    <n v="0"/>
  </r>
  <r>
    <s v="N"/>
    <s v="DEFAULT CAR"/>
    <x v="516"/>
    <s v="ONNA"/>
    <s v="SEPA"/>
    <n v="4"/>
    <n v="138.70337000000001"/>
    <n v="0"/>
  </r>
  <r>
    <s v="N"/>
    <s v="DEFAULT CAR"/>
    <x v="517"/>
    <s v="ONNA"/>
    <s v="SEPA"/>
    <n v="3"/>
    <n v="134.13466"/>
    <n v="0"/>
  </r>
  <r>
    <s v="N"/>
    <s v="DEFAULT CAR"/>
    <x v="518"/>
    <s v="ONNA"/>
    <s v="SEPA"/>
    <n v="3"/>
    <n v="115.26309000000001"/>
    <n v="0"/>
  </r>
  <r>
    <s v="N"/>
    <s v="DEFAULT CAR"/>
    <x v="519"/>
    <s v="ONNA"/>
    <s v="SEPA"/>
    <n v="4"/>
    <n v="110.48008"/>
    <n v="0"/>
  </r>
  <r>
    <s v="N"/>
    <s v="DEFAULT CAR"/>
    <x v="520"/>
    <s v="ONNA"/>
    <s v="SEPA"/>
    <n v="5"/>
    <n v="117.84132"/>
    <n v="0"/>
  </r>
  <r>
    <s v="N"/>
    <s v="DEFAULT CAR"/>
    <x v="521"/>
    <s v="ONNA"/>
    <s v="SEPA"/>
    <n v="1"/>
    <n v="112.97135"/>
    <n v="0"/>
  </r>
  <r>
    <s v="N"/>
    <s v="DEFAULT CAR"/>
    <x v="522"/>
    <s v="ONNA"/>
    <s v="SEPA"/>
    <n v="2"/>
    <n v="117.46474000000001"/>
    <n v="0"/>
  </r>
  <r>
    <s v="N"/>
    <s v="DEFAULT CAR"/>
    <x v="523"/>
    <s v="ONNA"/>
    <s v="SEPA"/>
    <n v="7"/>
    <n v="124.38263999999999"/>
    <n v="0"/>
  </r>
  <r>
    <s v="N"/>
    <s v="DEFAULT CAR"/>
    <x v="524"/>
    <s v="ONNA"/>
    <s v="SEPA"/>
    <n v="5"/>
    <n v="119.16688000000001"/>
    <n v="0"/>
  </r>
  <r>
    <s v="N"/>
    <s v="DEFAULT CAR"/>
    <x v="525"/>
    <s v="ONNA"/>
    <s v="SEPA"/>
    <n v="2"/>
    <n v="125.62761999999999"/>
    <n v="0"/>
  </r>
  <r>
    <s v="N"/>
    <s v="DEFAULT CAR"/>
    <x v="526"/>
    <s v="ONNA"/>
    <s v="SEPA"/>
    <n v="1"/>
    <n v="149.25458"/>
    <n v="0"/>
  </r>
  <r>
    <s v="N"/>
    <s v="DEFAULT CAR"/>
    <x v="527"/>
    <s v="ONNA"/>
    <s v="SEPA"/>
    <n v="2"/>
    <n v="150.73606000000001"/>
    <n v="0"/>
  </r>
  <r>
    <s v="N"/>
    <s v="DEFAULT CAR"/>
    <x v="528"/>
    <s v="ONNA"/>
    <s v="SEPA"/>
    <n v="1"/>
    <n v="138.87101000000001"/>
    <n v="0"/>
  </r>
  <r>
    <s v="N"/>
    <s v="DEFAULT CAR"/>
    <x v="529"/>
    <s v="ONNA"/>
    <s v="SEPA"/>
    <n v="2"/>
    <n v="149.43074999999999"/>
    <n v="0"/>
  </r>
  <r>
    <s v="N"/>
    <s v="DEFAULT CAR"/>
    <x v="530"/>
    <s v="ONNA"/>
    <s v="SEPA"/>
    <n v="2"/>
    <n v="150.91293999999999"/>
    <n v="0"/>
  </r>
  <r>
    <s v="N"/>
    <s v="DEFAULT CAR"/>
    <x v="531"/>
    <s v="ONNA"/>
    <s v="SEPA"/>
    <n v="7"/>
    <n v="106.42103"/>
    <n v="0"/>
  </r>
  <r>
    <s v="N"/>
    <s v="DEFAULT CAR"/>
    <x v="532"/>
    <s v="ONNA"/>
    <s v="SEPA"/>
    <n v="1"/>
    <n v="101.26085999999999"/>
    <n v="0"/>
  </r>
  <r>
    <s v="N"/>
    <s v="DEFAULT CAR"/>
    <x v="533"/>
    <s v="ONNA"/>
    <s v="SEPA"/>
    <n v="5"/>
    <n v="108.95482"/>
    <n v="0"/>
  </r>
  <r>
    <s v="N"/>
    <s v="DEFAULT CAR"/>
    <x v="534"/>
    <s v="ONNA"/>
    <s v="SEPA"/>
    <n v="5"/>
    <n v="104.71235"/>
    <n v="0"/>
  </r>
  <r>
    <s v="N"/>
    <s v="DEFAULT CAR"/>
    <x v="535"/>
    <s v="ONNA"/>
    <s v="SEPA"/>
    <n v="6"/>
    <n v="117.96979"/>
    <n v="0"/>
  </r>
  <r>
    <s v="N"/>
    <s v="DEFAULT CAR"/>
    <x v="536"/>
    <s v="ONNA"/>
    <s v="SEPA"/>
    <n v="4"/>
    <n v="113.27894999999999"/>
    <n v="0"/>
  </r>
  <r>
    <s v="N"/>
    <s v="DEFAULT CAR"/>
    <x v="537"/>
    <s v="ONNA"/>
    <s v="SEPA"/>
    <n v="2"/>
    <n v="148.7364"/>
    <n v="0"/>
  </r>
  <r>
    <s v="N"/>
    <s v="DEFAULT CAR"/>
    <x v="538"/>
    <s v="ONNA"/>
    <s v="SEPA"/>
    <n v="2"/>
    <n v="129.76065"/>
    <n v="0"/>
  </r>
  <r>
    <s v="N"/>
    <s v="DEFAULT CAR"/>
    <x v="539"/>
    <s v="ONNA"/>
    <s v="SEPA"/>
    <n v="1"/>
    <n v="154.79821999999999"/>
    <n v="0"/>
  </r>
  <r>
    <s v="N"/>
    <s v="DEFAULT CAR"/>
    <x v="540"/>
    <s v="ONNA"/>
    <s v="SEPA"/>
    <n v="3"/>
    <n v="141.69884999999999"/>
    <n v="0"/>
  </r>
  <r>
    <s v="N"/>
    <s v="DEFAULT CAR"/>
    <x v="541"/>
    <s v="ONNA"/>
    <s v="SEPA"/>
    <n v="3"/>
    <n v="137.0428"/>
    <n v="0"/>
  </r>
  <r>
    <s v="N"/>
    <s v="DEFAULT CAR"/>
    <x v="542"/>
    <s v="ONNA"/>
    <s v="SEPA"/>
    <n v="4"/>
    <n v="143.00883999999999"/>
    <n v="0"/>
  </r>
  <r>
    <s v="N"/>
    <s v="DEFAULT CAR"/>
    <x v="543"/>
    <s v="ONNA"/>
    <s v="SEPA"/>
    <n v="3"/>
    <n v="138.31344999999999"/>
    <n v="0"/>
  </r>
  <r>
    <s v="N"/>
    <s v="DEFAULT CAR"/>
    <x v="544"/>
    <s v="ONNA"/>
    <s v="SEPA"/>
    <n v="1"/>
    <n v="129.93376000000001"/>
    <n v="0"/>
  </r>
  <r>
    <s v="N"/>
    <s v="DEFAULT CAR"/>
    <x v="545"/>
    <s v="ONNA"/>
    <s v="SEPA"/>
    <n v="2"/>
    <n v="124.61481000000001"/>
    <n v="0"/>
  </r>
  <r>
    <s v="N"/>
    <s v="DEFAULT CAR"/>
    <x v="546"/>
    <s v="ONNA"/>
    <s v="SEPA"/>
    <n v="2"/>
    <n v="155.04676000000001"/>
    <n v="0"/>
  </r>
  <r>
    <s v="N"/>
    <s v="DEFAULT CAR"/>
    <x v="547"/>
    <s v="ONNA"/>
    <s v="SEPA"/>
    <n v="4"/>
    <n v="149.60296"/>
    <n v="0"/>
  </r>
  <r>
    <s v="N"/>
    <s v="DEFAULT CAR"/>
    <x v="548"/>
    <s v="ONNA"/>
    <s v="SEPA"/>
    <n v="23"/>
    <n v="116.67453"/>
    <n v="0"/>
  </r>
  <r>
    <s v="N"/>
    <s v="DEFAULT CAR"/>
    <x v="549"/>
    <s v="ONNA"/>
    <s v="SEPA"/>
    <n v="4"/>
    <n v="112.13294999999999"/>
    <n v="0"/>
  </r>
  <r>
    <s v="N"/>
    <s v="DEFAULT CAR"/>
    <x v="550"/>
    <s v="ONNA"/>
    <s v="SEPA"/>
    <n v="3"/>
    <n v="141.53110000000001"/>
    <n v="0"/>
  </r>
  <r>
    <s v="N"/>
    <s v="DEFAULT CAR"/>
    <x v="551"/>
    <s v="ONNA"/>
    <s v="SEPA"/>
    <n v="4"/>
    <n v="141.46619999999999"/>
    <n v="0"/>
  </r>
  <r>
    <s v="N"/>
    <s v="DEFAULT CAR"/>
    <x v="552"/>
    <s v="ONNA"/>
    <s v="SEPA"/>
    <n v="4"/>
    <n v="117.92353"/>
    <n v="0"/>
  </r>
  <r>
    <s v="N"/>
    <s v="DEFAULT CAR"/>
    <x v="553"/>
    <s v="ONNA"/>
    <s v="SEPA"/>
    <n v="4"/>
    <n v="113.38500000000001"/>
    <n v="0"/>
  </r>
  <r>
    <s v="N"/>
    <s v="DEFAULT CAR"/>
    <x v="554"/>
    <s v="ONNA"/>
    <s v="SEPA"/>
    <n v="2"/>
    <n v="143.17747"/>
    <n v="0"/>
  </r>
  <r>
    <s v="N"/>
    <s v="DEFAULT CAR"/>
    <x v="555"/>
    <s v="ONNA"/>
    <s v="SEPA"/>
    <n v="2"/>
    <n v="138.48312999999999"/>
    <n v="0"/>
  </r>
  <r>
    <s v="N"/>
    <s v="DEFAULT CAR"/>
    <x v="556"/>
    <s v="ONNA"/>
    <s v="SEPA"/>
    <n v="4"/>
    <n v="128.64823999999999"/>
    <n v="0"/>
  </r>
  <r>
    <s v="N"/>
    <s v="DEFAULT CAR"/>
    <x v="557"/>
    <s v="ONNA"/>
    <s v="SEPA"/>
    <n v="3"/>
    <n v="123.34916"/>
    <n v="0"/>
  </r>
  <r>
    <s v="N"/>
    <s v="DEFAULT CAR"/>
    <x v="558"/>
    <s v="ONNA"/>
    <s v="SEPA"/>
    <n v="2"/>
    <n v="153.56565000000001"/>
    <n v="0"/>
  </r>
  <r>
    <s v="N"/>
    <s v="DEFAULT CAR"/>
    <x v="559"/>
    <s v="ONNA"/>
    <s v="SEPA"/>
    <n v="4"/>
    <n v="148.14642000000001"/>
    <n v="0"/>
  </r>
  <r>
    <s v="N"/>
    <s v="DEFAULT CAR"/>
    <x v="560"/>
    <s v="ONNA"/>
    <s v="SEPA"/>
    <n v="2"/>
    <n v="153.74265"/>
    <n v="0"/>
  </r>
  <r>
    <s v="N"/>
    <s v="DEFAULT CAR"/>
    <x v="561"/>
    <s v="ONNA"/>
    <s v="SEPA"/>
    <n v="3"/>
    <n v="155.22377"/>
    <n v="0"/>
  </r>
  <r>
    <s v="N"/>
    <s v="DEFAULT CAR"/>
    <x v="562"/>
    <s v="ONNA"/>
    <s v="SEPA"/>
    <n v="4"/>
    <n v="149.78261000000001"/>
    <n v="0"/>
  </r>
  <r>
    <s v="N"/>
    <s v="DEFAULT CAR"/>
    <x v="563"/>
    <s v="ONNA"/>
    <s v="SEPA"/>
    <n v="8"/>
    <n v="122.28509"/>
    <n v="0"/>
  </r>
  <r>
    <s v="N"/>
    <s v="DEFAULT CAR"/>
    <x v="564"/>
    <s v="ONNA"/>
    <s v="SEPA"/>
    <n v="2"/>
    <n v="117.46733999999999"/>
    <n v="0"/>
  </r>
  <r>
    <s v="N"/>
    <s v="DEFAULT CAR"/>
    <x v="565"/>
    <s v="ONNA"/>
    <s v="SEPA"/>
    <n v="10"/>
    <n v="151.44"/>
    <n v="0"/>
  </r>
  <r>
    <s v="N"/>
    <s v="DEFAULT CAR"/>
    <x v="566"/>
    <s v="ONNA"/>
    <s v="SEPA"/>
    <n v="4"/>
    <n v="147.11575999999999"/>
    <n v="0"/>
  </r>
  <r>
    <s v="N"/>
    <s v="DEFAULT CAR"/>
    <x v="567"/>
    <s v="ONNA"/>
    <s v="SEPA"/>
    <n v="2"/>
    <n v="149.16604000000001"/>
    <n v="0"/>
  </r>
  <r>
    <s v="N"/>
    <s v="DEFAULT CAR"/>
    <x v="568"/>
    <s v="ONNA"/>
    <s v="SEPA"/>
    <n v="1"/>
    <n v="134.07651000000001"/>
    <n v="0"/>
  </r>
  <r>
    <s v="N"/>
    <s v="DEFAULT CAR"/>
    <x v="569"/>
    <s v="ONNA"/>
    <s v="SEPA"/>
    <n v="2"/>
    <n v="159.10974999999999"/>
    <n v="0"/>
  </r>
  <r>
    <s v="N"/>
    <s v="DEFAULT CAR"/>
    <x v="570"/>
    <s v="ONNA"/>
    <s v="SEPA"/>
    <n v="3"/>
    <n v="159.12075999999999"/>
    <n v="0"/>
  </r>
  <r>
    <s v="N"/>
    <s v="DEFAULT CAR"/>
    <x v="571"/>
    <s v="ONNA"/>
    <s v="SEPA"/>
    <n v="2"/>
    <n v="159.25790000000001"/>
    <n v="0"/>
  </r>
  <r>
    <s v="N"/>
    <s v="DEFAULT CAR"/>
    <x v="572"/>
    <s v="ONNA"/>
    <s v="SEPA"/>
    <n v="1"/>
    <n v="96.598839999999996"/>
    <n v="0"/>
  </r>
  <r>
    <s v="N"/>
    <s v="DEFAULT CAR"/>
    <x v="573"/>
    <s v="ONNA"/>
    <s v="SEPA"/>
    <n v="34"/>
    <n v="68.53"/>
    <n v="0"/>
  </r>
  <r>
    <s v="N"/>
    <s v="DEFAULT CAR"/>
    <x v="574"/>
    <s v="ONNA"/>
    <s v="SEPA"/>
    <n v="2"/>
    <n v="69.45"/>
    <n v="0"/>
  </r>
  <r>
    <s v="N"/>
    <s v="DEFAULT CAR"/>
    <x v="575"/>
    <s v="ONNA"/>
    <s v="SEPA"/>
    <n v="2"/>
    <n v="59.4"/>
    <n v="0"/>
  </r>
  <r>
    <s v="N"/>
    <s v="DEFAULT CAR"/>
    <x v="576"/>
    <s v="ONNA"/>
    <s v="SEPA"/>
    <n v="6"/>
    <n v="61.660400000000003"/>
    <n v="0"/>
  </r>
  <r>
    <s v="N"/>
    <s v="DEFAULT CAR"/>
    <x v="577"/>
    <s v="ONNA"/>
    <s v="SEPA"/>
    <n v="9"/>
    <n v="85.08"/>
    <n v="0"/>
  </r>
  <r>
    <s v="N"/>
    <s v="DEFAULT CAR"/>
    <x v="578"/>
    <s v="ONNA"/>
    <s v="SEPA"/>
    <n v="6"/>
    <n v="92.86"/>
    <n v="0"/>
  </r>
  <r>
    <s v="N"/>
    <s v="DEFAULT CAR"/>
    <x v="579"/>
    <s v="ONNA"/>
    <s v="SEPA"/>
    <n v="10"/>
    <n v="99.51"/>
    <n v="0"/>
  </r>
  <r>
    <s v="N"/>
    <s v="DEFAULT CAR"/>
    <x v="580"/>
    <s v="ONNA"/>
    <s v="SEPA"/>
    <n v="9"/>
    <n v="95.09"/>
    <n v="0"/>
  </r>
  <r>
    <s v="N"/>
    <s v="DEFAULT CAR"/>
    <x v="581"/>
    <s v="ONNA"/>
    <s v="SEPA"/>
    <n v="3"/>
    <n v="64.047300000000007"/>
    <n v="0"/>
  </r>
  <r>
    <s v="N"/>
    <s v="DEFAULT CAR"/>
    <x v="582"/>
    <s v="ONNA"/>
    <s v="SEPA"/>
    <n v="8"/>
    <n v="66.312799999999996"/>
    <n v="0"/>
  </r>
  <r>
    <s v="N"/>
    <s v="DEFAULT CAR"/>
    <x v="583"/>
    <s v="ONNA"/>
    <s v="SEPA"/>
    <n v="3"/>
    <n v="58.231639999999999"/>
    <n v="0"/>
  </r>
  <r>
    <s v="N"/>
    <s v="DEFAULT CAR"/>
    <x v="584"/>
    <s v="ONNA"/>
    <s v="SEPA"/>
    <n v="6"/>
    <n v="60.486199999999997"/>
    <n v="0"/>
  </r>
  <r>
    <s v="N"/>
    <s v="DEFAULT CAR"/>
    <x v="585"/>
    <s v="ONNA"/>
    <s v="SEPA"/>
    <n v="6"/>
    <n v="56.904499999999999"/>
    <n v="0"/>
  </r>
  <r>
    <s v="N"/>
    <s v="DEFAULT CAR"/>
    <x v="586"/>
    <s v="ONNA"/>
    <s v="SEPA"/>
    <n v="3"/>
    <n v="59.160200000000003"/>
    <n v="0"/>
  </r>
  <r>
    <s v="N"/>
    <s v="DEFAULT CAR"/>
    <x v="587"/>
    <s v="ONNA"/>
    <s v="SEPA"/>
    <n v="3"/>
    <n v="61.740400000000001"/>
    <n v="0"/>
  </r>
  <r>
    <s v="N"/>
    <s v="DEFAULT CAR"/>
    <x v="588"/>
    <s v="ONNA"/>
    <s v="SEPA"/>
    <n v="5"/>
    <n v="55.73"/>
    <n v="0"/>
  </r>
  <r>
    <s v="N"/>
    <s v="DEFAULT CAR"/>
    <x v="589"/>
    <s v="ONNA"/>
    <s v="SEPA"/>
    <n v="2"/>
    <n v="57.987000000000002"/>
    <n v="0"/>
  </r>
  <r>
    <s v="N"/>
    <s v="DEFAULT CAR"/>
    <x v="590"/>
    <s v="ONNA"/>
    <s v="SEPA"/>
    <n v="2"/>
    <n v="62.1248"/>
    <n v="0"/>
  </r>
  <r>
    <s v="N"/>
    <s v="DEFAULT CAR"/>
    <x v="591"/>
    <s v="ONNA"/>
    <s v="SEPA"/>
    <n v="5"/>
    <n v="64.307500000000005"/>
    <n v="0"/>
  </r>
  <r>
    <s v="N"/>
    <s v="DEFAULT CAR"/>
    <x v="592"/>
    <s v="ONNA"/>
    <s v="SEPA"/>
    <n v="6"/>
    <n v="60.9206"/>
    <n v="0"/>
  </r>
  <r>
    <s v="N"/>
    <s v="DEFAULT CAR"/>
    <x v="593"/>
    <s v="ONNA"/>
    <s v="SEPA"/>
    <n v="6"/>
    <n v="61.803800000000003"/>
    <n v="0"/>
  </r>
  <r>
    <s v="N"/>
    <s v="DEFAULT CAR"/>
    <x v="594"/>
    <s v="ONNA"/>
    <s v="SEPA"/>
    <n v="6"/>
    <n v="58.421100000000003"/>
    <n v="0"/>
  </r>
  <r>
    <s v="N"/>
    <s v="DEFAULT CAR"/>
    <x v="595"/>
    <s v="ONNA"/>
    <s v="SEPA"/>
    <n v="3"/>
    <n v="86.1404"/>
    <n v="0"/>
  </r>
  <r>
    <s v="N"/>
    <s v="DEFAULT CAR"/>
    <x v="596"/>
    <s v="ONNA"/>
    <s v="SEPA"/>
    <n v="6"/>
    <n v="88.437100000000001"/>
    <n v="0"/>
  </r>
  <r>
    <s v="N"/>
    <s v="DEFAULT CAR"/>
    <x v="597"/>
    <s v="ONNA"/>
    <s v="SEPA"/>
    <n v="6"/>
    <n v="91.61"/>
    <n v="0"/>
  </r>
  <r>
    <s v="N"/>
    <s v="DEFAULT CAR"/>
    <x v="598"/>
    <s v="ONNA"/>
    <s v="SEPA"/>
    <n v="15"/>
    <n v="95.110460000000003"/>
    <n v="0"/>
  </r>
  <r>
    <s v="N"/>
    <s v="DEFAULT CAR"/>
    <x v="599"/>
    <s v="ONNA"/>
    <s v="SEPA"/>
    <n v="3"/>
    <n v="84.14"/>
    <n v="0"/>
  </r>
  <r>
    <s v="N"/>
    <s v="DEFAULT CAR"/>
    <x v="600"/>
    <s v="ONNA"/>
    <s v="SEPA"/>
    <n v="1"/>
    <n v="96.15"/>
    <n v="0"/>
  </r>
  <r>
    <s v="N"/>
    <s v="DEFAULT CAR"/>
    <x v="601"/>
    <s v="ONNA"/>
    <s v="SEPA"/>
    <n v="5"/>
    <n v="98.32"/>
    <n v="0"/>
  </r>
  <r>
    <s v="N"/>
    <s v="DEFAULT CAR"/>
    <x v="602"/>
    <s v="ONNA"/>
    <s v="SEPA"/>
    <n v="12"/>
    <n v="94.9"/>
    <n v="0"/>
  </r>
  <r>
    <s v="N"/>
    <s v="DEFAULT CAR"/>
    <x v="603"/>
    <s v="ONNA"/>
    <s v="SEPA"/>
    <n v="3"/>
    <n v="97.07"/>
    <n v="0"/>
  </r>
  <r>
    <s v="N"/>
    <s v="DEFAULT CAR"/>
    <x v="604"/>
    <s v="ONNA"/>
    <s v="SEPA"/>
    <n v="4"/>
    <n v="70.37"/>
    <n v="0"/>
  </r>
  <r>
    <s v="N"/>
    <s v="DEFAULT CAR"/>
    <x v="605"/>
    <s v="ONNA"/>
    <s v="SEPA"/>
    <n v="7"/>
    <n v="72.599999999999994"/>
    <n v="0"/>
  </r>
  <r>
    <s v="N"/>
    <s v="DEFAULT CAR"/>
    <x v="606"/>
    <s v="ONNA"/>
    <s v="SEPA"/>
    <n v="3"/>
    <n v="62.877600000000001"/>
    <n v="0"/>
  </r>
  <r>
    <s v="N"/>
    <s v="DEFAULT CAR"/>
    <x v="607"/>
    <s v="ONNA"/>
    <s v="SEPA"/>
    <n v="6"/>
    <n v="87.232299999999995"/>
    <n v="0"/>
  </r>
  <r>
    <s v="N"/>
    <s v="DEFAULT CAR"/>
    <x v="608"/>
    <s v="ONNA"/>
    <s v="SEPA"/>
    <n v="4"/>
    <n v="92.492949999999993"/>
    <n v="0"/>
  </r>
  <r>
    <s v="N"/>
    <s v="DEFAULT CAR"/>
    <x v="609"/>
    <s v="ONNA"/>
    <s v="SEPA"/>
    <n v="12"/>
    <n v="98.81"/>
    <n v="0"/>
  </r>
  <r>
    <s v="N"/>
    <s v="DEFAULT CAR"/>
    <x v="610"/>
    <s v="ONNA"/>
    <s v="SEPA"/>
    <n v="2"/>
    <n v="92.154600000000002"/>
    <n v="0"/>
  </r>
  <r>
    <s v="N"/>
    <s v="DEFAULT CAR"/>
    <x v="611"/>
    <s v="ONNA"/>
    <s v="SEPA"/>
    <n v="62"/>
    <n v="2.5299999999999998"/>
    <n v="0"/>
  </r>
  <r>
    <s v="N"/>
    <s v="DEFAULT CAR"/>
    <x v="612"/>
    <s v="ALBA"/>
    <s v="SEPA"/>
    <n v="1"/>
    <n v="5.6940200000000001"/>
    <n v="0"/>
  </r>
  <r>
    <s v="N"/>
    <s v="DEFAULT CAR"/>
    <x v="613"/>
    <s v="ONNA"/>
    <s v="SEPA"/>
    <n v="130"/>
    <n v="3.9849999999999999"/>
    <n v="0"/>
  </r>
  <r>
    <s v="N"/>
    <s v="DEFAULT CAR"/>
    <x v="614"/>
    <s v="ONNA"/>
    <s v="SEPA"/>
    <n v="20"/>
    <n v="3.9910000000000001"/>
    <n v="0"/>
  </r>
  <r>
    <s v="N"/>
    <s v="DEFAULT CAR"/>
    <x v="615"/>
    <s v="ONNA"/>
    <s v="SEPA"/>
    <n v="100"/>
    <n v="4.2084999999999999"/>
    <n v="0"/>
  </r>
  <r>
    <s v="N"/>
    <s v="DEFAULT CAR"/>
    <x v="616"/>
    <s v="ONNA"/>
    <s v="SEPA"/>
    <n v="16"/>
    <n v="4.8366100000000003"/>
    <n v="0"/>
  </r>
  <r>
    <s v="N"/>
    <s v="DEFAULT CAR"/>
    <x v="617"/>
    <s v="ONNA"/>
    <s v="SEPA"/>
    <n v="5"/>
    <n v="2.4803999999999999"/>
    <n v="0"/>
  </r>
  <r>
    <s v="N"/>
    <s v="DEFAULT CAR"/>
    <x v="618"/>
    <s v="ONNA"/>
    <s v="SEPA"/>
    <n v="5"/>
    <n v="3.0411000000000001"/>
    <n v="0"/>
  </r>
  <r>
    <s v="N"/>
    <s v="DEFAULT CAR"/>
    <x v="619"/>
    <s v="ONNA"/>
    <s v="SEPA"/>
    <n v="5"/>
    <n v="3.4914999999999998"/>
    <n v="0"/>
  </r>
  <r>
    <s v="N"/>
    <s v="DEFAULT CAR"/>
    <x v="620"/>
    <s v="ONNA"/>
    <s v="SEPA"/>
    <n v="112"/>
    <n v="4.4816000000000003"/>
    <n v="0"/>
  </r>
  <r>
    <s v="N"/>
    <s v="DEFAULT CAR"/>
    <x v="621"/>
    <s v="ONNA"/>
    <s v="SEPA"/>
    <n v="34"/>
    <n v="8.1139200000000002"/>
    <n v="0"/>
  </r>
  <r>
    <s v="N"/>
    <s v="DEFAULT CAR"/>
    <x v="622"/>
    <s v="ONNA"/>
    <s v="SEPA"/>
    <n v="20"/>
    <n v="6.9904000000000002"/>
    <n v="0"/>
  </r>
  <r>
    <s v="N"/>
    <s v="DEFAULT CAR"/>
    <x v="623"/>
    <s v="ONNA"/>
    <s v="SEPA"/>
    <n v="25"/>
    <n v="3.71"/>
    <n v="0"/>
  </r>
  <r>
    <s v="N"/>
    <s v="DEFAULT CAR"/>
    <x v="624"/>
    <s v="ONNA"/>
    <s v="SEPA"/>
    <n v="2"/>
    <n v="6.93"/>
    <n v="0"/>
  </r>
  <r>
    <s v="N"/>
    <s v="DEFAULT CAR"/>
    <x v="625"/>
    <s v="ONNA"/>
    <s v="SEPA"/>
    <n v="20"/>
    <n v="7.8532999999999999"/>
    <n v="0"/>
  </r>
  <r>
    <s v="N"/>
    <s v="DEFAULT CAR"/>
    <x v="626"/>
    <s v="ONNA"/>
    <s v="SEPA"/>
    <n v="50"/>
    <n v="6.33"/>
    <n v="0"/>
  </r>
  <r>
    <s v="N"/>
    <s v="DEFAULT CAR"/>
    <x v="627"/>
    <s v="ONNA"/>
    <s v="SEPA"/>
    <n v="46"/>
    <n v="5.98"/>
    <n v="0"/>
  </r>
  <r>
    <s v="N"/>
    <s v="DEFAULT CAR"/>
    <x v="628"/>
    <s v="ONNA"/>
    <s v="SEPA"/>
    <n v="22"/>
    <n v="6.85"/>
    <n v="0"/>
  </r>
  <r>
    <s v="N"/>
    <s v="DEFAULT CAR"/>
    <x v="629"/>
    <s v="ONNA"/>
    <s v="SEPA"/>
    <n v="30"/>
    <n v="5.8935599999999999"/>
    <n v="0"/>
  </r>
  <r>
    <s v="N"/>
    <s v="DEFAULT CAR"/>
    <x v="630"/>
    <s v="ONNA"/>
    <s v="SEPA"/>
    <n v="89"/>
    <n v="7.5729800000000003"/>
    <n v="0"/>
  </r>
  <r>
    <s v="N"/>
    <s v="DEFAULT CAR"/>
    <x v="631"/>
    <s v="ONNA"/>
    <s v="SEPA"/>
    <n v="30"/>
    <n v="6.9166999999999996"/>
    <n v="0"/>
  </r>
  <r>
    <s v="N"/>
    <s v="DEFAULT CAR"/>
    <x v="632"/>
    <s v="ALBA"/>
    <s v="SPCO"/>
    <n v="20"/>
    <n v="8.7374399999999994"/>
    <n v="0"/>
  </r>
  <r>
    <s v="N"/>
    <s v="DEFAULT CAR"/>
    <x v="633"/>
    <s v="ALBA"/>
    <s v="GERA"/>
    <n v="4"/>
    <n v="12.42022"/>
    <n v="0"/>
  </r>
  <r>
    <s v="N"/>
    <s v="DEFAULT CAR"/>
    <x v="633"/>
    <s v="ALBA"/>
    <s v="SPCO"/>
    <n v="19"/>
    <n v="12.42022"/>
    <n v="0"/>
  </r>
  <r>
    <s v="N"/>
    <s v="DEFAULT CAR"/>
    <x v="634"/>
    <s v="ALBA"/>
    <s v="GERA"/>
    <n v="13"/>
    <n v="13.456569999999999"/>
    <n v="0"/>
  </r>
  <r>
    <s v="N"/>
    <s v="DEFAULT CAR"/>
    <x v="634"/>
    <s v="ALBA"/>
    <s v="SPCO"/>
    <n v="20"/>
    <n v="13.456569999999999"/>
    <n v="0"/>
  </r>
  <r>
    <s v="N"/>
    <s v="DEFAULT CAR"/>
    <x v="635"/>
    <s v="ALBA"/>
    <s v="SPCO"/>
    <n v="19"/>
    <n v="12.51684"/>
    <n v="0"/>
  </r>
  <r>
    <s v="N"/>
    <s v="DEFAULT CAR"/>
    <x v="636"/>
    <s v="ALBA"/>
    <s v="SPCO"/>
    <n v="20"/>
    <n v="13.59023"/>
    <n v="0"/>
  </r>
  <r>
    <s v="N"/>
    <s v="DEFAULT CAR"/>
    <x v="637"/>
    <s v="ONNA"/>
    <s v="SEPA"/>
    <n v="27"/>
    <n v="4.1399999999999997"/>
    <n v="0"/>
  </r>
  <r>
    <s v="N"/>
    <s v="DEFAULT CAR"/>
    <x v="638"/>
    <s v="ONNA"/>
    <s v="SEPA"/>
    <n v="24"/>
    <n v="4.38"/>
    <n v="0"/>
  </r>
  <r>
    <s v="N"/>
    <s v="DEFAULT CAR"/>
    <x v="639"/>
    <s v="ONNA"/>
    <s v="SEPA"/>
    <n v="25"/>
    <n v="4.92"/>
    <n v="0"/>
  </r>
  <r>
    <s v="N"/>
    <s v="DEFAULT CAR"/>
    <x v="640"/>
    <s v="ONNA"/>
    <s v="SEPA"/>
    <n v="25"/>
    <n v="2.66"/>
    <n v="0"/>
  </r>
  <r>
    <s v="N"/>
    <s v="DEFAULT CAR"/>
    <x v="641"/>
    <s v="ONNA"/>
    <s v="SEPA"/>
    <n v="25"/>
    <n v="3.65"/>
    <n v="0"/>
  </r>
  <r>
    <s v="N"/>
    <s v="DEFAULT CAR"/>
    <x v="642"/>
    <s v="ONNA"/>
    <s v="SEPA"/>
    <n v="35"/>
    <n v="4.6500000000000004"/>
    <n v="0"/>
  </r>
  <r>
    <s v="N"/>
    <s v="DEFAULT CAR"/>
    <x v="643"/>
    <s v="ONNA"/>
    <s v="SEPA"/>
    <n v="21"/>
    <n v="8.33"/>
    <n v="0"/>
  </r>
  <r>
    <s v="N"/>
    <s v="DEFAULT CAR"/>
    <x v="644"/>
    <s v="ONNA"/>
    <s v="SEPA"/>
    <n v="48"/>
    <n v="8.07"/>
    <n v="0"/>
  </r>
  <r>
    <s v="N"/>
    <s v="DEFAULT CAR"/>
    <x v="645"/>
    <s v="ONNA"/>
    <s v="SEPA"/>
    <n v="25"/>
    <n v="7.2"/>
    <n v="0"/>
  </r>
  <r>
    <s v="N"/>
    <s v="DEFAULT CAR"/>
    <x v="646"/>
    <s v="ONNA"/>
    <s v="SEPA"/>
    <n v="25"/>
    <n v="4.16"/>
    <n v="0"/>
  </r>
  <r>
    <s v="N"/>
    <s v="DEFAULT CAR"/>
    <x v="647"/>
    <s v="ONNA"/>
    <s v="SEPA"/>
    <n v="16"/>
    <n v="6.4222000000000001"/>
    <n v="0"/>
  </r>
  <r>
    <s v="N"/>
    <s v="DEFAULT CAR"/>
    <x v="648"/>
    <s v="ONNA"/>
    <s v="SEPA"/>
    <n v="20"/>
    <n v="5.2347000000000001"/>
    <n v="0"/>
  </r>
  <r>
    <s v="N"/>
    <s v="DEFAULT CAR"/>
    <x v="649"/>
    <s v="ONNA"/>
    <s v="SEPA"/>
    <n v="5"/>
    <n v="8.3826000000000001"/>
    <n v="0"/>
  </r>
  <r>
    <s v="N"/>
    <s v="DEFAULT CAR"/>
    <x v="650"/>
    <s v="ONNA"/>
    <s v="SEPA"/>
    <n v="26"/>
    <n v="8.7497000000000007"/>
    <n v="0"/>
  </r>
  <r>
    <s v="N"/>
    <s v="DEFAULT CAR"/>
    <x v="651"/>
    <s v="ONNA"/>
    <s v="SEPA"/>
    <n v="11"/>
    <n v="10.2113"/>
    <n v="0"/>
  </r>
  <r>
    <s v="N"/>
    <s v="DEFAULT CAR"/>
    <x v="652"/>
    <s v="ONNA"/>
    <s v="SEPA"/>
    <n v="35"/>
    <n v="6.3543000000000003"/>
    <n v="0"/>
  </r>
  <r>
    <s v="N"/>
    <s v="DEFAULT CAR"/>
    <x v="653"/>
    <s v="ONNA"/>
    <s v="SEPA"/>
    <n v="3"/>
    <n v="7.3676899999999996"/>
    <n v="0"/>
  </r>
  <r>
    <s v="N"/>
    <s v="DEFAULT CAR"/>
    <x v="654"/>
    <s v="ONNA"/>
    <s v="SEPA"/>
    <n v="25"/>
    <n v="8.1654999999999998"/>
    <n v="0"/>
  </r>
  <r>
    <s v="N"/>
    <s v="DEFAULT CAR"/>
    <x v="655"/>
    <s v="ONNA"/>
    <s v="SEPA"/>
    <n v="25"/>
    <n v="10.15"/>
    <n v="0"/>
  </r>
  <r>
    <s v="N"/>
    <s v="DEFAULT CAR"/>
    <x v="656"/>
    <s v="ONNA"/>
    <s v="SEPA"/>
    <n v="25"/>
    <n v="5.1505999999999998"/>
    <n v="0"/>
  </r>
  <r>
    <s v="N"/>
    <s v="DEFAULT CAR"/>
    <x v="657"/>
    <s v="ONNA"/>
    <s v="SEPA"/>
    <n v="20"/>
    <n v="4.76"/>
    <n v="0"/>
  </r>
  <r>
    <s v="N"/>
    <s v="DEFAULT CAR"/>
    <x v="658"/>
    <s v="ONNA"/>
    <s v="SEPA"/>
    <n v="40"/>
    <n v="4.26"/>
    <n v="0"/>
  </r>
  <r>
    <s v="N"/>
    <s v="DEFAULT CAR"/>
    <x v="659"/>
    <s v="ONNA"/>
    <s v="SEPA"/>
    <n v="98"/>
    <n v="5.3038999999999996"/>
    <n v="0"/>
  </r>
  <r>
    <s v="N"/>
    <s v="DEFAULT CAR"/>
    <x v="660"/>
    <s v="ONNA"/>
    <s v="SEPA"/>
    <n v="5"/>
    <n v="4.3194999999999997"/>
    <n v="0"/>
  </r>
  <r>
    <s v="N"/>
    <s v="DEFAULT CAR"/>
    <x v="661"/>
    <s v="ONNA"/>
    <s v="SEPA"/>
    <n v="5"/>
    <n v="12.494899999999999"/>
    <n v="0"/>
  </r>
  <r>
    <s v="N"/>
    <s v="DEFAULT CAR"/>
    <x v="662"/>
    <s v="ONNA"/>
    <s v="SEPA"/>
    <n v="1"/>
    <n v="4.7854099999999997"/>
    <n v="0"/>
  </r>
  <r>
    <s v="N"/>
    <s v="DEFAULT CAR"/>
    <x v="663"/>
    <s v="ONNA"/>
    <s v="SEPA"/>
    <n v="108"/>
    <n v="5.7100799999999996"/>
    <n v="0"/>
  </r>
  <r>
    <s v="N"/>
    <s v="DEFAULT CAR"/>
    <x v="664"/>
    <s v="ONNA"/>
    <s v="SEPA"/>
    <n v="29"/>
    <n v="4.0839999999999996"/>
    <n v="0"/>
  </r>
  <r>
    <s v="N"/>
    <s v="DEFAULT CAR"/>
    <x v="665"/>
    <s v="ONNA"/>
    <s v="SEPA"/>
    <n v="17"/>
    <n v="12.228"/>
    <n v="0"/>
  </r>
  <r>
    <s v="N"/>
    <s v="DEFAULT CAR"/>
    <x v="666"/>
    <s v="ONNA"/>
    <s v="SEPA"/>
    <n v="26"/>
    <n v="5.3692000000000002"/>
    <n v="0"/>
  </r>
  <r>
    <s v="N"/>
    <s v="DEFAULT CAR"/>
    <x v="667"/>
    <s v="ONNA"/>
    <s v="SEPA"/>
    <n v="24"/>
    <n v="5.3929"/>
    <n v="0"/>
  </r>
  <r>
    <s v="N"/>
    <s v="DEFAULT CAR"/>
    <x v="668"/>
    <s v="ONNA"/>
    <s v="SEPA"/>
    <n v="21"/>
    <n v="7.62"/>
    <n v="0"/>
  </r>
  <r>
    <s v="N"/>
    <s v="DEFAULT CAR"/>
    <x v="669"/>
    <s v="ONNA"/>
    <s v="SEPA"/>
    <n v="136"/>
    <n v="7.6176000000000004"/>
    <n v="0"/>
  </r>
  <r>
    <s v="N"/>
    <s v="DEFAULT CAR"/>
    <x v="670"/>
    <s v="ONNA"/>
    <s v="SEPA"/>
    <n v="5"/>
    <n v="10.046099999999999"/>
    <n v="0"/>
  </r>
  <r>
    <s v="N"/>
    <s v="DEFAULT CAR"/>
    <x v="671"/>
    <s v="ONNA"/>
    <s v="SEPA"/>
    <n v="29"/>
    <n v="14.463800000000001"/>
    <n v="0"/>
  </r>
  <r>
    <s v="N"/>
    <s v="DEFAULT CAR"/>
    <x v="672"/>
    <s v="ONNA"/>
    <s v="SEPA"/>
    <n v="50"/>
    <n v="14.542899999999999"/>
    <n v="0"/>
  </r>
  <r>
    <s v="N"/>
    <s v="DEFAULT CAR"/>
    <x v="673"/>
    <s v="ONNA"/>
    <s v="SEPA"/>
    <n v="12"/>
    <n v="16.97"/>
    <n v="0"/>
  </r>
  <r>
    <s v="N"/>
    <s v="DEFAULT CAR"/>
    <x v="674"/>
    <s v="ONNA"/>
    <s v="SEPA"/>
    <n v="19"/>
    <n v="16.970400000000001"/>
    <n v="0"/>
  </r>
  <r>
    <s v="N"/>
    <s v="DEFAULT CAR"/>
    <x v="675"/>
    <s v="ONNA"/>
    <s v="SEPA"/>
    <n v="148"/>
    <n v="7.2720000000000002"/>
    <n v="0"/>
  </r>
  <r>
    <s v="N"/>
    <s v="DEFAULT CAR"/>
    <x v="676"/>
    <s v="ONNA"/>
    <s v="SEPA"/>
    <n v="26"/>
    <n v="9.8618000000000006"/>
    <n v="0"/>
  </r>
  <r>
    <s v="N"/>
    <s v="DEFAULT CAR"/>
    <x v="677"/>
    <s v="ONNA"/>
    <s v="SEPA"/>
    <n v="1"/>
    <n v="13.88984"/>
    <n v="0"/>
  </r>
  <r>
    <s v="N"/>
    <s v="DEFAULT CAR"/>
    <x v="678"/>
    <s v="ONNA"/>
    <s v="SEPA"/>
    <n v="24"/>
    <n v="14.4"/>
    <n v="0"/>
  </r>
  <r>
    <s v="N"/>
    <s v="DEFAULT CAR"/>
    <x v="679"/>
    <s v="ONNA"/>
    <s v="SEPA"/>
    <n v="1"/>
    <n v="15.08395"/>
    <n v="0"/>
  </r>
  <r>
    <s v="N"/>
    <s v="DEFAULT CAR"/>
    <x v="680"/>
    <s v="ONNA"/>
    <s v="SEPA"/>
    <n v="18"/>
    <n v="16.82"/>
    <n v="0"/>
  </r>
  <r>
    <s v="N"/>
    <s v="DEFAULT CAR"/>
    <x v="681"/>
    <s v="ONNA"/>
    <s v="SEPA"/>
    <n v="12"/>
    <n v="3.17"/>
    <n v="0"/>
  </r>
  <r>
    <s v="N"/>
    <s v="DEFAULT CAR"/>
    <x v="682"/>
    <s v="ONNA"/>
    <s v="SEPA"/>
    <n v="40"/>
    <n v="2.46"/>
    <n v="0"/>
  </r>
  <r>
    <s v="N"/>
    <s v="DEFAULT CAR"/>
    <x v="683"/>
    <s v="ONNA"/>
    <s v="SEPA"/>
    <n v="83"/>
    <n v="3.51"/>
    <n v="0"/>
  </r>
  <r>
    <s v="N"/>
    <s v="DEFAULT CAR"/>
    <x v="684"/>
    <s v="ONNA"/>
    <s v="SEPA"/>
    <n v="2"/>
    <n v="2.4025400000000001"/>
    <n v="0"/>
  </r>
  <r>
    <s v="N"/>
    <s v="DEFAULT CAR"/>
    <x v="685"/>
    <s v="POSA"/>
    <s v="SPCO"/>
    <n v="81"/>
    <n v="2.8397000000000001"/>
    <n v="0"/>
  </r>
  <r>
    <s v="N"/>
    <s v="DEFAULT CAR"/>
    <x v="686"/>
    <s v="POSA"/>
    <s v="SPCO"/>
    <n v="153"/>
    <n v="1.9767999999999999"/>
    <n v="0"/>
  </r>
  <r>
    <s v="N"/>
    <s v="DEFAULT CAR"/>
    <x v="687"/>
    <s v="ONNA"/>
    <s v="SEPA"/>
    <n v="9"/>
    <n v="0.64539999999999997"/>
    <n v="0"/>
  </r>
  <r>
    <s v="N"/>
    <s v="DEFAULT CAR"/>
    <x v="688"/>
    <s v="ONNA"/>
    <s v="SEPA"/>
    <n v="4"/>
    <n v="0.71499999999999997"/>
    <n v="0"/>
  </r>
  <r>
    <s v="N"/>
    <s v="DEFAULT CAR"/>
    <x v="689"/>
    <s v="ONNA"/>
    <s v="SEPA"/>
    <n v="8"/>
    <n v="0.68"/>
    <n v="0"/>
  </r>
  <r>
    <s v="N"/>
    <s v="DEFAULT CAR"/>
    <x v="690"/>
    <s v="ONNA"/>
    <s v="SEPA"/>
    <n v="9"/>
    <n v="0.19769999999999999"/>
    <n v="0"/>
  </r>
  <r>
    <s v="N"/>
    <s v="DEFAULT CAR"/>
    <x v="691"/>
    <s v="ONNA"/>
    <s v="SEPA"/>
    <n v="9"/>
    <n v="3.7176999999999998"/>
    <n v="0"/>
  </r>
  <r>
    <s v="N"/>
    <s v="DEFAULT CAR"/>
    <x v="692"/>
    <s v="ONNA"/>
    <s v="SEPA"/>
    <n v="38"/>
    <n v="0.3266"/>
    <n v="0"/>
  </r>
  <r>
    <s v="N"/>
    <s v="DEFAULT CAR"/>
    <x v="693"/>
    <s v="ONNA"/>
    <s v="SEPA"/>
    <n v="8"/>
    <n v="0.41765999999999998"/>
    <n v="0"/>
  </r>
  <r>
    <s v="N"/>
    <s v="DEFAULT CAR"/>
    <x v="694"/>
    <s v="ONNA"/>
    <s v="SEPA"/>
    <n v="15"/>
    <n v="0.3"/>
    <n v="0"/>
  </r>
  <r>
    <s v="N"/>
    <s v="DEFAULT CAR"/>
    <x v="695"/>
    <s v="ONNA"/>
    <s v="SEPA"/>
    <n v="22"/>
    <n v="0.42370000000000002"/>
    <n v="0"/>
  </r>
  <r>
    <s v="N"/>
    <s v="DEFAULT CAR"/>
    <x v="696"/>
    <s v="ONNA"/>
    <s v="SEPA"/>
    <n v="5"/>
    <n v="0.21110000000000001"/>
    <n v="0"/>
  </r>
  <r>
    <s v="N"/>
    <s v="DEFAULT CAR"/>
    <x v="697"/>
    <s v="ONNA"/>
    <s v="SEPA"/>
    <n v="4"/>
    <n v="0.23735999999999999"/>
    <n v="0"/>
  </r>
  <r>
    <s v="N"/>
    <s v="DEFAULT CAR"/>
    <x v="698"/>
    <s v="ONNA"/>
    <s v="SEPA"/>
    <n v="9"/>
    <n v="0.2"/>
    <n v="0"/>
  </r>
  <r>
    <s v="N"/>
    <s v="DEFAULT CAR"/>
    <x v="699"/>
    <s v="ONNA"/>
    <s v="SEPA"/>
    <n v="19"/>
    <n v="0.13927999999999999"/>
    <n v="0"/>
  </r>
  <r>
    <s v="N"/>
    <s v="DEFAULT CAR"/>
    <x v="700"/>
    <s v="ONNA"/>
    <s v="SEPA"/>
    <n v="9"/>
    <n v="0.84"/>
    <n v="0"/>
  </r>
  <r>
    <s v="N"/>
    <s v="DEFAULT CAR"/>
    <x v="701"/>
    <s v="ONNA"/>
    <s v="SEPA"/>
    <n v="98"/>
    <n v="0.74"/>
    <n v="0"/>
  </r>
  <r>
    <s v="N"/>
    <s v="DEFAULT CAR"/>
    <x v="702"/>
    <s v="ONNA"/>
    <s v="SEPA"/>
    <n v="3"/>
    <n v="0.74285999999999996"/>
    <n v="0"/>
  </r>
  <r>
    <s v="N"/>
    <s v="DEFAULT CAR"/>
    <x v="703"/>
    <s v="ONNA"/>
    <s v="SEPA"/>
    <n v="15"/>
    <n v="0.29533999999999999"/>
    <n v="0"/>
  </r>
  <r>
    <s v="N"/>
    <s v="DEFAULT CAR"/>
    <x v="704"/>
    <s v="ONNA"/>
    <s v="SEPA"/>
    <n v="7"/>
    <n v="0.25"/>
    <n v="0"/>
  </r>
  <r>
    <s v="N"/>
    <s v="DEFAULT CAR"/>
    <x v="705"/>
    <s v="ONNA"/>
    <s v="SEPA"/>
    <n v="9"/>
    <n v="0.3"/>
    <n v="0"/>
  </r>
  <r>
    <s v="N"/>
    <s v="DEFAULT CAR"/>
    <x v="706"/>
    <s v="ONNA"/>
    <s v="SEPA"/>
    <n v="19"/>
    <n v="5.28E-2"/>
    <n v="0"/>
  </r>
  <r>
    <s v="N"/>
    <s v="DEFAULT CAR"/>
    <x v="707"/>
    <s v="ONNA"/>
    <s v="SEPA"/>
    <n v="9"/>
    <n v="0.25790000000000002"/>
    <n v="0"/>
  </r>
  <r>
    <s v="N"/>
    <s v="DEFAULT CAR"/>
    <x v="708"/>
    <s v="ONNA"/>
    <s v="SEPA"/>
    <n v="23"/>
    <n v="0.49"/>
    <n v="0"/>
  </r>
  <r>
    <s v="N"/>
    <s v="DEFAULT CAR"/>
    <x v="709"/>
    <s v="ONNA"/>
    <s v="SEPA"/>
    <n v="49"/>
    <n v="1.03"/>
    <n v="0"/>
  </r>
  <r>
    <s v="N"/>
    <s v="DEFAULT CAR"/>
    <x v="710"/>
    <s v="ONNA"/>
    <s v="SEPA"/>
    <n v="30"/>
    <n v="0.27510000000000001"/>
    <n v="0"/>
  </r>
  <r>
    <s v="N"/>
    <s v="DEFAULT CAR"/>
    <x v="711"/>
    <s v="ONNA"/>
    <s v="SEPA"/>
    <n v="8"/>
    <n v="4.2886800000000003"/>
    <n v="0"/>
  </r>
  <r>
    <s v="N"/>
    <s v="DEFAULT CAR"/>
    <x v="712"/>
    <s v="ONNA"/>
    <s v="SEPA"/>
    <n v="9"/>
    <n v="1.1097999999999999"/>
    <n v="0"/>
  </r>
  <r>
    <s v="N"/>
    <s v="DEFAULT CAR"/>
    <x v="713"/>
    <s v="ONNA"/>
    <s v="SEPA"/>
    <n v="25"/>
    <n v="1.1802999999999999"/>
    <n v="0"/>
  </r>
  <r>
    <s v="N"/>
    <s v="DEFAULT CAR"/>
    <x v="714"/>
    <s v="ONNA"/>
    <s v="SEPA"/>
    <n v="5"/>
    <n v="0.27950000000000003"/>
    <n v="0"/>
  </r>
  <r>
    <s v="N"/>
    <s v="DEFAULT CAR"/>
    <x v="715"/>
    <s v="ALBA"/>
    <s v="SPCO"/>
    <n v="29"/>
    <n v="0.20630000000000001"/>
    <n v="0"/>
  </r>
  <r>
    <s v="N"/>
    <s v="DEFAULT CAR"/>
    <x v="716"/>
    <s v="ALBA"/>
    <s v="SPCO"/>
    <n v="56"/>
    <n v="3.177E-2"/>
    <n v="0"/>
  </r>
  <r>
    <s v="N"/>
    <s v="DEFAULT CAR"/>
    <x v="717"/>
    <s v="ONNA"/>
    <s v="SEPA"/>
    <n v="25"/>
    <n v="6.5"/>
    <n v="0"/>
  </r>
  <r>
    <s v="N"/>
    <s v="DEFAULT CAR"/>
    <x v="718"/>
    <s v="ONNA"/>
    <s v="SEPA"/>
    <n v="272"/>
    <n v="2.56"/>
    <n v="0"/>
  </r>
  <r>
    <s v="N"/>
    <s v="DEFAULT CAR"/>
    <x v="719"/>
    <s v="ONNA"/>
    <s v="SEPA"/>
    <n v="122"/>
    <n v="2.19"/>
    <n v="0"/>
  </r>
  <r>
    <s v="NS"/>
    <s v="NSK Renault"/>
    <x v="720"/>
    <s v="ALBA"/>
    <s v="OBSL"/>
    <n v="720"/>
    <n v="1.63463"/>
    <n v="0"/>
  </r>
  <r>
    <s v="NS"/>
    <s v="NSK Renault"/>
    <x v="721"/>
    <s v="ALBA"/>
    <s v="SPC1"/>
    <n v="8075"/>
    <n v="1.6869799999999999"/>
    <n v="0"/>
  </r>
  <r>
    <s v="SC"/>
    <s v="SCHAEFFLER"/>
    <x v="722"/>
    <s v="ALBA"/>
    <s v="RECV"/>
    <n v="1000"/>
    <n v="3.3652299999999999"/>
    <n v="0"/>
  </r>
  <r>
    <s v="SC"/>
    <s v="SCHAEFFLER"/>
    <x v="723"/>
    <s v="ALBA"/>
    <s v="RECV"/>
    <n v="580"/>
    <n v="16.4726"/>
    <n v="0"/>
  </r>
  <r>
    <s v="SC"/>
    <s v="SCHAEFFLER"/>
    <x v="723"/>
    <s v="ALBA"/>
    <s v="T123"/>
    <n v="200"/>
    <n v="16.4726"/>
    <n v="0"/>
  </r>
  <r>
    <s v="SP"/>
    <s v="TOYOTA"/>
    <x v="724"/>
    <s v="POSA"/>
    <s v="SPCO"/>
    <n v="585"/>
    <n v="4.62"/>
    <n v="0"/>
  </r>
  <r>
    <s v="SP"/>
    <s v="TOYOTA"/>
    <x v="725"/>
    <s v="POSA"/>
    <s v="SPCO"/>
    <n v="3"/>
    <n v="6.32"/>
    <n v="0"/>
  </r>
  <r>
    <s v="SP"/>
    <s v="TOYOTA"/>
    <x v="726"/>
    <s v="ONNA"/>
    <s v="SPCO"/>
    <n v="560"/>
    <n v="6.17"/>
    <n v="0"/>
  </r>
  <r>
    <s v="SP"/>
    <s v="TOYOTA"/>
    <x v="727"/>
    <s v="ALBA"/>
    <s v="SPCO"/>
    <n v="3"/>
    <n v="11.22"/>
    <n v="0"/>
  </r>
  <r>
    <s v="SP"/>
    <s v="TOYOTA"/>
    <x v="728"/>
    <s v="ONNA"/>
    <s v="SPCO"/>
    <n v="157"/>
    <n v="6.16"/>
    <n v="0"/>
  </r>
  <r>
    <s v="SP"/>
    <s v="TOYOTA"/>
    <x v="729"/>
    <s v="ALBA"/>
    <s v="SPCO"/>
    <n v="3"/>
    <n v="7.14"/>
    <n v="0"/>
  </r>
  <r>
    <s v="SP"/>
    <s v="TOYOTA"/>
    <x v="730"/>
    <s v="ALBA"/>
    <s v="SPCO"/>
    <n v="8"/>
    <n v="7.82"/>
    <n v="0"/>
  </r>
  <r>
    <s v="SP"/>
    <s v="TOYOTA"/>
    <x v="731"/>
    <s v="ALBA"/>
    <s v="SPCO"/>
    <n v="7"/>
    <n v="9.68"/>
    <n v="0"/>
  </r>
  <r>
    <s v="SP"/>
    <s v="TOYOTA"/>
    <x v="732"/>
    <s v="ONNA"/>
    <s v="SPCO"/>
    <n v="15"/>
    <n v="7.92"/>
    <n v="0"/>
  </r>
  <r>
    <s v="SP"/>
    <s v="TOYOTA"/>
    <x v="733"/>
    <s v="POSA"/>
    <s v="SPCO"/>
    <n v="645"/>
    <n v="6.25"/>
    <n v="0"/>
  </r>
  <r>
    <s v="SP"/>
    <s v="TOYOTA"/>
    <x v="734"/>
    <s v="ONNA"/>
    <s v="SPCO"/>
    <n v="515"/>
    <n v="7.98"/>
    <n v="0"/>
  </r>
  <r>
    <s v="SP"/>
    <s v="TOYOTA"/>
    <x v="734"/>
    <s v="ONNA"/>
    <s v="STAG"/>
    <n v="15"/>
    <n v="7.98"/>
    <n v="0"/>
  </r>
  <r>
    <s v="SP"/>
    <s v="TOYOTA"/>
    <x v="735"/>
    <s v="ALBA"/>
    <s v="SPCO"/>
    <n v="1"/>
    <n v="10.02"/>
    <n v="0"/>
  </r>
  <r>
    <s v="SP"/>
    <s v="TOYOTA"/>
    <x v="736"/>
    <s v="ONNA"/>
    <s v="SPCO"/>
    <n v="127"/>
    <n v="4.7"/>
    <n v="0"/>
  </r>
  <r>
    <s v="SP"/>
    <s v="TOYOTA"/>
    <x v="737"/>
    <s v="ALBA"/>
    <s v="GERA"/>
    <n v="197"/>
    <n v="2.2262300000000002"/>
    <n v="0"/>
  </r>
  <r>
    <s v="SP"/>
    <s v="TOYOTA"/>
    <x v="738"/>
    <s v="ALBA"/>
    <s v="GERA"/>
    <n v="1"/>
    <n v="128.00854000000001"/>
    <n v="0"/>
  </r>
  <r>
    <s v="SP"/>
    <s v="TOYOTA"/>
    <x v="739"/>
    <s v="ALBA"/>
    <s v="SEPA"/>
    <n v="5"/>
    <n v="112.31"/>
    <n v="0"/>
  </r>
  <r>
    <s v="SP"/>
    <s v="TOYOTA"/>
    <x v="740"/>
    <s v="ALBA"/>
    <s v="SEPA"/>
    <n v="1"/>
    <n v="108.91"/>
    <n v="0"/>
  </r>
  <r>
    <s v="SP"/>
    <s v="TOYOTA"/>
    <x v="741"/>
    <s v="ALBA"/>
    <s v="SEPA"/>
    <n v="6"/>
    <n v="14.68"/>
    <n v="0"/>
  </r>
  <r>
    <s v="SP"/>
    <s v="TOYOTA"/>
    <x v="742"/>
    <s v="ALBA"/>
    <s v="GERA"/>
    <n v="2"/>
    <n v="136.04438999999999"/>
    <n v="0"/>
  </r>
  <r>
    <s v="SP"/>
    <s v="TOYOTA"/>
    <x v="743"/>
    <s v="ALBA"/>
    <s v="GERA"/>
    <n v="24"/>
    <n v="136.27965"/>
    <n v="0"/>
  </r>
  <r>
    <s v="SP"/>
    <s v="TOYOTA"/>
    <x v="744"/>
    <s v="ALBA"/>
    <s v="GERA"/>
    <n v="18"/>
    <n v="139.10442"/>
    <n v="0"/>
  </r>
  <r>
    <s v="SP"/>
    <s v="TOYOTA"/>
    <x v="745"/>
    <s v="ALBA"/>
    <s v="GERA"/>
    <n v="5"/>
    <n v="122.54096"/>
    <n v="0"/>
  </r>
  <r>
    <s v="SP"/>
    <s v="TOYOTA"/>
    <x v="746"/>
    <s v="ALBA"/>
    <s v="GERA"/>
    <n v="1"/>
    <n v="120.13534"/>
    <n v="0"/>
  </r>
  <r>
    <s v="SP"/>
    <s v="TOYOTA"/>
    <x v="747"/>
    <s v="ALBA"/>
    <s v="GERA"/>
    <n v="2"/>
    <n v="117.60202"/>
    <n v="0"/>
  </r>
  <r>
    <s v="SP"/>
    <s v="TOYOTA"/>
    <x v="748"/>
    <s v="ALBA"/>
    <s v="GERA"/>
    <n v="19"/>
    <n v="153.44665000000001"/>
    <n v="0"/>
  </r>
  <r>
    <s v="SP"/>
    <s v="TOYOTA"/>
    <x v="749"/>
    <s v="ALBA"/>
    <s v="GERA"/>
    <n v="2"/>
    <n v="144.63319000000001"/>
    <n v="0"/>
  </r>
  <r>
    <s v="SP"/>
    <s v="TOYOTA"/>
    <x v="750"/>
    <s v="ALBA"/>
    <s v="GERA"/>
    <n v="1"/>
    <n v="120.60872000000001"/>
    <n v="0"/>
  </r>
  <r>
    <s v="SP"/>
    <s v="TOYOTA"/>
    <x v="751"/>
    <s v="ALBA"/>
    <s v="GERA"/>
    <n v="17"/>
    <n v="118.48072999999999"/>
    <n v="0"/>
  </r>
  <r>
    <s v="SP"/>
    <s v="TOYOTA"/>
    <x v="752"/>
    <s v="ALBA"/>
    <s v="GERA"/>
    <n v="1"/>
    <n v="121.53001999999999"/>
    <n v="0"/>
  </r>
  <r>
    <s v="SP"/>
    <s v="TOYOTA"/>
    <x v="753"/>
    <s v="ALBA"/>
    <s v="GERA"/>
    <n v="3"/>
    <n v="113.99359"/>
    <n v="0"/>
  </r>
  <r>
    <s v="SP"/>
    <s v="TOYOTA"/>
    <x v="754"/>
    <s v="ALBA"/>
    <s v="GERA"/>
    <n v="4"/>
    <n v="156.69999999999999"/>
    <n v="0"/>
  </r>
  <r>
    <s v="SP"/>
    <s v="TOYOTA"/>
    <x v="755"/>
    <s v="ALBA"/>
    <s v="GERA"/>
    <n v="1"/>
    <n v="113.05128000000001"/>
    <n v="0"/>
  </r>
  <r>
    <s v="SP"/>
    <s v="TOYOTA"/>
    <x v="756"/>
    <s v="ALBA"/>
    <s v="SEPA"/>
    <n v="2"/>
    <n v="46.681609999999999"/>
    <n v="0"/>
  </r>
  <r>
    <s v="SP"/>
    <s v="TOYOTA"/>
    <x v="757"/>
    <s v="ALBA"/>
    <s v="SEPA"/>
    <n v="5"/>
    <n v="47.938299999999998"/>
    <n v="0"/>
  </r>
  <r>
    <s v="SP"/>
    <s v="TOYOTA"/>
    <x v="758"/>
    <s v="ALBA"/>
    <s v="GERA"/>
    <n v="1"/>
    <n v="42.847009999999997"/>
    <n v="0"/>
  </r>
  <r>
    <s v="SP"/>
    <s v="TOYOTA"/>
    <x v="759"/>
    <s v="ONNA"/>
    <s v="SEPA"/>
    <n v="79"/>
    <n v="35.18"/>
    <n v="0"/>
  </r>
  <r>
    <s v="SP"/>
    <s v="TOYOTA"/>
    <x v="760"/>
    <s v="ALBA"/>
    <s v="GERA"/>
    <n v="2"/>
    <n v="81.986800000000002"/>
    <n v="0"/>
  </r>
  <r>
    <s v="SP"/>
    <s v="TOYOTA"/>
    <x v="761"/>
    <s v="ALBA"/>
    <s v="GERA"/>
    <n v="2"/>
    <n v="102.56629"/>
    <n v="0"/>
  </r>
  <r>
    <s v="SP"/>
    <s v="TOYOTA"/>
    <x v="762"/>
    <s v="ALBA"/>
    <s v="GERA"/>
    <n v="1"/>
    <n v="80.267179999999996"/>
    <n v="0"/>
  </r>
  <r>
    <s v="SP"/>
    <s v="TOYOTA"/>
    <x v="763"/>
    <s v="ALBA"/>
    <s v="GERA"/>
    <n v="1"/>
    <n v="50.35"/>
    <n v="0"/>
  </r>
  <r>
    <s v="SP"/>
    <s v="TOYOTA"/>
    <x v="763"/>
    <s v="ALBA"/>
    <s v="SEPA"/>
    <n v="2"/>
    <n v="50.35"/>
    <n v="0"/>
  </r>
  <r>
    <s v="SP"/>
    <s v="TOYOTA"/>
    <x v="764"/>
    <s v="ALBA"/>
    <s v="SPCO"/>
    <n v="1"/>
    <n v="43.251809999999999"/>
    <n v="0"/>
  </r>
  <r>
    <s v="SP"/>
    <s v="TOYOTA"/>
    <x v="765"/>
    <s v="ALBA"/>
    <s v="GERA"/>
    <n v="7"/>
    <n v="44.742440000000002"/>
    <n v="0"/>
  </r>
  <r>
    <s v="SP"/>
    <s v="TOYOTA"/>
    <x v="766"/>
    <s v="ALBA"/>
    <s v="GERA"/>
    <n v="3"/>
    <n v="43.931930000000001"/>
    <n v="0"/>
  </r>
  <r>
    <s v="SP"/>
    <s v="TOYOTA"/>
    <x v="767"/>
    <s v="ONNA"/>
    <s v="SEPA"/>
    <n v="35"/>
    <n v="42.21"/>
    <n v="0"/>
  </r>
  <r>
    <s v="SP"/>
    <s v="TOYOTA"/>
    <x v="768"/>
    <s v="ONNA"/>
    <s v="SEPA"/>
    <n v="61"/>
    <n v="45.32"/>
    <n v="0"/>
  </r>
  <r>
    <s v="SP"/>
    <s v="TOYOTA"/>
    <x v="769"/>
    <s v="ALBA"/>
    <s v="SEPA"/>
    <n v="1"/>
    <n v="25.77"/>
    <n v="0"/>
  </r>
  <r>
    <s v="SP"/>
    <s v="TOYOTA"/>
    <x v="770"/>
    <s v="ALBA"/>
    <s v="SEPA"/>
    <n v="6"/>
    <n v="9.2006300000000003"/>
    <n v="0"/>
  </r>
  <r>
    <s v="SP"/>
    <s v="TOYOTA"/>
    <x v="771"/>
    <s v="ALBA"/>
    <s v="SEPA"/>
    <n v="161"/>
    <n v="2.12"/>
    <n v="0"/>
  </r>
  <r>
    <s v="SP"/>
    <s v="TOYOTA"/>
    <x v="772"/>
    <s v="ALBA"/>
    <s v="SEPA"/>
    <n v="77"/>
    <n v="2.74"/>
    <n v="0"/>
  </r>
  <r>
    <s v="SP"/>
    <s v="TOYOTA"/>
    <x v="773"/>
    <s v="ALBA"/>
    <s v="SEPA"/>
    <n v="47"/>
    <n v="2.75"/>
    <n v="0"/>
  </r>
  <r>
    <s v="SP"/>
    <s v="TOYOTA"/>
    <x v="774"/>
    <s v="ALBA"/>
    <s v="GERA"/>
    <n v="3"/>
    <n v="3.82151"/>
    <n v="0"/>
  </r>
  <r>
    <s v="SP"/>
    <s v="TOYOTA"/>
    <x v="775"/>
    <s v="ALBA"/>
    <s v="SEPA"/>
    <n v="6"/>
    <n v="2.36"/>
    <n v="0"/>
  </r>
  <r>
    <s v="SP"/>
    <s v="TOYOTA"/>
    <x v="776"/>
    <s v="CZKO"/>
    <s v="SEPA"/>
    <n v="21"/>
    <n v="3.7"/>
    <n v="0"/>
  </r>
  <r>
    <s v="SP"/>
    <s v="TOYOTA"/>
    <x v="776"/>
    <s v="CZKO"/>
    <s v="STAG"/>
    <n v="1"/>
    <n v="3.7"/>
    <n v="0"/>
  </r>
  <r>
    <s v="SP"/>
    <s v="TOYOTA"/>
    <x v="777"/>
    <s v="POSA"/>
    <s v="SPCO"/>
    <n v="8"/>
    <n v="3.54"/>
    <n v="0"/>
  </r>
  <r>
    <s v="SP"/>
    <s v="TOYOTA"/>
    <x v="777"/>
    <s v="POSA"/>
    <s v="STAG"/>
    <n v="1"/>
    <n v="3.54"/>
    <n v="0"/>
  </r>
  <r>
    <s v="SP"/>
    <s v="TOYOTA"/>
    <x v="778"/>
    <s v="ALBA"/>
    <s v="SPCO"/>
    <n v="87"/>
    <n v="1.85"/>
    <n v="0"/>
  </r>
  <r>
    <s v="SP"/>
    <s v="TOYOTA"/>
    <x v="778"/>
    <s v="ALBA"/>
    <s v="STAG"/>
    <n v="1"/>
    <n v="1.85"/>
    <n v="0"/>
  </r>
  <r>
    <s v="SP"/>
    <s v="TOYOTA"/>
    <x v="779"/>
    <s v="POSA"/>
    <s v="SPCO"/>
    <n v="25"/>
    <n v="4.6399999999999997"/>
    <n v="0"/>
  </r>
  <r>
    <s v="SP"/>
    <s v="TOYOTA"/>
    <x v="780"/>
    <s v="CZKO"/>
    <s v="SPCO"/>
    <n v="49"/>
    <n v="2.17"/>
    <n v="0"/>
  </r>
  <r>
    <s v="SP"/>
    <s v="TOYOTA"/>
    <x v="781"/>
    <s v="ONNA"/>
    <s v="SEPA"/>
    <n v="6"/>
    <n v="65"/>
    <n v="0"/>
  </r>
  <r>
    <s v="SP"/>
    <s v="TOYOTA"/>
    <x v="782"/>
    <s v="ONNA"/>
    <s v="SEPA"/>
    <n v="7"/>
    <n v="75.47"/>
    <n v="0"/>
  </r>
  <r>
    <s v="SP"/>
    <s v="TOYOTA"/>
    <x v="783"/>
    <s v="ALBA"/>
    <s v="SEPA"/>
    <n v="1"/>
    <n v="78.39"/>
    <n v="0"/>
  </r>
  <r>
    <s v="SP"/>
    <s v="TOYOTA"/>
    <x v="784"/>
    <s v="ONNA"/>
    <s v="SEPA"/>
    <n v="21"/>
    <n v="65"/>
    <n v="0"/>
  </r>
  <r>
    <s v="SP"/>
    <s v="TOYOTA"/>
    <x v="785"/>
    <s v="ONNA"/>
    <s v="SEPA"/>
    <n v="14"/>
    <n v="65"/>
    <n v="0"/>
  </r>
  <r>
    <s v="SP"/>
    <s v="TOYOTA"/>
    <x v="786"/>
    <s v="ONNA"/>
    <s v="SEPA"/>
    <n v="2"/>
    <n v="65"/>
    <n v="0"/>
  </r>
  <r>
    <s v="SP"/>
    <s v="TOYOTA"/>
    <x v="787"/>
    <s v="ALBA"/>
    <s v="SEPA"/>
    <n v="42"/>
    <n v="82.35"/>
    <n v="0"/>
  </r>
  <r>
    <s v="SP"/>
    <s v="TOYOTA"/>
    <x v="788"/>
    <s v="ALBA"/>
    <s v="SEPA"/>
    <n v="18"/>
    <n v="68.026539999999997"/>
    <n v="0"/>
  </r>
  <r>
    <s v="SP"/>
    <s v="TOYOTA"/>
    <x v="789"/>
    <s v="ALBA"/>
    <s v="SEPA"/>
    <n v="10"/>
    <n v="71.63"/>
    <n v="0"/>
  </r>
  <r>
    <s v="SP"/>
    <s v="TOYOTA"/>
    <x v="790"/>
    <s v="ALBA"/>
    <s v="SEPA"/>
    <n v="2"/>
    <n v="76.665430000000001"/>
    <n v="0"/>
  </r>
  <r>
    <s v="SP"/>
    <s v="TOYOTA"/>
    <x v="791"/>
    <s v="ALBA"/>
    <s v="SEPA"/>
    <n v="27"/>
    <n v="80.89"/>
    <n v="0"/>
  </r>
  <r>
    <s v="SP"/>
    <s v="TOYOTA"/>
    <x v="792"/>
    <s v="ONNA"/>
    <s v="SEPA"/>
    <n v="26"/>
    <n v="67.319999999999993"/>
    <n v="0"/>
  </r>
  <r>
    <s v="SP"/>
    <s v="TOYOTA"/>
    <x v="793"/>
    <s v="ONNA"/>
    <s v="SEPA"/>
    <n v="2"/>
    <n v="65.424999999999997"/>
    <n v="0"/>
  </r>
  <r>
    <s v="SP"/>
    <s v="TOYOTA"/>
    <x v="794"/>
    <s v="ALBA"/>
    <s v="GERA"/>
    <n v="2"/>
    <n v="114.94022"/>
    <n v="0"/>
  </r>
  <r>
    <s v="SP"/>
    <s v="TOYOTA"/>
    <x v="795"/>
    <s v="ALBA"/>
    <s v="GERA"/>
    <n v="1"/>
    <n v="114.1555"/>
    <n v="0"/>
  </r>
  <r>
    <s v="SP"/>
    <s v="TOYOTA"/>
    <x v="796"/>
    <s v="ALBA"/>
    <s v="SEPA"/>
    <n v="6"/>
    <n v="82.28"/>
    <n v="0"/>
  </r>
  <r>
    <s v="SP"/>
    <s v="TOYOTA"/>
    <x v="797"/>
    <s v="ALBA"/>
    <s v="GERA"/>
    <n v="1"/>
    <n v="85.733900000000006"/>
    <n v="0"/>
  </r>
  <r>
    <s v="SP"/>
    <s v="TOYOTA"/>
    <x v="797"/>
    <s v="ALBA"/>
    <s v="SEPA"/>
    <n v="3"/>
    <n v="85.733900000000006"/>
    <n v="0"/>
  </r>
  <r>
    <s v="SP"/>
    <s v="TOYOTA"/>
    <x v="798"/>
    <s v="ALBA"/>
    <s v="GERA"/>
    <n v="3"/>
    <n v="126.74679"/>
    <n v="0"/>
  </r>
  <r>
    <s v="SP"/>
    <s v="TOYOTA"/>
    <x v="799"/>
    <s v="ALBA"/>
    <s v="GERA"/>
    <n v="6"/>
    <n v="82.817599999999999"/>
    <n v="0"/>
  </r>
  <r>
    <s v="SP"/>
    <s v="TOYOTA"/>
    <x v="799"/>
    <s v="ALBA"/>
    <s v="SEPA"/>
    <n v="4"/>
    <n v="82.817599999999999"/>
    <n v="0"/>
  </r>
  <r>
    <s v="SP"/>
    <s v="TOYOTA"/>
    <x v="800"/>
    <s v="ALBA"/>
    <s v="GERA"/>
    <n v="2"/>
    <n v="95.156649999999999"/>
    <n v="0"/>
  </r>
  <r>
    <s v="SP"/>
    <s v="TOYOTA"/>
    <x v="801"/>
    <s v="ALBA"/>
    <s v="GERA"/>
    <n v="2"/>
    <n v="115.91048000000001"/>
    <n v="0"/>
  </r>
  <r>
    <s v="SP"/>
    <s v="TOYOTA"/>
    <x v="802"/>
    <s v="ALBA"/>
    <s v="GERA"/>
    <n v="2"/>
    <n v="102.09990999999999"/>
    <n v="0"/>
  </r>
  <r>
    <s v="SP"/>
    <s v="TOYOTA"/>
    <x v="803"/>
    <s v="ALBA"/>
    <s v="GERA"/>
    <n v="4"/>
    <n v="103.67928000000001"/>
    <n v="0"/>
  </r>
  <r>
    <s v="SP"/>
    <s v="TOYOTA"/>
    <x v="804"/>
    <s v="ALBA"/>
    <s v="GERA"/>
    <n v="4"/>
    <n v="113.03869"/>
    <n v="0"/>
  </r>
  <r>
    <s v="SP"/>
    <s v="TOYOTA"/>
    <x v="805"/>
    <s v="ALBA"/>
    <s v="GERA"/>
    <n v="1"/>
    <n v="126.76049999999999"/>
    <n v="0"/>
  </r>
  <r>
    <s v="SP"/>
    <s v="TOYOTA"/>
    <x v="806"/>
    <s v="ALBA"/>
    <s v="SEPA"/>
    <n v="2"/>
    <n v="116.41822000000001"/>
    <n v="0"/>
  </r>
  <r>
    <s v="SP"/>
    <s v="TOYOTA"/>
    <x v="807"/>
    <s v="ALBA"/>
    <s v="SEPA"/>
    <n v="6"/>
    <n v="60.99"/>
    <n v="0"/>
  </r>
  <r>
    <s v="SP"/>
    <s v="TOYOTA"/>
    <x v="808"/>
    <s v="ALBA"/>
    <s v="SEPA"/>
    <n v="9"/>
    <n v="58.58"/>
    <n v="0"/>
  </r>
  <r>
    <s v="SP"/>
    <s v="TOYOTA"/>
    <x v="809"/>
    <s v="ALBA"/>
    <s v="SEPA"/>
    <n v="6"/>
    <n v="68.180000000000007"/>
    <n v="0"/>
  </r>
  <r>
    <s v="SP"/>
    <s v="TOYOTA"/>
    <x v="810"/>
    <s v="ALBA"/>
    <s v="SEPA"/>
    <n v="6"/>
    <n v="89.64"/>
    <n v="0"/>
  </r>
  <r>
    <s v="SP"/>
    <s v="TOYOTA"/>
    <x v="811"/>
    <s v="ALBA"/>
    <s v="SEPA"/>
    <n v="8"/>
    <n v="81.36"/>
    <n v="0"/>
  </r>
  <r>
    <s v="SP"/>
    <s v="TOYOTA"/>
    <x v="812"/>
    <s v="ALBA"/>
    <s v="SEPA"/>
    <n v="2"/>
    <n v="86.57"/>
    <n v="0"/>
  </r>
  <r>
    <s v="SP"/>
    <s v="TOYOTA"/>
    <x v="813"/>
    <s v="ALBA"/>
    <s v="GERA"/>
    <n v="32"/>
    <n v="7.40442"/>
    <n v="0"/>
  </r>
  <r>
    <s v="SP"/>
    <s v="TOYOTA"/>
    <x v="814"/>
    <s v="ONNA"/>
    <s v="SEPA"/>
    <n v="128"/>
    <n v="5.31"/>
    <n v="0"/>
  </r>
  <r>
    <s v="SP"/>
    <s v="TOYOTA"/>
    <x v="815"/>
    <s v="ALBA"/>
    <s v="SEPA"/>
    <n v="2"/>
    <n v="11.54871"/>
    <n v="0"/>
  </r>
  <r>
    <s v="SP"/>
    <s v="TOYOTA"/>
    <x v="816"/>
    <s v="ALBA"/>
    <s v="SEPA"/>
    <n v="1"/>
    <n v="10.07"/>
    <n v="0"/>
  </r>
  <r>
    <s v="SP"/>
    <s v="TOYOTA"/>
    <x v="817"/>
    <s v="ONNA"/>
    <s v="SEPA"/>
    <n v="2"/>
    <n v="10.651070000000001"/>
    <n v="0"/>
  </r>
  <r>
    <s v="SP"/>
    <s v="TOYOTA"/>
    <x v="818"/>
    <s v="ALBA"/>
    <s v="SEPA"/>
    <n v="16"/>
    <n v="7.29"/>
    <n v="0"/>
  </r>
  <r>
    <s v="SP"/>
    <s v="TOYOTA"/>
    <x v="819"/>
    <s v="ONNA"/>
    <s v="SEPA"/>
    <n v="23"/>
    <n v="8.49"/>
    <n v="0"/>
  </r>
  <r>
    <s v="SP"/>
    <s v="TOYOTA"/>
    <x v="820"/>
    <s v="ALBA"/>
    <s v="SEPA"/>
    <n v="1"/>
    <n v="14.974320000000001"/>
    <n v="0"/>
  </r>
  <r>
    <s v="SP"/>
    <s v="TOYOTA"/>
    <x v="821"/>
    <s v="ALBA"/>
    <s v="SEPA"/>
    <n v="2"/>
    <n v="13.582190000000001"/>
    <n v="0"/>
  </r>
  <r>
    <s v="SP"/>
    <s v="TOYOTA"/>
    <x v="822"/>
    <s v="ALBA"/>
    <s v="SEPA"/>
    <n v="25"/>
    <n v="9.0299999999999994"/>
    <n v="0"/>
  </r>
  <r>
    <s v="SP"/>
    <s v="TOYOTA"/>
    <x v="823"/>
    <s v="ONNA"/>
    <s v="SEPA"/>
    <n v="3"/>
    <n v="6.5"/>
    <n v="0"/>
  </r>
  <r>
    <s v="SP"/>
    <s v="TOYOTA"/>
    <x v="824"/>
    <s v="ONNA"/>
    <s v="SEPA"/>
    <n v="533"/>
    <n v="8.74"/>
    <n v="0"/>
  </r>
  <r>
    <s v="SP"/>
    <s v="TOYOTA"/>
    <x v="825"/>
    <s v="ONNA"/>
    <s v="SEPA"/>
    <n v="12"/>
    <n v="6.3407999999999998"/>
    <n v="0"/>
  </r>
  <r>
    <s v="SP"/>
    <s v="TOYOTA"/>
    <x v="826"/>
    <s v="ONNA"/>
    <s v="SEPA"/>
    <n v="16"/>
    <n v="8.1082000000000001"/>
    <n v="0"/>
  </r>
  <r>
    <s v="SP"/>
    <s v="TOYOTA"/>
    <x v="827"/>
    <s v="ONNA"/>
    <s v="SEPA"/>
    <n v="30"/>
    <n v="8.8527000000000005"/>
    <n v="0"/>
  </r>
  <r>
    <s v="SP"/>
    <s v="TOYOTA"/>
    <x v="828"/>
    <s v="ONNA"/>
    <s v="SEPA"/>
    <n v="2"/>
    <n v="10.334770000000001"/>
    <n v="0"/>
  </r>
  <r>
    <s v="SP"/>
    <s v="TOYOTA"/>
    <x v="829"/>
    <s v="ALBA"/>
    <s v="SEPA"/>
    <n v="1"/>
    <n v="13.11"/>
    <n v="0"/>
  </r>
  <r>
    <s v="SP"/>
    <s v="TOYOTA"/>
    <x v="830"/>
    <s v="ONNA"/>
    <s v="SEPA"/>
    <n v="7"/>
    <n v="8.2200000000000006"/>
    <n v="0"/>
  </r>
  <r>
    <s v="SP"/>
    <s v="TOYOTA"/>
    <x v="831"/>
    <s v="ALBA"/>
    <s v="SEPA"/>
    <n v="5"/>
    <n v="9.26"/>
    <n v="0"/>
  </r>
  <r>
    <s v="SP"/>
    <s v="TOYOTA"/>
    <x v="832"/>
    <s v="ALBA"/>
    <s v="SEPA"/>
    <n v="13"/>
    <n v="10.029999999999999"/>
    <n v="0"/>
  </r>
  <r>
    <s v="SP"/>
    <s v="TOYOTA"/>
    <x v="833"/>
    <s v="ONNA"/>
    <s v="SEPA"/>
    <n v="17"/>
    <n v="5.12"/>
    <n v="0"/>
  </r>
  <r>
    <s v="SP"/>
    <s v="TOYOTA"/>
    <x v="834"/>
    <s v="ONNA"/>
    <s v="SEPA"/>
    <n v="30"/>
    <n v="6.3813000000000004"/>
    <n v="0"/>
  </r>
  <r>
    <s v="SP"/>
    <s v="TOYOTA"/>
    <x v="835"/>
    <s v="ONNA"/>
    <s v="SEPA"/>
    <n v="15"/>
    <n v="7.1333000000000002"/>
    <n v="0"/>
  </r>
  <r>
    <s v="SP"/>
    <s v="TOYOTA"/>
    <x v="836"/>
    <s v="ONNA"/>
    <s v="SEPA"/>
    <n v="3"/>
    <n v="8.39"/>
    <n v="0"/>
  </r>
  <r>
    <s v="SP"/>
    <s v="TOYOTA"/>
    <x v="837"/>
    <s v="ONNA"/>
    <s v="SEPA"/>
    <n v="25"/>
    <n v="8.1519999999999992"/>
    <n v="0"/>
  </r>
  <r>
    <s v="SP"/>
    <s v="TOYOTA"/>
    <x v="838"/>
    <s v="ONNA"/>
    <s v="SEPA"/>
    <n v="107"/>
    <n v="4.01"/>
    <n v="0"/>
  </r>
  <r>
    <s v="SP"/>
    <s v="TOYOTA"/>
    <x v="839"/>
    <s v="ONNA"/>
    <s v="SEPA"/>
    <n v="23"/>
    <n v="3.84"/>
    <n v="0"/>
  </r>
  <r>
    <s v="SP"/>
    <s v="TOYOTA"/>
    <x v="840"/>
    <s v="ONNA"/>
    <s v="SEPA"/>
    <n v="21"/>
    <n v="3.86"/>
    <n v="0"/>
  </r>
  <r>
    <s v="SP"/>
    <s v="TOYOTA"/>
    <x v="841"/>
    <s v="ONNA"/>
    <s v="SEPA"/>
    <n v="12"/>
    <n v="40.22"/>
    <n v="0"/>
  </r>
  <r>
    <s v="SP"/>
    <s v="TOYOTA"/>
    <x v="842"/>
    <s v="ALBA"/>
    <s v="GERA"/>
    <n v="3"/>
    <n v="47.12115"/>
    <n v="0"/>
  </r>
  <r>
    <s v="SP"/>
    <s v="TOYOTA"/>
    <x v="843"/>
    <s v="ALBA"/>
    <s v="GERA"/>
    <n v="3"/>
    <n v="49.903860000000002"/>
    <n v="0"/>
  </r>
  <r>
    <s v="SP"/>
    <s v="TOYOTA"/>
    <x v="844"/>
    <s v="ALBA"/>
    <s v="GERA"/>
    <n v="5"/>
    <n v="49.781889999999997"/>
    <n v="0"/>
  </r>
  <r>
    <s v="SP"/>
    <s v="TOYOTA"/>
    <x v="845"/>
    <s v="ALBA"/>
    <s v="GERA"/>
    <n v="6"/>
    <n v="45.24926"/>
    <n v="0"/>
  </r>
  <r>
    <s v="SP"/>
    <s v="TOYOTA"/>
    <x v="846"/>
    <s v="ALBA"/>
    <s v="GERA"/>
    <n v="23"/>
    <n v="51.881929999999997"/>
    <n v="0"/>
  </r>
  <r>
    <s v="SP"/>
    <s v="TOYOTA"/>
    <x v="847"/>
    <s v="ALBA"/>
    <s v="GERA"/>
    <n v="1"/>
    <n v="55.51576"/>
    <n v="0"/>
  </r>
  <r>
    <s v="SP"/>
    <s v="TOYOTA"/>
    <x v="848"/>
    <s v="ALBA"/>
    <s v="GERA"/>
    <n v="3"/>
    <n v="48.119039999999998"/>
    <n v="0"/>
  </r>
  <r>
    <s v="SP"/>
    <s v="TOYOTA"/>
    <x v="849"/>
    <s v="ALBA"/>
    <s v="GERA"/>
    <n v="11"/>
    <n v="60.174100000000003"/>
    <n v="0"/>
  </r>
  <r>
    <s v="SP"/>
    <s v="TOYOTA"/>
    <x v="850"/>
    <s v="ALBA"/>
    <s v="GERA"/>
    <n v="12"/>
    <n v="53.592399999999998"/>
    <n v="0"/>
  </r>
  <r>
    <s v="SP"/>
    <s v="TOYOTA"/>
    <x v="851"/>
    <s v="ALBA"/>
    <s v="GERA"/>
    <n v="15"/>
    <n v="58.591270000000002"/>
    <n v="0"/>
  </r>
  <r>
    <s v="SP"/>
    <s v="TOYOTA"/>
    <x v="852"/>
    <s v="ALBA"/>
    <s v="GERA"/>
    <n v="13"/>
    <n v="61.822760000000002"/>
    <n v="0"/>
  </r>
  <r>
    <s v="SP"/>
    <s v="TOYOTA"/>
    <x v="853"/>
    <s v="ALBA"/>
    <s v="GERA"/>
    <n v="25"/>
    <n v="54.11553"/>
    <n v="0"/>
  </r>
  <r>
    <s v="SP"/>
    <s v="TOYOTA"/>
    <x v="854"/>
    <s v="ALBA"/>
    <s v="GERA"/>
    <n v="39"/>
    <n v="58.10859"/>
    <n v="0"/>
  </r>
  <r>
    <s v="SP"/>
    <s v="TOYOTA"/>
    <x v="855"/>
    <s v="ALBA"/>
    <s v="GERA"/>
    <n v="16"/>
    <n v="52.473230000000001"/>
    <n v="0"/>
  </r>
  <r>
    <s v="SP"/>
    <s v="TOYOTA"/>
    <x v="856"/>
    <s v="ALBA"/>
    <s v="SEPA"/>
    <n v="1"/>
    <n v="32"/>
    <n v="0"/>
  </r>
  <r>
    <s v="SP"/>
    <s v="TOYOTA"/>
    <x v="857"/>
    <s v="ALBA"/>
    <s v="SEPA"/>
    <n v="4"/>
    <n v="36.450000000000003"/>
    <n v="0"/>
  </r>
  <r>
    <s v="SP"/>
    <s v="TOYOTA"/>
    <x v="858"/>
    <s v="ALBA"/>
    <s v="SEPA"/>
    <n v="15"/>
    <n v="35.67"/>
    <n v="0"/>
  </r>
  <r>
    <s v="SP"/>
    <s v="TOYOTA"/>
    <x v="859"/>
    <s v="ALBA"/>
    <s v="SEPA"/>
    <n v="3"/>
    <n v="32.54"/>
    <n v="0"/>
  </r>
  <r>
    <s v="SP"/>
    <s v="TOYOTA"/>
    <x v="860"/>
    <s v="ALBA"/>
    <s v="SEPA"/>
    <n v="2"/>
    <n v="35.11"/>
    <n v="0"/>
  </r>
  <r>
    <s v="SP"/>
    <s v="TOYOTA"/>
    <x v="861"/>
    <s v="ALBA"/>
    <s v="GERA"/>
    <n v="17"/>
    <n v="55.853789999999996"/>
    <n v="0"/>
  </r>
  <r>
    <s v="SP"/>
    <s v="TOYOTA"/>
    <x v="862"/>
    <s v="CZKO"/>
    <s v="SPCO"/>
    <n v="2"/>
    <n v="52.31"/>
    <n v="0"/>
  </r>
  <r>
    <s v="SP"/>
    <s v="TOYOTA"/>
    <x v="863"/>
    <s v="ONNA"/>
    <s v="SEPA"/>
    <n v="3"/>
    <n v="47.71"/>
    <n v="0"/>
  </r>
  <r>
    <s v="SP"/>
    <s v="TOYOTA"/>
    <x v="864"/>
    <s v="ONNA"/>
    <s v="SEPA"/>
    <n v="2"/>
    <n v="39.86"/>
    <n v="0"/>
  </r>
  <r>
    <s v="SP"/>
    <s v="TOYOTA"/>
    <x v="865"/>
    <s v="ALBA"/>
    <s v="SEPA"/>
    <n v="8"/>
    <n v="56.785200000000003"/>
    <n v="0"/>
  </r>
  <r>
    <s v="SP"/>
    <s v="TOYOTA"/>
    <x v="866"/>
    <s v="ONNA"/>
    <s v="SEPA"/>
    <n v="5"/>
    <n v="44.23"/>
    <n v="0"/>
  </r>
  <r>
    <s v="SP"/>
    <s v="TOYOTA"/>
    <x v="867"/>
    <s v="ONNA"/>
    <s v="SEPA"/>
    <n v="41"/>
    <n v="41.26"/>
    <n v="0"/>
  </r>
  <r>
    <s v="SP"/>
    <s v="TOYOTA"/>
    <x v="868"/>
    <s v="ONNA"/>
    <s v="SEPA"/>
    <n v="6"/>
    <n v="39.46"/>
    <n v="0"/>
  </r>
  <r>
    <s v="SP"/>
    <s v="TOYOTA"/>
    <x v="869"/>
    <s v="ONNA"/>
    <s v="SEPA"/>
    <n v="9"/>
    <n v="34.11"/>
    <n v="0"/>
  </r>
  <r>
    <s v="SP"/>
    <s v="TOYOTA"/>
    <x v="870"/>
    <s v="ONNA"/>
    <s v="SEPA"/>
    <n v="65"/>
    <n v="39.590000000000003"/>
    <n v="0"/>
  </r>
  <r>
    <s v="SP"/>
    <s v="TOYOTA"/>
    <x v="871"/>
    <s v="ONNA"/>
    <s v="SEPA"/>
    <n v="11"/>
    <n v="48.16"/>
    <n v="0"/>
  </r>
  <r>
    <s v="SP"/>
    <s v="TOYOTA"/>
    <x v="872"/>
    <s v="ONNA"/>
    <s v="SEPA"/>
    <n v="45"/>
    <n v="39.049999999999997"/>
    <n v="0"/>
  </r>
  <r>
    <s v="SP"/>
    <s v="TOYOTA"/>
    <x v="873"/>
    <s v="ONNA"/>
    <s v="SEPA"/>
    <n v="2"/>
    <n v="42.84"/>
    <n v="0"/>
  </r>
  <r>
    <s v="SP"/>
    <s v="TOYOTA"/>
    <x v="874"/>
    <s v="ONNA"/>
    <s v="SEPA"/>
    <n v="44"/>
    <n v="53.93"/>
    <n v="0"/>
  </r>
  <r>
    <s v="SP"/>
    <s v="TOYOTA"/>
    <x v="875"/>
    <s v="ONNA"/>
    <s v="SEPA"/>
    <n v="3"/>
    <n v="64.581000000000003"/>
    <n v="0"/>
  </r>
  <r>
    <s v="SP"/>
    <s v="TOYOTA"/>
    <x v="876"/>
    <s v="ONNA"/>
    <s v="SEPA"/>
    <n v="7"/>
    <n v="47.67"/>
    <n v="0"/>
  </r>
  <r>
    <s v="SP"/>
    <s v="TOYOTA"/>
    <x v="877"/>
    <s v="ONNA"/>
    <s v="SEPA"/>
    <n v="66"/>
    <n v="48.06"/>
    <n v="0"/>
  </r>
  <r>
    <s v="SP"/>
    <s v="TOYOTA"/>
    <x v="878"/>
    <s v="ONNA"/>
    <s v="SEPA"/>
    <n v="3"/>
    <n v="52.5"/>
    <n v="0"/>
  </r>
  <r>
    <s v="SP"/>
    <s v="TOYOTA"/>
    <x v="879"/>
    <s v="ALBA"/>
    <s v="SEPA"/>
    <n v="1"/>
    <n v="56.85"/>
    <n v="0"/>
  </r>
  <r>
    <s v="SP"/>
    <s v="TOYOTA"/>
    <x v="880"/>
    <s v="ONNA"/>
    <s v="SEPA"/>
    <n v="3"/>
    <n v="54.3628"/>
    <n v="0"/>
  </r>
  <r>
    <s v="SP"/>
    <s v="TOYOTA"/>
    <x v="881"/>
    <s v="ONNA"/>
    <s v="SEPA"/>
    <n v="4"/>
    <n v="53.6"/>
    <n v="0"/>
  </r>
  <r>
    <s v="SP"/>
    <s v="TOYOTA"/>
    <x v="882"/>
    <s v="ONNA"/>
    <s v="SEPA"/>
    <n v="12"/>
    <n v="41.3"/>
    <n v="0"/>
  </r>
  <r>
    <s v="SP"/>
    <s v="TOYOTA"/>
    <x v="883"/>
    <s v="ONNA"/>
    <s v="GERA"/>
    <n v="1"/>
    <n v="47.18"/>
    <n v="0"/>
  </r>
  <r>
    <s v="SP"/>
    <s v="TOYOTA"/>
    <x v="883"/>
    <s v="ONNA"/>
    <s v="SEPA"/>
    <n v="13"/>
    <n v="47.18"/>
    <n v="0"/>
  </r>
  <r>
    <s v="SP"/>
    <s v="TOYOTA"/>
    <x v="884"/>
    <s v="ONNA"/>
    <s v="SEPA"/>
    <n v="51"/>
    <n v="45.25"/>
    <n v="0"/>
  </r>
  <r>
    <s v="SP"/>
    <s v="TOYOTA"/>
    <x v="885"/>
    <s v="ONNA"/>
    <s v="SEPA"/>
    <n v="24"/>
    <n v="46.1"/>
    <n v="0"/>
  </r>
  <r>
    <s v="SP"/>
    <s v="TOYOTA"/>
    <x v="886"/>
    <s v="ONNA"/>
    <s v="SEPA"/>
    <n v="6"/>
    <n v="41.53"/>
    <n v="0"/>
  </r>
  <r>
    <s v="SP"/>
    <s v="TOYOTA"/>
    <x v="887"/>
    <s v="ONNA"/>
    <s v="SEPA"/>
    <n v="2"/>
    <n v="69.180000000000007"/>
    <n v="0"/>
  </r>
  <r>
    <s v="SP"/>
    <s v="TOYOTA"/>
    <x v="888"/>
    <s v="ONNA"/>
    <s v="GERA"/>
    <n v="1"/>
    <n v="50.48"/>
    <n v="0"/>
  </r>
  <r>
    <s v="SP"/>
    <s v="TOYOTA"/>
    <x v="888"/>
    <s v="ONNA"/>
    <s v="SEPA"/>
    <n v="10"/>
    <n v="50.48"/>
    <n v="0"/>
  </r>
  <r>
    <s v="SP"/>
    <s v="TOYOTA"/>
    <x v="889"/>
    <s v="ONNA"/>
    <s v="SEPA"/>
    <n v="18"/>
    <n v="44.91"/>
    <n v="0"/>
  </r>
  <r>
    <s v="SP"/>
    <s v="TOYOTA"/>
    <x v="890"/>
    <s v="ONNA"/>
    <s v="SEPA"/>
    <n v="12"/>
    <n v="43.78"/>
    <n v="0"/>
  </r>
  <r>
    <s v="SP"/>
    <s v="TOYOTA"/>
    <x v="891"/>
    <s v="ONNA"/>
    <s v="SEPA"/>
    <n v="4"/>
    <n v="39.56"/>
    <n v="0"/>
  </r>
  <r>
    <s v="SP"/>
    <s v="TOYOTA"/>
    <x v="892"/>
    <s v="ALBA"/>
    <s v="SEPA"/>
    <n v="4"/>
    <n v="15.47"/>
    <n v="0"/>
  </r>
  <r>
    <s v="SP"/>
    <s v="TOYOTA"/>
    <x v="893"/>
    <s v="ALBA"/>
    <s v="SEPA"/>
    <n v="4"/>
    <n v="15.88"/>
    <n v="0"/>
  </r>
  <r>
    <s v="SP"/>
    <s v="TOYOTA"/>
    <x v="894"/>
    <s v="ALBA"/>
    <s v="SEPA"/>
    <n v="4"/>
    <n v="16.32"/>
    <n v="0"/>
  </r>
  <r>
    <s v="SP"/>
    <s v="TOYOTA"/>
    <x v="895"/>
    <s v="ALBA"/>
    <s v="GERA"/>
    <n v="4"/>
    <n v="18.76848"/>
    <n v="0"/>
  </r>
  <r>
    <s v="SP"/>
    <s v="TOYOTA"/>
    <x v="895"/>
    <s v="ALBA"/>
    <s v="SEPA"/>
    <n v="2"/>
    <n v="18.76848"/>
    <n v="0"/>
  </r>
  <r>
    <s v="SP"/>
    <s v="TOYOTA"/>
    <x v="896"/>
    <s v="ALBA"/>
    <s v="GERA"/>
    <n v="30"/>
    <n v="2.4796900000000002"/>
    <n v="0"/>
  </r>
  <r>
    <s v="SP"/>
    <s v="TOYOTA"/>
    <x v="897"/>
    <s v="ONNA"/>
    <s v="SEPA"/>
    <n v="48"/>
    <n v="3.08"/>
    <n v="0"/>
  </r>
  <r>
    <s v="SP"/>
    <s v="TOYOTA"/>
    <x v="898"/>
    <s v="ONNA"/>
    <s v="SEPA"/>
    <n v="54"/>
    <n v="6.56"/>
    <n v="0"/>
  </r>
  <r>
    <s v="SP"/>
    <s v="TOYOTA"/>
    <x v="899"/>
    <s v="ALBA"/>
    <s v="GERA"/>
    <n v="38"/>
    <n v="2.31908"/>
    <n v="0"/>
  </r>
  <r>
    <s v="SP"/>
    <s v="TOYOTA"/>
    <x v="899"/>
    <s v="ALBA"/>
    <s v="SPCO"/>
    <n v="45"/>
    <n v="2.31908"/>
    <n v="0"/>
  </r>
  <r>
    <s v="SP"/>
    <s v="TOYOTA"/>
    <x v="900"/>
    <s v="ALBA"/>
    <s v="GERA"/>
    <n v="36"/>
    <n v="3.1822699999999999"/>
    <n v="0"/>
  </r>
  <r>
    <s v="SP"/>
    <s v="TOYOTA"/>
    <x v="900"/>
    <s v="ALBA"/>
    <s v="SPCO"/>
    <n v="45"/>
    <n v="3.1822699999999999"/>
    <n v="0"/>
  </r>
  <r>
    <s v="SP"/>
    <s v="TOYOTA"/>
    <x v="901"/>
    <s v="ALBA"/>
    <s v="GERA"/>
    <n v="24"/>
    <n v="3.8085900000000001"/>
    <n v="0"/>
  </r>
  <r>
    <s v="SP"/>
    <s v="TOYOTA"/>
    <x v="901"/>
    <s v="ALBA"/>
    <s v="SPCO"/>
    <n v="45"/>
    <n v="3.8085900000000001"/>
    <n v="0"/>
  </r>
  <r>
    <s v="SP"/>
    <s v="TOYOTA"/>
    <x v="902"/>
    <s v="ALBA"/>
    <s v="GERA"/>
    <n v="52"/>
    <n v="2.3336800000000002"/>
    <n v="0"/>
  </r>
  <r>
    <s v="SP"/>
    <s v="TOYOTA"/>
    <x v="902"/>
    <s v="ALBA"/>
    <s v="SPCO"/>
    <n v="45"/>
    <n v="2.3336800000000002"/>
    <n v="0"/>
  </r>
  <r>
    <s v="SP"/>
    <s v="TOYOTA"/>
    <x v="903"/>
    <s v="ALBA"/>
    <s v="GERA"/>
    <n v="31"/>
    <n v="3.1997599999999999"/>
    <n v="0"/>
  </r>
  <r>
    <s v="SP"/>
    <s v="TOYOTA"/>
    <x v="903"/>
    <s v="ALBA"/>
    <s v="SPCO"/>
    <n v="45"/>
    <n v="3.1997599999999999"/>
    <n v="0"/>
  </r>
  <r>
    <s v="SP"/>
    <s v="TOYOTA"/>
    <x v="904"/>
    <s v="ALBA"/>
    <s v="GERA"/>
    <n v="13"/>
    <n v="3.8246699999999998"/>
    <n v="0"/>
  </r>
  <r>
    <s v="SP"/>
    <s v="TOYOTA"/>
    <x v="904"/>
    <s v="ALBA"/>
    <s v="SPCO"/>
    <n v="45"/>
    <n v="3.8246699999999998"/>
    <n v="0"/>
  </r>
  <r>
    <s v="SP"/>
    <s v="TOYOTA"/>
    <x v="905"/>
    <s v="ALBA"/>
    <s v="GERA"/>
    <n v="3"/>
    <n v="7.6529100000000003"/>
    <n v="0"/>
  </r>
  <r>
    <s v="SP"/>
    <s v="TOYOTA"/>
    <x v="905"/>
    <s v="ALBA"/>
    <s v="SPCO"/>
    <n v="20"/>
    <n v="7.6529100000000003"/>
    <n v="0"/>
  </r>
  <r>
    <s v="SP"/>
    <s v="TOYOTA"/>
    <x v="906"/>
    <s v="ALBA"/>
    <s v="GERA"/>
    <n v="9"/>
    <n v="7.6573500000000001"/>
    <n v="0"/>
  </r>
  <r>
    <s v="SP"/>
    <s v="TOYOTA"/>
    <x v="906"/>
    <s v="ALBA"/>
    <s v="SPCO"/>
    <n v="20"/>
    <n v="7.6573500000000001"/>
    <n v="0"/>
  </r>
  <r>
    <s v="SP"/>
    <s v="TOYOTA"/>
    <x v="907"/>
    <s v="ALBA"/>
    <s v="GERA"/>
    <n v="7"/>
    <n v="8.7581100000000003"/>
    <n v="0"/>
  </r>
  <r>
    <s v="SP"/>
    <s v="TOYOTA"/>
    <x v="907"/>
    <s v="ALBA"/>
    <s v="SPCO"/>
    <n v="20"/>
    <n v="8.7581100000000003"/>
    <n v="0"/>
  </r>
  <r>
    <s v="SP"/>
    <s v="TOYOTA"/>
    <x v="908"/>
    <s v="ALBA"/>
    <s v="SEPA"/>
    <n v="2"/>
    <n v="7.1790599999999998"/>
    <n v="0"/>
  </r>
  <r>
    <s v="SP"/>
    <s v="TOYOTA"/>
    <x v="909"/>
    <s v="ONNA"/>
    <s v="SEPA"/>
    <n v="1"/>
    <n v="4.8874899999999997"/>
    <n v="0"/>
  </r>
  <r>
    <s v="SP"/>
    <s v="TOYOTA"/>
    <x v="910"/>
    <s v="ONNA"/>
    <s v="SEPA"/>
    <n v="36"/>
    <n v="4.8099999999999996"/>
    <n v="0"/>
  </r>
  <r>
    <s v="SP"/>
    <s v="TOYOTA"/>
    <x v="911"/>
    <s v="ONNA"/>
    <s v="SEPA"/>
    <n v="22"/>
    <n v="4.49"/>
    <n v="0"/>
  </r>
  <r>
    <s v="SP"/>
    <s v="TOYOTA"/>
    <x v="912"/>
    <s v="ONNA"/>
    <s v="SEPA"/>
    <n v="24"/>
    <n v="4.34"/>
    <n v="0"/>
  </r>
  <r>
    <s v="SP"/>
    <s v="TOYOTA"/>
    <x v="913"/>
    <s v="ONNA"/>
    <s v="SEPA"/>
    <n v="20"/>
    <n v="4.49"/>
    <n v="0"/>
  </r>
  <r>
    <s v="SP"/>
    <s v="TOYOTA"/>
    <x v="914"/>
    <s v="ONNA"/>
    <s v="SEPA"/>
    <n v="48"/>
    <n v="4.37"/>
    <n v="0"/>
  </r>
  <r>
    <s v="SP"/>
    <s v="TOYOTA"/>
    <x v="915"/>
    <s v="ALBA"/>
    <s v="SEPA"/>
    <n v="909"/>
    <n v="0.33"/>
    <n v="0"/>
  </r>
  <r>
    <s v="SP"/>
    <s v="TOYOTA"/>
    <x v="916"/>
    <s v="ONNA"/>
    <s v="SEPA"/>
    <n v="15"/>
    <n v="2.4500000000000002"/>
    <n v="0"/>
  </r>
  <r>
    <s v="SP"/>
    <s v="TOYOTA"/>
    <x v="917"/>
    <s v="ONNA"/>
    <s v="SEPA"/>
    <n v="100"/>
    <n v="2.75"/>
    <n v="0"/>
  </r>
  <r>
    <s v="SP"/>
    <s v="TOYOTA"/>
    <x v="918"/>
    <s v="ALBA"/>
    <s v="SEPA"/>
    <n v="50"/>
    <n v="6"/>
    <n v="0"/>
  </r>
  <r>
    <s v="SP"/>
    <s v="TOYOTA"/>
    <x v="919"/>
    <s v="ALBA"/>
    <s v="GERA"/>
    <n v="6"/>
    <n v="3.0086599999999999"/>
    <n v="0"/>
  </r>
  <r>
    <s v="SP"/>
    <s v="TOYOTA"/>
    <x v="920"/>
    <s v="POSA"/>
    <s v="SPCO"/>
    <n v="62"/>
    <n v="3.2637999999999998"/>
    <n v="0"/>
  </r>
  <r>
    <s v="SP"/>
    <s v="TOYOTA"/>
    <x v="921"/>
    <s v="ALBA"/>
    <s v="SEPA"/>
    <n v="47"/>
    <n v="0.42"/>
    <n v="0"/>
  </r>
  <r>
    <s v="SP"/>
    <s v="TOYOTA"/>
    <x v="922"/>
    <s v="ONNA"/>
    <s v="SEPA"/>
    <n v="14"/>
    <n v="0.56211"/>
    <n v="0"/>
  </r>
  <r>
    <s v="SP"/>
    <s v="TOYOTA"/>
    <x v="923"/>
    <s v="ONNA"/>
    <s v="SEPA"/>
    <n v="8"/>
    <n v="1.15645"/>
    <n v="0"/>
  </r>
  <r>
    <s v="SP"/>
    <s v="TOYOTA"/>
    <x v="924"/>
    <s v="ONNA"/>
    <s v="SEPA"/>
    <n v="16"/>
    <n v="0.25"/>
    <n v="0"/>
  </r>
  <r>
    <s v="SP"/>
    <s v="TOYOTA"/>
    <x v="925"/>
    <s v="POSA"/>
    <s v="SPCO"/>
    <n v="36"/>
    <n v="0.58567999999999998"/>
    <n v="0"/>
  </r>
  <r>
    <s v="SP"/>
    <s v="TOYOTA"/>
    <x v="926"/>
    <s v="ALBA"/>
    <s v="SEPA"/>
    <n v="29"/>
    <n v="0.01"/>
    <n v="0"/>
  </r>
  <r>
    <s v="SP"/>
    <s v="TOYOTA"/>
    <x v="927"/>
    <s v="ONNA"/>
    <s v="SEPA"/>
    <n v="16"/>
    <n v="0.57999999999999996"/>
    <n v="0"/>
  </r>
  <r>
    <s v="SP"/>
    <s v="TOYOTA"/>
    <x v="928"/>
    <s v="ONNA"/>
    <s v="SEPA"/>
    <n v="1"/>
    <n v="0.57818000000000003"/>
    <n v="0"/>
  </r>
  <r>
    <s v="SP"/>
    <s v="TOYOTA"/>
    <x v="929"/>
    <s v="ONNA"/>
    <s v="SEPA"/>
    <n v="53"/>
    <n v="1.17"/>
    <n v="0"/>
  </r>
  <r>
    <s v="SP"/>
    <s v="TOYOTA"/>
    <x v="930"/>
    <s v="ONNA"/>
    <s v="SEPA"/>
    <n v="3"/>
    <n v="2.48"/>
    <n v="0"/>
  </r>
  <r>
    <s v="SP"/>
    <s v="TOYOTA"/>
    <x v="931"/>
    <s v="ONNA"/>
    <s v="SEPA"/>
    <n v="2"/>
    <n v="0.01"/>
    <n v="0"/>
  </r>
  <r>
    <s v="SP"/>
    <s v="TOYOTA"/>
    <x v="932"/>
    <s v="ONNA"/>
    <s v="SEPA"/>
    <n v="1"/>
    <n v="0.28000000000000003"/>
    <n v="0"/>
  </r>
  <r>
    <s v="SP"/>
    <s v="TOYOTA"/>
    <x v="933"/>
    <s v="ONNA"/>
    <s v="SEPA"/>
    <n v="23"/>
    <n v="3.1730000000000001E-2"/>
    <n v="0"/>
  </r>
  <r>
    <s v="SP"/>
    <s v="TOYOTA"/>
    <x v="934"/>
    <s v="ALBA"/>
    <s v="SEPA"/>
    <n v="14"/>
    <n v="0.09"/>
    <n v="0"/>
  </r>
  <r>
    <s v="SP"/>
    <s v="TOYOTA"/>
    <x v="935"/>
    <s v="ALBA"/>
    <s v="SEPA"/>
    <n v="1"/>
    <n v="6.46"/>
    <n v="0"/>
  </r>
  <r>
    <s v="SP"/>
    <s v="TOYOTA"/>
    <x v="936"/>
    <s v="ALBA"/>
    <s v="SEPA"/>
    <n v="8"/>
    <n v="6.46"/>
    <n v="0"/>
  </r>
  <r>
    <s v="SP"/>
    <s v="TOYOTA"/>
    <x v="937"/>
    <s v="ONNA"/>
    <s v="SEPA"/>
    <n v="3"/>
    <n v="0.25"/>
    <n v="0"/>
  </r>
  <r>
    <s v="SP"/>
    <s v="TOYOTA"/>
    <x v="938"/>
    <s v="ALBA"/>
    <s v="SEPA"/>
    <n v="7"/>
    <n v="0.28688999999999998"/>
    <n v="0"/>
  </r>
  <r>
    <s v="SP"/>
    <s v="TOYOTA"/>
    <x v="939"/>
    <s v="ALBA"/>
    <s v="SEPA"/>
    <n v="1"/>
    <n v="0.4"/>
    <n v="0"/>
  </r>
  <r>
    <s v="SP"/>
    <s v="TOYOTA"/>
    <x v="940"/>
    <s v="ONNA"/>
    <s v="SEPA"/>
    <n v="56"/>
    <n v="0.4"/>
    <n v="0"/>
  </r>
  <r>
    <s v="SP"/>
    <s v="TOYOTA"/>
    <x v="941"/>
    <s v="ONNA"/>
    <s v="SEPA"/>
    <n v="45"/>
    <n v="0.62"/>
    <n v="0"/>
  </r>
  <r>
    <s v="SP"/>
    <s v="TOYOTA"/>
    <x v="942"/>
    <s v="ONNA"/>
    <s v="SEPA"/>
    <n v="45"/>
    <n v="0.93308999999999997"/>
    <n v="0"/>
  </r>
  <r>
    <s v="SP"/>
    <s v="TOYOTA"/>
    <x v="943"/>
    <s v="ONNA"/>
    <s v="SEPA"/>
    <n v="34"/>
    <n v="0.24"/>
    <n v="0"/>
  </r>
  <r>
    <s v="SP"/>
    <s v="TOYOTA"/>
    <x v="944"/>
    <s v="ONNA"/>
    <s v="SEPA"/>
    <n v="45"/>
    <n v="0.25"/>
    <n v="0"/>
  </r>
  <r>
    <s v="SP"/>
    <s v="TOYOTA"/>
    <x v="945"/>
    <s v="ONNA"/>
    <s v="SEPA"/>
    <n v="1"/>
    <n v="0.49"/>
    <n v="0"/>
  </r>
  <r>
    <s v="SP"/>
    <s v="TOYOTA"/>
    <x v="946"/>
    <s v="ONNA"/>
    <s v="SEPA"/>
    <n v="9"/>
    <n v="0.05"/>
    <n v="0"/>
  </r>
  <r>
    <s v="SP"/>
    <s v="TOYOTA"/>
    <x v="947"/>
    <s v="ALBA"/>
    <s v="SPCO"/>
    <n v="48"/>
    <n v="0.17052"/>
    <n v="0"/>
  </r>
  <r>
    <s v="SP"/>
    <s v="TOYOTA"/>
    <x v="948"/>
    <s v="ALBA"/>
    <s v="SEPA"/>
    <n v="2"/>
    <n v="0.28000000000000003"/>
    <n v="0"/>
  </r>
  <r>
    <s v="SP"/>
    <s v="TOYOTA"/>
    <x v="949"/>
    <s v="ALBA"/>
    <s v="SEPA"/>
    <n v="5"/>
    <n v="0.01"/>
    <n v="0"/>
  </r>
  <r>
    <s v="SP"/>
    <s v="TOYOTA"/>
    <x v="950"/>
    <s v="ALBA"/>
    <s v="SEPA"/>
    <n v="11"/>
    <n v="0.01"/>
    <n v="0"/>
  </r>
  <r>
    <s v="SP"/>
    <s v="TOYOTA"/>
    <x v="951"/>
    <s v="ALBA"/>
    <s v="SEPA"/>
    <n v="9"/>
    <n v="0.01"/>
    <n v="0"/>
  </r>
  <r>
    <s v="SP"/>
    <s v="TOYOTA"/>
    <x v="952"/>
    <s v="ALBA"/>
    <s v="SEPA"/>
    <n v="18"/>
    <n v="0.01"/>
    <n v="0"/>
  </r>
  <r>
    <s v="SP"/>
    <s v="TOYOTA"/>
    <x v="953"/>
    <s v="ALBA"/>
    <s v="SEPA"/>
    <n v="6"/>
    <n v="0.01"/>
    <n v="0"/>
  </r>
  <r>
    <s v="SP"/>
    <s v="TOYOTA"/>
    <x v="954"/>
    <s v="ALBA"/>
    <s v="SEPA"/>
    <n v="9"/>
    <n v="0.01"/>
    <n v="0"/>
  </r>
  <r>
    <s v="SP"/>
    <s v="TOYOTA"/>
    <x v="955"/>
    <s v="ALBA"/>
    <s v="SEPA"/>
    <n v="19"/>
    <n v="0.25"/>
    <n v="0"/>
  </r>
  <r>
    <s v="SP"/>
    <s v="TOYOTA"/>
    <x v="956"/>
    <s v="ALBA"/>
    <s v="SEPA"/>
    <n v="11"/>
    <n v="0.01"/>
    <n v="0"/>
  </r>
  <r>
    <s v="SP"/>
    <s v="TOYOTA"/>
    <x v="957"/>
    <s v="ALBA"/>
    <s v="SEPA"/>
    <n v="1"/>
    <n v="0.01"/>
    <n v="0"/>
  </r>
  <r>
    <s v="SP"/>
    <s v="TOYOTA"/>
    <x v="958"/>
    <s v="ALBA"/>
    <s v="SEPA"/>
    <n v="2"/>
    <n v="1.1499999999999999"/>
    <n v="0"/>
  </r>
  <r>
    <s v="SP"/>
    <s v="TOYOTA"/>
    <x v="959"/>
    <s v="ALBA"/>
    <s v="SEPA"/>
    <n v="1"/>
    <n v="0.94"/>
    <n v="0"/>
  </r>
  <r>
    <s v="SP"/>
    <s v="TOYOTA"/>
    <x v="960"/>
    <s v="ONNA"/>
    <s v="SEPA"/>
    <n v="38"/>
    <n v="1.13395"/>
    <n v="0"/>
  </r>
  <r>
    <s v="SP"/>
    <s v="TOYOTA"/>
    <x v="961"/>
    <s v="ONNA"/>
    <s v="SEPA"/>
    <n v="111"/>
    <n v="0.6"/>
    <n v="0"/>
  </r>
  <r>
    <s v="SP"/>
    <s v="TOYOTA"/>
    <x v="962"/>
    <s v="ONNA"/>
    <s v="SEPA"/>
    <n v="8"/>
    <n v="1.08"/>
    <n v="0"/>
  </r>
  <r>
    <s v="SP"/>
    <s v="TOYOTA"/>
    <x v="963"/>
    <s v="ONNA"/>
    <s v="SEPA"/>
    <n v="10"/>
    <n v="1.59"/>
    <n v="0"/>
  </r>
  <r>
    <s v="SP"/>
    <s v="TOYOTA"/>
    <x v="964"/>
    <s v="ONNA"/>
    <s v="SEPA"/>
    <n v="37"/>
    <n v="0.3"/>
    <n v="0"/>
  </r>
  <r>
    <s v="SP"/>
    <s v="TOYOTA"/>
    <x v="965"/>
    <s v="ALBA"/>
    <s v="SEPA"/>
    <n v="5"/>
    <n v="0.88"/>
    <n v="0"/>
  </r>
  <r>
    <s v="SP"/>
    <s v="TOYOTA"/>
    <x v="966"/>
    <s v="ALBA"/>
    <s v="SEPA"/>
    <n v="5"/>
    <n v="0.37"/>
    <n v="0"/>
  </r>
  <r>
    <s v="SP"/>
    <s v="TOYOTA"/>
    <x v="967"/>
    <s v="ALBA"/>
    <s v="SEPA"/>
    <n v="9"/>
    <n v="0.01"/>
    <n v="0"/>
  </r>
  <r>
    <s v="SP"/>
    <s v="TOYOTA"/>
    <x v="968"/>
    <s v="ALBA"/>
    <s v="SEPA"/>
    <n v="5"/>
    <n v="0.01"/>
    <n v="0"/>
  </r>
  <r>
    <s v="SP"/>
    <s v="TOYOTA"/>
    <x v="969"/>
    <s v="ALBA"/>
    <s v="SEPA"/>
    <n v="5"/>
    <n v="0.01"/>
    <n v="0"/>
  </r>
  <r>
    <s v="SP"/>
    <s v="TOYOTA"/>
    <x v="970"/>
    <s v="ALBA"/>
    <s v="SEPA"/>
    <n v="9"/>
    <n v="0.01"/>
    <n v="0"/>
  </r>
  <r>
    <s v="SP"/>
    <s v="TOYOTA"/>
    <x v="971"/>
    <s v="ALBA"/>
    <s v="SEPA"/>
    <n v="6"/>
    <n v="0.01"/>
    <n v="0"/>
  </r>
  <r>
    <s v="SP"/>
    <s v="TOYOTA"/>
    <x v="972"/>
    <s v="ALBA"/>
    <s v="SEPA"/>
    <n v="7"/>
    <n v="0.01"/>
    <n v="0"/>
  </r>
  <r>
    <s v="SP"/>
    <s v="TOYOTA"/>
    <x v="973"/>
    <s v="ALBA"/>
    <s v="SEPA"/>
    <n v="36"/>
    <n v="0.113"/>
    <n v="0"/>
  </r>
  <r>
    <s v="SP"/>
    <s v="TOYOTA"/>
    <x v="974"/>
    <s v="ONNA"/>
    <s v="SEPA"/>
    <n v="15"/>
    <n v="24.43"/>
    <n v="0"/>
  </r>
  <r>
    <s v="SP"/>
    <s v="TOYOTA"/>
    <x v="975"/>
    <s v="ALBA"/>
    <s v="SPCO"/>
    <n v="50"/>
    <n v="4.5766600000000004"/>
    <n v="0"/>
  </r>
  <r>
    <s v="SP"/>
    <s v="TOYOTA"/>
    <x v="976"/>
    <s v="ALBA"/>
    <s v="SEPA"/>
    <n v="17"/>
    <n v="0.28000000000000003"/>
    <n v="0"/>
  </r>
  <r>
    <s v="SP"/>
    <s v="TOYOTA"/>
    <x v="977"/>
    <s v="ALBA"/>
    <s v="SEPA"/>
    <n v="200"/>
    <n v="0.65039999999999998"/>
    <n v="0"/>
  </r>
  <r>
    <s v="ST"/>
    <s v="STANLEY"/>
    <x v="978"/>
    <s v="ALBA"/>
    <s v="TBOX"/>
    <n v="400"/>
    <n v="0.77646000000000004"/>
    <n v="0"/>
  </r>
  <r>
    <s v="ST"/>
    <s v="STANLEY"/>
    <x v="979"/>
    <s v="ALBA"/>
    <s v="TBOX"/>
    <n v="750"/>
    <n v="1.01963"/>
    <n v="0"/>
  </r>
  <r>
    <s v="TA"/>
    <s v="TOYOTA AVENSIS"/>
    <x v="980"/>
    <s v="ALBA"/>
    <s v="SPCO"/>
    <n v="5"/>
    <n v="2.28125"/>
    <n v="0"/>
  </r>
  <r>
    <s v="TA"/>
    <s v="TOYOTA AVENSIS"/>
    <x v="981"/>
    <s v="ALBA"/>
    <s v="SEPA"/>
    <n v="8"/>
    <n v="102.85"/>
    <n v="0"/>
  </r>
  <r>
    <s v="TA"/>
    <s v="TOYOTA AVENSIS"/>
    <x v="982"/>
    <s v="ALBA"/>
    <s v="SEPA"/>
    <n v="4"/>
    <n v="104.89"/>
    <n v="0"/>
  </r>
  <r>
    <s v="TA"/>
    <s v="TOYOTA AVENSIS"/>
    <x v="983"/>
    <s v="ALBA"/>
    <s v="SEPA"/>
    <n v="6"/>
    <n v="103.41"/>
    <n v="0"/>
  </r>
  <r>
    <s v="TA"/>
    <s v="TOYOTA AVENSIS"/>
    <x v="984"/>
    <s v="ALBA"/>
    <s v="SEPA"/>
    <n v="8"/>
    <n v="109.9"/>
    <n v="0"/>
  </r>
  <r>
    <s v="TA"/>
    <s v="TOYOTA AVENSIS"/>
    <x v="985"/>
    <s v="ALBA"/>
    <s v="SEPA"/>
    <n v="11"/>
    <n v="108.12"/>
    <n v="0"/>
  </r>
  <r>
    <s v="TA"/>
    <s v="TOYOTA AVENSIS"/>
    <x v="986"/>
    <s v="ALBA"/>
    <s v="SEPA"/>
    <n v="1"/>
    <n v="103.56"/>
    <n v="0"/>
  </r>
  <r>
    <s v="TA"/>
    <s v="TOYOTA AVENSIS"/>
    <x v="987"/>
    <s v="ALBA"/>
    <s v="SEPA"/>
    <n v="23"/>
    <n v="111.74"/>
    <n v="0"/>
  </r>
  <r>
    <s v="TA"/>
    <s v="TOYOTA AVENSIS"/>
    <x v="988"/>
    <s v="ALBA"/>
    <s v="SEPA"/>
    <n v="1"/>
    <n v="97.19"/>
    <n v="0"/>
  </r>
  <r>
    <s v="TA"/>
    <s v="TOYOTA AVENSIS"/>
    <x v="989"/>
    <s v="ALBA"/>
    <s v="SEPA"/>
    <n v="1"/>
    <n v="95.59"/>
    <n v="0"/>
  </r>
  <r>
    <s v="TA"/>
    <s v="TOYOTA AVENSIS"/>
    <x v="990"/>
    <s v="ALBA"/>
    <s v="SEPA"/>
    <n v="4"/>
    <n v="101.29"/>
    <n v="0"/>
  </r>
  <r>
    <s v="TA"/>
    <s v="TOYOTA AVENSIS"/>
    <x v="991"/>
    <s v="ALBA"/>
    <s v="SEPA"/>
    <n v="1"/>
    <n v="99.66"/>
    <n v="0"/>
  </r>
  <r>
    <s v="TA"/>
    <s v="TOYOTA AVENSIS"/>
    <x v="992"/>
    <s v="ALBA"/>
    <s v="SEPA"/>
    <n v="18"/>
    <n v="119.26"/>
    <n v="0"/>
  </r>
  <r>
    <s v="TA"/>
    <s v="TOYOTA AVENSIS"/>
    <x v="993"/>
    <s v="ALBA"/>
    <s v="SEPA"/>
    <n v="1"/>
    <n v="117.3"/>
    <n v="0"/>
  </r>
  <r>
    <s v="TA"/>
    <s v="TOYOTA AVENSIS"/>
    <x v="994"/>
    <s v="ALBA"/>
    <s v="SEPA"/>
    <n v="2"/>
    <n v="115.75"/>
    <n v="0"/>
  </r>
  <r>
    <s v="TA"/>
    <s v="TOYOTA AVENSIS"/>
    <x v="995"/>
    <s v="ALBA"/>
    <s v="SEPA"/>
    <n v="6"/>
    <n v="121.13"/>
    <n v="0"/>
  </r>
  <r>
    <s v="TA"/>
    <s v="TOYOTA AVENSIS"/>
    <x v="996"/>
    <s v="ALBA"/>
    <s v="SEPA"/>
    <n v="4"/>
    <n v="119.12"/>
    <n v="0"/>
  </r>
  <r>
    <s v="TA"/>
    <s v="TOYOTA AVENSIS"/>
    <x v="997"/>
    <s v="ALBA"/>
    <s v="SEPA"/>
    <n v="2"/>
    <n v="117.61"/>
    <n v="0"/>
  </r>
  <r>
    <s v="TA"/>
    <s v="TOYOTA AVENSIS"/>
    <x v="998"/>
    <s v="ALBA"/>
    <s v="SEPA"/>
    <n v="1"/>
    <n v="115.77"/>
    <n v="0"/>
  </r>
  <r>
    <s v="TA"/>
    <s v="TOYOTA AVENSIS"/>
    <x v="999"/>
    <s v="ALBA"/>
    <s v="SEPA"/>
    <n v="6"/>
    <n v="119.35"/>
    <n v="0"/>
  </r>
  <r>
    <s v="TA"/>
    <s v="TOYOTA AVENSIS"/>
    <x v="1000"/>
    <s v="ALBA"/>
    <s v="SEPA"/>
    <n v="2"/>
    <n v="117.34"/>
    <n v="0"/>
  </r>
  <r>
    <s v="TA"/>
    <s v="TOYOTA AVENSIS"/>
    <x v="1001"/>
    <s v="ALBA"/>
    <s v="SEPA"/>
    <n v="1"/>
    <n v="113.99"/>
    <n v="0"/>
  </r>
  <r>
    <s v="TA"/>
    <s v="TOYOTA AVENSIS"/>
    <x v="1002"/>
    <s v="ALBA"/>
    <s v="SEPA"/>
    <n v="10"/>
    <n v="121.01"/>
    <n v="0"/>
  </r>
  <r>
    <s v="TA"/>
    <s v="TOYOTA AVENSIS"/>
    <x v="1003"/>
    <s v="ALBA"/>
    <s v="SEPA"/>
    <n v="1"/>
    <n v="118.96"/>
    <n v="0"/>
  </r>
  <r>
    <s v="TA"/>
    <s v="TOYOTA AVENSIS"/>
    <x v="1004"/>
    <s v="ALBA"/>
    <s v="SEPA"/>
    <n v="6"/>
    <n v="125.36"/>
    <n v="0"/>
  </r>
  <r>
    <s v="TA"/>
    <s v="TOYOTA AVENSIS"/>
    <x v="1005"/>
    <s v="ALBA"/>
    <s v="SEPA"/>
    <n v="4"/>
    <n v="123.2"/>
    <n v="0"/>
  </r>
  <r>
    <s v="TA"/>
    <s v="TOYOTA AVENSIS"/>
    <x v="1006"/>
    <s v="ALBA"/>
    <s v="SEPA"/>
    <n v="26"/>
    <n v="117.5"/>
    <n v="0"/>
  </r>
  <r>
    <s v="TA"/>
    <s v="TOYOTA AVENSIS"/>
    <x v="1007"/>
    <s v="ALBA"/>
    <s v="SEPA"/>
    <n v="2"/>
    <n v="115.61"/>
    <n v="0"/>
  </r>
  <r>
    <s v="TA"/>
    <s v="TOYOTA AVENSIS"/>
    <x v="1008"/>
    <s v="ALBA"/>
    <s v="SEPA"/>
    <n v="1"/>
    <n v="119.85"/>
    <n v="0"/>
  </r>
  <r>
    <s v="TA"/>
    <s v="TOYOTA AVENSIS"/>
    <x v="1009"/>
    <s v="ALBA"/>
    <s v="SEPA"/>
    <n v="71"/>
    <n v="122.39"/>
    <n v="0"/>
  </r>
  <r>
    <s v="TA"/>
    <s v="TOYOTA AVENSIS"/>
    <x v="1010"/>
    <s v="ALBA"/>
    <s v="SEPA"/>
    <n v="1"/>
    <n v="116.96"/>
    <n v="0"/>
  </r>
  <r>
    <s v="TA"/>
    <s v="TOYOTA AVENSIS"/>
    <x v="1011"/>
    <s v="ALBA"/>
    <s v="SEPA"/>
    <n v="1"/>
    <n v="120.74"/>
    <n v="0"/>
  </r>
  <r>
    <s v="TA"/>
    <s v="TOYOTA AVENSIS"/>
    <x v="1012"/>
    <s v="ALBA"/>
    <s v="SEPA"/>
    <n v="1"/>
    <n v="118.78"/>
    <n v="0"/>
  </r>
  <r>
    <s v="TA"/>
    <s v="TOYOTA AVENSIS"/>
    <x v="1013"/>
    <s v="ALBA"/>
    <s v="SEPA"/>
    <n v="5"/>
    <n v="99.52"/>
    <n v="0"/>
  </r>
  <r>
    <s v="TA"/>
    <s v="TOYOTA AVENSIS"/>
    <x v="1014"/>
    <s v="ALBA"/>
    <s v="SEPA"/>
    <n v="2"/>
    <n v="101.25"/>
    <n v="0"/>
  </r>
  <r>
    <s v="TA"/>
    <s v="TOYOTA AVENSIS"/>
    <x v="1015"/>
    <s v="ALBA"/>
    <s v="GERA"/>
    <n v="1"/>
    <n v="97.88"/>
    <n v="0"/>
  </r>
  <r>
    <s v="TA"/>
    <s v="TOYOTA AVENSIS"/>
    <x v="1015"/>
    <s v="ALBA"/>
    <s v="SEPA"/>
    <n v="7"/>
    <n v="97.88"/>
    <n v="0"/>
  </r>
  <r>
    <s v="TA"/>
    <s v="TOYOTA AVENSIS"/>
    <x v="1016"/>
    <s v="ALBA"/>
    <s v="SEPA"/>
    <n v="2"/>
    <n v="112.54"/>
    <n v="0"/>
  </r>
  <r>
    <s v="TA"/>
    <s v="TOYOTA AVENSIS"/>
    <x v="1017"/>
    <s v="ALBA"/>
    <s v="SEPA"/>
    <n v="5"/>
    <n v="114.11"/>
    <n v="0"/>
  </r>
  <r>
    <s v="TA"/>
    <s v="TOYOTA AVENSIS"/>
    <x v="1018"/>
    <s v="ALBA"/>
    <s v="SEPA"/>
    <n v="3"/>
    <n v="110.72"/>
    <n v="0"/>
  </r>
  <r>
    <s v="TA"/>
    <s v="TOYOTA AVENSIS"/>
    <x v="1019"/>
    <s v="ALBA"/>
    <s v="SEPA"/>
    <n v="2"/>
    <n v="110.28"/>
    <n v="0"/>
  </r>
  <r>
    <s v="TA"/>
    <s v="TOYOTA AVENSIS"/>
    <x v="1020"/>
    <s v="ALBA"/>
    <s v="SEPA"/>
    <n v="1"/>
    <n v="114.46"/>
    <n v="0"/>
  </r>
  <r>
    <s v="TA"/>
    <s v="TOYOTA AVENSIS"/>
    <x v="1021"/>
    <s v="ALBA"/>
    <s v="SEPA"/>
    <n v="2"/>
    <n v="112.55"/>
    <n v="0"/>
  </r>
  <r>
    <s v="TA"/>
    <s v="TOYOTA AVENSIS"/>
    <x v="1022"/>
    <s v="ALBA"/>
    <s v="SEPA"/>
    <n v="9"/>
    <n v="117.1"/>
    <n v="0"/>
  </r>
  <r>
    <s v="TA"/>
    <s v="TOYOTA AVENSIS"/>
    <x v="1023"/>
    <s v="ALBA"/>
    <s v="SEPA"/>
    <n v="3"/>
    <n v="115.18"/>
    <n v="0"/>
  </r>
  <r>
    <s v="TA"/>
    <s v="TOYOTA AVENSIS"/>
    <x v="1024"/>
    <s v="ALBA"/>
    <s v="SEPA"/>
    <n v="2"/>
    <n v="100.85"/>
    <n v="0"/>
  </r>
  <r>
    <s v="TA"/>
    <s v="TOYOTA AVENSIS"/>
    <x v="1025"/>
    <s v="ALBA"/>
    <s v="SEPA"/>
    <n v="1"/>
    <n v="107.17"/>
    <n v="0"/>
  </r>
  <r>
    <s v="TA"/>
    <s v="TOYOTA AVENSIS"/>
    <x v="1026"/>
    <s v="ALBA"/>
    <s v="SEPA"/>
    <n v="1"/>
    <n v="102.66"/>
    <n v="0"/>
  </r>
  <r>
    <s v="TA"/>
    <s v="TOYOTA AVENSIS"/>
    <x v="1027"/>
    <s v="ALBA"/>
    <s v="SEPA"/>
    <n v="1"/>
    <n v="108.98"/>
    <n v="0"/>
  </r>
  <r>
    <s v="TA"/>
    <s v="TOYOTA AVENSIS"/>
    <x v="1028"/>
    <s v="ALBA"/>
    <s v="SEPA"/>
    <n v="1"/>
    <n v="102.88"/>
    <n v="0"/>
  </r>
  <r>
    <s v="TA"/>
    <s v="TOYOTA AVENSIS"/>
    <x v="1029"/>
    <s v="ALBA"/>
    <s v="SEPA"/>
    <n v="1"/>
    <n v="109.2"/>
    <n v="0"/>
  </r>
  <r>
    <s v="TA"/>
    <s v="TOYOTA AVENSIS"/>
    <x v="1030"/>
    <s v="ALBA"/>
    <s v="SEPA"/>
    <n v="1"/>
    <n v="106.75"/>
    <n v="0"/>
  </r>
  <r>
    <s v="TA"/>
    <s v="TOYOTA AVENSIS"/>
    <x v="1031"/>
    <s v="ALBA"/>
    <s v="SEPA"/>
    <n v="1"/>
    <n v="108.23"/>
    <n v="0"/>
  </r>
  <r>
    <s v="TA"/>
    <s v="TOYOTA AVENSIS"/>
    <x v="1032"/>
    <s v="ALBA"/>
    <s v="SEPA"/>
    <n v="1"/>
    <n v="98.44"/>
    <n v="0"/>
  </r>
  <r>
    <s v="TA"/>
    <s v="TOYOTA AVENSIS"/>
    <x v="1033"/>
    <s v="ALBA"/>
    <s v="SEPA"/>
    <n v="1"/>
    <n v="99.42"/>
    <n v="0"/>
  </r>
  <r>
    <s v="TA"/>
    <s v="TOYOTA AVENSIS"/>
    <x v="1034"/>
    <s v="ALBA"/>
    <s v="SEPA"/>
    <n v="1"/>
    <n v="128.72"/>
    <n v="0"/>
  </r>
  <r>
    <s v="TA"/>
    <s v="TOYOTA AVENSIS"/>
    <x v="1035"/>
    <s v="ALBA"/>
    <s v="SEPA"/>
    <n v="1"/>
    <n v="130.01"/>
    <n v="0"/>
  </r>
  <r>
    <s v="TA"/>
    <s v="TOYOTA AVENSIS"/>
    <x v="1036"/>
    <s v="ALBA"/>
    <s v="SEPA"/>
    <n v="1"/>
    <n v="97.16"/>
    <n v="0"/>
  </r>
  <r>
    <s v="TA"/>
    <s v="TOYOTA AVENSIS"/>
    <x v="1037"/>
    <s v="ALBA"/>
    <s v="SEPA"/>
    <n v="2"/>
    <n v="98.54"/>
    <n v="0"/>
  </r>
  <r>
    <s v="TA"/>
    <s v="TOYOTA AVENSIS"/>
    <x v="1038"/>
    <s v="ALBA"/>
    <s v="SEPA"/>
    <n v="1"/>
    <n v="94.87"/>
    <n v="0"/>
  </r>
  <r>
    <s v="TA"/>
    <s v="TOYOTA AVENSIS"/>
    <x v="1039"/>
    <s v="ALBA"/>
    <s v="SEPA"/>
    <n v="1"/>
    <n v="96.16"/>
    <n v="0"/>
  </r>
  <r>
    <s v="TA"/>
    <s v="TOYOTA AVENSIS"/>
    <x v="1040"/>
    <s v="ALBA"/>
    <s v="SEPA"/>
    <n v="1"/>
    <n v="98.89"/>
    <n v="0"/>
  </r>
  <r>
    <s v="TA"/>
    <s v="TOYOTA AVENSIS"/>
    <x v="1041"/>
    <s v="ALBA"/>
    <s v="SEPA"/>
    <n v="2"/>
    <n v="99.1"/>
    <n v="0"/>
  </r>
  <r>
    <s v="TA"/>
    <s v="TOYOTA AVENSIS"/>
    <x v="1042"/>
    <s v="ALBA"/>
    <s v="SEPA"/>
    <n v="1"/>
    <n v="124.06"/>
    <n v="0"/>
  </r>
  <r>
    <s v="TA"/>
    <s v="TOYOTA AVENSIS"/>
    <x v="1043"/>
    <s v="ALBA"/>
    <s v="SEPA"/>
    <n v="4"/>
    <n v="53.55"/>
    <n v="0"/>
  </r>
  <r>
    <s v="TA"/>
    <s v="TOYOTA AVENSIS"/>
    <x v="1044"/>
    <s v="ALBA"/>
    <s v="SEPA"/>
    <n v="1"/>
    <n v="65.19"/>
    <n v="0"/>
  </r>
  <r>
    <s v="TA"/>
    <s v="TOYOTA AVENSIS"/>
    <x v="1045"/>
    <s v="ALBA"/>
    <s v="SEPA"/>
    <n v="2"/>
    <n v="53.49"/>
    <n v="0"/>
  </r>
  <r>
    <s v="TA"/>
    <s v="TOYOTA AVENSIS"/>
    <x v="1046"/>
    <s v="ALBA"/>
    <s v="SEPA"/>
    <n v="1"/>
    <n v="65.72"/>
    <n v="0"/>
  </r>
  <r>
    <s v="TA"/>
    <s v="TOYOTA AVENSIS"/>
    <x v="1047"/>
    <s v="ALBA"/>
    <s v="SEPA"/>
    <n v="27"/>
    <n v="5.56"/>
    <n v="0"/>
  </r>
  <r>
    <s v="TA"/>
    <s v="TOYOTA AVENSIS"/>
    <x v="1048"/>
    <s v="ALBA"/>
    <s v="SEPA"/>
    <n v="90"/>
    <n v="3.97"/>
    <n v="0"/>
  </r>
  <r>
    <s v="TA"/>
    <s v="TOYOTA AVENSIS"/>
    <x v="1049"/>
    <s v="ALBA"/>
    <s v="SEPA"/>
    <n v="83"/>
    <n v="4.03"/>
    <n v="0"/>
  </r>
  <r>
    <s v="TA"/>
    <s v="TOYOTA AVENSIS"/>
    <x v="1050"/>
    <s v="ALBA"/>
    <s v="GERA"/>
    <n v="9"/>
    <n v="29.5489"/>
    <n v="0"/>
  </r>
  <r>
    <s v="TA"/>
    <s v="TOYOTA AVENSIS"/>
    <x v="1051"/>
    <s v="ALBA"/>
    <s v="SEPA"/>
    <n v="20"/>
    <n v="5.28"/>
    <n v="0"/>
  </r>
  <r>
    <s v="TA"/>
    <s v="TOYOTA AVENSIS"/>
    <x v="1052"/>
    <s v="ALBA"/>
    <s v="SEPA"/>
    <n v="35"/>
    <n v="8.02"/>
    <n v="0"/>
  </r>
  <r>
    <s v="TA"/>
    <s v="TOYOTA AVENSIS"/>
    <x v="1053"/>
    <s v="ALBA"/>
    <s v="SEPA"/>
    <n v="20"/>
    <n v="4.83"/>
    <n v="0"/>
  </r>
  <r>
    <s v="TA"/>
    <s v="TOYOTA AVENSIS"/>
    <x v="1054"/>
    <s v="ALBA"/>
    <s v="SEPA"/>
    <n v="5"/>
    <n v="2.4700000000000002"/>
    <n v="0"/>
  </r>
  <r>
    <s v="TA"/>
    <s v="TOYOTA AVENSIS"/>
    <x v="1055"/>
    <s v="ALBA"/>
    <s v="SEPA"/>
    <n v="213"/>
    <n v="0.23785000000000001"/>
    <n v="0"/>
  </r>
  <r>
    <s v="TA"/>
    <s v="TOYOTA AVENSIS"/>
    <x v="1056"/>
    <s v="ALBA"/>
    <s v="SEPA"/>
    <n v="194"/>
    <n v="0.27450999999999998"/>
    <n v="0"/>
  </r>
  <r>
    <s v="TA"/>
    <s v="TOYOTA AVENSIS"/>
    <x v="1057"/>
    <s v="ALBA"/>
    <s v="SEPA"/>
    <n v="380"/>
    <n v="0.37"/>
    <n v="0"/>
  </r>
  <r>
    <s v="TC"/>
    <s v="Toyota Corolla"/>
    <x v="1058"/>
    <s v="ALBA"/>
    <s v="SEPA"/>
    <n v="2"/>
    <n v="63.68"/>
    <n v="0"/>
  </r>
  <r>
    <s v="TC"/>
    <s v="Toyota Corolla"/>
    <x v="1059"/>
    <s v="ALBA"/>
    <s v="SEPA"/>
    <n v="52"/>
    <n v="3.55"/>
    <n v="0"/>
  </r>
  <r>
    <s v="TC"/>
    <s v="Toyota Corolla"/>
    <x v="1060"/>
    <s v="ALBA"/>
    <s v="SEPA"/>
    <n v="78"/>
    <n v="1.9"/>
    <n v="0"/>
  </r>
  <r>
    <s v="TC"/>
    <s v="Toyota Corolla"/>
    <x v="1061"/>
    <s v="ALBA"/>
    <s v="SEPA"/>
    <n v="82"/>
    <n v="1.9436"/>
    <n v="0"/>
  </r>
  <r>
    <s v="TC"/>
    <s v="Toyota Corolla"/>
    <x v="1062"/>
    <s v="ALBA"/>
    <s v="SEPA"/>
    <n v="40"/>
    <n v="2.9169299999999998"/>
    <n v="0"/>
  </r>
  <r>
    <s v="TC"/>
    <s v="Toyota Corolla"/>
    <x v="1063"/>
    <s v="ALBA"/>
    <s v="OBSL"/>
    <n v="4215"/>
    <n v="2.27657"/>
    <n v="0"/>
  </r>
  <r>
    <s v="TC"/>
    <s v="Toyota Corolla"/>
    <x v="1064"/>
    <s v="ALBA"/>
    <s v="SEPA"/>
    <n v="80"/>
    <n v="2.73"/>
    <n v="0"/>
  </r>
  <r>
    <s v="TC"/>
    <s v="Toyota Corolla"/>
    <x v="1065"/>
    <s v="ALBA"/>
    <s v="OBSL"/>
    <n v="1157"/>
    <n v="3.09"/>
    <n v="0"/>
  </r>
  <r>
    <s v="TC"/>
    <s v="Toyota Corolla"/>
    <x v="1065"/>
    <s v="ALBA"/>
    <s v="SEPA"/>
    <n v="2960"/>
    <n v="3.09"/>
    <n v="0"/>
  </r>
  <r>
    <s v="TC"/>
    <s v="Toyota Corolla"/>
    <x v="1066"/>
    <s v="ALBA"/>
    <s v="OBSL"/>
    <n v="2022"/>
    <n v="5.3849099999999996"/>
    <n v="0"/>
  </r>
  <r>
    <s v="TC"/>
    <s v="Toyota Corolla"/>
    <x v="1067"/>
    <s v="ALBA"/>
    <s v="OBSL"/>
    <n v="2640"/>
    <n v="2.62"/>
    <n v="0"/>
  </r>
  <r>
    <s v="TC"/>
    <s v="Toyota Corolla"/>
    <x v="1067"/>
    <s v="ALBA"/>
    <s v="SEPA"/>
    <n v="5"/>
    <n v="2.62"/>
    <n v="0"/>
  </r>
  <r>
    <s v="TC"/>
    <s v="Toyota Corolla"/>
    <x v="1068"/>
    <s v="ALBA"/>
    <s v="OBSL"/>
    <n v="1617"/>
    <n v="4.4126000000000003"/>
    <n v="0"/>
  </r>
  <r>
    <s v="TC"/>
    <s v="Toyota Corolla"/>
    <x v="1069"/>
    <s v="ALBA"/>
    <s v="OBSL"/>
    <n v="2080"/>
    <n v="4.66"/>
    <n v="0"/>
  </r>
  <r>
    <s v="TC"/>
    <s v="Toyota Corolla"/>
    <x v="1069"/>
    <s v="ALBA"/>
    <s v="SEPA"/>
    <n v="85"/>
    <n v="4.66"/>
    <n v="0"/>
  </r>
  <r>
    <s v="TC"/>
    <s v="Toyota Corolla"/>
    <x v="1070"/>
    <s v="ALBA"/>
    <s v="OBSL"/>
    <n v="2160"/>
    <n v="4.41"/>
    <n v="0"/>
  </r>
  <r>
    <s v="TC"/>
    <s v="Toyota Corolla"/>
    <x v="1070"/>
    <s v="ALBA"/>
    <s v="SEPA"/>
    <n v="5"/>
    <n v="4.41"/>
    <n v="0"/>
  </r>
  <r>
    <s v="TC"/>
    <s v="Toyota Corolla"/>
    <x v="1071"/>
    <s v="ALBA"/>
    <s v="GERA"/>
    <n v="70"/>
    <n v="1.78762"/>
    <n v="0"/>
  </r>
  <r>
    <s v="TC"/>
    <s v="Toyota Corolla"/>
    <x v="1071"/>
    <s v="ALBA"/>
    <s v="OBSL"/>
    <n v="2435"/>
    <n v="1.78762"/>
    <n v="0"/>
  </r>
  <r>
    <s v="TC"/>
    <s v="Toyota Corolla"/>
    <x v="1072"/>
    <s v="ALBA"/>
    <s v="GERA"/>
    <n v="1306"/>
    <n v="3.3153700000000002"/>
    <n v="0"/>
  </r>
  <r>
    <s v="TC"/>
    <s v="Toyota Corolla"/>
    <x v="1072"/>
    <s v="ALBA"/>
    <s v="SEPA"/>
    <n v="29"/>
    <n v="3.3153700000000002"/>
    <n v="0"/>
  </r>
  <r>
    <s v="TC"/>
    <s v="Toyota Corolla"/>
    <x v="1073"/>
    <s v="ALBA"/>
    <s v="GERA"/>
    <n v="22"/>
    <n v="3.3153800000000002"/>
    <n v="0"/>
  </r>
  <r>
    <s v="TC"/>
    <s v="Toyota Corolla"/>
    <x v="1073"/>
    <s v="ALBA"/>
    <s v="SEPA"/>
    <n v="32"/>
    <n v="3.3153800000000002"/>
    <n v="0"/>
  </r>
  <r>
    <s v="TV"/>
    <s v="Toyota Verso"/>
    <x v="1074"/>
    <s v="ALBA"/>
    <s v="GERA"/>
    <n v="6"/>
    <n v="156.07165000000001"/>
    <n v="0"/>
  </r>
  <r>
    <s v="TV"/>
    <s v="Toyota Verso"/>
    <x v="1075"/>
    <s v="ALBA"/>
    <s v="GERA"/>
    <n v="15"/>
    <n v="117.78740000000001"/>
    <n v="0"/>
  </r>
  <r>
    <s v="TV"/>
    <s v="Toyota Verso"/>
    <x v="1076"/>
    <s v="ALBA"/>
    <s v="GERA"/>
    <n v="4"/>
    <n v="128.52858000000001"/>
    <n v="0"/>
  </r>
  <r>
    <s v="TV"/>
    <s v="Toyota Verso"/>
    <x v="1077"/>
    <s v="ALBA"/>
    <s v="GERA"/>
    <n v="1"/>
    <n v="130.96879999999999"/>
    <n v="0"/>
  </r>
  <r>
    <s v="TV"/>
    <s v="Toyota Verso"/>
    <x v="1078"/>
    <s v="ALBA"/>
    <s v="GERA"/>
    <n v="1"/>
    <n v="124.19687"/>
    <n v="0"/>
  </r>
  <r>
    <s v="TV"/>
    <s v="Toyota Verso"/>
    <x v="1079"/>
    <s v="ALBA"/>
    <s v="GERA"/>
    <n v="2"/>
    <n v="153.87842000000001"/>
    <n v="0"/>
  </r>
  <r>
    <s v="TV"/>
    <s v="Toyota Verso"/>
    <x v="1080"/>
    <s v="ALBA"/>
    <s v="GERA"/>
    <n v="14"/>
    <n v="161.16785999999999"/>
    <n v="0"/>
  </r>
  <r>
    <s v="TV"/>
    <s v="Toyota Verso"/>
    <x v="1081"/>
    <s v="ALBA"/>
    <s v="GERA"/>
    <n v="1"/>
    <n v="148.29386"/>
    <n v="0"/>
  </r>
  <r>
    <s v="TV"/>
    <s v="Toyota Verso"/>
    <x v="1082"/>
    <s v="ALBA"/>
    <s v="SEPA"/>
    <n v="10"/>
    <n v="100.32"/>
    <n v="0"/>
  </r>
  <r>
    <s v="TV"/>
    <s v="Toyota Verso"/>
    <x v="1083"/>
    <s v="ALBA"/>
    <s v="SEPA"/>
    <n v="8"/>
    <n v="116.22"/>
    <n v="0"/>
  </r>
  <r>
    <s v="TV"/>
    <s v="Toyota Verso"/>
    <x v="1084"/>
    <s v="ALBA"/>
    <s v="SEPA"/>
    <n v="1"/>
    <n v="124.98"/>
    <n v="0"/>
  </r>
  <r>
    <s v="TV"/>
    <s v="Toyota Verso"/>
    <x v="1085"/>
    <s v="ALBA"/>
    <s v="GERA"/>
    <n v="1"/>
    <n v="72.575230000000005"/>
    <n v="0"/>
  </r>
  <r>
    <s v="TV"/>
    <s v="Toyota Verso"/>
    <x v="1086"/>
    <s v="ALBA"/>
    <s v="GERA"/>
    <n v="1"/>
    <n v="80.376689999999996"/>
    <n v="0"/>
  </r>
  <r>
    <s v="TV"/>
    <s v="Toyota Verso"/>
    <x v="1087"/>
    <s v="ALBA"/>
    <s v="SEPA"/>
    <n v="66"/>
    <n v="1.99"/>
    <n v="0"/>
  </r>
  <r>
    <s v="TV"/>
    <s v="Toyota Verso"/>
    <x v="1088"/>
    <s v="ALBA"/>
    <s v="SEPA"/>
    <n v="44"/>
    <n v="2.63"/>
    <n v="0"/>
  </r>
  <r>
    <s v="TV"/>
    <s v="Toyota Verso"/>
    <x v="1089"/>
    <s v="ALBA"/>
    <s v="SEPA"/>
    <n v="2"/>
    <n v="31.84"/>
    <n v="0"/>
  </r>
  <r>
    <s v="TV"/>
    <s v="Toyota Verso"/>
    <x v="1090"/>
    <s v="ALBA"/>
    <s v="SEPA"/>
    <n v="2"/>
    <n v="34.58"/>
    <n v="0"/>
  </r>
  <r>
    <s v="TV"/>
    <s v="Toyota Verso"/>
    <x v="1091"/>
    <s v="ALBA"/>
    <s v="SEPA"/>
    <n v="2"/>
    <n v="36.270000000000003"/>
    <n v="0"/>
  </r>
  <r>
    <s v="TV"/>
    <s v="Toyota Verso"/>
    <x v="1092"/>
    <s v="ALBA"/>
    <s v="SEPA"/>
    <n v="1"/>
    <n v="32.75"/>
    <n v="0"/>
  </r>
  <r>
    <s v="TV"/>
    <s v="Toyota Verso"/>
    <x v="1093"/>
    <s v="ALBA"/>
    <s v="SEPA"/>
    <n v="11"/>
    <n v="35.5"/>
    <n v="0"/>
  </r>
  <r>
    <s v="TV"/>
    <s v="Toyota Verso"/>
    <x v="1094"/>
    <s v="ALBA"/>
    <s v="SEPA"/>
    <n v="10"/>
    <n v="37.18"/>
    <n v="0"/>
  </r>
  <r>
    <s v="TV"/>
    <s v="Toyota Verso"/>
    <x v="1095"/>
    <s v="ALBA"/>
    <s v="SEPA"/>
    <n v="1"/>
    <n v="34.94"/>
    <n v="0"/>
  </r>
  <r>
    <s v="TV"/>
    <s v="Toyota Verso"/>
    <x v="1096"/>
    <s v="ALBA"/>
    <s v="SEPA"/>
    <n v="3"/>
    <n v="32.909999999999997"/>
    <n v="0"/>
  </r>
  <r>
    <s v="TV"/>
    <s v="Toyota Verso"/>
    <x v="1097"/>
    <s v="ALBA"/>
    <s v="SEPA"/>
    <n v="2"/>
    <n v="32.020000000000003"/>
    <n v="0"/>
  </r>
  <r>
    <s v="TV"/>
    <s v="Toyota Verso"/>
    <x v="1098"/>
    <s v="ALBA"/>
    <s v="SEPA"/>
    <n v="6"/>
    <n v="34.770000000000003"/>
    <n v="0"/>
  </r>
  <r>
    <s v="TV"/>
    <s v="Toyota Verso"/>
    <x v="1099"/>
    <s v="ALBA"/>
    <s v="SEPA"/>
    <n v="1"/>
    <n v="37.36"/>
    <n v="0"/>
  </r>
  <r>
    <s v="TV"/>
    <s v="Toyota Verso"/>
    <x v="1100"/>
    <s v="ALBA"/>
    <s v="SEPA"/>
    <n v="6"/>
    <n v="33.299999999999997"/>
    <n v="0"/>
  </r>
  <r>
    <s v="TV"/>
    <s v="Toyota Verso"/>
    <x v="1101"/>
    <s v="ALBA"/>
    <s v="SEPA"/>
    <n v="2"/>
    <n v="35.450000000000003"/>
    <n v="0"/>
  </r>
  <r>
    <s v="TV"/>
    <s v="Toyota Verso"/>
    <x v="1102"/>
    <s v="ALBA"/>
    <s v="GERA"/>
    <n v="13"/>
    <n v="25.266670000000001"/>
    <n v="0"/>
  </r>
  <r>
    <s v="TV"/>
    <s v="Toyota Verso"/>
    <x v="1103"/>
    <s v="ALBA"/>
    <s v="GERA"/>
    <n v="2"/>
    <n v="26.061419999999998"/>
    <n v="0"/>
  </r>
  <r>
    <s v="TV"/>
    <s v="Toyota Verso"/>
    <x v="1104"/>
    <s v="ALBA"/>
    <s v="GERA"/>
    <n v="5"/>
    <n v="21.790890000000001"/>
    <n v="0"/>
  </r>
  <r>
    <s v="TV"/>
    <s v="Toyota Verso"/>
    <x v="1105"/>
    <s v="ALBA"/>
    <s v="GERA"/>
    <n v="1"/>
    <n v="26.721139999999998"/>
    <n v="0"/>
  </r>
  <r>
    <s v="TV"/>
    <s v="Toyota Verso"/>
    <x v="1106"/>
    <s v="ALBA"/>
    <s v="GERA"/>
    <n v="41"/>
    <n v="27.516030000000001"/>
    <n v="0"/>
  </r>
  <r>
    <s v="TV"/>
    <s v="Toyota Verso"/>
    <x v="1107"/>
    <s v="ALBA"/>
    <s v="GERA"/>
    <n v="200"/>
    <n v="0.90332000000000001"/>
    <n v="0"/>
  </r>
  <r>
    <s v="TV"/>
    <s v="Toyota Verso"/>
    <x v="1107"/>
    <s v="ALBA"/>
    <s v="SEPA"/>
    <n v="181"/>
    <n v="0.90332000000000001"/>
    <n v="0"/>
  </r>
  <r>
    <s v="TV"/>
    <s v="Toyota Verso"/>
    <x v="1108"/>
    <s v="ALBA"/>
    <s v="SEPA"/>
    <n v="27"/>
    <n v="1.96"/>
    <n v="0"/>
  </r>
  <r>
    <s v="TV"/>
    <s v="Toyota Verso"/>
    <x v="1109"/>
    <s v="ALBA"/>
    <s v="SEPA"/>
    <n v="398"/>
    <n v="0.37"/>
    <n v="0"/>
  </r>
  <r>
    <s v="YA"/>
    <s v="Toyota Yaris"/>
    <x v="1110"/>
    <s v="ALBA"/>
    <s v="SEPA"/>
    <n v="3"/>
    <n v="46.23"/>
    <n v="0"/>
  </r>
  <r>
    <s v="YA"/>
    <s v="Toyota Yaris"/>
    <x v="1111"/>
    <s v="ALBA"/>
    <s v="SEPA"/>
    <n v="9"/>
    <n v="45.54"/>
    <n v="0"/>
  </r>
  <r>
    <s v="YA"/>
    <s v="Toyota Yaris"/>
    <x v="1112"/>
    <s v="ALBA"/>
    <s v="SEPA"/>
    <n v="2"/>
    <n v="69.848259999999996"/>
    <n v="0"/>
  </r>
  <r>
    <s v="YA"/>
    <s v="Toyota Yaris"/>
    <x v="1113"/>
    <s v="ALBA"/>
    <s v="SEPA"/>
    <n v="3"/>
    <n v="56.06"/>
    <n v="0"/>
  </r>
  <r>
    <s v="YA"/>
    <s v="Toyota Yaris"/>
    <x v="1114"/>
    <s v="ALBA"/>
    <s v="SEPA"/>
    <n v="11"/>
    <n v="88"/>
    <n v="0"/>
  </r>
  <r>
    <s v="YA"/>
    <s v="Toyota Yaris"/>
    <x v="1115"/>
    <s v="ALBA"/>
    <s v="GERA"/>
    <n v="20"/>
    <n v="73.605519999999999"/>
    <n v="0"/>
  </r>
  <r>
    <s v="YA"/>
    <s v="Toyota Yaris"/>
    <x v="1115"/>
    <s v="ALBA"/>
    <s v="SEPA"/>
    <n v="1"/>
    <n v="73.605519999999999"/>
    <n v="0"/>
  </r>
  <r>
    <s v="YA"/>
    <s v="Toyota Yaris"/>
    <x v="1116"/>
    <s v="ALBA"/>
    <s v="GERA"/>
    <n v="3"/>
    <n v="50.96"/>
    <n v="0"/>
  </r>
  <r>
    <s v="YA"/>
    <s v="Toyota Yaris"/>
    <x v="1117"/>
    <s v="ALBA"/>
    <s v="SEPA"/>
    <n v="3"/>
    <n v="45.73"/>
    <n v="0"/>
  </r>
  <r>
    <s v="YA"/>
    <s v="Toyota Yaris"/>
    <x v="1118"/>
    <s v="ALBA"/>
    <s v="SEPA"/>
    <n v="15"/>
    <n v="50.23"/>
    <n v="0"/>
  </r>
  <r>
    <s v="YA"/>
    <s v="Toyota Yaris"/>
    <x v="1119"/>
    <s v="ALBA"/>
    <s v="SEPA"/>
    <n v="14"/>
    <n v="41.36"/>
    <n v="0"/>
  </r>
  <r>
    <s v="YA"/>
    <s v="Toyota Yaris"/>
    <x v="1120"/>
    <s v="ALBA"/>
    <s v="SEPA"/>
    <n v="2"/>
    <n v="41.07"/>
    <n v="0"/>
  </r>
  <r>
    <s v="YA"/>
    <s v="Toyota Yaris"/>
    <x v="1121"/>
    <s v="ALBA"/>
    <s v="SEPA"/>
    <n v="10"/>
    <n v="44.83"/>
    <n v="0"/>
  </r>
  <r>
    <s v="YA"/>
    <s v="Toyota Yaris"/>
    <x v="1122"/>
    <s v="ALBA"/>
    <s v="SEPA"/>
    <n v="7"/>
    <n v="45.31"/>
    <n v="0"/>
  </r>
  <r>
    <s v="YA"/>
    <s v="Toyota Yaris"/>
    <x v="1123"/>
    <s v="ALBA"/>
    <s v="SEPA"/>
    <n v="3"/>
    <n v="50.32"/>
    <n v="0"/>
  </r>
  <r>
    <s v="YA"/>
    <s v="Toyota Yaris"/>
    <x v="1124"/>
    <s v="ALBA"/>
    <s v="SEPA"/>
    <n v="3"/>
    <n v="51.19"/>
    <n v="0"/>
  </r>
  <r>
    <s v="YA"/>
    <s v="Toyota Yaris"/>
    <x v="1125"/>
    <s v="ONNA"/>
    <s v="SEPA"/>
    <n v="18"/>
    <n v="41.43"/>
    <n v="0"/>
  </r>
  <r>
    <s v="YA"/>
    <s v="Toyota Yaris"/>
    <x v="1126"/>
    <s v="ALBA"/>
    <s v="SEPA"/>
    <n v="1"/>
    <n v="42.567520000000002"/>
    <n v="0"/>
  </r>
  <r>
    <s v="YA"/>
    <s v="Toyota Yaris"/>
    <x v="1127"/>
    <s v="ALBA"/>
    <s v="SEPA"/>
    <n v="2"/>
    <n v="49.35"/>
    <n v="0"/>
  </r>
  <r>
    <s v="YA"/>
    <s v="Toyota Yaris"/>
    <x v="1128"/>
    <s v="ONNA"/>
    <s v="SEPA"/>
    <n v="4"/>
    <n v="40.630000000000003"/>
    <n v="0"/>
  </r>
  <r>
    <s v="YA"/>
    <s v="Toyota Yaris"/>
    <x v="1129"/>
    <s v="ONNA"/>
    <s v="SEPA"/>
    <n v="61"/>
    <n v="36.380000000000003"/>
    <n v="0"/>
  </r>
  <r>
    <s v="YA"/>
    <s v="Toyota Yaris"/>
    <x v="1130"/>
    <s v="ONNA"/>
    <s v="SEPA"/>
    <n v="4"/>
    <n v="39.25"/>
    <n v="0"/>
  </r>
  <r>
    <s v="YA"/>
    <s v="Toyota Yaris"/>
    <x v="1131"/>
    <s v="ALBA"/>
    <s v="SEPA"/>
    <n v="1"/>
    <n v="45.05"/>
    <n v="0"/>
  </r>
  <r>
    <s v="YA"/>
    <s v="Toyota Yaris"/>
    <x v="1132"/>
    <s v="ALBA"/>
    <s v="SEPA"/>
    <n v="2"/>
    <n v="52.92"/>
    <n v="0"/>
  </r>
  <r>
    <s v="YA"/>
    <s v="Toyota Yaris"/>
    <x v="1133"/>
    <s v="ALBA"/>
    <s v="SEPA"/>
    <n v="6"/>
    <n v="53.93"/>
    <n v="0"/>
  </r>
  <r>
    <s v="YA"/>
    <s v="Toyota Yaris"/>
    <x v="1134"/>
    <s v="ONNA"/>
    <s v="SEPA"/>
    <n v="61"/>
    <n v="45.78"/>
    <n v="0"/>
  </r>
  <r>
    <s v="YA"/>
    <s v="Toyota Yaris"/>
    <x v="1135"/>
    <s v="ONNA"/>
    <s v="SEPA"/>
    <n v="15"/>
    <n v="44.96"/>
    <n v="0"/>
  </r>
  <r>
    <s v="YA"/>
    <s v="Toyota Yaris"/>
    <x v="1136"/>
    <s v="ONNA"/>
    <s v="SEPA"/>
    <n v="8"/>
    <n v="48.98"/>
    <n v="0"/>
  </r>
  <r>
    <s v="YA"/>
    <s v="Toyota Yaris"/>
    <x v="1137"/>
    <s v="ONNA"/>
    <s v="SEPA"/>
    <n v="120"/>
    <n v="50.25"/>
    <n v="0"/>
  </r>
  <r>
    <s v="YA"/>
    <s v="Toyota Yaris"/>
    <x v="1138"/>
    <s v="ONNA"/>
    <s v="SEPA"/>
    <n v="15"/>
    <n v="68.98"/>
    <n v="0"/>
  </r>
  <r>
    <s v="YA"/>
    <s v="Toyota Yaris"/>
    <x v="1139"/>
    <s v="ALBA"/>
    <s v="SEPA"/>
    <n v="717"/>
    <n v="3.15"/>
    <n v="0"/>
  </r>
  <r>
    <s v="YA"/>
    <s v="Toyota Yaris"/>
    <x v="1140"/>
    <s v="ALBA"/>
    <s v="SEPA"/>
    <n v="1"/>
    <n v="2.5488"/>
    <n v="0"/>
  </r>
  <r>
    <s v="YA"/>
    <s v="Toyota Yaris"/>
    <x v="1141"/>
    <s v="ALBA"/>
    <s v="SEPA"/>
    <n v="31"/>
    <n v="3.3614899999999999"/>
    <n v="0"/>
  </r>
  <r>
    <s v="YA"/>
    <s v="Toyota Yaris"/>
    <x v="1142"/>
    <s v="ALBA"/>
    <s v="SEPA"/>
    <n v="13"/>
    <n v="3.45"/>
    <n v="0"/>
  </r>
  <r>
    <s v="YA"/>
    <s v="Toyota Yaris"/>
    <x v="1143"/>
    <s v="ALBA"/>
    <s v="SEPA"/>
    <n v="62"/>
    <n v="3.7"/>
    <n v="0"/>
  </r>
  <r>
    <s v="YA"/>
    <s v="Toyota Yaris"/>
    <x v="1144"/>
    <s v="ALBA"/>
    <s v="SEPA"/>
    <n v="179"/>
    <n v="3.57"/>
    <n v="0"/>
  </r>
  <r>
    <s v="YA"/>
    <s v="Toyota Yaris"/>
    <x v="1145"/>
    <s v="ALBA"/>
    <s v="SEPA"/>
    <n v="3"/>
    <n v="83.65"/>
    <n v="0"/>
  </r>
  <r>
    <s v="YA"/>
    <s v="Toyota Yaris"/>
    <x v="1146"/>
    <s v="ALBA"/>
    <s v="SEPA"/>
    <n v="1"/>
    <n v="78.39"/>
    <n v="0"/>
  </r>
  <r>
    <s v="YA"/>
    <s v="Toyota Yaris"/>
    <x v="1147"/>
    <s v="ALBA"/>
    <s v="SEPA"/>
    <n v="6"/>
    <n v="80.27"/>
    <n v="0"/>
  </r>
  <r>
    <s v="YA"/>
    <s v="Toyota Yaris"/>
    <x v="1148"/>
    <s v="ALBA"/>
    <s v="SEPA"/>
    <n v="2"/>
    <n v="88"/>
    <n v="0"/>
  </r>
  <r>
    <s v="YA"/>
    <s v="Toyota Yaris"/>
    <x v="1149"/>
    <s v="ALBA"/>
    <s v="SEPA"/>
    <n v="1"/>
    <n v="74.92"/>
    <n v="0"/>
  </r>
  <r>
    <s v="YA"/>
    <s v="Toyota Yaris"/>
    <x v="1150"/>
    <s v="ALBA"/>
    <s v="SEPA"/>
    <n v="2"/>
    <n v="74.568550000000002"/>
    <n v="0"/>
  </r>
  <r>
    <s v="YA"/>
    <s v="Toyota Yaris"/>
    <x v="1151"/>
    <s v="ALBA"/>
    <s v="SEPA"/>
    <n v="3"/>
    <n v="68.42"/>
    <n v="0"/>
  </r>
  <r>
    <s v="YA"/>
    <s v="Toyota Yaris"/>
    <x v="1152"/>
    <s v="ALBA"/>
    <s v="SEPA"/>
    <n v="1"/>
    <n v="97.6"/>
    <n v="0"/>
  </r>
  <r>
    <s v="YA"/>
    <s v="Toyota Yaris"/>
    <x v="1153"/>
    <s v="ONNA"/>
    <s v="SEPA"/>
    <n v="2"/>
    <n v="66.52"/>
    <n v="0"/>
  </r>
  <r>
    <s v="YA"/>
    <s v="Toyota Yaris"/>
    <x v="1154"/>
    <s v="ONNA"/>
    <s v="SEPA"/>
    <n v="68"/>
    <n v="66.81"/>
    <n v="0"/>
  </r>
  <r>
    <s v="YA"/>
    <s v="Toyota Yaris"/>
    <x v="1155"/>
    <s v="ONNA"/>
    <s v="SEPA"/>
    <n v="78"/>
    <n v="73.02"/>
    <n v="0"/>
  </r>
  <r>
    <s v="YA"/>
    <s v="Toyota Yaris"/>
    <x v="1156"/>
    <s v="ONNA"/>
    <s v="SEPA"/>
    <n v="25"/>
    <n v="74.89"/>
    <n v="0"/>
  </r>
  <r>
    <s v="YA"/>
    <s v="Toyota Yaris"/>
    <x v="1157"/>
    <s v="ONNA"/>
    <s v="SEPA"/>
    <n v="2"/>
    <n v="66.48"/>
    <n v="0"/>
  </r>
  <r>
    <s v="YA"/>
    <s v="Toyota Yaris"/>
    <x v="1158"/>
    <s v="ONNA"/>
    <s v="SEPA"/>
    <n v="18"/>
    <n v="73.319999999999993"/>
    <n v="0"/>
  </r>
  <r>
    <s v="YA"/>
    <s v="Toyota Yaris"/>
    <x v="1159"/>
    <s v="ONNA"/>
    <s v="SEPA"/>
    <n v="5"/>
    <n v="75.2"/>
    <n v="0"/>
  </r>
  <r>
    <s v="YA"/>
    <s v="Toyota Yaris"/>
    <x v="1160"/>
    <s v="ONNA"/>
    <s v="SEPA"/>
    <n v="50"/>
    <n v="71.16"/>
    <n v="0"/>
  </r>
  <r>
    <s v="YA"/>
    <s v="Toyota Yaris"/>
    <x v="1161"/>
    <s v="ALBA"/>
    <s v="SEPA"/>
    <n v="2"/>
    <n v="71.040000000000006"/>
    <n v="0"/>
  </r>
  <r>
    <s v="YA"/>
    <s v="Toyota Yaris"/>
    <x v="1162"/>
    <s v="ALBA"/>
    <s v="SEPA"/>
    <n v="46"/>
    <n v="92.65"/>
    <n v="0"/>
  </r>
  <r>
    <s v="YA"/>
    <s v="Toyota Yaris"/>
    <x v="1163"/>
    <s v="ALBA"/>
    <s v="SEPA"/>
    <n v="10"/>
    <n v="72.98"/>
    <n v="0"/>
  </r>
  <r>
    <s v="YA"/>
    <s v="Toyota Yaris"/>
    <x v="1164"/>
    <s v="ALBA"/>
    <s v="SEPA"/>
    <n v="2"/>
    <n v="62.45"/>
    <n v="0"/>
  </r>
  <r>
    <s v="YA"/>
    <s v="Toyota Yaris"/>
    <x v="1165"/>
    <s v="ALBA"/>
    <s v="RWRK"/>
    <n v="8"/>
    <n v="92.874080000000006"/>
    <n v="0"/>
  </r>
  <r>
    <s v="YA"/>
    <s v="Toyota Yaris"/>
    <x v="1165"/>
    <s v="ALBA"/>
    <s v="SEPA"/>
    <n v="8"/>
    <n v="92.874080000000006"/>
    <n v="0"/>
  </r>
  <r>
    <s v="YA"/>
    <s v="Toyota Yaris"/>
    <x v="1166"/>
    <s v="ALBA"/>
    <s v="SEPA"/>
    <n v="2"/>
    <n v="65.94"/>
    <n v="0"/>
  </r>
  <r>
    <s v="YA"/>
    <s v="Toyota Yaris"/>
    <x v="1167"/>
    <s v="ALBA"/>
    <s v="RWRK"/>
    <n v="4"/>
    <n v="131.20479"/>
    <n v="0"/>
  </r>
  <r>
    <s v="YA"/>
    <s v="Toyota Yaris"/>
    <x v="1168"/>
    <s v="ALBA"/>
    <s v="SEPA"/>
    <n v="4"/>
    <n v="71.69"/>
    <n v="0"/>
  </r>
  <r>
    <s v="YA"/>
    <s v="Toyota Yaris"/>
    <x v="1169"/>
    <s v="ALBA"/>
    <s v="SEPA"/>
    <n v="2"/>
    <n v="98.7"/>
    <n v="0"/>
  </r>
  <r>
    <s v="YA"/>
    <s v="Toyota Yaris"/>
    <x v="1170"/>
    <s v="ALBA"/>
    <s v="SEPA"/>
    <n v="3"/>
    <n v="77.540000000000006"/>
    <n v="0"/>
  </r>
  <r>
    <s v="YA"/>
    <s v="Toyota Yaris"/>
    <x v="1171"/>
    <s v="ONNA"/>
    <s v="SEPA"/>
    <n v="13"/>
    <n v="76.36"/>
    <n v="0"/>
  </r>
  <r>
    <s v="YA"/>
    <s v="Toyota Yaris"/>
    <x v="1172"/>
    <s v="ALBA"/>
    <s v="SEPA"/>
    <n v="10"/>
    <n v="68.73"/>
    <n v="0"/>
  </r>
  <r>
    <s v="YA"/>
    <s v="Toyota Yaris"/>
    <x v="1173"/>
    <s v="ONNA"/>
    <s v="SEPA"/>
    <n v="10"/>
    <n v="72.66"/>
    <n v="0"/>
  </r>
  <r>
    <s v="YA"/>
    <s v="Toyota Yaris"/>
    <x v="1174"/>
    <s v="ALBA"/>
    <s v="RWRK"/>
    <n v="16"/>
    <n v="94.10718"/>
    <n v="0"/>
  </r>
  <r>
    <s v="YA"/>
    <s v="Toyota Yaris"/>
    <x v="1174"/>
    <s v="ALBA"/>
    <s v="SEPA"/>
    <n v="14"/>
    <n v="94.10718"/>
    <n v="0"/>
  </r>
  <r>
    <s v="YA"/>
    <s v="Toyota Yaris"/>
    <x v="1175"/>
    <s v="ONNA"/>
    <s v="SEPA"/>
    <n v="13"/>
    <n v="66.819999999999993"/>
    <n v="0"/>
  </r>
  <r>
    <s v="YA"/>
    <s v="Toyota Yaris"/>
    <x v="1176"/>
    <s v="ONNA"/>
    <s v="SEPA"/>
    <n v="20"/>
    <n v="67.73"/>
    <n v="0"/>
  </r>
  <r>
    <s v="YA"/>
    <s v="Toyota Yaris"/>
    <x v="1177"/>
    <s v="ONNA"/>
    <s v="SEPA"/>
    <n v="35"/>
    <n v="73.459999999999994"/>
    <n v="0"/>
  </r>
  <r>
    <s v="YA"/>
    <s v="Toyota Yaris"/>
    <x v="1178"/>
    <s v="ONNA"/>
    <s v="SEPA"/>
    <n v="10"/>
    <n v="72.349999999999994"/>
    <n v="0"/>
  </r>
  <r>
    <s v="YA"/>
    <s v="Toyota Yaris"/>
    <x v="1179"/>
    <s v="ALBA"/>
    <s v="SEPA"/>
    <n v="132"/>
    <n v="96.92"/>
    <n v="0"/>
  </r>
  <r>
    <s v="YA"/>
    <s v="Toyota Yaris"/>
    <x v="1180"/>
    <s v="ONNA"/>
    <s v="SEPA"/>
    <n v="32"/>
    <n v="76.45"/>
    <n v="0"/>
  </r>
  <r>
    <s v="YA"/>
    <s v="Toyota Yaris"/>
    <x v="1181"/>
    <s v="ONNA"/>
    <s v="SEPA"/>
    <n v="40"/>
    <n v="80.37"/>
    <n v="0"/>
  </r>
  <r>
    <s v="YA"/>
    <s v="Toyota Yaris"/>
    <x v="1182"/>
    <s v="ALBA"/>
    <s v="SEPA"/>
    <n v="3"/>
    <n v="89.67"/>
    <n v="0"/>
  </r>
  <r>
    <s v="YA"/>
    <s v="Toyota Yaris"/>
    <x v="1183"/>
    <s v="ALBA"/>
    <s v="SEPA"/>
    <n v="5"/>
    <n v="89.6"/>
    <n v="0"/>
  </r>
  <r>
    <s v="YA"/>
    <s v="Toyota Yaris"/>
    <x v="1184"/>
    <s v="ALBA"/>
    <s v="SEPA"/>
    <n v="499"/>
    <n v="99.69"/>
    <n v="0"/>
  </r>
  <r>
    <s v="YA"/>
    <s v="Toyota Yaris"/>
    <x v="1185"/>
    <s v="ALBA"/>
    <s v="SEPA"/>
    <n v="9"/>
    <n v="78.489999999999995"/>
    <n v="0"/>
  </r>
  <r>
    <s v="YA"/>
    <s v="Toyota Yaris"/>
    <x v="1186"/>
    <s v="ALBA"/>
    <s v="SEPA"/>
    <n v="12"/>
    <n v="100.22"/>
    <n v="0"/>
  </r>
  <r>
    <s v="YA"/>
    <s v="Toyota Yaris"/>
    <x v="1187"/>
    <s v="ALBA"/>
    <s v="SEPA"/>
    <n v="8"/>
    <n v="78.78"/>
    <n v="0"/>
  </r>
  <r>
    <s v="YA"/>
    <s v="Toyota Yaris"/>
    <x v="1188"/>
    <s v="ONNA"/>
    <s v="SEPA"/>
    <n v="34"/>
    <n v="67.98"/>
    <n v="0"/>
  </r>
  <r>
    <s v="YA"/>
    <s v="Toyota Yaris"/>
    <x v="1189"/>
    <s v="ONNA"/>
    <s v="SEPA"/>
    <n v="10"/>
    <n v="70.819999999999993"/>
    <n v="0"/>
  </r>
  <r>
    <s v="YA"/>
    <s v="Toyota Yaris"/>
    <x v="1190"/>
    <s v="ONNA"/>
    <s v="SEPA"/>
    <n v="2"/>
    <n v="68.900000000000006"/>
    <n v="0"/>
  </r>
  <r>
    <s v="YA"/>
    <s v="Toyota Yaris"/>
    <x v="1191"/>
    <s v="ALBA"/>
    <s v="GERA"/>
    <n v="5"/>
    <n v="84.46"/>
    <n v="0"/>
  </r>
  <r>
    <s v="YA"/>
    <s v="Toyota Yaris"/>
    <x v="1191"/>
    <s v="ALBA"/>
    <s v="SEPA"/>
    <n v="5"/>
    <n v="84.46"/>
    <n v="0"/>
  </r>
  <r>
    <s v="YA"/>
    <s v="Toyota Yaris"/>
    <x v="1192"/>
    <s v="ALBA"/>
    <s v="SEPA"/>
    <n v="6"/>
    <n v="69.959999999999994"/>
    <n v="0"/>
  </r>
  <r>
    <s v="YA"/>
    <s v="Toyota Yaris"/>
    <x v="1193"/>
    <s v="ALBA"/>
    <s v="SEPA"/>
    <n v="5"/>
    <n v="65.84"/>
    <n v="0"/>
  </r>
  <r>
    <s v="YA"/>
    <s v="Toyota Yaris"/>
    <x v="1194"/>
    <s v="ALBA"/>
    <s v="SEPA"/>
    <n v="1"/>
    <n v="81.209999999999994"/>
    <n v="0"/>
  </r>
  <r>
    <s v="YA"/>
    <s v="Toyota Yaris"/>
    <x v="1195"/>
    <s v="ALBA"/>
    <s v="SEPA"/>
    <n v="1"/>
    <n v="85.95"/>
    <n v="0"/>
  </r>
  <r>
    <s v="YA"/>
    <s v="Toyota Yaris"/>
    <x v="1196"/>
    <s v="ALBA"/>
    <s v="SEPA"/>
    <n v="1"/>
    <n v="80.511759999999995"/>
    <n v="0"/>
  </r>
  <r>
    <s v="YA"/>
    <s v="Toyota Yaris"/>
    <x v="1197"/>
    <s v="ALBA"/>
    <s v="SEPA"/>
    <n v="2"/>
    <n v="75.069999999999993"/>
    <n v="0"/>
  </r>
  <r>
    <s v="YA"/>
    <s v="Toyota Yaris"/>
    <x v="1198"/>
    <s v="ALBA"/>
    <s v="GERA"/>
    <n v="2"/>
    <n v="66.28"/>
    <n v="0"/>
  </r>
  <r>
    <s v="YA"/>
    <s v="Toyota Yaris"/>
    <x v="1198"/>
    <s v="ALBA"/>
    <s v="SEPA"/>
    <n v="24"/>
    <n v="66.28"/>
    <n v="0"/>
  </r>
  <r>
    <s v="YA"/>
    <s v="Toyota Yaris"/>
    <x v="1199"/>
    <s v="ALBA"/>
    <s v="SEPA"/>
    <n v="13"/>
    <n v="70.069999999999993"/>
    <n v="0"/>
  </r>
  <r>
    <s v="YA"/>
    <s v="Toyota Yaris"/>
    <x v="1200"/>
    <s v="ALBA"/>
    <s v="SEPA"/>
    <n v="1"/>
    <n v="61.78"/>
    <n v="0"/>
  </r>
  <r>
    <s v="YA"/>
    <s v="Toyota Yaris"/>
    <x v="1201"/>
    <s v="ALBA"/>
    <s v="SEPA"/>
    <n v="2"/>
    <n v="64.010000000000005"/>
    <n v="0"/>
  </r>
  <r>
    <s v="YA"/>
    <s v="Toyota Yaris"/>
    <x v="1202"/>
    <s v="ALBA"/>
    <s v="SEPA"/>
    <n v="1"/>
    <n v="67.760000000000005"/>
    <n v="0"/>
  </r>
  <r>
    <s v="YA"/>
    <s v="Toyota Yaris"/>
    <x v="1203"/>
    <s v="ALBA"/>
    <s v="SEPA"/>
    <n v="4"/>
    <n v="69.680000000000007"/>
    <n v="0"/>
  </r>
  <r>
    <s v="YA"/>
    <s v="Toyota Yaris"/>
    <x v="1204"/>
    <s v="ALBA"/>
    <s v="SEPA"/>
    <n v="4"/>
    <n v="75.38"/>
    <n v="0"/>
  </r>
  <r>
    <s v="YA"/>
    <s v="Toyota Yaris"/>
    <x v="1205"/>
    <s v="ALBA"/>
    <s v="SEPA"/>
    <n v="2"/>
    <n v="77.13"/>
    <n v="0"/>
  </r>
  <r>
    <s v="YA"/>
    <s v="Toyota Yaris"/>
    <x v="1206"/>
    <s v="ALBA"/>
    <s v="SEPA"/>
    <n v="7"/>
    <n v="66.97"/>
    <n v="0"/>
  </r>
  <r>
    <s v="YA"/>
    <s v="Toyota Yaris"/>
    <x v="1207"/>
    <s v="ALBA"/>
    <s v="SEPA"/>
    <n v="14"/>
    <n v="63.99"/>
    <n v="0"/>
  </r>
  <r>
    <s v="YA"/>
    <s v="Toyota Yaris"/>
    <x v="1208"/>
    <s v="ALBA"/>
    <s v="SEPA"/>
    <n v="4"/>
    <n v="65.95"/>
    <n v="0"/>
  </r>
  <r>
    <s v="YA"/>
    <s v="Toyota Yaris"/>
    <x v="1209"/>
    <s v="ALBA"/>
    <s v="SEPA"/>
    <n v="4"/>
    <n v="62.14"/>
    <n v="0"/>
  </r>
  <r>
    <s v="YA"/>
    <s v="Toyota Yaris"/>
    <x v="1210"/>
    <s v="ALBA"/>
    <s v="SEPA"/>
    <n v="2"/>
    <n v="65.66"/>
    <n v="0"/>
  </r>
  <r>
    <s v="YA"/>
    <s v="Toyota Yaris"/>
    <x v="1211"/>
    <s v="ALBA"/>
    <s v="SEPA"/>
    <n v="3"/>
    <n v="69.83"/>
    <n v="0"/>
  </r>
  <r>
    <s v="YA"/>
    <s v="Toyota Yaris"/>
    <x v="1212"/>
    <s v="ALBA"/>
    <s v="GERA"/>
    <n v="1"/>
    <n v="72.08"/>
    <n v="0"/>
  </r>
  <r>
    <s v="YA"/>
    <s v="Toyota Yaris"/>
    <x v="1212"/>
    <s v="ALBA"/>
    <s v="SEPA"/>
    <n v="2"/>
    <n v="72.08"/>
    <n v="0"/>
  </r>
  <r>
    <s v="YA"/>
    <s v="Toyota Yaris"/>
    <x v="1213"/>
    <s v="ALBA"/>
    <s v="SEPA"/>
    <n v="2"/>
    <n v="69.12"/>
    <n v="0"/>
  </r>
  <r>
    <s v="YA"/>
    <s v="Toyota Yaris"/>
    <x v="1214"/>
    <s v="ALBA"/>
    <s v="SEPA"/>
    <n v="4"/>
    <n v="78.69"/>
    <n v="0"/>
  </r>
  <r>
    <s v="YA"/>
    <s v="Toyota Yaris"/>
    <x v="1215"/>
    <s v="ALBA"/>
    <s v="GERA"/>
    <n v="1"/>
    <n v="71.5"/>
    <n v="0"/>
  </r>
  <r>
    <s v="YA"/>
    <s v="Toyota Yaris"/>
    <x v="1215"/>
    <s v="ALBA"/>
    <s v="SEPA"/>
    <n v="2"/>
    <n v="71.5"/>
    <n v="0"/>
  </r>
  <r>
    <s v="YA"/>
    <s v="Toyota Yaris"/>
    <x v="1216"/>
    <s v="ALBA"/>
    <s v="SEPA"/>
    <n v="4"/>
    <n v="68.95"/>
    <n v="0"/>
  </r>
  <r>
    <s v="YA"/>
    <s v="Toyota Yaris"/>
    <x v="1217"/>
    <s v="ALBA"/>
    <s v="SEPA"/>
    <n v="4"/>
    <n v="65.63"/>
    <n v="0"/>
  </r>
  <r>
    <s v="YA"/>
    <s v="Toyota Yaris"/>
    <x v="1218"/>
    <s v="ALBA"/>
    <s v="SEPA"/>
    <n v="4"/>
    <n v="72.540000000000006"/>
    <n v="0"/>
  </r>
  <r>
    <s v="YA"/>
    <s v="Toyota Yaris"/>
    <x v="1219"/>
    <s v="ALBA"/>
    <s v="SEPA"/>
    <n v="4"/>
    <n v="69.53"/>
    <n v="0"/>
  </r>
  <r>
    <s v="YA"/>
    <s v="Toyota Yaris"/>
    <x v="1220"/>
    <s v="ALBA"/>
    <s v="GERA"/>
    <n v="1"/>
    <n v="71.97"/>
    <n v="0"/>
  </r>
  <r>
    <s v="YA"/>
    <s v="Toyota Yaris"/>
    <x v="1220"/>
    <s v="ALBA"/>
    <s v="SEPA"/>
    <n v="4"/>
    <n v="71.97"/>
    <n v="0"/>
  </r>
  <r>
    <s v="YA"/>
    <s v="Toyota Yaris"/>
    <x v="1221"/>
    <s v="ALBA"/>
    <s v="SEPA"/>
    <n v="2"/>
    <n v="79.150000000000006"/>
    <n v="0"/>
  </r>
  <r>
    <s v="YA"/>
    <s v="Toyota Yaris"/>
    <x v="1222"/>
    <s v="ALBA"/>
    <s v="SEPA"/>
    <n v="4"/>
    <n v="70.709999999999994"/>
    <n v="0"/>
  </r>
  <r>
    <s v="YA"/>
    <s v="Toyota Yaris"/>
    <x v="1223"/>
    <s v="ALBA"/>
    <s v="SEPA"/>
    <n v="4"/>
    <n v="80.34"/>
    <n v="0"/>
  </r>
  <r>
    <s v="YA"/>
    <s v="Toyota Yaris"/>
    <x v="1224"/>
    <s v="ALBA"/>
    <s v="SEPA"/>
    <n v="4"/>
    <n v="73.150000000000006"/>
    <n v="0"/>
  </r>
  <r>
    <s v="YA"/>
    <s v="Toyota Yaris"/>
    <x v="1225"/>
    <s v="ALBA"/>
    <s v="SEPA"/>
    <n v="4"/>
    <n v="69.540000000000006"/>
    <n v="0"/>
  </r>
  <r>
    <s v="YA"/>
    <s v="Toyota Yaris"/>
    <x v="1226"/>
    <s v="ALBA"/>
    <s v="SEPA"/>
    <n v="6"/>
    <n v="62.62"/>
    <n v="0"/>
  </r>
  <r>
    <s v="YA"/>
    <s v="Toyota Yaris"/>
    <x v="1227"/>
    <s v="ALBA"/>
    <s v="SEPA"/>
    <n v="1"/>
    <n v="68.66"/>
    <n v="0"/>
  </r>
  <r>
    <s v="YA"/>
    <s v="Toyota Yaris"/>
    <x v="1228"/>
    <s v="ALBA"/>
    <s v="SEPA"/>
    <n v="12"/>
    <n v="65.05"/>
    <n v="0"/>
  </r>
  <r>
    <s v="YA"/>
    <s v="Toyota Yaris"/>
    <x v="1229"/>
    <s v="ALBA"/>
    <s v="GERA"/>
    <n v="1"/>
    <n v="65.16"/>
    <n v="0"/>
  </r>
  <r>
    <s v="YA"/>
    <s v="Toyota Yaris"/>
    <x v="1229"/>
    <s v="ALBA"/>
    <s v="SEPA"/>
    <n v="1"/>
    <n v="65.16"/>
    <n v="0"/>
  </r>
  <r>
    <s v="YA"/>
    <s v="Toyota Yaris"/>
    <x v="1230"/>
    <s v="ALBA"/>
    <s v="GERA"/>
    <n v="1"/>
    <n v="65.13"/>
    <n v="0"/>
  </r>
  <r>
    <s v="YA"/>
    <s v="Toyota Yaris"/>
    <x v="1230"/>
    <s v="ALBA"/>
    <s v="SEPA"/>
    <n v="4"/>
    <n v="65.13"/>
    <n v="0"/>
  </r>
  <r>
    <s v="YA"/>
    <s v="Toyota Yaris"/>
    <x v="1231"/>
    <s v="ALBA"/>
    <s v="SEPA"/>
    <n v="2"/>
    <n v="65.11"/>
    <n v="0"/>
  </r>
  <r>
    <s v="YA"/>
    <s v="Toyota Yaris"/>
    <x v="1232"/>
    <s v="ALBA"/>
    <s v="SEPA"/>
    <n v="2"/>
    <n v="67.36"/>
    <n v="0"/>
  </r>
  <r>
    <s v="YA"/>
    <s v="Toyota Yaris"/>
    <x v="1233"/>
    <s v="ALBA"/>
    <s v="SEPA"/>
    <n v="7"/>
    <n v="69.52"/>
    <n v="0"/>
  </r>
  <r>
    <s v="YA"/>
    <s v="Toyota Yaris"/>
    <x v="1234"/>
    <s v="ALBA"/>
    <s v="SEPA"/>
    <n v="5"/>
    <n v="74.099999999999994"/>
    <n v="0"/>
  </r>
  <r>
    <s v="YA"/>
    <s v="Toyota Yaris"/>
    <x v="1235"/>
    <s v="ALBA"/>
    <s v="GERA"/>
    <n v="1"/>
    <n v="75.83"/>
    <n v="0"/>
  </r>
  <r>
    <s v="YA"/>
    <s v="Toyota Yaris"/>
    <x v="1235"/>
    <s v="ALBA"/>
    <s v="SEPA"/>
    <n v="4"/>
    <n v="75.83"/>
    <n v="0"/>
  </r>
  <r>
    <s v="YA"/>
    <s v="Toyota Yaris"/>
    <x v="1236"/>
    <s v="ALBA"/>
    <s v="GERA"/>
    <n v="1"/>
    <n v="68.650000000000006"/>
    <n v="0"/>
  </r>
  <r>
    <s v="YA"/>
    <s v="Toyota Yaris"/>
    <x v="1236"/>
    <s v="ALBA"/>
    <s v="SEPA"/>
    <n v="2"/>
    <n v="68.650000000000006"/>
    <n v="0"/>
  </r>
  <r>
    <s v="YA"/>
    <s v="Toyota Yaris"/>
    <x v="1237"/>
    <s v="ALBA"/>
    <s v="GERA"/>
    <n v="1"/>
    <n v="72.959999999999994"/>
    <n v="0"/>
  </r>
  <r>
    <s v="YA"/>
    <s v="Toyota Yaris"/>
    <x v="1237"/>
    <s v="ALBA"/>
    <s v="SEPA"/>
    <n v="7"/>
    <n v="72.959999999999994"/>
    <n v="0"/>
  </r>
  <r>
    <s v="YA"/>
    <s v="Toyota Yaris"/>
    <x v="1238"/>
    <s v="ALBA"/>
    <s v="SEPA"/>
    <n v="4"/>
    <n v="79.150000000000006"/>
    <n v="0"/>
  </r>
  <r>
    <s v="YA"/>
    <s v="Toyota Yaris"/>
    <x v="1239"/>
    <s v="ALBA"/>
    <s v="SEPA"/>
    <n v="4"/>
    <n v="69.11"/>
    <n v="0"/>
  </r>
  <r>
    <s v="YA"/>
    <s v="Toyota Yaris"/>
    <x v="1240"/>
    <s v="ALBA"/>
    <s v="SEPA"/>
    <n v="4"/>
    <n v="73.430000000000007"/>
    <n v="0"/>
  </r>
  <r>
    <s v="YA"/>
    <s v="Toyota Yaris"/>
    <x v="1241"/>
    <s v="ALBA"/>
    <s v="SEPA"/>
    <n v="4"/>
    <n v="68"/>
    <n v="0"/>
  </r>
  <r>
    <s v="YA"/>
    <s v="Toyota Yaris"/>
    <x v="1242"/>
    <s v="ALBA"/>
    <s v="SEPA"/>
    <n v="4"/>
    <n v="74.569999999999993"/>
    <n v="0"/>
  </r>
  <r>
    <s v="YA"/>
    <s v="Toyota Yaris"/>
    <x v="1243"/>
    <s v="ALBA"/>
    <s v="SEPA"/>
    <n v="2"/>
    <n v="68.430000000000007"/>
    <n v="0"/>
  </r>
  <r>
    <s v="YA"/>
    <s v="Toyota Yaris"/>
    <x v="1244"/>
    <s v="ALBA"/>
    <s v="SEPA"/>
    <n v="1"/>
    <n v="75.86"/>
    <n v="0"/>
  </r>
  <r>
    <s v="YA"/>
    <s v="Toyota Yaris"/>
    <x v="1245"/>
    <s v="ALBA"/>
    <s v="SEPA"/>
    <n v="1"/>
    <n v="70.16"/>
    <n v="0"/>
  </r>
  <r>
    <s v="YA"/>
    <s v="Toyota Yaris"/>
    <x v="1246"/>
    <s v="ALBA"/>
    <s v="SEPA"/>
    <n v="4"/>
    <n v="65.709999999999994"/>
    <n v="0"/>
  </r>
  <r>
    <s v="YA"/>
    <s v="Toyota Yaris"/>
    <x v="1247"/>
    <s v="ONNA"/>
    <s v="SEPA"/>
    <n v="6"/>
    <n v="63.14"/>
    <n v="0"/>
  </r>
  <r>
    <s v="YA"/>
    <s v="Toyota Yaris"/>
    <x v="1248"/>
    <s v="ALBA"/>
    <s v="SEPA"/>
    <n v="5"/>
    <n v="60.67"/>
    <n v="0"/>
  </r>
  <r>
    <s v="YA"/>
    <s v="Toyota Yaris"/>
    <x v="1249"/>
    <s v="ONNA"/>
    <s v="SEPA"/>
    <n v="1"/>
    <n v="67.03"/>
    <n v="0"/>
  </r>
  <r>
    <s v="YA"/>
    <s v="Toyota Yaris"/>
    <x v="1250"/>
    <s v="ONNA"/>
    <s v="SEPA"/>
    <n v="4"/>
    <n v="68.55"/>
    <n v="0"/>
  </r>
  <r>
    <s v="YA"/>
    <s v="Toyota Yaris"/>
    <x v="1251"/>
    <s v="ONNA"/>
    <s v="SEPA"/>
    <n v="1"/>
    <n v="61.98"/>
    <n v="0"/>
  </r>
  <r>
    <s v="YA"/>
    <s v="Toyota Yaris"/>
    <x v="1252"/>
    <s v="ONNA"/>
    <s v="SEPA"/>
    <n v="2"/>
    <n v="58.76"/>
    <n v="0"/>
  </r>
  <r>
    <s v="YA"/>
    <s v="Toyota Yaris"/>
    <x v="1253"/>
    <s v="ALBA"/>
    <s v="SEPA"/>
    <n v="1"/>
    <n v="65.72"/>
    <n v="0"/>
  </r>
  <r>
    <s v="YA"/>
    <s v="Toyota Yaris"/>
    <x v="1254"/>
    <s v="ONNA"/>
    <s v="SEPA"/>
    <n v="6"/>
    <n v="68.16"/>
    <n v="0"/>
  </r>
  <r>
    <s v="YA"/>
    <s v="Toyota Yaris"/>
    <x v="1255"/>
    <s v="ONNA"/>
    <s v="SEPA"/>
    <n v="6"/>
    <n v="65.34"/>
    <n v="0"/>
  </r>
  <r>
    <s v="YA"/>
    <s v="Toyota Yaris"/>
    <x v="1256"/>
    <s v="ONNA"/>
    <s v="SEPA"/>
    <n v="1"/>
    <n v="65.239999999999995"/>
    <n v="0"/>
  </r>
  <r>
    <s v="YA"/>
    <s v="Toyota Yaris"/>
    <x v="1257"/>
    <s v="ONNA"/>
    <s v="SEPA"/>
    <n v="6"/>
    <n v="66.69"/>
    <n v="0"/>
  </r>
  <r>
    <s v="YA"/>
    <s v="Toyota Yaris"/>
    <x v="1258"/>
    <s v="ONNA"/>
    <s v="SEPA"/>
    <n v="238"/>
    <n v="69.36"/>
    <n v="0"/>
  </r>
  <r>
    <s v="YA"/>
    <s v="Toyota Yaris"/>
    <x v="1259"/>
    <s v="ONNA"/>
    <s v="SEPA"/>
    <n v="33"/>
    <n v="70.94"/>
    <n v="0"/>
  </r>
  <r>
    <s v="YA"/>
    <s v="Toyota Yaris"/>
    <x v="1260"/>
    <s v="ONNA"/>
    <s v="SEPA"/>
    <n v="68"/>
    <n v="69.61"/>
    <n v="0"/>
  </r>
  <r>
    <s v="YA"/>
    <s v="Toyota Yaris"/>
    <x v="1261"/>
    <s v="ONNA"/>
    <s v="SEPA"/>
    <n v="7"/>
    <n v="84.803809999999999"/>
    <n v="0"/>
  </r>
  <r>
    <s v="YA"/>
    <s v="Toyota Yaris"/>
    <x v="1262"/>
    <s v="ALBA"/>
    <s v="GERA"/>
    <n v="19"/>
    <n v="102.80884"/>
    <n v="0"/>
  </r>
  <r>
    <s v="YA"/>
    <s v="Toyota Yaris"/>
    <x v="1263"/>
    <s v="ALBA"/>
    <s v="SEPA"/>
    <n v="6"/>
    <n v="62.07"/>
    <n v="0"/>
  </r>
  <r>
    <s v="YA"/>
    <s v="Toyota Yaris"/>
    <x v="1264"/>
    <s v="ALBA"/>
    <s v="SEPA"/>
    <n v="2"/>
    <n v="72.33"/>
    <n v="0"/>
  </r>
  <r>
    <s v="YA"/>
    <s v="Toyota Yaris"/>
    <x v="1265"/>
    <s v="ALBA"/>
    <s v="SEPA"/>
    <n v="3"/>
    <n v="69.67"/>
    <n v="0"/>
  </r>
  <r>
    <s v="YA"/>
    <s v="Toyota Yaris"/>
    <x v="1266"/>
    <s v="ALBA"/>
    <s v="GERA"/>
    <n v="2"/>
    <n v="72.349999999999994"/>
    <n v="0"/>
  </r>
  <r>
    <s v="YA"/>
    <s v="Toyota Yaris"/>
    <x v="1266"/>
    <s v="ALBA"/>
    <s v="SEPA"/>
    <n v="3"/>
    <n v="72.349999999999994"/>
    <n v="0"/>
  </r>
  <r>
    <s v="YA"/>
    <s v="Toyota Yaris"/>
    <x v="1267"/>
    <s v="ALBA"/>
    <s v="GERA"/>
    <n v="2"/>
    <n v="75.319999999999993"/>
    <n v="0"/>
  </r>
  <r>
    <s v="YA"/>
    <s v="Toyota Yaris"/>
    <x v="1267"/>
    <s v="ALBA"/>
    <s v="SEPA"/>
    <n v="4"/>
    <n v="75.319999999999993"/>
    <n v="0"/>
  </r>
  <r>
    <s v="YA"/>
    <s v="Toyota Yaris"/>
    <x v="1268"/>
    <s v="ALBA"/>
    <s v="GERA"/>
    <n v="1"/>
    <n v="68.03"/>
    <n v="0"/>
  </r>
  <r>
    <s v="YA"/>
    <s v="Toyota Yaris"/>
    <x v="1268"/>
    <s v="ALBA"/>
    <s v="SEPA"/>
    <n v="18"/>
    <n v="68.03"/>
    <n v="0"/>
  </r>
  <r>
    <s v="YA"/>
    <s v="Toyota Yaris"/>
    <x v="1269"/>
    <s v="ALBA"/>
    <s v="SEPA"/>
    <n v="4"/>
    <n v="75.12"/>
    <n v="0"/>
  </r>
  <r>
    <s v="YA"/>
    <s v="Toyota Yaris"/>
    <x v="1270"/>
    <s v="ALBA"/>
    <s v="GERA"/>
    <n v="1"/>
    <n v="74.05"/>
    <n v="0"/>
  </r>
  <r>
    <s v="YA"/>
    <s v="Toyota Yaris"/>
    <x v="1270"/>
    <s v="ALBA"/>
    <s v="SEPA"/>
    <n v="3"/>
    <n v="74.05"/>
    <n v="0"/>
  </r>
  <r>
    <s v="YA"/>
    <s v="Toyota Yaris"/>
    <x v="1271"/>
    <s v="ALBA"/>
    <s v="SEPA"/>
    <n v="6"/>
    <n v="76.930000000000007"/>
    <n v="0"/>
  </r>
  <r>
    <s v="YA"/>
    <s v="Toyota Yaris"/>
    <x v="1272"/>
    <s v="ALBA"/>
    <s v="SEPA"/>
    <n v="4"/>
    <n v="71.38"/>
    <n v="0"/>
  </r>
  <r>
    <s v="YA"/>
    <s v="Toyota Yaris"/>
    <x v="1273"/>
    <s v="ALBA"/>
    <s v="SEPA"/>
    <n v="3"/>
    <n v="78.209999999999994"/>
    <n v="0"/>
  </r>
  <r>
    <s v="YA"/>
    <s v="Toyota Yaris"/>
    <x v="1274"/>
    <s v="ALBA"/>
    <s v="SEPA"/>
    <n v="4"/>
    <n v="74.42"/>
    <n v="0"/>
  </r>
  <r>
    <s v="YA"/>
    <s v="Toyota Yaris"/>
    <x v="1275"/>
    <s v="ALBA"/>
    <s v="SEPA"/>
    <n v="1"/>
    <n v="118.93957"/>
    <n v="0"/>
  </r>
  <r>
    <s v="YA"/>
    <s v="Toyota Yaris"/>
    <x v="1276"/>
    <s v="ALBA"/>
    <s v="SEPA"/>
    <n v="6"/>
    <n v="80.56"/>
    <n v="0"/>
  </r>
  <r>
    <s v="YA"/>
    <s v="Toyota Yaris"/>
    <x v="1277"/>
    <s v="ALBA"/>
    <s v="SEPA"/>
    <n v="6"/>
    <n v="77.25"/>
    <n v="0"/>
  </r>
  <r>
    <s v="YA"/>
    <s v="Toyota Yaris"/>
    <x v="1278"/>
    <s v="ALBA"/>
    <s v="SEPA"/>
    <n v="2"/>
    <n v="81.290000000000006"/>
    <n v="0"/>
  </r>
  <r>
    <s v="YA"/>
    <s v="Toyota Yaris"/>
    <x v="1279"/>
    <s v="ALBA"/>
    <s v="GERA"/>
    <n v="5"/>
    <n v="77.25"/>
    <n v="0"/>
  </r>
  <r>
    <s v="YA"/>
    <s v="Toyota Yaris"/>
    <x v="1279"/>
    <s v="ALBA"/>
    <s v="SEPA"/>
    <n v="4"/>
    <n v="77.25"/>
    <n v="0"/>
  </r>
  <r>
    <s v="YA"/>
    <s v="Toyota Yaris"/>
    <x v="1280"/>
    <s v="ALBA"/>
    <s v="SEPA"/>
    <n v="2"/>
    <n v="70.52"/>
    <n v="0"/>
  </r>
  <r>
    <s v="YA"/>
    <s v="Toyota Yaris"/>
    <x v="1281"/>
    <s v="ALBA"/>
    <s v="SEPA"/>
    <n v="1"/>
    <n v="72.27"/>
    <n v="0"/>
  </r>
  <r>
    <s v="YA"/>
    <s v="Toyota Yaris"/>
    <x v="1282"/>
    <s v="ALBA"/>
    <s v="SEPA"/>
    <n v="4"/>
    <n v="76.790000000000006"/>
    <n v="0"/>
  </r>
  <r>
    <s v="YA"/>
    <s v="Toyota Yaris"/>
    <x v="1283"/>
    <s v="ALBA"/>
    <s v="GERA"/>
    <n v="5"/>
    <n v="72.91"/>
    <n v="0"/>
  </r>
  <r>
    <s v="YA"/>
    <s v="Toyota Yaris"/>
    <x v="1283"/>
    <s v="ALBA"/>
    <s v="SEPA"/>
    <n v="1"/>
    <n v="72.91"/>
    <n v="0"/>
  </r>
  <r>
    <s v="YA"/>
    <s v="Toyota Yaris"/>
    <x v="1284"/>
    <s v="ALBA"/>
    <s v="SEPA"/>
    <n v="1"/>
    <n v="84.82"/>
    <n v="0"/>
  </r>
  <r>
    <s v="YA"/>
    <s v="Toyota Yaris"/>
    <x v="1285"/>
    <s v="ALBA"/>
    <s v="SEPA"/>
    <n v="3"/>
    <n v="80.78"/>
    <n v="0"/>
  </r>
  <r>
    <s v="YA"/>
    <s v="Toyota Yaris"/>
    <x v="1286"/>
    <s v="ALBA"/>
    <s v="SEPA"/>
    <n v="4"/>
    <n v="85.29"/>
    <n v="0"/>
  </r>
  <r>
    <s v="YA"/>
    <s v="Toyota Yaris"/>
    <x v="1287"/>
    <s v="ALBA"/>
    <s v="GERA"/>
    <n v="2"/>
    <n v="82.09"/>
    <n v="0"/>
  </r>
  <r>
    <s v="YA"/>
    <s v="Toyota Yaris"/>
    <x v="1287"/>
    <s v="ALBA"/>
    <s v="SEPA"/>
    <n v="4"/>
    <n v="82.09"/>
    <n v="0"/>
  </r>
  <r>
    <s v="YA"/>
    <s v="Toyota Yaris"/>
    <x v="1288"/>
    <s v="ALBA"/>
    <s v="SEPA"/>
    <n v="3"/>
    <n v="106.59739999999999"/>
    <n v="0"/>
  </r>
  <r>
    <s v="YA"/>
    <s v="Toyota Yaris"/>
    <x v="1289"/>
    <s v="ALBA"/>
    <s v="GERA"/>
    <n v="1"/>
    <n v="78.97"/>
    <n v="0"/>
  </r>
  <r>
    <s v="YA"/>
    <s v="Toyota Yaris"/>
    <x v="1289"/>
    <s v="ALBA"/>
    <s v="SEPA"/>
    <n v="5"/>
    <n v="78.97"/>
    <n v="0"/>
  </r>
  <r>
    <s v="YA"/>
    <s v="Toyota Yaris"/>
    <x v="1290"/>
    <s v="ALBA"/>
    <s v="GERA"/>
    <n v="2"/>
    <n v="69.53"/>
    <n v="0"/>
  </r>
  <r>
    <s v="YA"/>
    <s v="Toyota Yaris"/>
    <x v="1290"/>
    <s v="ALBA"/>
    <s v="SEPA"/>
    <n v="4"/>
    <n v="69.53"/>
    <n v="0"/>
  </r>
  <r>
    <s v="YA"/>
    <s v="Toyota Yaris"/>
    <x v="1291"/>
    <s v="ALBA"/>
    <s v="GERA"/>
    <n v="8"/>
    <n v="71.78"/>
    <n v="0"/>
  </r>
  <r>
    <s v="YA"/>
    <s v="Toyota Yaris"/>
    <x v="1291"/>
    <s v="ALBA"/>
    <s v="SEPA"/>
    <n v="4"/>
    <n v="71.78"/>
    <n v="0"/>
  </r>
  <r>
    <s v="YA"/>
    <s v="Toyota Yaris"/>
    <x v="1292"/>
    <s v="ALBA"/>
    <s v="SEPA"/>
    <n v="7"/>
    <n v="79.36"/>
    <n v="0"/>
  </r>
  <r>
    <s v="YA"/>
    <s v="Toyota Yaris"/>
    <x v="1293"/>
    <s v="ALBA"/>
    <s v="GERA"/>
    <n v="2"/>
    <n v="79.81"/>
    <n v="0"/>
  </r>
  <r>
    <s v="YA"/>
    <s v="Toyota Yaris"/>
    <x v="1293"/>
    <s v="ALBA"/>
    <s v="SEPA"/>
    <n v="2"/>
    <n v="79.81"/>
    <n v="0"/>
  </r>
  <r>
    <s v="YA"/>
    <s v="Toyota Yaris"/>
    <x v="1294"/>
    <s v="ALBA"/>
    <s v="SEPA"/>
    <n v="4"/>
    <n v="84.34"/>
    <n v="0"/>
  </r>
  <r>
    <s v="YA"/>
    <s v="Toyota Yaris"/>
    <x v="1295"/>
    <s v="ALBA"/>
    <s v="SEPA"/>
    <n v="7"/>
    <n v="63.836599999999997"/>
    <n v="0"/>
  </r>
  <r>
    <s v="YA"/>
    <s v="Toyota Yaris"/>
    <x v="1296"/>
    <s v="ALBA"/>
    <s v="SEPA"/>
    <n v="13"/>
    <n v="65.290000000000006"/>
    <n v="0"/>
  </r>
  <r>
    <s v="YA"/>
    <s v="Toyota Yaris"/>
    <x v="1297"/>
    <s v="ALBA"/>
    <s v="SEPA"/>
    <n v="13"/>
    <n v="67.94"/>
    <n v="0"/>
  </r>
  <r>
    <s v="YA"/>
    <s v="Toyota Yaris"/>
    <x v="1298"/>
    <s v="ALBA"/>
    <s v="SEPA"/>
    <n v="1"/>
    <n v="67.540000000000006"/>
    <n v="0"/>
  </r>
  <r>
    <s v="YA"/>
    <s v="Toyota Yaris"/>
    <x v="1299"/>
    <s v="ALBA"/>
    <s v="SEPA"/>
    <n v="6"/>
    <n v="67.83"/>
    <n v="0"/>
  </r>
  <r>
    <s v="YA"/>
    <s v="Toyota Yaris"/>
    <x v="1300"/>
    <s v="ALBA"/>
    <s v="SEPA"/>
    <n v="2"/>
    <n v="71.67"/>
    <n v="0"/>
  </r>
  <r>
    <s v="YA"/>
    <s v="Toyota Yaris"/>
    <x v="1301"/>
    <s v="ALBA"/>
    <s v="SEPA"/>
    <n v="1"/>
    <n v="84.82"/>
    <n v="0"/>
  </r>
  <r>
    <s v="YA"/>
    <s v="Toyota Yaris"/>
    <x v="1302"/>
    <s v="ALBA"/>
    <s v="SEPA"/>
    <n v="5"/>
    <n v="73.7"/>
    <n v="0"/>
  </r>
  <r>
    <s v="YA"/>
    <s v="Toyota Yaris"/>
    <x v="1303"/>
    <s v="ALBA"/>
    <s v="SEPA"/>
    <n v="3"/>
    <n v="77.73"/>
    <n v="0"/>
  </r>
  <r>
    <s v="YA"/>
    <s v="Toyota Yaris"/>
    <x v="1304"/>
    <s v="ALBA"/>
    <s v="SEPA"/>
    <n v="3"/>
    <n v="82.33"/>
    <n v="0"/>
  </r>
  <r>
    <s v="YA"/>
    <s v="Toyota Yaris"/>
    <x v="1305"/>
    <s v="ALBA"/>
    <s v="SEPA"/>
    <n v="6"/>
    <n v="83.95"/>
    <n v="0"/>
  </r>
  <r>
    <s v="YA"/>
    <s v="Toyota Yaris"/>
    <x v="1306"/>
    <s v="ALBA"/>
    <s v="SEPA"/>
    <n v="10"/>
    <n v="70.790000000000006"/>
    <n v="0"/>
  </r>
  <r>
    <s v="YA"/>
    <s v="Toyota Yaris"/>
    <x v="1307"/>
    <s v="ALBA"/>
    <s v="SEPA"/>
    <n v="3"/>
    <n v="76.48"/>
    <n v="0"/>
  </r>
  <r>
    <s v="YA"/>
    <s v="Toyota Yaris"/>
    <x v="1308"/>
    <s v="ALBA"/>
    <s v="SEPA"/>
    <n v="2"/>
    <n v="78.37"/>
    <n v="0"/>
  </r>
  <r>
    <s v="YA"/>
    <s v="Toyota Yaris"/>
    <x v="1309"/>
    <s v="ALBA"/>
    <s v="SEPA"/>
    <n v="4"/>
    <n v="72.319999999999993"/>
    <n v="0"/>
  </r>
  <r>
    <s v="YA"/>
    <s v="Toyota Yaris"/>
    <x v="1310"/>
    <s v="ALBA"/>
    <s v="SEPA"/>
    <n v="1"/>
    <n v="78.89"/>
    <n v="0"/>
  </r>
  <r>
    <s v="YA"/>
    <s v="Toyota Yaris"/>
    <x v="1311"/>
    <s v="ALBA"/>
    <s v="GERA"/>
    <n v="2"/>
    <n v="83.16"/>
    <n v="0"/>
  </r>
  <r>
    <s v="YA"/>
    <s v="Toyota Yaris"/>
    <x v="1311"/>
    <s v="ALBA"/>
    <s v="SEPA"/>
    <n v="2"/>
    <n v="83.16"/>
    <n v="0"/>
  </r>
  <r>
    <s v="YA"/>
    <s v="Toyota Yaris"/>
    <x v="1312"/>
    <s v="ALBA"/>
    <s v="SEPA"/>
    <n v="1"/>
    <n v="86.91"/>
    <n v="0"/>
  </r>
  <r>
    <s v="YA"/>
    <s v="Toyota Yaris"/>
    <x v="1313"/>
    <s v="ALBA"/>
    <s v="SEPA"/>
    <n v="55"/>
    <n v="87.37"/>
    <n v="0"/>
  </r>
  <r>
    <s v="YA"/>
    <s v="Toyota Yaris"/>
    <x v="1314"/>
    <s v="ALBA"/>
    <s v="SEPA"/>
    <n v="2"/>
    <n v="85.5"/>
    <n v="0"/>
  </r>
  <r>
    <s v="YA"/>
    <s v="Toyota Yaris"/>
    <x v="1315"/>
    <s v="ALBA"/>
    <s v="GERA"/>
    <n v="1"/>
    <n v="85.95"/>
    <n v="0"/>
  </r>
  <r>
    <s v="YA"/>
    <s v="Toyota Yaris"/>
    <x v="1315"/>
    <s v="ALBA"/>
    <s v="SEPA"/>
    <n v="1"/>
    <n v="85.95"/>
    <n v="0"/>
  </r>
  <r>
    <s v="YA"/>
    <s v="Toyota Yaris"/>
    <x v="1316"/>
    <s v="ALBA"/>
    <s v="GERA"/>
    <n v="1"/>
    <n v="74.650000000000006"/>
    <n v="0"/>
  </r>
  <r>
    <s v="YA"/>
    <s v="Toyota Yaris"/>
    <x v="1316"/>
    <s v="ALBA"/>
    <s v="SEPA"/>
    <n v="16"/>
    <n v="74.650000000000006"/>
    <n v="0"/>
  </r>
  <r>
    <s v="YA"/>
    <s v="Toyota Yaris"/>
    <x v="1317"/>
    <s v="ALBA"/>
    <s v="SEPA"/>
    <n v="10"/>
    <n v="55.63"/>
    <n v="0"/>
  </r>
  <r>
    <s v="YA"/>
    <s v="Toyota Yaris"/>
    <x v="1318"/>
    <s v="ALBA"/>
    <s v="SEPA"/>
    <n v="7"/>
    <n v="67.19"/>
    <n v="0"/>
  </r>
  <r>
    <s v="YA"/>
    <s v="Toyota Yaris"/>
    <x v="1319"/>
    <s v="ALBA"/>
    <s v="GERA"/>
    <n v="1"/>
    <n v="57.23"/>
    <n v="0"/>
  </r>
  <r>
    <s v="YA"/>
    <s v="Toyota Yaris"/>
    <x v="1319"/>
    <s v="ALBA"/>
    <s v="SEPA"/>
    <n v="11"/>
    <n v="57.23"/>
    <n v="0"/>
  </r>
  <r>
    <s v="YA"/>
    <s v="Toyota Yaris"/>
    <x v="1320"/>
    <s v="ALBA"/>
    <s v="GERA"/>
    <n v="1"/>
    <n v="53.85"/>
    <n v="0"/>
  </r>
  <r>
    <s v="YA"/>
    <s v="Toyota Yaris"/>
    <x v="1320"/>
    <s v="ALBA"/>
    <s v="SEPA"/>
    <n v="11"/>
    <n v="53.85"/>
    <n v="0"/>
  </r>
  <r>
    <s v="YA"/>
    <s v="Toyota Yaris"/>
    <x v="1321"/>
    <s v="ALBA"/>
    <s v="SEPA"/>
    <n v="4"/>
    <n v="64.239999999999995"/>
    <n v="0"/>
  </r>
  <r>
    <s v="YA"/>
    <s v="Toyota Yaris"/>
    <x v="1322"/>
    <s v="ALBA"/>
    <s v="SEPA"/>
    <n v="44"/>
    <n v="65.319999999999993"/>
    <n v="0"/>
  </r>
  <r>
    <s v="YA"/>
    <s v="Toyota Yaris"/>
    <x v="1323"/>
    <s v="ALBA"/>
    <s v="SEPA"/>
    <n v="2"/>
    <n v="65.59"/>
    <n v="0"/>
  </r>
  <r>
    <s v="YA"/>
    <s v="Toyota Yaris"/>
    <x v="1324"/>
    <s v="ALBA"/>
    <s v="OBSL"/>
    <n v="10"/>
    <n v="79.37"/>
    <n v="0"/>
  </r>
  <r>
    <s v="YA"/>
    <s v="Toyota Yaris"/>
    <x v="1324"/>
    <s v="ALBA"/>
    <s v="SEPA"/>
    <n v="6"/>
    <n v="79.37"/>
    <n v="0"/>
  </r>
  <r>
    <s v="YA"/>
    <s v="Toyota Yaris"/>
    <x v="1325"/>
    <s v="ALBA"/>
    <s v="SEPA"/>
    <n v="12"/>
    <n v="70.87"/>
    <n v="0"/>
  </r>
  <r>
    <s v="YA"/>
    <s v="Toyota Yaris"/>
    <x v="1326"/>
    <s v="ALBA"/>
    <s v="SEPA"/>
    <n v="6"/>
    <n v="58.9"/>
    <n v="0"/>
  </r>
  <r>
    <s v="YA"/>
    <s v="Toyota Yaris"/>
    <x v="1327"/>
    <s v="ALBA"/>
    <s v="SEPA"/>
    <n v="8"/>
    <n v="62.52"/>
    <n v="0"/>
  </r>
  <r>
    <s v="YA"/>
    <s v="Toyota Yaris"/>
    <x v="1328"/>
    <s v="ALBA"/>
    <s v="SEPA"/>
    <n v="6"/>
    <n v="85.87"/>
    <n v="0"/>
  </r>
  <r>
    <s v="YA"/>
    <s v="Toyota Yaris"/>
    <x v="1329"/>
    <s v="ALBA"/>
    <s v="SEPA"/>
    <n v="2"/>
    <n v="86.37"/>
    <n v="0"/>
  </r>
  <r>
    <s v="YA"/>
    <s v="Toyota Yaris"/>
    <x v="1330"/>
    <s v="ALBA"/>
    <s v="SEPA"/>
    <n v="14"/>
    <n v="68.5"/>
    <n v="0"/>
  </r>
  <r>
    <s v="YA"/>
    <s v="Toyota Yaris"/>
    <x v="1331"/>
    <s v="ALBA"/>
    <s v="SEPA"/>
    <n v="5"/>
    <n v="69.72"/>
    <n v="0"/>
  </r>
  <r>
    <s v="YA"/>
    <s v="Toyota Yaris"/>
    <x v="1332"/>
    <s v="ALBA"/>
    <s v="SEPA"/>
    <n v="6"/>
    <n v="71.47"/>
    <n v="0"/>
  </r>
  <r>
    <s v="YA"/>
    <s v="Toyota Yaris"/>
    <x v="1333"/>
    <s v="ALBA"/>
    <s v="SEPA"/>
    <n v="1"/>
    <n v="85.13"/>
    <n v="0"/>
  </r>
  <r>
    <s v="YA"/>
    <s v="Toyota Yaris"/>
    <x v="1334"/>
    <s v="ALBA"/>
    <s v="SEPA"/>
    <n v="6"/>
    <n v="77"/>
    <n v="0"/>
  </r>
  <r>
    <s v="YA"/>
    <s v="Toyota Yaris"/>
    <x v="1335"/>
    <s v="ALBA"/>
    <s v="SEPA"/>
    <n v="6"/>
    <n v="81.81"/>
    <n v="0"/>
  </r>
  <r>
    <s v="YA"/>
    <s v="Toyota Yaris"/>
    <x v="1336"/>
    <s v="ALBA"/>
    <s v="SEPA"/>
    <n v="2"/>
    <n v="90.21"/>
    <n v="0"/>
  </r>
  <r>
    <s v="YA"/>
    <s v="Toyota Yaris"/>
    <x v="1337"/>
    <s v="ALBA"/>
    <s v="GERA"/>
    <n v="1"/>
    <n v="71.16"/>
    <n v="0"/>
  </r>
  <r>
    <s v="YA"/>
    <s v="Toyota Yaris"/>
    <x v="1337"/>
    <s v="ALBA"/>
    <s v="SEPA"/>
    <n v="6"/>
    <n v="71.16"/>
    <n v="0"/>
  </r>
  <r>
    <s v="YA"/>
    <s v="Toyota Yaris"/>
    <x v="1338"/>
    <s v="ALBA"/>
    <s v="GERA"/>
    <n v="1"/>
    <n v="59.68"/>
    <n v="0"/>
  </r>
  <r>
    <s v="YA"/>
    <s v="Toyota Yaris"/>
    <x v="1338"/>
    <s v="ALBA"/>
    <s v="SEPA"/>
    <n v="12"/>
    <n v="59.68"/>
    <n v="0"/>
  </r>
  <r>
    <s v="YA"/>
    <s v="Toyota Yaris"/>
    <x v="1339"/>
    <s v="ALBA"/>
    <s v="GERA"/>
    <n v="1"/>
    <n v="59.53"/>
    <n v="0"/>
  </r>
  <r>
    <s v="YA"/>
    <s v="Toyota Yaris"/>
    <x v="1339"/>
    <s v="ALBA"/>
    <s v="SEPA"/>
    <n v="5"/>
    <n v="59.53"/>
    <n v="0"/>
  </r>
  <r>
    <s v="YA"/>
    <s v="Toyota Yaris"/>
    <x v="1340"/>
    <s v="ALBA"/>
    <s v="SEPA"/>
    <n v="7"/>
    <n v="66.745699999999999"/>
    <n v="0"/>
  </r>
  <r>
    <s v="YA"/>
    <s v="Toyota Yaris"/>
    <x v="1341"/>
    <s v="ALBA"/>
    <s v="GERA"/>
    <n v="1"/>
    <n v="60.92"/>
    <n v="0"/>
  </r>
  <r>
    <s v="YA"/>
    <s v="Toyota Yaris"/>
    <x v="1341"/>
    <s v="ALBA"/>
    <s v="SEPA"/>
    <n v="6"/>
    <n v="60.92"/>
    <n v="0"/>
  </r>
  <r>
    <s v="YA"/>
    <s v="Toyota Yaris"/>
    <x v="1342"/>
    <s v="ALBA"/>
    <s v="SEPA"/>
    <n v="4"/>
    <n v="82.3"/>
    <n v="0"/>
  </r>
  <r>
    <s v="YA"/>
    <s v="Toyota Yaris"/>
    <x v="1343"/>
    <s v="ALBA"/>
    <s v="SEPA"/>
    <n v="4"/>
    <n v="75.56"/>
    <n v="0"/>
  </r>
  <r>
    <s v="YA"/>
    <s v="Toyota Yaris"/>
    <x v="1344"/>
    <s v="ALBA"/>
    <s v="SEPA"/>
    <n v="6"/>
    <n v="82.84"/>
    <n v="0"/>
  </r>
  <r>
    <s v="YA"/>
    <s v="Toyota Yaris"/>
    <x v="1345"/>
    <s v="ALBA"/>
    <s v="SEPA"/>
    <n v="9"/>
    <n v="60.81"/>
    <n v="0"/>
  </r>
  <r>
    <s v="YA"/>
    <s v="Toyota Yaris"/>
    <x v="1346"/>
    <s v="ALBA"/>
    <s v="SEPA"/>
    <n v="45"/>
    <n v="66.98"/>
    <n v="0"/>
  </r>
  <r>
    <s v="YA"/>
    <s v="Toyota Yaris"/>
    <x v="1347"/>
    <s v="ALBA"/>
    <s v="SEPA"/>
    <n v="4"/>
    <n v="65.849999999999994"/>
    <n v="0"/>
  </r>
  <r>
    <s v="YA"/>
    <s v="Toyota Yaris"/>
    <x v="1348"/>
    <s v="ALBA"/>
    <s v="SEPA"/>
    <n v="26"/>
    <n v="91.329400000000007"/>
    <n v="0"/>
  </r>
  <r>
    <s v="YA"/>
    <s v="Toyota Yaris"/>
    <x v="1349"/>
    <s v="ALBA"/>
    <s v="SEPA"/>
    <n v="7"/>
    <n v="76.67"/>
    <n v="0"/>
  </r>
  <r>
    <s v="YA"/>
    <s v="Toyota Yaris"/>
    <x v="1350"/>
    <s v="ALBA"/>
    <s v="SEPA"/>
    <n v="2"/>
    <n v="91.38"/>
    <n v="0"/>
  </r>
  <r>
    <s v="YA"/>
    <s v="Toyota Yaris"/>
    <x v="1351"/>
    <s v="ALBA"/>
    <s v="SEPA"/>
    <n v="6"/>
    <n v="67.260000000000005"/>
    <n v="0"/>
  </r>
  <r>
    <s v="YA"/>
    <s v="Toyota Yaris"/>
    <x v="1352"/>
    <s v="ALBA"/>
    <s v="SEPA"/>
    <n v="14"/>
    <n v="70.08"/>
    <n v="0"/>
  </r>
  <r>
    <s v="YA"/>
    <s v="Toyota Yaris"/>
    <x v="1353"/>
    <s v="ALBA"/>
    <s v="SEPA"/>
    <n v="9"/>
    <n v="4.57"/>
    <n v="0"/>
  </r>
  <r>
    <s v="YA"/>
    <s v="Toyota Yaris"/>
    <x v="1354"/>
    <s v="ALBA"/>
    <s v="SEPA"/>
    <n v="13"/>
    <n v="6.3475200000000003"/>
    <n v="0"/>
  </r>
  <r>
    <s v="YA"/>
    <s v="Toyota Yaris"/>
    <x v="1355"/>
    <s v="ALBA"/>
    <s v="SEPA"/>
    <n v="5"/>
    <n v="6.67"/>
    <n v="0"/>
  </r>
  <r>
    <s v="YA"/>
    <s v="Toyota Yaris"/>
    <x v="1356"/>
    <s v="ONNA"/>
    <s v="SEPA"/>
    <n v="57"/>
    <n v="7.39"/>
    <n v="0"/>
  </r>
  <r>
    <s v="YA"/>
    <s v="Toyota Yaris"/>
    <x v="1357"/>
    <s v="ONNA"/>
    <s v="SEPA"/>
    <n v="336"/>
    <n v="8.8699999999999992"/>
    <n v="0"/>
  </r>
  <r>
    <s v="YA"/>
    <s v="Toyota Yaris"/>
    <x v="1358"/>
    <s v="ONNA"/>
    <s v="SEPA"/>
    <n v="15"/>
    <n v="4.47"/>
    <n v="0"/>
  </r>
  <r>
    <s v="YA"/>
    <s v="Toyota Yaris"/>
    <x v="1359"/>
    <s v="ONNA"/>
    <s v="SEPA"/>
    <n v="45"/>
    <n v="4.5199999999999996"/>
    <n v="0"/>
  </r>
  <r>
    <s v="YA"/>
    <s v="Toyota Yaris"/>
    <x v="1360"/>
    <s v="ONNA"/>
    <s v="SEPA"/>
    <n v="14"/>
    <n v="4.62"/>
    <n v="0"/>
  </r>
  <r>
    <s v="YA"/>
    <s v="Toyota Yaris"/>
    <x v="1361"/>
    <s v="ONNA"/>
    <s v="SEPA"/>
    <n v="30"/>
    <n v="6.21"/>
    <n v="0"/>
  </r>
  <r>
    <s v="YA"/>
    <s v="Toyota Yaris"/>
    <x v="1362"/>
    <s v="ONNA"/>
    <s v="SEPA"/>
    <n v="45"/>
    <n v="6.26"/>
    <n v="0"/>
  </r>
  <r>
    <s v="YA"/>
    <s v="Toyota Yaris"/>
    <x v="1363"/>
    <s v="ONNA"/>
    <s v="SEPA"/>
    <n v="75"/>
    <n v="7.74"/>
    <n v="0"/>
  </r>
  <r>
    <s v="YA"/>
    <s v="Toyota Yaris"/>
    <x v="1364"/>
    <s v="ONNA"/>
    <s v="SEPA"/>
    <n v="28"/>
    <n v="7.5237600000000002"/>
    <n v="0"/>
  </r>
  <r>
    <s v="YA"/>
    <s v="Toyota Yaris"/>
    <x v="1365"/>
    <s v="ALBA"/>
    <s v="SEPA"/>
    <n v="11"/>
    <n v="7.71"/>
    <n v="0"/>
  </r>
  <r>
    <s v="YA"/>
    <s v="Toyota Yaris"/>
    <x v="1366"/>
    <s v="ALBA"/>
    <s v="SEPA"/>
    <n v="15"/>
    <n v="5.6406000000000001"/>
    <n v="0"/>
  </r>
  <r>
    <s v="YA"/>
    <s v="Toyota Yaris"/>
    <x v="1367"/>
    <s v="ALBA"/>
    <s v="SEPA"/>
    <n v="4"/>
    <n v="10.9313"/>
    <n v="0"/>
  </r>
  <r>
    <s v="YA"/>
    <s v="Toyota Yaris"/>
    <x v="1368"/>
    <s v="ALBA"/>
    <s v="SEPA"/>
    <n v="3"/>
    <n v="9.99"/>
    <n v="0"/>
  </r>
  <r>
    <s v="YA"/>
    <s v="Toyota Yaris"/>
    <x v="1369"/>
    <s v="ALBA"/>
    <s v="SEPA"/>
    <n v="1"/>
    <n v="10.777839999999999"/>
    <n v="0"/>
  </r>
  <r>
    <s v="YA"/>
    <s v="Toyota Yaris"/>
    <x v="1370"/>
    <s v="ONNA"/>
    <s v="SEPA"/>
    <n v="97"/>
    <n v="6.96"/>
    <n v="0"/>
  </r>
  <r>
    <s v="YA"/>
    <s v="Toyota Yaris"/>
    <x v="1371"/>
    <s v="ONNA"/>
    <s v="SEPA"/>
    <n v="14"/>
    <n v="7.25"/>
    <n v="0"/>
  </r>
  <r>
    <s v="YA"/>
    <s v="Toyota Yaris"/>
    <x v="1372"/>
    <s v="ONNA"/>
    <s v="SEPA"/>
    <n v="32"/>
    <n v="8.4612400000000001"/>
    <n v="0"/>
  </r>
  <r>
    <s v="YA"/>
    <s v="Toyota Yaris"/>
    <x v="1373"/>
    <s v="ONNA"/>
    <s v="SEPA"/>
    <n v="6"/>
    <n v="10.62"/>
    <n v="0"/>
  </r>
  <r>
    <s v="YA"/>
    <s v="Toyota Yaris"/>
    <x v="1374"/>
    <s v="ONNA"/>
    <s v="SEPA"/>
    <n v="22"/>
    <n v="11.9"/>
    <n v="0"/>
  </r>
  <r>
    <s v="YA"/>
    <s v="Toyota Yaris"/>
    <x v="1375"/>
    <s v="ONNA"/>
    <s v="SEPA"/>
    <n v="11"/>
    <n v="9.3800000000000008"/>
    <n v="0"/>
  </r>
  <r>
    <s v="YA"/>
    <s v="Toyota Yaris"/>
    <x v="1376"/>
    <s v="ONNA"/>
    <s v="SEPA"/>
    <n v="19"/>
    <n v="9.9499999999999993"/>
    <n v="0"/>
  </r>
  <r>
    <s v="YA"/>
    <s v="Toyota Yaris"/>
    <x v="1377"/>
    <s v="ONNA"/>
    <s v="SEPA"/>
    <n v="112"/>
    <n v="10.210000000000001"/>
    <n v="0"/>
  </r>
  <r>
    <s v="YA"/>
    <s v="Toyota Yaris"/>
    <x v="1378"/>
    <s v="ONNA"/>
    <s v="SEPA"/>
    <n v="15"/>
    <n v="10.32"/>
    <n v="0"/>
  </r>
  <r>
    <s v="YA"/>
    <s v="Toyota Yaris"/>
    <x v="1379"/>
    <s v="ONNA"/>
    <s v="SEPA"/>
    <n v="31"/>
    <n v="6.88"/>
    <n v="0"/>
  </r>
  <r>
    <s v="YA"/>
    <s v="Toyota Yaris"/>
    <x v="1380"/>
    <s v="ONNA"/>
    <s v="SEPA"/>
    <n v="43"/>
    <n v="6.68"/>
    <n v="0"/>
  </r>
  <r>
    <s v="YA"/>
    <s v="Toyota Yaris"/>
    <x v="1381"/>
    <s v="ALBA"/>
    <s v="SEPA"/>
    <n v="3"/>
    <n v="6.44"/>
    <n v="0"/>
  </r>
  <r>
    <s v="YA"/>
    <s v="Toyota Yaris"/>
    <x v="1382"/>
    <s v="ALBA"/>
    <s v="SEPA"/>
    <n v="99"/>
    <n v="6.04"/>
    <n v="0"/>
  </r>
  <r>
    <s v="YA"/>
    <s v="Toyota Yaris"/>
    <x v="1383"/>
    <s v="ALBA"/>
    <s v="GERA"/>
    <n v="32"/>
    <n v="6.47"/>
    <n v="0"/>
  </r>
  <r>
    <s v="YA"/>
    <s v="Toyota Yaris"/>
    <x v="1384"/>
    <s v="ALBA"/>
    <s v="SEPA"/>
    <n v="337"/>
    <n v="7"/>
    <n v="0"/>
  </r>
  <r>
    <s v="YA"/>
    <s v="Toyota Yaris"/>
    <x v="1385"/>
    <s v="ALBA"/>
    <s v="SEPA"/>
    <n v="283"/>
    <n v="7"/>
    <n v="0"/>
  </r>
  <r>
    <s v="YA"/>
    <s v="Toyota Yaris"/>
    <x v="1386"/>
    <s v="ALBA"/>
    <s v="SEPA"/>
    <n v="6"/>
    <n v="6.4540199999999999"/>
    <n v="0"/>
  </r>
  <r>
    <s v="YA"/>
    <s v="Toyota Yaris"/>
    <x v="1387"/>
    <s v="ALBA"/>
    <s v="SEPA"/>
    <n v="7"/>
    <n v="6.85"/>
    <n v="0"/>
  </r>
  <r>
    <s v="YA"/>
    <s v="Toyota Yaris"/>
    <x v="1388"/>
    <s v="ALBA"/>
    <s v="SEPA"/>
    <n v="273"/>
    <n v="10.159689999999999"/>
    <n v="0"/>
  </r>
  <r>
    <s v="YA"/>
    <s v="Toyota Yaris"/>
    <x v="1389"/>
    <s v="ONNA"/>
    <s v="SEPA"/>
    <n v="44"/>
    <n v="8.9"/>
    <n v="0"/>
  </r>
  <r>
    <s v="YA"/>
    <s v="Toyota Yaris"/>
    <x v="1390"/>
    <s v="ONNA"/>
    <s v="SEPA"/>
    <n v="79"/>
    <n v="7.42"/>
    <n v="0"/>
  </r>
  <r>
    <s v="YA"/>
    <s v="Toyota Yaris"/>
    <x v="1391"/>
    <s v="ONNA"/>
    <s v="SEPA"/>
    <n v="135"/>
    <n v="5.25"/>
    <n v="0"/>
  </r>
  <r>
    <s v="YA"/>
    <s v="Toyota Yaris"/>
    <x v="1392"/>
    <s v="ONNA"/>
    <s v="SEPA"/>
    <n v="46"/>
    <n v="7.01"/>
    <n v="0"/>
  </r>
  <r>
    <s v="YA"/>
    <s v="Toyota Yaris"/>
    <x v="1393"/>
    <s v="ONNA"/>
    <s v="SEPA"/>
    <n v="15"/>
    <n v="7.2"/>
    <n v="0"/>
  </r>
  <r>
    <s v="YA"/>
    <s v="Toyota Yaris"/>
    <x v="1394"/>
    <s v="ONNA"/>
    <s v="SEPA"/>
    <n v="30"/>
    <n v="8.69"/>
    <n v="0"/>
  </r>
  <r>
    <s v="YA"/>
    <s v="Toyota Yaris"/>
    <x v="1395"/>
    <s v="ONNA"/>
    <s v="SEPA"/>
    <n v="14"/>
    <n v="6.12"/>
    <n v="0"/>
  </r>
  <r>
    <s v="YA"/>
    <s v="Toyota Yaris"/>
    <x v="1396"/>
    <s v="ONNA"/>
    <s v="SEPA"/>
    <n v="60"/>
    <n v="6.64"/>
    <n v="0"/>
  </r>
  <r>
    <s v="YA"/>
    <s v="Toyota Yaris"/>
    <x v="1397"/>
    <s v="ONNA"/>
    <s v="SEPA"/>
    <n v="30"/>
    <n v="8.1999999999999993"/>
    <n v="0"/>
  </r>
  <r>
    <s v="YA"/>
    <s v="Toyota Yaris"/>
    <x v="1398"/>
    <s v="ALBA"/>
    <s v="SEPA"/>
    <n v="1"/>
    <n v="12.96571"/>
    <n v="0"/>
  </r>
  <r>
    <s v="YA"/>
    <s v="Toyota Yaris"/>
    <x v="1399"/>
    <s v="ALBA"/>
    <s v="SEPA"/>
    <n v="1"/>
    <n v="11.919650000000001"/>
    <n v="0"/>
  </r>
  <r>
    <s v="YA"/>
    <s v="Toyota Yaris"/>
    <x v="1400"/>
    <s v="ONNA"/>
    <s v="SEPA"/>
    <n v="30"/>
    <n v="7.12"/>
    <n v="0"/>
  </r>
  <r>
    <s v="YA"/>
    <s v="Toyota Yaris"/>
    <x v="1401"/>
    <s v="ONNA"/>
    <s v="SEPA"/>
    <n v="63"/>
    <n v="7.77"/>
    <n v="0"/>
  </r>
  <r>
    <s v="YA"/>
    <s v="Toyota Yaris"/>
    <x v="1402"/>
    <s v="ONNA"/>
    <s v="SEPA"/>
    <n v="15"/>
    <n v="7.97"/>
    <n v="0"/>
  </r>
  <r>
    <s v="YA"/>
    <s v="Toyota Yaris"/>
    <x v="1403"/>
    <s v="ONNA"/>
    <s v="SEPA"/>
    <n v="150"/>
    <n v="8.42"/>
    <n v="0"/>
  </r>
  <r>
    <s v="YA"/>
    <s v="Toyota Yaris"/>
    <x v="1404"/>
    <s v="ONNA"/>
    <s v="SEPA"/>
    <n v="15"/>
    <n v="9.67"/>
    <n v="0"/>
  </r>
  <r>
    <s v="YA"/>
    <s v="Toyota Yaris"/>
    <x v="1405"/>
    <s v="ONNA"/>
    <s v="SEPA"/>
    <n v="15"/>
    <n v="8.99"/>
    <n v="0"/>
  </r>
  <r>
    <s v="YA"/>
    <s v="Toyota Yaris"/>
    <x v="1406"/>
    <s v="ONNA"/>
    <s v="SEPA"/>
    <n v="100"/>
    <n v="9.84"/>
    <n v="0"/>
  </r>
  <r>
    <s v="YA"/>
    <s v="Toyota Yaris"/>
    <x v="1407"/>
    <s v="ONNA"/>
    <s v="SEPA"/>
    <n v="19"/>
    <n v="10.75"/>
    <n v="0"/>
  </r>
  <r>
    <s v="YA"/>
    <s v="Toyota Yaris"/>
    <x v="1408"/>
    <s v="ONNA"/>
    <s v="SEPA"/>
    <n v="816"/>
    <n v="10.45"/>
    <n v="0"/>
  </r>
  <r>
    <s v="YA"/>
    <s v="Toyota Yaris"/>
    <x v="1409"/>
    <s v="ONNA"/>
    <s v="SEPA"/>
    <n v="45"/>
    <n v="8.2100000000000009"/>
    <n v="0"/>
  </r>
  <r>
    <s v="YA"/>
    <s v="Toyota Yaris"/>
    <x v="1410"/>
    <s v="ONNA"/>
    <s v="SEPA"/>
    <n v="41"/>
    <n v="7.42"/>
    <n v="0"/>
  </r>
  <r>
    <s v="YA"/>
    <s v="Toyota Yaris"/>
    <x v="1411"/>
    <s v="ALBA"/>
    <s v="SEPA"/>
    <n v="90"/>
    <n v="2.11"/>
    <n v="0"/>
  </r>
  <r>
    <s v="YA"/>
    <s v="Toyota Yaris"/>
    <x v="1412"/>
    <s v="ALBA"/>
    <s v="GERA"/>
    <n v="11"/>
    <n v="4.22262"/>
    <n v="0"/>
  </r>
  <r>
    <s v="YA"/>
    <s v="Toyota Yaris"/>
    <x v="1412"/>
    <s v="ALBA"/>
    <s v="SEPA"/>
    <n v="1"/>
    <n v="4.22262"/>
    <n v="0"/>
  </r>
  <r>
    <s v="YA"/>
    <s v="Toyota Yaris"/>
    <x v="1413"/>
    <s v="ALBA"/>
    <s v="GERA"/>
    <n v="6"/>
    <n v="4.0793600000000003"/>
    <n v="0"/>
  </r>
  <r>
    <s v="YA"/>
    <s v="Toyota Yaris"/>
    <x v="1413"/>
    <s v="ALBA"/>
    <s v="SEPA"/>
    <n v="162"/>
    <n v="4.0793600000000003"/>
    <n v="0"/>
  </r>
  <r>
    <s v="YA"/>
    <s v="Toyota Yaris"/>
    <x v="1414"/>
    <s v="ALBA"/>
    <s v="SEPA"/>
    <n v="264"/>
    <n v="4.59"/>
    <n v="0"/>
  </r>
  <r>
    <s v="YA"/>
    <s v="Toyota Yaris"/>
    <x v="1415"/>
    <s v="ONNA"/>
    <s v="SEPA"/>
    <n v="59"/>
    <n v="3.3315700000000001"/>
    <n v="0"/>
  </r>
  <r>
    <s v="YA"/>
    <s v="Toyota Yaris"/>
    <x v="1416"/>
    <s v="ONNA"/>
    <s v="SEPA"/>
    <n v="85"/>
    <n v="3.82"/>
    <n v="0"/>
  </r>
  <r>
    <s v="YA"/>
    <s v="Toyota Yaris"/>
    <x v="1417"/>
    <s v="ONNA"/>
    <s v="SEPA"/>
    <n v="17"/>
    <n v="4.4727699999999997"/>
    <n v="0"/>
  </r>
  <r>
    <s v="YA"/>
    <s v="Toyota Yaris"/>
    <x v="1418"/>
    <s v="ALBA"/>
    <s v="SEPA"/>
    <n v="14"/>
    <n v="3.68"/>
    <n v="0"/>
  </r>
  <r>
    <s v="YA"/>
    <s v="Toyota Yaris"/>
    <x v="1419"/>
    <s v="ALBA"/>
    <s v="SEPA"/>
    <n v="14"/>
    <n v="4.47"/>
    <n v="0"/>
  </r>
  <r>
    <s v="YA"/>
    <s v="Toyota Yaris"/>
    <x v="1420"/>
    <s v="ALBA"/>
    <s v="SEPA"/>
    <n v="14"/>
    <n v="4.2300000000000004"/>
    <n v="0"/>
  </r>
  <r>
    <s v="YA"/>
    <s v="Toyota Yaris"/>
    <x v="1421"/>
    <s v="ALBA"/>
    <s v="SEPA"/>
    <n v="10"/>
    <n v="4.34"/>
    <n v="0"/>
  </r>
  <r>
    <s v="YA"/>
    <s v="Toyota Yaris"/>
    <x v="1422"/>
    <s v="ALBA"/>
    <s v="GERA"/>
    <n v="16"/>
    <n v="3.7944"/>
    <n v="0"/>
  </r>
  <r>
    <s v="YA"/>
    <s v="Toyota Yaris"/>
    <x v="1422"/>
    <s v="ALBA"/>
    <s v="SEPA"/>
    <n v="3"/>
    <n v="3.7944"/>
    <n v="0"/>
  </r>
  <r>
    <s v="YA"/>
    <s v="Toyota Yaris"/>
    <x v="1423"/>
    <s v="ALBA"/>
    <s v="SEPA"/>
    <n v="4"/>
    <n v="3.8550399999999998"/>
    <n v="0"/>
  </r>
  <r>
    <s v="YA"/>
    <s v="Toyota Yaris"/>
    <x v="1424"/>
    <s v="ONNA"/>
    <s v="SEPA"/>
    <n v="43"/>
    <n v="3.34"/>
    <n v="0"/>
  </r>
  <r>
    <s v="YA"/>
    <s v="Toyota Yaris"/>
    <x v="1425"/>
    <s v="ONNA"/>
    <s v="SEPA"/>
    <n v="58"/>
    <n v="4.01"/>
    <n v="0"/>
  </r>
  <r>
    <s v="YA"/>
    <s v="Toyota Yaris"/>
    <x v="1426"/>
    <s v="ONNA"/>
    <s v="SEPA"/>
    <n v="34"/>
    <n v="3.83"/>
    <n v="0"/>
  </r>
  <r>
    <s v="YA"/>
    <s v="Toyota Yaris"/>
    <x v="1427"/>
    <s v="ONNA"/>
    <s v="SEPA"/>
    <n v="25"/>
    <n v="4.48285"/>
    <n v="0"/>
  </r>
  <r>
    <s v="YA"/>
    <s v="Toyota Yaris"/>
    <x v="1428"/>
    <s v="ALBA"/>
    <s v="SEPA"/>
    <n v="7"/>
    <n v="3.55"/>
    <n v="0"/>
  </r>
  <r>
    <s v="YA"/>
    <s v="Toyota Yaris"/>
    <x v="1429"/>
    <s v="ALBA"/>
    <s v="SEPA"/>
    <n v="21"/>
    <n v="4.57"/>
    <n v="0"/>
  </r>
  <r>
    <s v="YA"/>
    <s v="Toyota Yaris"/>
    <x v="1430"/>
    <s v="ALBA"/>
    <s v="SEPA"/>
    <n v="32"/>
    <n v="5.0199999999999996"/>
    <n v="0"/>
  </r>
  <r>
    <s v="YA"/>
    <s v="Toyota Yaris"/>
    <x v="1431"/>
    <s v="ALBA"/>
    <s v="SEPA"/>
    <n v="4"/>
    <n v="4.49"/>
    <n v="0"/>
  </r>
  <r>
    <s v="YA"/>
    <s v="Toyota Yaris"/>
    <x v="1432"/>
    <s v="ALBA"/>
    <s v="SEPA"/>
    <n v="2"/>
    <n v="52.49"/>
    <n v="0"/>
  </r>
  <r>
    <s v="YA"/>
    <s v="Toyota Yaris"/>
    <x v="1433"/>
    <s v="ALBA"/>
    <s v="SEPA"/>
    <n v="2"/>
    <n v="57.866"/>
    <n v="0"/>
  </r>
  <r>
    <s v="YA"/>
    <s v="Toyota Yaris"/>
    <x v="1434"/>
    <s v="ONNA"/>
    <s v="SEPA"/>
    <n v="4"/>
    <n v="35.130000000000003"/>
    <n v="0"/>
  </r>
  <r>
    <s v="YA"/>
    <s v="Toyota Yaris"/>
    <x v="1435"/>
    <s v="ONNA"/>
    <s v="SEPA"/>
    <n v="25"/>
    <n v="36.270000000000003"/>
    <n v="0"/>
  </r>
  <r>
    <s v="YA"/>
    <s v="Toyota Yaris"/>
    <x v="1436"/>
    <s v="ONNA"/>
    <s v="SEPA"/>
    <n v="8"/>
    <n v="36.83"/>
    <n v="0"/>
  </r>
  <r>
    <s v="YA"/>
    <s v="Toyota Yaris"/>
    <x v="1437"/>
    <s v="ONNA"/>
    <s v="SEPA"/>
    <n v="19"/>
    <n v="35.950000000000003"/>
    <n v="0"/>
  </r>
  <r>
    <s v="YA"/>
    <s v="Toyota Yaris"/>
    <x v="1438"/>
    <s v="ONNA"/>
    <s v="SEPA"/>
    <n v="11"/>
    <n v="72.209999999999994"/>
    <n v="0"/>
  </r>
  <r>
    <s v="YA"/>
    <s v="Toyota Yaris"/>
    <x v="1439"/>
    <s v="ONNA"/>
    <s v="SEPA"/>
    <n v="5"/>
    <n v="68.62"/>
    <n v="0"/>
  </r>
  <r>
    <s v="YA"/>
    <s v="Toyota Yaris"/>
    <x v="1440"/>
    <s v="ALBA"/>
    <s v="SEPA"/>
    <n v="2"/>
    <n v="52.8"/>
    <n v="0"/>
  </r>
  <r>
    <s v="YA"/>
    <s v="Toyota Yaris"/>
    <x v="1441"/>
    <s v="ALBA"/>
    <s v="SEPA"/>
    <n v="2"/>
    <n v="50.58"/>
    <n v="0"/>
  </r>
  <r>
    <s v="YA"/>
    <s v="Toyota Yaris"/>
    <x v="1442"/>
    <s v="ALBA"/>
    <s v="SEPA"/>
    <n v="3"/>
    <n v="52.84"/>
    <n v="0"/>
  </r>
  <r>
    <s v="YA"/>
    <s v="Toyota Yaris"/>
    <x v="1443"/>
    <s v="ALBA"/>
    <s v="SEPA"/>
    <n v="1"/>
    <n v="46.69"/>
    <n v="0"/>
  </r>
  <r>
    <s v="YA"/>
    <s v="Toyota Yaris"/>
    <x v="1444"/>
    <s v="ALBA"/>
    <s v="GERA"/>
    <n v="3"/>
    <n v="47.79"/>
    <n v="0"/>
  </r>
  <r>
    <s v="YA"/>
    <s v="Toyota Yaris"/>
    <x v="1444"/>
    <s v="ALBA"/>
    <s v="SEPA"/>
    <n v="11"/>
    <n v="47.79"/>
    <n v="0"/>
  </r>
  <r>
    <s v="YA"/>
    <s v="Toyota Yaris"/>
    <x v="1445"/>
    <s v="ALBA"/>
    <s v="GERA"/>
    <n v="3"/>
    <n v="48.93"/>
    <n v="0"/>
  </r>
  <r>
    <s v="YA"/>
    <s v="Toyota Yaris"/>
    <x v="1445"/>
    <s v="ALBA"/>
    <s v="SEPA"/>
    <n v="15"/>
    <n v="48.93"/>
    <n v="0"/>
  </r>
  <r>
    <s v="YA"/>
    <s v="Toyota Yaris"/>
    <x v="1446"/>
    <s v="ALBA"/>
    <s v="SEPA"/>
    <n v="3"/>
    <n v="53.85"/>
    <n v="0"/>
  </r>
  <r>
    <s v="YA"/>
    <s v="Toyota Yaris"/>
    <x v="1447"/>
    <s v="ALBA"/>
    <s v="GERA"/>
    <n v="2"/>
    <n v="52.8"/>
    <n v="0"/>
  </r>
  <r>
    <s v="YA"/>
    <s v="Toyota Yaris"/>
    <x v="1447"/>
    <s v="ALBA"/>
    <s v="SEPA"/>
    <n v="2"/>
    <n v="52.8"/>
    <n v="0"/>
  </r>
  <r>
    <s v="YA"/>
    <s v="Toyota Yaris"/>
    <x v="1448"/>
    <s v="ALBA"/>
    <s v="SEPA"/>
    <n v="5"/>
    <n v="45.49"/>
    <n v="0"/>
  </r>
  <r>
    <s v="YA"/>
    <s v="Toyota Yaris"/>
    <x v="1449"/>
    <s v="ONNA"/>
    <s v="SEPA"/>
    <n v="7"/>
    <n v="84.06"/>
    <n v="0"/>
  </r>
  <r>
    <s v="YA"/>
    <s v="Toyota Yaris"/>
    <x v="1450"/>
    <s v="ONNA"/>
    <s v="SEPA"/>
    <n v="4"/>
    <n v="89.98"/>
    <n v="0"/>
  </r>
  <r>
    <s v="YA"/>
    <s v="Toyota Yaris"/>
    <x v="1451"/>
    <s v="ONNA"/>
    <s v="SEPA"/>
    <n v="4"/>
    <n v="86.67"/>
    <n v="0"/>
  </r>
  <r>
    <s v="YA"/>
    <s v="Toyota Yaris"/>
    <x v="1452"/>
    <s v="ONNA"/>
    <s v="SEPA"/>
    <n v="10"/>
    <n v="94.23"/>
    <n v="0"/>
  </r>
  <r>
    <s v="YA"/>
    <s v="Toyota Yaris"/>
    <x v="1453"/>
    <s v="ALBA"/>
    <s v="GERA"/>
    <n v="1"/>
    <n v="46.46"/>
    <n v="0"/>
  </r>
  <r>
    <s v="YA"/>
    <s v="Toyota Yaris"/>
    <x v="1453"/>
    <s v="ALBA"/>
    <s v="SEPA"/>
    <n v="3"/>
    <n v="46.46"/>
    <n v="0"/>
  </r>
  <r>
    <s v="YA"/>
    <s v="Toyota Yaris"/>
    <x v="1454"/>
    <s v="ALBA"/>
    <s v="SEPA"/>
    <n v="9"/>
    <n v="53.14"/>
    <n v="0"/>
  </r>
  <r>
    <s v="YA"/>
    <s v="Toyota Yaris"/>
    <x v="1455"/>
    <s v="ALBA"/>
    <s v="SEPA"/>
    <n v="2"/>
    <n v="47"/>
    <n v="0"/>
  </r>
  <r>
    <s v="YA"/>
    <s v="Toyota Yaris"/>
    <x v="1456"/>
    <s v="ONNA"/>
    <s v="SEPA"/>
    <n v="3"/>
    <n v="98.56"/>
    <n v="0"/>
  </r>
  <r>
    <s v="YA"/>
    <s v="Toyota Yaris"/>
    <x v="1457"/>
    <s v="ONNA"/>
    <s v="SEPA"/>
    <n v="2"/>
    <n v="95.04"/>
    <n v="0"/>
  </r>
  <r>
    <s v="YA"/>
    <s v="Toyota Yaris"/>
    <x v="1458"/>
    <s v="ONNA"/>
    <s v="SEPA"/>
    <n v="27"/>
    <n v="109.9"/>
    <n v="0"/>
  </r>
  <r>
    <s v="YA"/>
    <s v="Toyota Yaris"/>
    <x v="1459"/>
    <s v="ONNA"/>
    <s v="SEPA"/>
    <n v="13"/>
    <n v="107.54"/>
    <n v="0"/>
  </r>
  <r>
    <s v="YA"/>
    <s v="Toyota Yaris"/>
    <x v="1460"/>
    <s v="ONNA"/>
    <s v="SEPA"/>
    <n v="33"/>
    <n v="116"/>
    <n v="0"/>
  </r>
  <r>
    <s v="YA"/>
    <s v="Toyota Yaris"/>
    <x v="1461"/>
    <s v="ONNA"/>
    <s v="SEPA"/>
    <n v="9"/>
    <n v="102.78455"/>
    <n v="0"/>
  </r>
  <r>
    <s v="YA"/>
    <s v="Toyota Yaris"/>
    <x v="1462"/>
    <s v="ONNA"/>
    <s v="SEPA"/>
    <n v="7"/>
    <n v="105.15"/>
    <n v="0"/>
  </r>
  <r>
    <s v="YA"/>
    <s v="Toyota Yaris"/>
    <x v="1463"/>
    <s v="ONNA"/>
    <s v="SEPA"/>
    <n v="9"/>
    <n v="103.78497"/>
    <n v="0"/>
  </r>
  <r>
    <s v="YA"/>
    <s v="Toyota Yaris"/>
    <x v="1464"/>
    <s v="ALBA"/>
    <s v="SEPA"/>
    <n v="1"/>
    <n v="47.36"/>
    <n v="0"/>
  </r>
  <r>
    <s v="YA"/>
    <s v="Toyota Yaris"/>
    <x v="1465"/>
    <s v="ONNA"/>
    <s v="SEPA"/>
    <n v="18"/>
    <n v="117.79"/>
    <n v="0"/>
  </r>
  <r>
    <s v="YA"/>
    <s v="Toyota Yaris"/>
    <x v="1466"/>
    <s v="ONNA"/>
    <s v="SEPA"/>
    <n v="7"/>
    <n v="137.4"/>
    <n v="0"/>
  </r>
  <r>
    <s v="YA"/>
    <s v="Toyota Yaris"/>
    <x v="1467"/>
    <s v="ONNA"/>
    <s v="SEPA"/>
    <n v="5"/>
    <n v="138.41999999999999"/>
    <n v="0"/>
  </r>
  <r>
    <s v="YA"/>
    <s v="Toyota Yaris"/>
    <x v="1468"/>
    <s v="ALBA"/>
    <s v="GERA"/>
    <n v="10"/>
    <n v="64.81"/>
    <n v="0"/>
  </r>
  <r>
    <s v="YA"/>
    <s v="Toyota Yaris"/>
    <x v="1468"/>
    <s v="ALBA"/>
    <s v="SEPA"/>
    <n v="9"/>
    <n v="64.81"/>
    <n v="0"/>
  </r>
  <r>
    <s v="YA"/>
    <s v="Toyota Yaris"/>
    <x v="1469"/>
    <s v="ALBA"/>
    <s v="GERA"/>
    <n v="2"/>
    <n v="64.209999999999994"/>
    <n v="0"/>
  </r>
  <r>
    <s v="YA"/>
    <s v="Toyota Yaris"/>
    <x v="1470"/>
    <s v="ONNA"/>
    <s v="SEPA"/>
    <n v="4"/>
    <n v="123.57"/>
    <n v="0"/>
  </r>
  <r>
    <s v="YA"/>
    <s v="Toyota Yaris"/>
    <x v="1471"/>
    <s v="ONNA"/>
    <s v="SEPA"/>
    <n v="7"/>
    <n v="120.36"/>
    <n v="0"/>
  </r>
  <r>
    <s v="YA"/>
    <s v="Toyota Yaris"/>
    <x v="1472"/>
    <s v="ONNA"/>
    <s v="SEPA"/>
    <n v="9"/>
    <n v="129.69"/>
    <n v="0"/>
  </r>
  <r>
    <s v="YA"/>
    <s v="Toyota Yaris"/>
    <x v="1473"/>
    <s v="ONNA"/>
    <s v="SEPA"/>
    <n v="7"/>
    <n v="126.3"/>
    <n v="0"/>
  </r>
  <r>
    <s v="YA"/>
    <s v="Toyota Yaris"/>
    <x v="1474"/>
    <s v="ONNA"/>
    <s v="SEPA"/>
    <n v="4"/>
    <n v="53.18"/>
    <n v="0"/>
  </r>
  <r>
    <s v="YA"/>
    <s v="Toyota Yaris"/>
    <x v="1475"/>
    <s v="ONNA"/>
    <s v="SEPA"/>
    <n v="7"/>
    <n v="44.357500000000002"/>
    <n v="0"/>
  </r>
  <r>
    <s v="YA"/>
    <s v="Toyota Yaris"/>
    <x v="1476"/>
    <s v="ONNA"/>
    <s v="SEPA"/>
    <n v="57"/>
    <n v="47.79"/>
    <n v="0"/>
  </r>
  <r>
    <s v="YA"/>
    <s v="Toyota Yaris"/>
    <x v="1477"/>
    <s v="ONNA"/>
    <s v="SEPA"/>
    <n v="15"/>
    <n v="46.45"/>
    <n v="0"/>
  </r>
  <r>
    <s v="YA"/>
    <s v="Toyota Yaris"/>
    <x v="1478"/>
    <s v="ONNA"/>
    <s v="SEPA"/>
    <n v="17"/>
    <n v="43.2"/>
    <n v="0"/>
  </r>
  <r>
    <s v="YA"/>
    <s v="Toyota Yaris"/>
    <x v="1479"/>
    <s v="ALBA"/>
    <s v="SEPA"/>
    <n v="6"/>
    <n v="56.65"/>
    <n v="0"/>
  </r>
  <r>
    <s v="YA"/>
    <s v="Toyota Yaris"/>
    <x v="1480"/>
    <s v="ONNA"/>
    <s v="SEPA"/>
    <n v="30"/>
    <n v="41.32"/>
    <n v="0"/>
  </r>
  <r>
    <s v="YA"/>
    <s v="Toyota Yaris"/>
    <x v="1481"/>
    <s v="ONNA"/>
    <s v="SEPA"/>
    <n v="6"/>
    <n v="47.89"/>
    <n v="0"/>
  </r>
  <r>
    <s v="YA"/>
    <s v="Toyota Yaris"/>
    <x v="1482"/>
    <s v="ONNA"/>
    <s v="SEPA"/>
    <n v="9"/>
    <n v="34.770000000000003"/>
    <n v="0"/>
  </r>
  <r>
    <s v="YA"/>
    <s v="Toyota Yaris"/>
    <x v="1483"/>
    <s v="ONNA"/>
    <s v="SEPA"/>
    <n v="15"/>
    <n v="46.08"/>
    <n v="0"/>
  </r>
  <r>
    <s v="YA"/>
    <s v="Toyota Yaris"/>
    <x v="1484"/>
    <s v="ONNA"/>
    <s v="SEPA"/>
    <n v="2"/>
    <n v="55.88"/>
    <n v="0"/>
  </r>
  <r>
    <s v="YA"/>
    <s v="Toyota Yaris"/>
    <x v="1485"/>
    <s v="ONNA"/>
    <s v="SEPA"/>
    <n v="6"/>
    <n v="38.24"/>
    <n v="0"/>
  </r>
  <r>
    <s v="YA"/>
    <s v="Toyota Yaris"/>
    <x v="1486"/>
    <s v="ONNA"/>
    <s v="SEPA"/>
    <n v="2"/>
    <n v="49.33"/>
    <n v="0"/>
  </r>
  <r>
    <s v="YA"/>
    <s v="Toyota Yaris"/>
    <x v="1487"/>
    <s v="ALBA"/>
    <s v="SEPA"/>
    <n v="17"/>
    <n v="65.405600000000007"/>
    <n v="0"/>
  </r>
  <r>
    <s v="YA"/>
    <s v="Toyota Yaris"/>
    <x v="1488"/>
    <s v="ONNA"/>
    <s v="SEPA"/>
    <n v="9"/>
    <n v="55.62"/>
    <n v="0"/>
  </r>
  <r>
    <s v="YA"/>
    <s v="Toyota Yaris"/>
    <x v="1489"/>
    <s v="ONNA"/>
    <s v="SEPA"/>
    <n v="9"/>
    <n v="52.56"/>
    <n v="0"/>
  </r>
  <r>
    <s v="YA"/>
    <s v="Toyota Yaris"/>
    <x v="1490"/>
    <s v="ALBA"/>
    <s v="SEPA"/>
    <n v="29"/>
    <n v="62.81"/>
    <n v="0"/>
  </r>
  <r>
    <s v="YA"/>
    <s v="Toyota Yaris"/>
    <x v="1491"/>
    <s v="ONNA"/>
    <s v="SEPA"/>
    <n v="10"/>
    <n v="61.88"/>
    <n v="0"/>
  </r>
  <r>
    <s v="YA"/>
    <s v="Toyota Yaris"/>
    <x v="1492"/>
    <s v="ONNA"/>
    <s v="SEPA"/>
    <n v="1"/>
    <n v="125.95"/>
    <n v="0"/>
  </r>
  <r>
    <s v="YA"/>
    <s v="Toyota Yaris"/>
    <x v="1493"/>
    <s v="ONNA"/>
    <s v="SEPA"/>
    <n v="3"/>
    <n v="109.75766"/>
    <n v="0"/>
  </r>
  <r>
    <s v="YA"/>
    <s v="Toyota Yaris"/>
    <x v="1494"/>
    <s v="ONNA"/>
    <s v="SEPA"/>
    <n v="12"/>
    <n v="38.29"/>
    <n v="0"/>
  </r>
  <r>
    <s v="YA"/>
    <s v="Toyota Yaris"/>
    <x v="1495"/>
    <s v="ONNA"/>
    <s v="SEPA"/>
    <n v="8"/>
    <n v="39.11"/>
    <n v="0"/>
  </r>
  <r>
    <s v="YA"/>
    <s v="Toyota Yaris"/>
    <x v="1496"/>
    <s v="ONNA"/>
    <s v="SEPA"/>
    <n v="16"/>
    <n v="38.979999999999997"/>
    <n v="0"/>
  </r>
  <r>
    <s v="YA"/>
    <s v="Toyota Yaris"/>
    <x v="1497"/>
    <s v="ONNA"/>
    <s v="SEPA"/>
    <n v="18"/>
    <n v="47.69"/>
    <n v="0"/>
  </r>
  <r>
    <s v="YA"/>
    <s v="Toyota Yaris"/>
    <x v="1498"/>
    <s v="ONNA"/>
    <s v="SEPA"/>
    <n v="4"/>
    <n v="49.01"/>
    <n v="0"/>
  </r>
  <r>
    <s v="YA"/>
    <s v="Toyota Yaris"/>
    <x v="1499"/>
    <s v="ONNA"/>
    <s v="SEPA"/>
    <n v="8"/>
    <n v="44.27"/>
    <n v="0"/>
  </r>
  <r>
    <s v="YA"/>
    <s v="Toyota Yaris"/>
    <x v="1500"/>
    <s v="ONNA"/>
    <s v="SEPA"/>
    <n v="30"/>
    <n v="38.229999999999997"/>
    <n v="0"/>
  </r>
  <r>
    <s v="YA"/>
    <s v="Toyota Yaris"/>
    <x v="1501"/>
    <s v="ONNA"/>
    <s v="SEPA"/>
    <n v="12"/>
    <n v="43.93"/>
    <n v="0"/>
  </r>
  <r>
    <s v="YA"/>
    <s v="Toyota Yaris"/>
    <x v="1502"/>
    <s v="ONNA"/>
    <s v="SEPA"/>
    <n v="3"/>
    <n v="52.36"/>
    <n v="0"/>
  </r>
  <r>
    <s v="YA"/>
    <s v="Toyota Yaris"/>
    <x v="1503"/>
    <s v="ONNA"/>
    <s v="SEPA"/>
    <n v="9"/>
    <n v="55.189489999999999"/>
    <n v="0"/>
  </r>
  <r>
    <s v="YA"/>
    <s v="Toyota Yaris"/>
    <x v="1504"/>
    <s v="ONNA"/>
    <s v="SEPA"/>
    <n v="6"/>
    <n v="128.3785"/>
    <n v="0"/>
  </r>
  <r>
    <s v="YA"/>
    <s v="Toyota Yaris"/>
    <x v="1505"/>
    <s v="ONNA"/>
    <s v="SEPA"/>
    <n v="6"/>
    <n v="130.66"/>
    <n v="0"/>
  </r>
  <r>
    <s v="YA"/>
    <s v="Toyota Yaris"/>
    <x v="1506"/>
    <s v="ONNA"/>
    <s v="SEPA"/>
    <n v="4"/>
    <n v="150.30000000000001"/>
    <n v="0"/>
  </r>
  <r>
    <s v="YA"/>
    <s v="Toyota Yaris"/>
    <x v="1507"/>
    <s v="ONNA"/>
    <s v="SEPA"/>
    <n v="5"/>
    <n v="151.32"/>
    <n v="0"/>
  </r>
  <r>
    <s v="YA"/>
    <s v="Toyota Yaris"/>
    <x v="1508"/>
    <s v="ONNA"/>
    <s v="SEPA"/>
    <n v="3"/>
    <n v="87.41"/>
    <n v="0"/>
  </r>
  <r>
    <s v="YA"/>
    <s v="Toyota Yaris"/>
    <x v="1509"/>
    <s v="ONNA"/>
    <s v="SEPA"/>
    <n v="29"/>
    <n v="87.405900000000003"/>
    <n v="0"/>
  </r>
  <r>
    <s v="YA"/>
    <s v="Toyota Yaris"/>
    <x v="1510"/>
    <s v="ONNA"/>
    <s v="SEPA"/>
    <n v="3"/>
    <n v="113.52"/>
    <n v="0"/>
  </r>
  <r>
    <s v="YA"/>
    <s v="Toyota Yaris"/>
    <x v="1511"/>
    <s v="ONNA"/>
    <s v="SEPA"/>
    <n v="3"/>
    <n v="111.86"/>
    <n v="0"/>
  </r>
  <r>
    <s v="YA"/>
    <s v="Toyota Yaris"/>
    <x v="1512"/>
    <s v="ONNA"/>
    <s v="SEPA"/>
    <n v="12"/>
    <n v="117.72"/>
    <n v="0"/>
  </r>
  <r>
    <s v="YA"/>
    <s v="Toyota Yaris"/>
    <x v="1513"/>
    <s v="ONNA"/>
    <s v="SEPA"/>
    <n v="5"/>
    <n v="142.56"/>
    <n v="0"/>
  </r>
  <r>
    <s v="YA"/>
    <s v="Toyota Yaris"/>
    <x v="1514"/>
    <s v="ONNA"/>
    <s v="SEPA"/>
    <n v="4"/>
    <n v="130.56"/>
    <n v="0"/>
  </r>
  <r>
    <s v="YA"/>
    <s v="Toyota Yaris"/>
    <x v="1515"/>
    <s v="ONNA"/>
    <s v="SEPA"/>
    <n v="1"/>
    <n v="154.51"/>
    <n v="0"/>
  </r>
  <r>
    <s v="YA"/>
    <s v="Toyota Yaris"/>
    <x v="1516"/>
    <s v="ONNA"/>
    <s v="SEPA"/>
    <n v="7"/>
    <n v="134.82"/>
    <n v="0"/>
  </r>
  <r>
    <s v="YA"/>
    <s v="Toyota Yaris"/>
    <x v="1517"/>
    <s v="ONNA"/>
    <s v="SEPA"/>
    <n v="18"/>
    <n v="144.36439999999999"/>
    <n v="0"/>
  </r>
  <r>
    <s v="YA"/>
    <s v="Toyota Yaris"/>
    <x v="1518"/>
    <s v="ONNA"/>
    <s v="SEPA"/>
    <n v="4"/>
    <n v="137.11000000000001"/>
    <n v="0"/>
  </r>
  <r>
    <s v="YA"/>
    <s v="Toyota Yaris"/>
    <x v="1519"/>
    <s v="ONNA"/>
    <s v="SEPA"/>
    <n v="4"/>
    <n v="138.13999999999999"/>
    <n v="0"/>
  </r>
  <r>
    <s v="YA"/>
    <s v="Toyota Yaris"/>
    <x v="1520"/>
    <s v="ONNA"/>
    <s v="SEPA"/>
    <n v="20"/>
    <n v="138.518"/>
    <n v="0"/>
  </r>
  <r>
    <s v="YA"/>
    <s v="Toyota Yaris"/>
    <x v="1521"/>
    <s v="ONNA"/>
    <s v="SEPA"/>
    <n v="4"/>
    <n v="151.01"/>
    <n v="0"/>
  </r>
  <r>
    <s v="YA"/>
    <s v="Toyota Yaris"/>
    <x v="1522"/>
    <s v="ONNA"/>
    <s v="SEPA"/>
    <n v="25"/>
    <n v="132.6268"/>
    <n v="0"/>
  </r>
  <r>
    <s v="YA"/>
    <s v="Toyota Yaris"/>
    <x v="1523"/>
    <s v="ONNA"/>
    <s v="SEPA"/>
    <n v="10"/>
    <n v="140.87"/>
    <n v="0"/>
  </r>
  <r>
    <s v="YA"/>
    <s v="Toyota Yaris"/>
    <x v="1524"/>
    <s v="ONNA"/>
    <s v="SEPA"/>
    <n v="10"/>
    <n v="67.86"/>
    <n v="0"/>
  </r>
  <r>
    <s v="YA"/>
    <s v="Toyota Yaris"/>
    <x v="1525"/>
    <s v="ONNA"/>
    <s v="SEPA"/>
    <n v="2"/>
    <n v="64.38"/>
    <n v="0"/>
  </r>
  <r>
    <s v="YA"/>
    <s v="Toyota Yaris"/>
    <x v="1526"/>
    <s v="ONNA"/>
    <s v="SEPA"/>
    <n v="15"/>
    <n v="63.938800000000001"/>
    <n v="0"/>
  </r>
  <r>
    <s v="YA"/>
    <s v="Toyota Yaris"/>
    <x v="1527"/>
    <s v="ONNA"/>
    <s v="SEPA"/>
    <n v="7"/>
    <n v="61.38"/>
    <n v="0"/>
  </r>
  <r>
    <s v="YA"/>
    <s v="Toyota Yaris"/>
    <x v="1528"/>
    <s v="ONNA"/>
    <s v="SEPA"/>
    <n v="3"/>
    <n v="100.46"/>
    <n v="0"/>
  </r>
  <r>
    <s v="YA"/>
    <s v="Toyota Yaris"/>
    <x v="1529"/>
    <s v="ONNA"/>
    <s v="SEPA"/>
    <n v="2"/>
    <n v="143.59"/>
    <n v="0"/>
  </r>
  <r>
    <s v="YA"/>
    <s v="Toyota Yaris"/>
    <x v="1530"/>
    <s v="ONNA"/>
    <s v="SEPA"/>
    <n v="1"/>
    <n v="143.30000000000001"/>
    <n v="0"/>
  </r>
  <r>
    <s v="YA"/>
    <s v="Toyota Yaris"/>
    <x v="1531"/>
    <s v="ONNA"/>
    <s v="SEPA"/>
    <n v="14"/>
    <n v="70.84"/>
    <n v="0"/>
  </r>
  <r>
    <s v="YA"/>
    <s v="Toyota Yaris"/>
    <x v="1532"/>
    <s v="ONNA"/>
    <s v="SEPA"/>
    <n v="14"/>
    <n v="67.23"/>
    <n v="0"/>
  </r>
  <r>
    <s v="YA"/>
    <s v="Toyota Yaris"/>
    <x v="1533"/>
    <s v="ONNA"/>
    <s v="SEPA"/>
    <n v="11"/>
    <n v="67.69"/>
    <n v="0"/>
  </r>
  <r>
    <s v="YA"/>
    <s v="Toyota Yaris"/>
    <x v="1534"/>
    <s v="ONNA"/>
    <s v="SEPA"/>
    <n v="7"/>
    <n v="64.23"/>
    <n v="0"/>
  </r>
  <r>
    <s v="YA"/>
    <s v="Toyota Yaris"/>
    <x v="1535"/>
    <s v="ONNA"/>
    <s v="SEPA"/>
    <n v="6"/>
    <n v="79.701369999999997"/>
    <n v="0"/>
  </r>
  <r>
    <s v="YA"/>
    <s v="Toyota Yaris"/>
    <x v="1536"/>
    <s v="ONNA"/>
    <s v="SEPA"/>
    <n v="9"/>
    <n v="90.4101"/>
    <n v="0"/>
  </r>
  <r>
    <s v="YA"/>
    <s v="Toyota Yaris"/>
    <x v="1537"/>
    <s v="ONNA"/>
    <s v="SEPA"/>
    <n v="2"/>
    <n v="81.986689999999996"/>
    <n v="0"/>
  </r>
  <r>
    <s v="YA"/>
    <s v="Toyota Yaris"/>
    <x v="1538"/>
    <s v="ONNA"/>
    <s v="SEPA"/>
    <n v="15"/>
    <n v="97.771100000000004"/>
    <n v="0"/>
  </r>
  <r>
    <s v="YA"/>
    <s v="Toyota Yaris"/>
    <x v="1539"/>
    <s v="ONNA"/>
    <s v="SEPA"/>
    <n v="12"/>
    <n v="94.16"/>
    <n v="0"/>
  </r>
  <r>
    <s v="YA"/>
    <s v="Toyota Yaris"/>
    <x v="1540"/>
    <s v="ONNA"/>
    <s v="SEPA"/>
    <n v="8"/>
    <n v="99.63"/>
    <n v="0"/>
  </r>
  <r>
    <s v="YA"/>
    <s v="Toyota Yaris"/>
    <x v="1541"/>
    <s v="ONNA"/>
    <s v="SEPA"/>
    <n v="14"/>
    <n v="76.64"/>
    <n v="0"/>
  </r>
  <r>
    <s v="YA"/>
    <s v="Toyota Yaris"/>
    <x v="1542"/>
    <s v="ONNA"/>
    <s v="SEPA"/>
    <n v="13"/>
    <n v="79.319999999999993"/>
    <n v="0"/>
  </r>
  <r>
    <s v="YA"/>
    <s v="Toyota Yaris"/>
    <x v="1543"/>
    <s v="ONNA"/>
    <s v="SEPA"/>
    <n v="3"/>
    <n v="75.239999999999995"/>
    <n v="0"/>
  </r>
  <r>
    <s v="YA"/>
    <s v="Toyota Yaris"/>
    <x v="1544"/>
    <s v="ONNA"/>
    <s v="SEPA"/>
    <n v="5"/>
    <n v="79.98"/>
    <n v="0"/>
  </r>
  <r>
    <s v="YA"/>
    <s v="Toyota Yaris"/>
    <x v="1545"/>
    <s v="ONNA"/>
    <s v="SEPA"/>
    <n v="4"/>
    <n v="75.760000000000005"/>
    <n v="0"/>
  </r>
  <r>
    <s v="YA"/>
    <s v="Toyota Yaris"/>
    <x v="1546"/>
    <s v="ONNA"/>
    <s v="SEPA"/>
    <n v="9"/>
    <n v="75.27"/>
    <n v="0"/>
  </r>
  <r>
    <s v="YA"/>
    <s v="Toyota Yaris"/>
    <x v="1547"/>
    <s v="ONNA"/>
    <s v="SEPA"/>
    <n v="1"/>
    <n v="71.31"/>
    <n v="0"/>
  </r>
  <r>
    <s v="YA"/>
    <s v="Toyota Yaris"/>
    <x v="1548"/>
    <s v="ONNA"/>
    <s v="SEPA"/>
    <n v="10"/>
    <n v="77.94"/>
    <n v="0"/>
  </r>
  <r>
    <s v="YA"/>
    <s v="Toyota Yaris"/>
    <x v="1549"/>
    <s v="ONNA"/>
    <s v="SEPA"/>
    <n v="3"/>
    <n v="73.88"/>
    <n v="0"/>
  </r>
  <r>
    <s v="YA"/>
    <s v="Toyota Yaris"/>
    <x v="1550"/>
    <s v="ONNA"/>
    <s v="SEPA"/>
    <n v="15"/>
    <n v="73.53"/>
    <n v="0"/>
  </r>
  <r>
    <s v="YA"/>
    <s v="Toyota Yaris"/>
    <x v="1551"/>
    <s v="ONNA"/>
    <s v="SEPA"/>
    <n v="6"/>
    <n v="69.67"/>
    <n v="0"/>
  </r>
  <r>
    <s v="YA"/>
    <s v="Toyota Yaris"/>
    <x v="1552"/>
    <s v="ONNA"/>
    <s v="SEPA"/>
    <n v="9"/>
    <n v="76.2"/>
    <n v="0"/>
  </r>
  <r>
    <s v="YA"/>
    <s v="Toyota Yaris"/>
    <x v="1553"/>
    <s v="ONNA"/>
    <s v="SEPA"/>
    <n v="2"/>
    <n v="72.239999999999995"/>
    <n v="0"/>
  </r>
  <r>
    <s v="YA"/>
    <s v="Toyota Yaris"/>
    <x v="1554"/>
    <s v="ONNA"/>
    <s v="SEPA"/>
    <n v="10"/>
    <n v="72.150000000000006"/>
    <n v="0"/>
  </r>
  <r>
    <s v="YA"/>
    <s v="Toyota Yaris"/>
    <x v="1555"/>
    <s v="ONNA"/>
    <s v="SEPA"/>
    <n v="4"/>
    <n v="74.83"/>
    <n v="0"/>
  </r>
  <r>
    <s v="YA"/>
    <s v="Toyota Yaris"/>
    <x v="1556"/>
    <s v="ONNA"/>
    <s v="SEPA"/>
    <n v="5"/>
    <n v="70.88"/>
    <n v="0"/>
  </r>
  <r>
    <s v="YA"/>
    <s v="Toyota Yaris"/>
    <x v="1557"/>
    <s v="ONNA"/>
    <s v="SEPA"/>
    <n v="5"/>
    <n v="80.569999999999993"/>
    <n v="0"/>
  </r>
  <r>
    <s v="YA"/>
    <s v="Toyota Yaris"/>
    <x v="1558"/>
    <s v="ONNA"/>
    <s v="SEPA"/>
    <n v="5"/>
    <n v="83.17"/>
    <n v="0"/>
  </r>
  <r>
    <s v="YA"/>
    <s v="Toyota Yaris"/>
    <x v="1559"/>
    <s v="ONNA"/>
    <s v="SEPA"/>
    <n v="4"/>
    <n v="78.39"/>
    <n v="0"/>
  </r>
  <r>
    <s v="YA"/>
    <s v="Toyota Yaris"/>
    <x v="1560"/>
    <s v="ONNA"/>
    <s v="SEPA"/>
    <n v="9"/>
    <n v="79.11"/>
    <n v="0"/>
  </r>
  <r>
    <s v="YA"/>
    <s v="Toyota Yaris"/>
    <x v="1561"/>
    <s v="ONNA"/>
    <s v="SEPA"/>
    <n v="5"/>
    <n v="74.44"/>
    <n v="0"/>
  </r>
  <r>
    <s v="YA"/>
    <s v="Toyota Yaris"/>
    <x v="1562"/>
    <s v="ONNA"/>
    <s v="SEPA"/>
    <n v="4"/>
    <n v="80.010000000000005"/>
    <n v="0"/>
  </r>
  <r>
    <s v="YA"/>
    <s v="Toyota Yaris"/>
    <x v="1563"/>
    <s v="ONNA"/>
    <s v="SEPA"/>
    <n v="12"/>
    <n v="71.174999999999997"/>
    <n v="0"/>
  </r>
  <r>
    <s v="YA"/>
    <s v="Toyota Yaris"/>
    <x v="1564"/>
    <s v="ONNA"/>
    <s v="SEPA"/>
    <n v="9"/>
    <n v="75.989999999999995"/>
    <n v="0"/>
  </r>
  <r>
    <s v="YA"/>
    <s v="Toyota Yaris"/>
    <x v="1565"/>
    <s v="ONNA"/>
    <s v="SEPA"/>
    <n v="4"/>
    <n v="71.45"/>
    <n v="0"/>
  </r>
  <r>
    <s v="YA"/>
    <s v="Toyota Yaris"/>
    <x v="1566"/>
    <s v="ONNA"/>
    <s v="SEPA"/>
    <n v="10"/>
    <n v="107.34"/>
    <n v="0"/>
  </r>
  <r>
    <s v="YA"/>
    <s v="Toyota Yaris"/>
    <x v="1567"/>
    <s v="ONNA"/>
    <s v="SEPA"/>
    <n v="2"/>
    <n v="102.86"/>
    <n v="0"/>
  </r>
  <r>
    <s v="YA"/>
    <s v="Toyota Yaris"/>
    <x v="1568"/>
    <s v="ONNA"/>
    <s v="SEPA"/>
    <n v="4"/>
    <n v="107.32"/>
    <n v="0"/>
  </r>
  <r>
    <s v="YA"/>
    <s v="Toyota Yaris"/>
    <x v="1569"/>
    <s v="ONNA"/>
    <s v="SEPA"/>
    <n v="4"/>
    <n v="102.87"/>
    <n v="0"/>
  </r>
  <r>
    <s v="YA"/>
    <s v="Toyota Yaris"/>
    <x v="1570"/>
    <s v="ONNA"/>
    <s v="SEPA"/>
    <n v="4"/>
    <n v="111.26"/>
    <n v="0"/>
  </r>
  <r>
    <s v="YA"/>
    <s v="Toyota Yaris"/>
    <x v="1571"/>
    <s v="ONNA"/>
    <s v="SEPA"/>
    <n v="3"/>
    <n v="106.1"/>
    <n v="0"/>
  </r>
  <r>
    <s v="YA"/>
    <s v="Toyota Yaris"/>
    <x v="1572"/>
    <s v="ONNA"/>
    <s v="SEPA"/>
    <n v="12"/>
    <n v="113.87"/>
    <n v="0"/>
  </r>
  <r>
    <s v="YA"/>
    <s v="Toyota Yaris"/>
    <x v="1573"/>
    <s v="ONNA"/>
    <s v="SEPA"/>
    <n v="26"/>
    <n v="108.61"/>
    <n v="0"/>
  </r>
  <r>
    <s v="YA"/>
    <s v="Toyota Yaris"/>
    <x v="1574"/>
    <s v="ONNA"/>
    <s v="SEPA"/>
    <n v="5"/>
    <n v="95.1"/>
    <n v="0"/>
  </r>
  <r>
    <s v="YA"/>
    <s v="Toyota Yaris"/>
    <x v="1575"/>
    <s v="ONNA"/>
    <s v="SEPA"/>
    <n v="9"/>
    <n v="91.37"/>
    <n v="0"/>
  </r>
  <r>
    <s v="YA"/>
    <s v="Toyota Yaris"/>
    <x v="1576"/>
    <s v="ONNA"/>
    <s v="SEPA"/>
    <n v="4"/>
    <n v="81.423749999999998"/>
    <n v="0"/>
  </r>
  <r>
    <s v="YA"/>
    <s v="Toyota Yaris"/>
    <x v="1577"/>
    <s v="ONNA"/>
    <s v="SEPA"/>
    <n v="3"/>
    <n v="99.6"/>
    <n v="0"/>
  </r>
  <r>
    <s v="YA"/>
    <s v="Toyota Yaris"/>
    <x v="1578"/>
    <s v="ONNA"/>
    <s v="SEPA"/>
    <n v="3"/>
    <n v="104.27"/>
    <n v="0"/>
  </r>
  <r>
    <s v="YA"/>
    <s v="Toyota Yaris"/>
    <x v="1579"/>
    <s v="ONNA"/>
    <s v="SEPA"/>
    <n v="7"/>
    <n v="100.23"/>
    <n v="0"/>
  </r>
  <r>
    <s v="YA"/>
    <s v="Toyota Yaris"/>
    <x v="1580"/>
    <s v="ONNA"/>
    <s v="SEPA"/>
    <n v="9"/>
    <n v="98.29"/>
    <n v="0"/>
  </r>
  <r>
    <s v="YA"/>
    <s v="Toyota Yaris"/>
    <x v="1581"/>
    <s v="ONNA"/>
    <s v="SEPA"/>
    <n v="6"/>
    <n v="100.90300000000001"/>
    <n v="0"/>
  </r>
  <r>
    <s v="YA"/>
    <s v="Toyota Yaris"/>
    <x v="1582"/>
    <s v="ONNA"/>
    <s v="SEPA"/>
    <n v="15"/>
    <n v="100.91"/>
    <n v="0"/>
  </r>
  <r>
    <s v="YA"/>
    <s v="Toyota Yaris"/>
    <x v="1583"/>
    <s v="ONNA"/>
    <s v="SEPA"/>
    <n v="10"/>
    <n v="102.82"/>
    <n v="0"/>
  </r>
  <r>
    <s v="YA"/>
    <s v="Toyota Yaris"/>
    <x v="1584"/>
    <s v="ONNA"/>
    <s v="SEPA"/>
    <n v="7"/>
    <n v="86.329390000000004"/>
    <n v="0"/>
  </r>
  <r>
    <s v="YA"/>
    <s v="Toyota Yaris"/>
    <x v="1585"/>
    <s v="ONNA"/>
    <s v="SEPA"/>
    <n v="10"/>
    <n v="105.33"/>
    <n v="0"/>
  </r>
  <r>
    <s v="YA"/>
    <s v="Toyota Yaris"/>
    <x v="1586"/>
    <s v="ONNA"/>
    <s v="SEPA"/>
    <n v="8"/>
    <n v="104.17"/>
    <n v="0"/>
  </r>
  <r>
    <s v="YA"/>
    <s v="Toyota Yaris"/>
    <x v="1587"/>
    <s v="ONNA"/>
    <s v="SEPA"/>
    <n v="9"/>
    <n v="101.52"/>
    <n v="0"/>
  </r>
  <r>
    <s v="YA"/>
    <s v="Toyota Yaris"/>
    <x v="1588"/>
    <s v="ONNA"/>
    <s v="SEPA"/>
    <n v="10"/>
    <n v="106.76"/>
    <n v="0"/>
  </r>
  <r>
    <s v="YA"/>
    <s v="Toyota Yaris"/>
    <x v="1589"/>
    <s v="ONNA"/>
    <s v="SEPA"/>
    <n v="8"/>
    <n v="104.02"/>
    <n v="0"/>
  </r>
  <r>
    <s v="YA"/>
    <s v="Toyota Yaris"/>
    <x v="1590"/>
    <s v="ONNA"/>
    <s v="SEPA"/>
    <n v="4"/>
    <n v="78.62"/>
    <n v="0"/>
  </r>
  <r>
    <s v="YA"/>
    <s v="Toyota Yaris"/>
    <x v="1591"/>
    <s v="ONNA"/>
    <s v="SEPA"/>
    <n v="5"/>
    <n v="76.92"/>
    <n v="0"/>
  </r>
  <r>
    <s v="YA"/>
    <s v="Toyota Yaris"/>
    <x v="1592"/>
    <s v="ONNA"/>
    <s v="SEPA"/>
    <n v="12"/>
    <n v="83.83"/>
    <n v="0"/>
  </r>
  <r>
    <s v="YA"/>
    <s v="Toyota Yaris"/>
    <x v="1593"/>
    <s v="ONNA"/>
    <s v="SEPA"/>
    <n v="4"/>
    <n v="79.489999999999995"/>
    <n v="0"/>
  </r>
  <r>
    <s v="YA"/>
    <s v="Toyota Yaris"/>
    <x v="1594"/>
    <s v="ONNA"/>
    <s v="SEPA"/>
    <n v="4"/>
    <n v="87.69"/>
    <n v="0"/>
  </r>
  <r>
    <s v="YA"/>
    <s v="Toyota Yaris"/>
    <x v="1595"/>
    <s v="ONNA"/>
    <s v="SEPA"/>
    <n v="6"/>
    <n v="82.65"/>
    <n v="0"/>
  </r>
  <r>
    <s v="YA"/>
    <s v="Toyota Yaris"/>
    <x v="1596"/>
    <s v="ONNA"/>
    <s v="SEPA"/>
    <n v="17"/>
    <n v="106.56"/>
    <n v="0"/>
  </r>
  <r>
    <s v="YA"/>
    <s v="Toyota Yaris"/>
    <x v="1597"/>
    <s v="ALBA"/>
    <s v="SEPA"/>
    <n v="34"/>
    <n v="1.4"/>
    <n v="0"/>
  </r>
  <r>
    <s v="YA"/>
    <s v="Toyota Yaris"/>
    <x v="1598"/>
    <s v="ALBA"/>
    <s v="SEPA"/>
    <n v="7"/>
    <n v="2.63"/>
    <n v="0"/>
  </r>
  <r>
    <s v="YA"/>
    <s v="Toyota Yaris"/>
    <x v="1599"/>
    <s v="ALBA"/>
    <s v="SEPA"/>
    <n v="24"/>
    <n v="2.12"/>
    <n v="0"/>
  </r>
  <r>
    <s v="YA"/>
    <s v="Toyota Yaris"/>
    <x v="1600"/>
    <s v="ONNA"/>
    <s v="SEPA"/>
    <n v="5"/>
    <n v="4.1100000000000003"/>
    <n v="0"/>
  </r>
  <r>
    <s v="YA"/>
    <s v="Toyota Yaris"/>
    <x v="1601"/>
    <s v="ALBA"/>
    <s v="SEPA"/>
    <n v="51"/>
    <n v="1.21"/>
    <n v="0"/>
  </r>
  <r>
    <s v="YA"/>
    <s v="Toyota Yaris"/>
    <x v="1602"/>
    <s v="ALBA"/>
    <s v="SEPA"/>
    <n v="135"/>
    <n v="2.27"/>
    <n v="0"/>
  </r>
  <r>
    <s v="YA"/>
    <s v="Toyota Yaris"/>
    <x v="1603"/>
    <s v="ALBA"/>
    <s v="SEPA"/>
    <n v="37"/>
    <n v="2.64"/>
    <n v="0"/>
  </r>
  <r>
    <s v="YA"/>
    <s v="Toyota Yaris"/>
    <x v="1604"/>
    <s v="ALBA"/>
    <s v="SEPA"/>
    <n v="3"/>
    <n v="1.1741600000000001"/>
    <n v="0"/>
  </r>
  <r>
    <s v="YA"/>
    <s v="Toyota Yaris"/>
    <x v="1605"/>
    <s v="ALBA"/>
    <s v="SEPA"/>
    <n v="225"/>
    <n v="2.1202399999999999"/>
    <n v="0"/>
  </r>
  <r>
    <s v="YA"/>
    <s v="Toyota Yaris"/>
    <x v="1606"/>
    <s v="ALBA"/>
    <s v="SEPA"/>
    <n v="253"/>
    <n v="2.1957"/>
    <n v="0"/>
  </r>
  <r>
    <s v="YA"/>
    <s v="Toyota Yaris"/>
    <x v="1607"/>
    <s v="ONNA"/>
    <s v="SEPA"/>
    <n v="27"/>
    <n v="4.58"/>
    <n v="0"/>
  </r>
  <r>
    <s v="YA"/>
    <s v="Toyota Yaris"/>
    <x v="1608"/>
    <s v="ONNA"/>
    <s v="SEPA"/>
    <n v="31"/>
    <n v="6.89"/>
    <n v="0"/>
  </r>
  <r>
    <s v="YA"/>
    <s v="Toyota Yaris"/>
    <x v="1609"/>
    <s v="ONNA"/>
    <s v="SEPA"/>
    <n v="9"/>
    <n v="5.62"/>
    <n v="0"/>
  </r>
  <r>
    <s v="YA"/>
    <s v="Toyota Yaris"/>
    <x v="1610"/>
    <s v="ONNA"/>
    <s v="SEPA"/>
    <n v="48"/>
    <n v="7.8"/>
    <n v="0"/>
  </r>
  <r>
    <s v="YA"/>
    <s v="Toyota Yaris"/>
    <x v="1611"/>
    <s v="ONNA"/>
    <s v="SEPA"/>
    <n v="9"/>
    <n v="4.41"/>
    <n v="0"/>
  </r>
  <r>
    <s v="YA"/>
    <s v="Toyota Yaris"/>
    <x v="1612"/>
    <s v="ONNA"/>
    <s v="SEPA"/>
    <n v="30"/>
    <n v="6.75"/>
    <n v="0"/>
  </r>
  <r>
    <s v="YA"/>
    <s v="Toyota Yaris"/>
    <x v="1613"/>
    <s v="ONNA"/>
    <s v="SEPA"/>
    <n v="150"/>
    <n v="4.88"/>
    <n v="0"/>
  </r>
  <r>
    <s v="YA"/>
    <s v="Toyota Yaris"/>
    <x v="1614"/>
    <s v="ONNA"/>
    <s v="SEPA"/>
    <n v="27"/>
    <n v="7.23"/>
    <n v="0"/>
  </r>
  <r>
    <s v="YA"/>
    <s v="Toyota Yaris"/>
    <x v="1615"/>
    <s v="ALBA"/>
    <s v="SEPA"/>
    <n v="1"/>
    <n v="5.46"/>
    <n v="0"/>
  </r>
  <r>
    <s v="YA"/>
    <s v="Toyota Yaris"/>
    <x v="1616"/>
    <s v="ONNA"/>
    <s v="SEPA"/>
    <n v="4"/>
    <n v="5.92"/>
    <n v="0"/>
  </r>
  <r>
    <s v="YA"/>
    <s v="Toyota Yaris"/>
    <x v="1617"/>
    <s v="ONNA"/>
    <s v="SEPA"/>
    <n v="29"/>
    <n v="8.07"/>
    <n v="0"/>
  </r>
  <r>
    <s v="YA"/>
    <s v="Toyota Yaris"/>
    <x v="1618"/>
    <s v="ONNA"/>
    <s v="SEPA"/>
    <n v="39"/>
    <n v="6.11"/>
    <n v="0"/>
  </r>
  <r>
    <s v="YA"/>
    <s v="Toyota Yaris"/>
    <x v="1619"/>
    <s v="ONNA"/>
    <s v="SEPA"/>
    <n v="236"/>
    <n v="3.6273"/>
    <n v="0"/>
  </r>
  <r>
    <s v="YA"/>
    <s v="Toyota Yaris"/>
    <x v="1620"/>
    <s v="ONNA"/>
    <s v="SEPA"/>
    <n v="90"/>
    <n v="4.4000000000000004"/>
    <n v="0"/>
  </r>
  <r>
    <s v="YA"/>
    <s v="Toyota Yaris"/>
    <x v="1621"/>
    <s v="ONNA"/>
    <s v="SEPA"/>
    <n v="137"/>
    <n v="3.76"/>
    <n v="0"/>
  </r>
  <r>
    <s v="YA"/>
    <s v="Toyota Yaris"/>
    <x v="1622"/>
    <s v="ONNA"/>
    <s v="SEPA"/>
    <n v="73"/>
    <n v="4.57"/>
    <n v="0"/>
  </r>
  <r>
    <s v="YA"/>
    <s v="Toyota Yaris"/>
    <x v="1623"/>
    <s v="ALBA"/>
    <s v="SEPA"/>
    <n v="3"/>
    <n v="1.79114"/>
    <n v="0"/>
  </r>
  <r>
    <s v="YA"/>
    <s v="Toyota Yaris"/>
    <x v="1624"/>
    <s v="ALBA"/>
    <s v="SPCO"/>
    <n v="5"/>
    <n v="2.99"/>
    <n v="0"/>
  </r>
  <r>
    <s v="YA"/>
    <s v="Toyota Yaris"/>
    <x v="1625"/>
    <s v="ALBA"/>
    <s v="SEPA"/>
    <n v="63"/>
    <n v="3.6"/>
    <n v="0"/>
  </r>
  <r>
    <s v="YA"/>
    <s v="Toyota Yaris"/>
    <x v="1626"/>
    <s v="ALBA"/>
    <s v="SEPA"/>
    <n v="10"/>
    <n v="4.3099999999999996"/>
    <n v="0"/>
  </r>
  <r>
    <s v="YA"/>
    <s v="Toyota Yaris"/>
    <x v="1627"/>
    <s v="ALBA"/>
    <s v="SEPA"/>
    <n v="7"/>
    <n v="5.08"/>
    <n v="0"/>
  </r>
  <r>
    <s v="YA"/>
    <s v="Toyota Yaris"/>
    <x v="1628"/>
    <s v="ALBA"/>
    <s v="SEPA"/>
    <n v="2"/>
    <n v="8.2951599999999992"/>
    <n v="0"/>
  </r>
  <r>
    <s v="YA"/>
    <s v="Toyota Yaris"/>
    <x v="1629"/>
    <s v="ALBA"/>
    <s v="SEPA"/>
    <n v="4"/>
    <n v="5.9313000000000002"/>
    <n v="0"/>
  </r>
  <r>
    <s v="YA"/>
    <s v="Toyota Yaris"/>
    <x v="1630"/>
    <s v="ALBA"/>
    <s v="SEPA"/>
    <n v="1"/>
    <n v="5.64222"/>
    <n v="0"/>
  </r>
  <r>
    <s v="YA"/>
    <s v="Toyota Yaris"/>
    <x v="1631"/>
    <s v="ALBA"/>
    <s v="SEPA"/>
    <n v="12"/>
    <n v="4.6100000000000003"/>
    <n v="0"/>
  </r>
  <r>
    <s v="YA"/>
    <s v="Toyota Yaris"/>
    <x v="1632"/>
    <s v="ALBA"/>
    <s v="SEPA"/>
    <n v="18"/>
    <n v="4.16"/>
    <n v="0"/>
  </r>
  <r>
    <s v="YA"/>
    <s v="Toyota Yaris"/>
    <x v="1633"/>
    <s v="ONNA"/>
    <s v="SEPA"/>
    <n v="41"/>
    <n v="4.1561899999999996"/>
    <n v="0"/>
  </r>
  <r>
    <s v="YA"/>
    <s v="Toyota Yaris"/>
    <x v="1634"/>
    <s v="ONNA"/>
    <s v="SEPA"/>
    <n v="123"/>
    <n v="4.8099999999999996"/>
    <n v="0"/>
  </r>
  <r>
    <s v="YA"/>
    <s v="Toyota Yaris"/>
    <x v="1635"/>
    <s v="ALBA"/>
    <s v="SEPA"/>
    <n v="18"/>
    <n v="3.7810000000000001"/>
    <n v="0"/>
  </r>
  <r>
    <s v="YA"/>
    <s v="Toyota Yaris"/>
    <x v="1636"/>
    <s v="ALBA"/>
    <s v="SEPA"/>
    <n v="17"/>
    <n v="4.1075999999999997"/>
    <n v="0"/>
  </r>
  <r>
    <s v="YA"/>
    <s v="Toyota Yaris"/>
    <x v="1637"/>
    <s v="ALBA"/>
    <s v="SEPA"/>
    <n v="4"/>
    <n v="2.91"/>
    <n v="0"/>
  </r>
  <r>
    <s v="YA"/>
    <s v="Toyota Yaris"/>
    <x v="1638"/>
    <s v="ALBA"/>
    <s v="SEPA"/>
    <n v="13"/>
    <n v="5.8429099999999998"/>
    <n v="0"/>
  </r>
  <r>
    <s v="YA"/>
    <s v="Toyota Yaris"/>
    <x v="1639"/>
    <s v="ONNA"/>
    <s v="SEPA"/>
    <n v="19"/>
    <n v="4.13"/>
    <n v="0"/>
  </r>
  <r>
    <s v="YA"/>
    <s v="Toyota Yaris"/>
    <x v="1640"/>
    <s v="ONNA"/>
    <s v="SEPA"/>
    <n v="35"/>
    <n v="4.08"/>
    <n v="0"/>
  </r>
  <r>
    <s v="YA"/>
    <s v="Toyota Yaris"/>
    <x v="1641"/>
    <s v="ONNA"/>
    <s v="SEPA"/>
    <n v="38"/>
    <n v="4.29"/>
    <n v="0"/>
  </r>
  <r>
    <s v="YA"/>
    <s v="Toyota Yaris"/>
    <x v="1642"/>
    <s v="ONNA"/>
    <s v="SEPA"/>
    <n v="99"/>
    <n v="3.7227999999999999"/>
    <n v="0"/>
  </r>
  <r>
    <s v="YA"/>
    <s v="Toyota Yaris"/>
    <x v="1643"/>
    <s v="ONNA"/>
    <s v="SEPA"/>
    <n v="99"/>
    <n v="3.91"/>
    <n v="0"/>
  </r>
  <r>
    <s v="YA"/>
    <s v="Toyota Yaris"/>
    <x v="1644"/>
    <s v="ONNA"/>
    <s v="SEPA"/>
    <n v="40"/>
    <n v="3.88"/>
    <n v="0"/>
  </r>
  <r>
    <s v="YA"/>
    <s v="Toyota Yaris"/>
    <x v="1645"/>
    <s v="ONNA"/>
    <s v="SEPA"/>
    <n v="31"/>
    <n v="3.89"/>
    <n v="0"/>
  </r>
  <r>
    <s v="YA"/>
    <s v="Toyota Yaris"/>
    <x v="1646"/>
    <s v="ONNA"/>
    <s v="SEPA"/>
    <n v="7"/>
    <n v="3.85"/>
    <n v="0"/>
  </r>
  <r>
    <s v="YA"/>
    <s v="Toyota Yaris"/>
    <x v="1647"/>
    <s v="ONNA"/>
    <s v="SEPA"/>
    <n v="24"/>
    <n v="4.0999999999999996"/>
    <n v="0"/>
  </r>
  <r>
    <s v="YA"/>
    <s v="Toyota Yaris"/>
    <x v="1648"/>
    <s v="ONNA"/>
    <s v="SEPA"/>
    <n v="88"/>
    <n v="4.3499999999999996"/>
    <n v="0"/>
  </r>
  <r>
    <s v="YA"/>
    <s v="Toyota Yaris"/>
    <x v="1649"/>
    <s v="ALBA"/>
    <s v="SEPA"/>
    <n v="274"/>
    <n v="0.34310000000000002"/>
    <n v="0"/>
  </r>
  <r>
    <s v="YA"/>
    <s v="Toyota Yaris"/>
    <x v="1650"/>
    <s v="ONNA"/>
    <s v="SEPA"/>
    <n v="28"/>
    <n v="1.1395900000000001"/>
    <n v="0"/>
  </r>
  <r>
    <s v="YA"/>
    <s v="Toyota Yaris"/>
    <x v="1651"/>
    <s v="ONNA"/>
    <s v="SEPA"/>
    <n v="2"/>
    <n v="0.39"/>
    <n v="0"/>
  </r>
  <r>
    <s v="YA"/>
    <s v="Toyota Yaris"/>
    <x v="1652"/>
    <s v="ONNA"/>
    <s v="SEPA"/>
    <n v="1"/>
    <n v="0.01"/>
    <n v="0"/>
  </r>
  <r>
    <s v="YA"/>
    <s v="Toyota Yaris"/>
    <x v="1653"/>
    <s v="ALBA"/>
    <s v="SEPA"/>
    <n v="24"/>
    <n v="23.06"/>
    <n v="0"/>
  </r>
  <r>
    <s v="YA"/>
    <s v="Toyota Yaris"/>
    <x v="1654"/>
    <s v="ALBA"/>
    <s v="SEPA"/>
    <n v="411"/>
    <n v="2.469009999999999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9D35F9-74F2-4145-BF76-E27AF1D43B6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59" firstHeaderRow="1" firstDataRow="1" firstDataCol="1"/>
  <pivotFields count="8">
    <pivotField showAll="0"/>
    <pivotField showAll="0"/>
    <pivotField axis="axisRow" showAll="0">
      <items count="1656">
        <item x="50"/>
        <item x="51"/>
        <item x="70"/>
        <item x="71"/>
        <item x="72"/>
        <item x="73"/>
        <item x="74"/>
        <item x="75"/>
        <item x="76"/>
        <item x="77"/>
        <item x="78"/>
        <item x="79"/>
        <item x="80"/>
        <item x="81"/>
        <item x="82"/>
        <item x="83"/>
        <item x="84"/>
        <item x="85"/>
        <item x="86"/>
        <item x="87"/>
        <item x="88"/>
        <item x="89"/>
        <item x="90"/>
        <item x="8"/>
        <item x="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0"/>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
        <item x="264"/>
        <item x="49"/>
        <item x="0"/>
        <item x="1"/>
        <item x="2"/>
        <item x="3"/>
        <item x="4"/>
        <item x="5"/>
        <item x="6"/>
        <item x="7"/>
        <item x="54"/>
        <item x="269"/>
        <item x="270"/>
        <item x="271"/>
        <item x="272"/>
        <item x="55"/>
        <item x="56"/>
        <item x="57"/>
        <item x="58"/>
        <item x="59"/>
        <item x="60"/>
        <item x="61"/>
        <item x="52"/>
        <item x="53"/>
        <item x="273"/>
        <item x="67"/>
        <item x="68"/>
        <item x="978"/>
        <item x="66"/>
        <item x="69"/>
        <item x="248"/>
        <item x="249"/>
        <item x="979"/>
        <item x="19"/>
        <item x="20"/>
        <item x="1059"/>
        <item x="769"/>
        <item x="1047"/>
        <item x="1048"/>
        <item x="1049"/>
        <item x="1060"/>
        <item x="771"/>
        <item x="1061"/>
        <item x="1051"/>
        <item x="1052"/>
        <item x="775"/>
        <item x="1062"/>
        <item x="1088"/>
        <item x="1053"/>
        <item x="918"/>
        <item x="26"/>
        <item x="27"/>
        <item x="28"/>
        <item x="29"/>
        <item x="921"/>
        <item x="922"/>
        <item x="926"/>
        <item x="688"/>
        <item x="931"/>
        <item x="932"/>
        <item x="689"/>
        <item x="935"/>
        <item x="948"/>
        <item x="949"/>
        <item x="950"/>
        <item x="951"/>
        <item x="952"/>
        <item x="953"/>
        <item x="954"/>
        <item x="1651"/>
        <item x="1652"/>
        <item x="971"/>
        <item x="972"/>
        <item x="1054"/>
        <item x="1063"/>
        <item x="1064"/>
        <item x="1065"/>
        <item x="1066"/>
        <item x="1067"/>
        <item x="1068"/>
        <item x="1069"/>
        <item x="1070"/>
        <item x="1071"/>
        <item x="975"/>
        <item x="1072"/>
        <item x="1073"/>
        <item x="1055"/>
        <item x="1056"/>
        <item x="1057"/>
        <item x="976"/>
        <item x="722"/>
        <item x="723"/>
        <item x="12"/>
        <item x="724"/>
        <item x="274"/>
        <item x="725"/>
        <item x="726"/>
        <item x="727"/>
        <item x="728"/>
        <item x="729"/>
        <item x="730"/>
        <item x="731"/>
        <item x="732"/>
        <item x="733"/>
        <item x="275"/>
        <item x="276"/>
        <item x="734"/>
        <item x="735"/>
        <item x="736"/>
        <item x="250"/>
        <item x="251"/>
        <item x="252"/>
        <item x="253"/>
        <item x="254"/>
        <item x="255"/>
        <item x="256"/>
        <item x="257"/>
        <item x="258"/>
        <item x="259"/>
        <item x="260"/>
        <item x="980"/>
        <item x="737"/>
        <item x="261"/>
        <item x="262"/>
        <item x="263"/>
        <item x="39"/>
        <item x="64"/>
        <item x="11"/>
        <item x="277"/>
        <item x="267"/>
        <item x="268"/>
        <item x="73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739"/>
        <item x="1018"/>
        <item x="740"/>
        <item x="1019"/>
        <item x="1020"/>
        <item x="1021"/>
        <item x="1022"/>
        <item x="1023"/>
        <item x="1024"/>
        <item x="1025"/>
        <item x="1026"/>
        <item x="1027"/>
        <item x="1028"/>
        <item x="1029"/>
        <item x="1030"/>
        <item x="1031"/>
        <item x="1032"/>
        <item x="1033"/>
        <item x="1034"/>
        <item x="1035"/>
        <item x="1036"/>
        <item x="1037"/>
        <item x="1038"/>
        <item x="1039"/>
        <item x="16"/>
        <item x="17"/>
        <item x="741"/>
        <item x="18"/>
        <item x="742"/>
        <item x="743"/>
        <item x="744"/>
        <item x="278"/>
        <item x="745"/>
        <item x="746"/>
        <item x="747"/>
        <item x="748"/>
        <item x="1074"/>
        <item x="749"/>
        <item x="1075"/>
        <item x="750"/>
        <item x="1076"/>
        <item x="1077"/>
        <item x="751"/>
        <item x="752"/>
        <item x="1078"/>
        <item x="753"/>
        <item x="1079"/>
        <item x="754"/>
        <item x="1080"/>
        <item x="1081"/>
        <item x="755"/>
        <item x="1082"/>
        <item x="1083"/>
        <item x="1084"/>
        <item x="1040"/>
        <item x="1041"/>
        <item x="1042"/>
        <item x="21"/>
        <item x="22"/>
        <item x="23"/>
        <item x="1058"/>
        <item x="1043"/>
        <item x="1044"/>
        <item x="1045"/>
        <item x="1046"/>
        <item x="25"/>
        <item x="1110"/>
        <item x="1111"/>
        <item x="1112"/>
        <item x="1113"/>
        <item x="1114"/>
        <item x="1115"/>
        <item x="1116"/>
        <item x="1117"/>
        <item x="1118"/>
        <item x="1119"/>
        <item x="756"/>
        <item x="757"/>
        <item x="1120"/>
        <item x="279"/>
        <item x="1121"/>
        <item x="1122"/>
        <item x="1123"/>
        <item x="1124"/>
        <item x="1125"/>
        <item x="758"/>
        <item x="1126"/>
        <item x="1127"/>
        <item x="1128"/>
        <item x="280"/>
        <item x="1129"/>
        <item x="759"/>
        <item x="1130"/>
        <item x="281"/>
        <item x="1131"/>
        <item x="1132"/>
        <item x="1133"/>
        <item x="760"/>
        <item x="761"/>
        <item x="1085"/>
        <item x="1086"/>
        <item x="762"/>
        <item x="763"/>
        <item x="764"/>
        <item x="765"/>
        <item x="766"/>
        <item x="13"/>
        <item x="14"/>
        <item x="282"/>
        <item x="283"/>
        <item x="284"/>
        <item x="285"/>
        <item x="286"/>
        <item x="287"/>
        <item x="288"/>
        <item x="289"/>
        <item x="290"/>
        <item x="291"/>
        <item x="292"/>
        <item x="767"/>
        <item x="1134"/>
        <item x="1135"/>
        <item x="768"/>
        <item x="1136"/>
        <item x="1137"/>
        <item x="293"/>
        <item x="294"/>
        <item x="295"/>
        <item x="296"/>
        <item x="297"/>
        <item x="298"/>
        <item x="299"/>
        <item x="300"/>
        <item x="301"/>
        <item x="302"/>
        <item x="303"/>
        <item x="304"/>
        <item x="305"/>
        <item x="306"/>
        <item x="307"/>
        <item x="1138"/>
        <item x="308"/>
        <item x="309"/>
        <item x="1139"/>
        <item x="1050"/>
        <item x="770"/>
        <item x="1140"/>
        <item x="1141"/>
        <item x="310"/>
        <item x="1142"/>
        <item x="772"/>
        <item x="773"/>
        <item x="1143"/>
        <item x="1144"/>
        <item x="1087"/>
        <item x="311"/>
        <item x="774"/>
        <item x="776"/>
        <item x="777"/>
        <item x="778"/>
        <item x="779"/>
        <item x="780"/>
        <item x="781"/>
        <item x="782"/>
        <item x="1145"/>
        <item x="783"/>
        <item x="784"/>
        <item x="785"/>
        <item x="786"/>
        <item x="1146"/>
        <item x="1147"/>
        <item x="1148"/>
        <item x="1149"/>
        <item x="1150"/>
        <item x="1151"/>
        <item x="1152"/>
        <item x="787"/>
        <item x="1153"/>
        <item x="788"/>
        <item x="1154"/>
        <item x="1155"/>
        <item x="1156"/>
        <item x="1157"/>
        <item x="1158"/>
        <item x="1159"/>
        <item x="1160"/>
        <item x="1161"/>
        <item x="1162"/>
        <item x="1163"/>
        <item x="1164"/>
        <item x="1165"/>
        <item x="1166"/>
        <item x="1167"/>
        <item x="1168"/>
        <item x="1169"/>
        <item x="1170"/>
        <item x="312"/>
        <item x="1171"/>
        <item x="1172"/>
        <item x="1173"/>
        <item x="1174"/>
        <item x="789"/>
        <item x="1175"/>
        <item x="1176"/>
        <item x="1177"/>
        <item x="1178"/>
        <item x="1179"/>
        <item x="1180"/>
        <item x="1181"/>
        <item x="1182"/>
        <item x="1183"/>
        <item x="1184"/>
        <item x="1185"/>
        <item x="1186"/>
        <item x="1187"/>
        <item x="1188"/>
        <item x="790"/>
        <item x="791"/>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792"/>
        <item x="793"/>
        <item x="1262"/>
        <item x="1263"/>
        <item x="1264"/>
        <item x="1265"/>
        <item x="1266"/>
        <item x="1267"/>
        <item x="1268"/>
        <item x="1269"/>
        <item x="1270"/>
        <item x="1271"/>
        <item x="1272"/>
        <item x="794"/>
        <item x="1273"/>
        <item x="1274"/>
        <item x="1275"/>
        <item x="1276"/>
        <item x="1277"/>
        <item x="1278"/>
        <item x="1279"/>
        <item x="1280"/>
        <item x="1281"/>
        <item x="1282"/>
        <item x="1283"/>
        <item x="795"/>
        <item x="313"/>
        <item x="796"/>
        <item x="797"/>
        <item x="314"/>
        <item x="1284"/>
        <item x="1285"/>
        <item x="798"/>
        <item x="1286"/>
        <item x="1287"/>
        <item x="1288"/>
        <item x="1289"/>
        <item x="1290"/>
        <item x="1291"/>
        <item x="799"/>
        <item x="1292"/>
        <item x="1293"/>
        <item x="1294"/>
        <item x="1295"/>
        <item x="1296"/>
        <item x="800"/>
        <item x="1297"/>
        <item x="1298"/>
        <item x="1299"/>
        <item x="1300"/>
        <item x="1301"/>
        <item x="1302"/>
        <item x="1303"/>
        <item x="801"/>
        <item x="1304"/>
        <item x="1305"/>
        <item x="802"/>
        <item x="1306"/>
        <item x="1307"/>
        <item x="1308"/>
        <item x="803"/>
        <item x="1309"/>
        <item x="1310"/>
        <item x="1311"/>
        <item x="1312"/>
        <item x="315"/>
        <item x="1313"/>
        <item x="804"/>
        <item x="805"/>
        <item x="1314"/>
        <item x="806"/>
        <item x="1315"/>
        <item x="1316"/>
        <item x="1317"/>
        <item x="1318"/>
        <item x="1319"/>
        <item x="1320"/>
        <item x="1321"/>
        <item x="807"/>
        <item x="1322"/>
        <item x="1323"/>
        <item x="1324"/>
        <item x="808"/>
        <item x="1325"/>
        <item x="1326"/>
        <item x="1327"/>
        <item x="1328"/>
        <item x="809"/>
        <item x="1329"/>
        <item x="1330"/>
        <item x="1331"/>
        <item x="1332"/>
        <item x="1333"/>
        <item x="1334"/>
        <item x="1335"/>
        <item x="810"/>
        <item x="1336"/>
        <item x="1337"/>
        <item x="1338"/>
        <item x="1339"/>
        <item x="1340"/>
        <item x="1341"/>
        <item x="1342"/>
        <item x="1343"/>
        <item x="1344"/>
        <item x="1345"/>
        <item x="1346"/>
        <item x="1347"/>
        <item x="1348"/>
        <item x="1349"/>
        <item x="811"/>
        <item x="1350"/>
        <item x="1351"/>
        <item x="1352"/>
        <item x="812"/>
        <item x="813"/>
        <item x="1353"/>
        <item x="1354"/>
        <item x="1355"/>
        <item x="1356"/>
        <item x="1357"/>
        <item x="1358"/>
        <item x="1359"/>
        <item x="1360"/>
        <item x="1361"/>
        <item x="1362"/>
        <item x="1363"/>
        <item x="1364"/>
        <item x="814"/>
        <item x="815"/>
        <item x="816"/>
        <item x="316"/>
        <item x="317"/>
        <item x="318"/>
        <item x="319"/>
        <item x="320"/>
        <item x="321"/>
        <item x="322"/>
        <item x="323"/>
        <item x="324"/>
        <item x="325"/>
        <item x="326"/>
        <item x="817"/>
        <item x="1365"/>
        <item x="327"/>
        <item x="328"/>
        <item x="329"/>
        <item x="818"/>
        <item x="819"/>
        <item x="330"/>
        <item x="331"/>
        <item x="332"/>
        <item x="333"/>
        <item x="334"/>
        <item x="1366"/>
        <item x="1367"/>
        <item x="820"/>
        <item x="1368"/>
        <item x="1369"/>
        <item x="821"/>
        <item x="1370"/>
        <item x="1371"/>
        <item x="822"/>
        <item x="823"/>
        <item x="824"/>
        <item x="825"/>
        <item x="1372"/>
        <item x="1373"/>
        <item x="1374"/>
        <item x="1375"/>
        <item x="1376"/>
        <item x="1377"/>
        <item x="826"/>
        <item x="827"/>
        <item x="1378"/>
        <item x="1379"/>
        <item x="1380"/>
        <item x="335"/>
        <item x="336"/>
        <item x="337"/>
        <item x="338"/>
        <item x="339"/>
        <item x="340"/>
        <item x="341"/>
        <item x="342"/>
        <item x="343"/>
        <item x="344"/>
        <item x="345"/>
        <item x="346"/>
        <item x="347"/>
        <item x="348"/>
        <item x="349"/>
        <item x="350"/>
        <item x="351"/>
        <item x="352"/>
        <item x="353"/>
        <item x="354"/>
        <item x="1381"/>
        <item x="1382"/>
        <item x="1383"/>
        <item x="1384"/>
        <item x="1385"/>
        <item x="1386"/>
        <item x="1387"/>
        <item x="1388"/>
        <item x="1389"/>
        <item x="1390"/>
        <item x="1391"/>
        <item x="1392"/>
        <item x="1393"/>
        <item x="1394"/>
        <item x="1395"/>
        <item x="1396"/>
        <item x="1397"/>
        <item x="828"/>
        <item x="829"/>
        <item x="355"/>
        <item x="356"/>
        <item x="357"/>
        <item x="358"/>
        <item x="359"/>
        <item x="360"/>
        <item x="361"/>
        <item x="830"/>
        <item x="362"/>
        <item x="363"/>
        <item x="364"/>
        <item x="365"/>
        <item x="366"/>
        <item x="367"/>
        <item x="831"/>
        <item x="832"/>
        <item x="368"/>
        <item x="369"/>
        <item x="370"/>
        <item x="371"/>
        <item x="372"/>
        <item x="373"/>
        <item x="374"/>
        <item x="1398"/>
        <item x="833"/>
        <item x="1399"/>
        <item x="1400"/>
        <item x="1401"/>
        <item x="1402"/>
        <item x="1403"/>
        <item x="1404"/>
        <item x="834"/>
        <item x="835"/>
        <item x="1405"/>
        <item x="1406"/>
        <item x="1407"/>
        <item x="836"/>
        <item x="1408"/>
        <item x="837"/>
        <item x="1409"/>
        <item x="1410"/>
        <item x="375"/>
        <item x="376"/>
        <item x="377"/>
        <item x="378"/>
        <item x="379"/>
        <item x="380"/>
        <item x="381"/>
        <item x="382"/>
        <item x="383"/>
        <item x="384"/>
        <item x="385"/>
        <item x="386"/>
        <item x="387"/>
        <item x="388"/>
        <item x="389"/>
        <item x="390"/>
        <item x="391"/>
        <item x="392"/>
        <item x="393"/>
        <item x="394"/>
        <item x="395"/>
        <item x="396"/>
        <item x="397"/>
        <item x="1411"/>
        <item x="1412"/>
        <item x="1413"/>
        <item x="1414"/>
        <item x="1415"/>
        <item x="838"/>
        <item x="1416"/>
        <item x="1417"/>
        <item x="1418"/>
        <item x="1419"/>
        <item x="1420"/>
        <item x="1421"/>
        <item x="839"/>
        <item x="398"/>
        <item x="399"/>
        <item x="400"/>
        <item x="401"/>
        <item x="402"/>
        <item x="15"/>
        <item x="403"/>
        <item x="404"/>
        <item x="405"/>
        <item x="406"/>
        <item x="407"/>
        <item x="408"/>
        <item x="409"/>
        <item x="410"/>
        <item x="1422"/>
        <item x="1423"/>
        <item x="1424"/>
        <item x="1425"/>
        <item x="1426"/>
        <item x="1427"/>
        <item x="840"/>
        <item x="1428"/>
        <item x="1429"/>
        <item x="1430"/>
        <item x="1431"/>
        <item x="411"/>
        <item x="412"/>
        <item x="413"/>
        <item x="414"/>
        <item x="415"/>
        <item x="416"/>
        <item x="417"/>
        <item x="418"/>
        <item x="419"/>
        <item x="420"/>
        <item x="421"/>
        <item x="1432"/>
        <item x="1433"/>
        <item x="1434"/>
        <item x="841"/>
        <item x="1435"/>
        <item x="1436"/>
        <item x="1437"/>
        <item x="1438"/>
        <item x="1439"/>
        <item x="422"/>
        <item x="1440"/>
        <item x="1441"/>
        <item x="1442"/>
        <item x="1443"/>
        <item x="1444"/>
        <item x="1445"/>
        <item x="1446"/>
        <item x="1447"/>
        <item x="1448"/>
        <item x="1449"/>
        <item x="423"/>
        <item x="1450"/>
        <item x="424"/>
        <item x="1451"/>
        <item x="425"/>
        <item x="1452"/>
        <item x="426"/>
        <item x="1453"/>
        <item x="1454"/>
        <item x="1455"/>
        <item x="1456"/>
        <item x="1457"/>
        <item x="1458"/>
        <item x="1459"/>
        <item x="427"/>
        <item x="1460"/>
        <item x="1461"/>
        <item x="428"/>
        <item x="1462"/>
        <item x="1463"/>
        <item x="429"/>
        <item x="1464"/>
        <item x="430"/>
        <item x="431"/>
        <item x="1465"/>
        <item x="432"/>
        <item x="1466"/>
        <item x="433"/>
        <item x="1467"/>
        <item x="434"/>
        <item x="1468"/>
        <item x="1469"/>
        <item x="1470"/>
        <item x="1471"/>
        <item x="435"/>
        <item x="1472"/>
        <item x="1473"/>
        <item x="436"/>
        <item x="842"/>
        <item x="843"/>
        <item x="1089"/>
        <item x="1090"/>
        <item x="1091"/>
        <item x="844"/>
        <item x="1092"/>
        <item x="1093"/>
        <item x="1094"/>
        <item x="845"/>
        <item x="846"/>
        <item x="1095"/>
        <item x="847"/>
        <item x="848"/>
        <item x="849"/>
        <item x="850"/>
        <item x="851"/>
        <item x="852"/>
        <item x="853"/>
        <item x="854"/>
        <item x="855"/>
        <item x="1096"/>
        <item x="856"/>
        <item x="1097"/>
        <item x="1098"/>
        <item x="857"/>
        <item x="858"/>
        <item x="1099"/>
        <item x="1100"/>
        <item x="1101"/>
        <item x="859"/>
        <item x="860"/>
        <item x="861"/>
        <item x="862"/>
        <item x="1474"/>
        <item x="1475"/>
        <item x="1476"/>
        <item x="863"/>
        <item x="1477"/>
        <item x="864"/>
        <item x="1478"/>
        <item x="865"/>
        <item x="866"/>
        <item x="1479"/>
        <item x="1480"/>
        <item x="867"/>
        <item x="1481"/>
        <item x="868"/>
        <item x="1482"/>
        <item x="869"/>
        <item x="1483"/>
        <item x="870"/>
        <item x="1484"/>
        <item x="871"/>
        <item x="1485"/>
        <item x="872"/>
        <item x="1486"/>
        <item x="873"/>
        <item x="874"/>
        <item x="875"/>
        <item x="1487"/>
        <item x="876"/>
        <item x="1488"/>
        <item x="877"/>
        <item x="1489"/>
        <item x="878"/>
        <item x="879"/>
        <item x="1490"/>
        <item x="880"/>
        <item x="1491"/>
        <item x="881"/>
        <item x="1492"/>
        <item x="1493"/>
        <item x="437"/>
        <item x="1494"/>
        <item x="882"/>
        <item x="1495"/>
        <item x="1496"/>
        <item x="1497"/>
        <item x="883"/>
        <item x="884"/>
        <item x="1498"/>
        <item x="885"/>
        <item x="886"/>
        <item x="887"/>
        <item x="1499"/>
        <item x="888"/>
        <item x="889"/>
        <item x="890"/>
        <item x="1500"/>
        <item x="891"/>
        <item x="438"/>
        <item x="439"/>
        <item x="1501"/>
        <item x="1502"/>
        <item x="440"/>
        <item x="1503"/>
        <item x="1504"/>
        <item x="441"/>
        <item x="1505"/>
        <item x="442"/>
        <item x="1506"/>
        <item x="1507"/>
        <item x="443"/>
        <item x="1508"/>
        <item x="444"/>
        <item x="1509"/>
        <item x="445"/>
        <item x="1510"/>
        <item x="1511"/>
        <item x="446"/>
        <item x="447"/>
        <item x="1512"/>
        <item x="448"/>
        <item x="449"/>
        <item x="450"/>
        <item x="1513"/>
        <item x="451"/>
        <item x="1514"/>
        <item x="1515"/>
        <item x="1516"/>
        <item x="452"/>
        <item x="1517"/>
        <item x="453"/>
        <item x="454"/>
        <item x="455"/>
        <item x="456"/>
        <item x="457"/>
        <item x="458"/>
        <item x="459"/>
        <item x="460"/>
        <item x="461"/>
        <item x="462"/>
        <item x="463"/>
        <item x="1518"/>
        <item x="464"/>
        <item x="1519"/>
        <item x="465"/>
        <item x="1520"/>
        <item x="466"/>
        <item x="1521"/>
        <item x="467"/>
        <item x="1522"/>
        <item x="1523"/>
        <item x="468"/>
        <item x="469"/>
        <item x="1524"/>
        <item x="1525"/>
        <item x="470"/>
        <item x="1526"/>
        <item x="1527"/>
        <item x="471"/>
        <item x="1528"/>
        <item x="1529"/>
        <item x="1530"/>
        <item x="1531"/>
        <item x="1532"/>
        <item x="472"/>
        <item x="1533"/>
        <item x="1534"/>
        <item x="473"/>
        <item x="1535"/>
        <item x="1536"/>
        <item x="474"/>
        <item x="1537"/>
        <item x="1538"/>
        <item x="475"/>
        <item x="1539"/>
        <item x="476"/>
        <item x="477"/>
        <item x="1540"/>
        <item x="478"/>
        <item x="1541"/>
        <item x="479"/>
        <item x="1542"/>
        <item x="1543"/>
        <item x="480"/>
        <item x="1544"/>
        <item x="1545"/>
        <item x="481"/>
        <item x="1546"/>
        <item x="1547"/>
        <item x="482"/>
        <item x="1548"/>
        <item x="1549"/>
        <item x="483"/>
        <item x="1550"/>
        <item x="1551"/>
        <item x="484"/>
        <item x="1552"/>
        <item x="1553"/>
        <item x="485"/>
        <item x="1554"/>
        <item x="486"/>
        <item x="1555"/>
        <item x="1556"/>
        <item x="487"/>
        <item x="1557"/>
        <item x="1558"/>
        <item x="1559"/>
        <item x="488"/>
        <item x="1560"/>
        <item x="1561"/>
        <item x="489"/>
        <item x="1562"/>
        <item x="1563"/>
        <item x="490"/>
        <item x="1564"/>
        <item x="1565"/>
        <item x="491"/>
        <item x="1566"/>
        <item x="1567"/>
        <item x="492"/>
        <item x="1568"/>
        <item x="1569"/>
        <item x="1570"/>
        <item x="1571"/>
        <item x="493"/>
        <item x="1572"/>
        <item x="157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1574"/>
        <item x="1575"/>
        <item x="577"/>
        <item x="1576"/>
        <item x="1577"/>
        <item x="578"/>
        <item x="1578"/>
        <item x="579"/>
        <item x="580"/>
        <item x="581"/>
        <item x="582"/>
        <item x="583"/>
        <item x="584"/>
        <item x="585"/>
        <item x="586"/>
        <item x="587"/>
        <item x="588"/>
        <item x="589"/>
        <item x="590"/>
        <item x="591"/>
        <item x="592"/>
        <item x="593"/>
        <item x="594"/>
        <item x="595"/>
        <item x="596"/>
        <item x="1579"/>
        <item x="1580"/>
        <item x="597"/>
        <item x="1581"/>
        <item x="1582"/>
        <item x="598"/>
        <item x="599"/>
        <item x="1583"/>
        <item x="600"/>
        <item x="1584"/>
        <item x="1585"/>
        <item x="601"/>
        <item x="1586"/>
        <item x="1587"/>
        <item x="602"/>
        <item x="1588"/>
        <item x="1589"/>
        <item x="603"/>
        <item x="1590"/>
        <item x="1591"/>
        <item x="604"/>
        <item x="1592"/>
        <item x="1593"/>
        <item x="605"/>
        <item x="606"/>
        <item x="1594"/>
        <item x="1595"/>
        <item x="607"/>
        <item x="608"/>
        <item x="1596"/>
        <item x="609"/>
        <item x="610"/>
        <item x="1102"/>
        <item x="1103"/>
        <item x="1104"/>
        <item x="1105"/>
        <item x="1106"/>
        <item x="892"/>
        <item x="893"/>
        <item x="894"/>
        <item x="895"/>
        <item x="1107"/>
        <item x="1108"/>
        <item x="896"/>
        <item x="611"/>
        <item x="1597"/>
        <item x="1598"/>
        <item x="897"/>
        <item x="1599"/>
        <item x="1600"/>
        <item x="1601"/>
        <item x="1602"/>
        <item x="1603"/>
        <item x="1604"/>
        <item x="1605"/>
        <item x="1606"/>
        <item x="612"/>
        <item x="1607"/>
        <item x="1608"/>
        <item x="1609"/>
        <item x="1610"/>
        <item x="1611"/>
        <item x="1612"/>
        <item x="1613"/>
        <item x="1614"/>
        <item x="1615"/>
        <item x="1616"/>
        <item x="1617"/>
        <item x="1618"/>
        <item x="1619"/>
        <item x="1620"/>
        <item x="1621"/>
        <item x="1622"/>
        <item x="898"/>
        <item x="613"/>
        <item x="614"/>
        <item x="615"/>
        <item x="616"/>
        <item x="617"/>
        <item x="618"/>
        <item x="619"/>
        <item x="620"/>
        <item x="621"/>
        <item x="622"/>
        <item x="623"/>
        <item x="624"/>
        <item x="625"/>
        <item x="626"/>
        <item x="627"/>
        <item x="628"/>
        <item x="629"/>
        <item x="630"/>
        <item x="631"/>
        <item x="899"/>
        <item x="900"/>
        <item x="901"/>
        <item x="902"/>
        <item x="903"/>
        <item x="904"/>
        <item x="905"/>
        <item x="632"/>
        <item x="906"/>
        <item x="907"/>
        <item x="633"/>
        <item x="634"/>
        <item x="635"/>
        <item x="636"/>
        <item x="637"/>
        <item x="638"/>
        <item x="639"/>
        <item x="640"/>
        <item x="641"/>
        <item x="642"/>
        <item x="643"/>
        <item x="644"/>
        <item x="645"/>
        <item x="646"/>
        <item x="1623"/>
        <item x="1624"/>
        <item x="1625"/>
        <item x="1626"/>
        <item x="1627"/>
        <item x="1628"/>
        <item x="1629"/>
        <item x="647"/>
        <item x="648"/>
        <item x="649"/>
        <item x="908"/>
        <item x="1630"/>
        <item x="1631"/>
        <item x="1632"/>
        <item x="1633"/>
        <item x="909"/>
        <item x="1634"/>
        <item x="910"/>
        <item x="911"/>
        <item x="650"/>
        <item x="651"/>
        <item x="652"/>
        <item x="653"/>
        <item x="654"/>
        <item x="655"/>
        <item x="656"/>
        <item x="657"/>
        <item x="658"/>
        <item x="1635"/>
        <item x="1636"/>
        <item x="1637"/>
        <item x="1638"/>
        <item x="1639"/>
        <item x="1640"/>
        <item x="912"/>
        <item x="1641"/>
        <item x="1642"/>
        <item x="1643"/>
        <item x="1644"/>
        <item x="913"/>
        <item x="914"/>
        <item x="1645"/>
        <item x="1646"/>
        <item x="1647"/>
        <item x="1648"/>
        <item x="659"/>
        <item x="660"/>
        <item x="661"/>
        <item x="662"/>
        <item x="663"/>
        <item x="664"/>
        <item x="665"/>
        <item x="666"/>
        <item x="667"/>
        <item x="668"/>
        <item x="669"/>
        <item x="670"/>
        <item x="671"/>
        <item x="672"/>
        <item x="673"/>
        <item x="674"/>
        <item x="675"/>
        <item x="676"/>
        <item x="677"/>
        <item x="678"/>
        <item x="679"/>
        <item x="680"/>
        <item x="681"/>
        <item x="682"/>
        <item x="683"/>
        <item x="684"/>
        <item x="1649"/>
        <item x="915"/>
        <item x="916"/>
        <item x="917"/>
        <item x="919"/>
        <item x="920"/>
        <item x="685"/>
        <item x="686"/>
        <item x="923"/>
        <item x="924"/>
        <item x="687"/>
        <item x="925"/>
        <item x="927"/>
        <item x="928"/>
        <item x="929"/>
        <item x="930"/>
        <item x="933"/>
        <item x="934"/>
        <item x="936"/>
        <item x="937"/>
        <item x="938"/>
        <item x="939"/>
        <item x="940"/>
        <item x="941"/>
        <item x="942"/>
        <item x="943"/>
        <item x="944"/>
        <item x="945"/>
        <item x="690"/>
        <item x="691"/>
        <item x="692"/>
        <item x="693"/>
        <item x="946"/>
        <item x="694"/>
        <item x="695"/>
        <item x="696"/>
        <item x="697"/>
        <item x="698"/>
        <item x="947"/>
        <item x="955"/>
        <item x="956"/>
        <item x="957"/>
        <item x="699"/>
        <item x="700"/>
        <item x="958"/>
        <item x="959"/>
        <item x="701"/>
        <item x="702"/>
        <item x="703"/>
        <item x="704"/>
        <item x="705"/>
        <item x="706"/>
        <item x="707"/>
        <item x="960"/>
        <item x="961"/>
        <item x="708"/>
        <item x="709"/>
        <item x="710"/>
        <item x="711"/>
        <item x="712"/>
        <item x="962"/>
        <item x="963"/>
        <item x="1650"/>
        <item x="964"/>
        <item x="713"/>
        <item x="714"/>
        <item x="965"/>
        <item x="966"/>
        <item x="715"/>
        <item x="716"/>
        <item x="967"/>
        <item x="968"/>
        <item x="969"/>
        <item x="970"/>
        <item x="1109"/>
        <item x="973"/>
        <item x="717"/>
        <item x="1653"/>
        <item x="974"/>
        <item x="1654"/>
        <item x="718"/>
        <item x="719"/>
        <item x="977"/>
        <item x="40"/>
        <item x="41"/>
        <item x="42"/>
        <item x="43"/>
        <item x="44"/>
        <item x="45"/>
        <item x="46"/>
        <item x="47"/>
        <item x="48"/>
        <item x="30"/>
        <item x="31"/>
        <item x="32"/>
        <item x="33"/>
        <item x="34"/>
        <item x="35"/>
        <item x="36"/>
        <item x="37"/>
        <item x="720"/>
        <item x="721"/>
        <item x="65"/>
        <item x="38"/>
        <item x="265"/>
        <item x="266"/>
        <item x="62"/>
        <item x="63"/>
        <item t="default"/>
      </items>
    </pivotField>
    <pivotField showAll="0"/>
    <pivotField showAll="0"/>
    <pivotField dataField="1" showAll="0"/>
    <pivotField showAll="0"/>
    <pivotField showAll="0"/>
  </pivotFields>
  <rowFields count="1">
    <field x="2"/>
  </rowFields>
  <rowItems count="16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X22" dT="2026-04-06T08:42:42.99" personId="{103E92DD-C4F5-4359-AC7B-2352BCDAA886}" id="{925B6953-06AF-4215-A2DA-0D1AB8B581B4}">
    <text xml:space="preserve">20 pcs (one box) are on hold by Quality Control due to damaged connectors. </text>
  </threadedComment>
  <threadedComment ref="M25" dT="2025-10-06T07:44:40.56" personId="{103E92DD-C4F5-4359-AC7B-2352BCDAA886}" id="{F673E003-C14A-4059-A71E-B0A75CD44E77}">
    <text>Stock variance</text>
  </threadedComment>
  <threadedComment ref="IY27" dT="2026-03-17T10:06:04.73" personId="{103E92DD-C4F5-4359-AC7B-2352BCDAA886}" id="{51675CB5-BF5B-4A56-A3B2-99BE9B73FF0F}">
    <text>30 pcs were shipped to the customer as a service‑parts order.</text>
  </threadedComment>
  <threadedComment ref="JP32" dT="2026-04-02T05:16:06.20" personId="{103E92DD-C4F5-4359-AC7B-2352BCDAA886}" id="{302A7519-20C0-4292-B95A-118FE6514F08}">
    <text xml:space="preserve">29 pcs were deducted from the stock because they were an old level, and we no longer needed them. </text>
  </threadedComment>
  <threadedComment ref="AT52" dT="2025-10-12T10:34:27.10" personId="{103E92DD-C4F5-4359-AC7B-2352BCDAA886}" id="{3E1DC564-EF3D-4329-982C-46E63B20A49C}">
    <text>2 pcs removed from stock due to QA issue</text>
  </threadedComment>
  <threadedComment ref="AK56" dT="2025-10-06T07:59:17.59" personId="{103E92DD-C4F5-4359-AC7B-2352BCDAA886}" id="{8C371388-AB63-4999-A0B3-82D29BD394AD}">
    <text xml:space="preserve">Stock variance </text>
  </threadedComment>
  <threadedComment ref="U67" dT="2025-10-06T07:59:13.33" personId="{103E92DD-C4F5-4359-AC7B-2352BCDAA886}" id="{55C7CC71-545A-4F30-A83E-6ED2C2B34ECD}">
    <text xml:space="preserve">Stock variance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Q122"/>
  <sheetViews>
    <sheetView showGridLines="0" zoomScale="85" zoomScaleNormal="85" workbookViewId="0">
      <pane xSplit="6" ySplit="9" topLeftCell="LL51" activePane="bottomRight" state="frozen"/>
      <selection pane="topRight" activeCell="F1" sqref="F1"/>
      <selection pane="bottomLeft" activeCell="A10" sqref="A10"/>
      <selection pane="bottomRight" activeCell="D79" activeCellId="3" sqref="D10:D38 D40:D70 D72:D77 D79"/>
    </sheetView>
  </sheetViews>
  <sheetFormatPr defaultRowHeight="15" x14ac:dyDescent="0.25"/>
  <cols>
    <col min="1" max="1" width="14.140625" style="2" bestFit="1" customWidth="1"/>
    <col min="2" max="2" width="15.28515625" style="2" bestFit="1" customWidth="1"/>
    <col min="3" max="3" width="19" style="2" customWidth="1"/>
    <col min="4" max="4" width="17.140625" style="2" bestFit="1" customWidth="1"/>
    <col min="5" max="5" width="7.5703125" style="2" customWidth="1"/>
    <col min="6" max="6" width="6.42578125" style="2" customWidth="1"/>
    <col min="7" max="7" width="9.140625" style="2" hidden="1" customWidth="1"/>
    <col min="8" max="13" width="10.7109375" style="3" hidden="1" customWidth="1"/>
    <col min="14" max="14" width="11.85546875" style="3" hidden="1" customWidth="1"/>
    <col min="15" max="15" width="9.140625" style="2" hidden="1" customWidth="1"/>
    <col min="16" max="21" width="10.7109375" style="3" hidden="1" customWidth="1"/>
    <col min="22" max="22" width="11.85546875" style="3" hidden="1" customWidth="1"/>
    <col min="23" max="23" width="9.140625" style="2" hidden="1" customWidth="1"/>
    <col min="24" max="29" width="10.7109375" style="3" hidden="1" customWidth="1"/>
    <col min="30" max="30" width="11.85546875" style="3" hidden="1" customWidth="1"/>
    <col min="31" max="31" width="9.140625" style="2" hidden="1" customWidth="1"/>
    <col min="32" max="37" width="10.7109375" style="3" hidden="1" customWidth="1"/>
    <col min="38" max="38" width="11.85546875" style="3" hidden="1" customWidth="1"/>
    <col min="39" max="39" width="9.140625" style="2" hidden="1" customWidth="1"/>
    <col min="40" max="43" width="10.7109375" style="3" hidden="1" customWidth="1"/>
    <col min="44" max="44" width="11.42578125" style="3" hidden="1" customWidth="1"/>
    <col min="45" max="46" width="10.7109375" style="3" hidden="1" customWidth="1"/>
    <col min="47" max="47" width="11.85546875" style="3" hidden="1" customWidth="1"/>
    <col min="48" max="48" width="9.140625" style="2" hidden="1" customWidth="1"/>
    <col min="49" max="49" width="10.42578125" style="3" hidden="1" customWidth="1"/>
    <col min="50" max="52" width="10.28515625" style="3" hidden="1" customWidth="1"/>
    <col min="53" max="53" width="10.85546875" style="3" hidden="1" customWidth="1"/>
    <col min="54" max="54" width="7.7109375" style="3" hidden="1" customWidth="1"/>
    <col min="55" max="55" width="12.140625" style="3" hidden="1" customWidth="1"/>
    <col min="56" max="56" width="9.140625" style="2" hidden="1" customWidth="1"/>
    <col min="57" max="60" width="10.7109375" style="3" hidden="1" customWidth="1"/>
    <col min="61" max="62" width="11.42578125" style="3" hidden="1" customWidth="1"/>
    <col min="63" max="63" width="10.85546875" style="3" hidden="1" customWidth="1"/>
    <col min="64" max="64" width="7.7109375" style="3" hidden="1" customWidth="1"/>
    <col min="65" max="65" width="12.140625" style="3" hidden="1" customWidth="1"/>
    <col min="66" max="66" width="9.140625" style="2" hidden="1" customWidth="1"/>
    <col min="67" max="72" width="10.7109375" style="3" hidden="1" customWidth="1"/>
    <col min="73" max="73" width="12.5703125" style="3" hidden="1" customWidth="1"/>
    <col min="74" max="74" width="10.7109375" style="3" hidden="1" customWidth="1"/>
    <col min="75" max="75" width="7.7109375" style="3" hidden="1" customWidth="1"/>
    <col min="76" max="76" width="12.140625" style="3" hidden="1" customWidth="1"/>
    <col min="77" max="77" width="9.140625" style="2" hidden="1" customWidth="1"/>
    <col min="78" max="78" width="11.140625" style="3" hidden="1" customWidth="1"/>
    <col min="79" max="83" width="12.140625" style="3" hidden="1" customWidth="1"/>
    <col min="84" max="84" width="10.85546875" style="3" hidden="1" customWidth="1"/>
    <col min="85" max="85" width="7.7109375" style="3" hidden="1" customWidth="1"/>
    <col min="86" max="86" width="12.140625" style="3" hidden="1" customWidth="1"/>
    <col min="87" max="87" width="9.140625" style="2" hidden="1" customWidth="1"/>
    <col min="88" max="91" width="10.7109375" style="3" hidden="1" customWidth="1"/>
    <col min="92" max="92" width="11.42578125" style="3" hidden="1" customWidth="1"/>
    <col min="93" max="94" width="10.7109375" style="3" hidden="1" customWidth="1"/>
    <col min="95" max="95" width="11.85546875" style="3" hidden="1" customWidth="1"/>
    <col min="96" max="96" width="9.140625" style="2" hidden="1" customWidth="1"/>
    <col min="97" max="100" width="10.7109375" style="3" hidden="1" customWidth="1"/>
    <col min="101" max="101" width="12.5703125" style="3" hidden="1" customWidth="1"/>
    <col min="102" max="102" width="11.42578125" style="3" hidden="1" customWidth="1"/>
    <col min="103" max="103" width="10.7109375" style="3" hidden="1" customWidth="1"/>
    <col min="104" max="104" width="11.28515625" style="3" hidden="1" customWidth="1"/>
    <col min="105" max="105" width="12.140625" style="3" hidden="1" customWidth="1"/>
    <col min="106" max="106" width="9.140625" style="2" hidden="1" customWidth="1"/>
    <col min="107" max="110" width="10.7109375" style="3" hidden="1" customWidth="1"/>
    <col min="111" max="111" width="11.42578125" style="3" hidden="1" customWidth="1"/>
    <col min="112" max="113" width="10.7109375" style="3" hidden="1" customWidth="1"/>
    <col min="114" max="114" width="12.140625" style="3" hidden="1" customWidth="1"/>
    <col min="115" max="115" width="9.140625" style="2" hidden="1" customWidth="1"/>
    <col min="116" max="119" width="10.7109375" style="3" hidden="1" customWidth="1"/>
    <col min="120" max="120" width="10.85546875" style="3" hidden="1" customWidth="1"/>
    <col min="121" max="121" width="7.7109375" style="3" hidden="1" customWidth="1"/>
    <col min="122" max="122" width="12.140625" style="3" hidden="1" customWidth="1"/>
    <col min="123" max="123" width="9.140625" style="2" hidden="1" customWidth="1"/>
    <col min="124" max="127" width="10.7109375" style="3" hidden="1" customWidth="1"/>
    <col min="128" max="129" width="11.42578125" style="3" hidden="1" customWidth="1"/>
    <col min="130" max="131" width="10.7109375" style="3" hidden="1" customWidth="1"/>
    <col min="132" max="132" width="11.85546875" style="3" hidden="1" customWidth="1"/>
    <col min="133" max="133" width="9.140625" style="2" hidden="1" customWidth="1"/>
    <col min="134" max="137" width="10.7109375" style="3" hidden="1" customWidth="1"/>
    <col min="138" max="138" width="11.42578125" style="3" hidden="1" customWidth="1"/>
    <col min="139" max="140" width="10.7109375" style="3" hidden="1" customWidth="1"/>
    <col min="141" max="141" width="11.85546875" style="3" hidden="1" customWidth="1"/>
    <col min="142" max="142" width="9.140625" style="2" hidden="1" customWidth="1"/>
    <col min="143" max="148" width="10.7109375" style="3" hidden="1" customWidth="1"/>
    <col min="149" max="149" width="11.85546875" style="3" hidden="1" customWidth="1"/>
    <col min="150" max="150" width="9.140625" style="2" hidden="1" customWidth="1"/>
    <col min="151" max="156" width="10.7109375" style="3" hidden="1" customWidth="1"/>
    <col min="157" max="157" width="11.85546875" style="3" hidden="1" customWidth="1"/>
    <col min="158" max="158" width="9.140625" style="2" hidden="1" customWidth="1"/>
    <col min="159" max="164" width="10.7109375" style="3" hidden="1" customWidth="1"/>
    <col min="165" max="165" width="11.85546875" style="3" hidden="1" customWidth="1"/>
    <col min="166" max="166" width="9.140625" style="2" hidden="1" customWidth="1"/>
    <col min="167" max="172" width="10.7109375" style="3" hidden="1" customWidth="1"/>
    <col min="173" max="173" width="11.85546875" style="3" hidden="1" customWidth="1"/>
    <col min="174" max="174" width="9.140625" style="2" hidden="1" customWidth="1"/>
    <col min="175" max="178" width="10.7109375" style="3" hidden="1" customWidth="1"/>
    <col min="179" max="183" width="11.42578125" style="3" hidden="1" customWidth="1"/>
    <col min="184" max="185" width="10.7109375" style="3" hidden="1" customWidth="1"/>
    <col min="186" max="186" width="11.85546875" style="3" hidden="1" customWidth="1"/>
    <col min="187" max="187" width="9.140625" style="2" hidden="1" customWidth="1"/>
    <col min="188" max="191" width="10.7109375" style="3" hidden="1" customWidth="1"/>
    <col min="192" max="192" width="11.42578125" style="3" hidden="1" customWidth="1"/>
    <col min="193" max="194" width="10.7109375" style="3" hidden="1" customWidth="1"/>
    <col min="195" max="195" width="11.85546875" style="3" hidden="1" customWidth="1"/>
    <col min="196" max="196" width="9.140625" style="2" hidden="1" customWidth="1"/>
    <col min="197" max="198" width="10.7109375" style="3" hidden="1" customWidth="1"/>
    <col min="199" max="199" width="9.140625" style="3" hidden="1" customWidth="1"/>
    <col min="200" max="200" width="10.85546875" style="3" hidden="1" customWidth="1"/>
    <col min="201" max="201" width="11.42578125" style="3" hidden="1" customWidth="1"/>
    <col min="202" max="202" width="10.85546875" style="3" hidden="1" customWidth="1"/>
    <col min="203" max="203" width="10.7109375" style="3" hidden="1" customWidth="1"/>
    <col min="204" max="204" width="12.140625" style="3" hidden="1" customWidth="1"/>
    <col min="205" max="205" width="9.140625" style="2" hidden="1" customWidth="1"/>
    <col min="206" max="209" width="10.7109375" style="3" hidden="1" customWidth="1"/>
    <col min="210" max="210" width="11.42578125" style="3" hidden="1" customWidth="1"/>
    <col min="211" max="212" width="10.7109375" style="3" hidden="1" customWidth="1"/>
    <col min="213" max="213" width="11.85546875" style="3" hidden="1" customWidth="1"/>
    <col min="214" max="214" width="9.140625" style="2" hidden="1" customWidth="1"/>
    <col min="215" max="218" width="10.7109375" style="3" hidden="1" customWidth="1"/>
    <col min="219" max="219" width="11.42578125" style="3" hidden="1" customWidth="1"/>
    <col min="220" max="221" width="10.7109375" style="3" hidden="1" customWidth="1"/>
    <col min="222" max="222" width="11.85546875" style="3" hidden="1" customWidth="1"/>
    <col min="223" max="223" width="9.140625" style="2" hidden="1" customWidth="1"/>
    <col min="224" max="227" width="10.7109375" style="3" hidden="1" customWidth="1"/>
    <col min="228" max="228" width="11.42578125" style="3" hidden="1" customWidth="1"/>
    <col min="229" max="230" width="10.7109375" style="3" hidden="1" customWidth="1"/>
    <col min="231" max="231" width="11.85546875" style="3" hidden="1" customWidth="1"/>
    <col min="232" max="232" width="9.140625" style="2" hidden="1" customWidth="1"/>
    <col min="233" max="236" width="10.7109375" style="3" hidden="1" customWidth="1"/>
    <col min="237" max="237" width="11.42578125" style="3" hidden="1" customWidth="1"/>
    <col min="238" max="239" width="10.85546875" style="3" hidden="1" customWidth="1"/>
    <col min="240" max="240" width="12.140625" style="3" hidden="1" customWidth="1"/>
    <col min="241" max="241" width="9.140625" style="2" hidden="1" customWidth="1"/>
    <col min="242" max="247" width="10.7109375" style="3" hidden="1" customWidth="1"/>
    <col min="248" max="248" width="11.85546875" style="3" hidden="1" customWidth="1"/>
    <col min="249" max="249" width="9.140625" style="2" hidden="1" customWidth="1"/>
    <col min="250" max="253" width="10.7109375" style="3" hidden="1" customWidth="1"/>
    <col min="254" max="254" width="11.42578125" style="3" hidden="1" customWidth="1"/>
    <col min="255" max="256" width="10.7109375" style="3" hidden="1" customWidth="1"/>
    <col min="257" max="257" width="11.85546875" style="3" hidden="1" customWidth="1"/>
    <col min="258" max="258" width="9.140625" style="2" hidden="1" customWidth="1"/>
    <col min="259" max="264" width="10.7109375" style="3" hidden="1" customWidth="1"/>
    <col min="265" max="265" width="11.85546875" style="3" hidden="1" customWidth="1"/>
    <col min="266" max="266" width="9.140625" style="2" hidden="1" customWidth="1"/>
    <col min="267" max="270" width="10.7109375" style="3" hidden="1" customWidth="1"/>
    <col min="271" max="271" width="11.42578125" style="3" hidden="1" customWidth="1"/>
    <col min="272" max="273" width="10.7109375" style="3" hidden="1" customWidth="1"/>
    <col min="274" max="274" width="11.85546875" style="3" hidden="1" customWidth="1"/>
    <col min="275" max="275" width="9.140625" style="2" hidden="1" customWidth="1"/>
    <col min="276" max="281" width="10.7109375" style="3" hidden="1" customWidth="1"/>
    <col min="282" max="282" width="11.85546875" style="3" hidden="1" customWidth="1"/>
    <col min="283" max="283" width="9.140625" style="2" hidden="1" customWidth="1"/>
    <col min="284" max="289" width="10.7109375" style="3" hidden="1" customWidth="1"/>
    <col min="290" max="290" width="11.85546875" style="3" hidden="1" customWidth="1"/>
    <col min="291" max="291" width="9.140625" style="2" hidden="1" customWidth="1"/>
    <col min="292" max="295" width="10.7109375" style="3" hidden="1" customWidth="1"/>
    <col min="296" max="296" width="11.42578125" style="3" hidden="1" customWidth="1"/>
    <col min="297" max="298" width="10.7109375" style="3" hidden="1" customWidth="1"/>
    <col min="299" max="299" width="11.85546875" style="3" hidden="1" customWidth="1"/>
    <col min="300" max="300" width="9.140625" style="2"/>
    <col min="301" max="304" width="10.7109375" style="3" customWidth="1"/>
    <col min="305" max="305" width="11.42578125" style="3" bestFit="1" customWidth="1"/>
    <col min="306" max="307" width="10.7109375" style="3" customWidth="1"/>
    <col min="308" max="308" width="11.85546875" style="3" bestFit="1" customWidth="1"/>
    <col min="309" max="309" width="9.140625" style="2"/>
    <col min="310" max="315" width="10.7109375" style="3" customWidth="1"/>
    <col min="316" max="316" width="11.85546875" style="3" bestFit="1" customWidth="1"/>
    <col min="317" max="317" width="9.140625" style="2"/>
    <col min="318" max="321" width="10.7109375" style="3" customWidth="1"/>
    <col min="322" max="322" width="12.28515625" style="3" bestFit="1" customWidth="1"/>
    <col min="323" max="324" width="10.7109375" style="3" customWidth="1"/>
    <col min="325" max="325" width="11.85546875" style="3" bestFit="1" customWidth="1"/>
    <col min="326" max="326" width="9.140625" style="2"/>
    <col min="327" max="332" width="10.7109375" style="3" customWidth="1"/>
    <col min="333" max="333" width="11.85546875" style="3" bestFit="1" customWidth="1"/>
    <col min="334" max="334" width="9.140625" style="2"/>
    <col min="335" max="340" width="10.7109375" style="3" customWidth="1"/>
    <col min="341" max="341" width="11.85546875" style="3" bestFit="1" customWidth="1"/>
    <col min="342" max="342" width="9.140625" style="2"/>
    <col min="343" max="348" width="10.7109375" style="3" customWidth="1"/>
    <col min="349" max="349" width="11.85546875" style="3" bestFit="1" customWidth="1"/>
    <col min="350" max="350" width="9.140625" style="2"/>
    <col min="351" max="356" width="10.7109375" style="3" customWidth="1"/>
    <col min="357" max="357" width="11.85546875" style="3" bestFit="1" customWidth="1"/>
    <col min="358" max="358" width="9.140625" style="2"/>
    <col min="359" max="364" width="10.7109375" style="3" customWidth="1"/>
    <col min="365" max="365" width="11.85546875" style="3" bestFit="1" customWidth="1"/>
    <col min="366" max="366" width="9.140625" style="2"/>
    <col min="367" max="372" width="10.7109375" style="3" customWidth="1"/>
    <col min="373" max="373" width="11.85546875" style="3" bestFit="1" customWidth="1"/>
    <col min="374" max="374" width="9.140625" style="2"/>
    <col min="375" max="380" width="10.7109375" style="3" customWidth="1"/>
    <col min="381" max="381" width="11.85546875" style="3" bestFit="1" customWidth="1"/>
    <col min="382" max="382" width="9.140625" style="2"/>
    <col min="383" max="388" width="10.7109375" style="3" customWidth="1"/>
    <col min="389" max="389" width="11.85546875" style="3" bestFit="1" customWidth="1"/>
    <col min="390" max="390" width="9.140625" style="2"/>
    <col min="391" max="396" width="10.7109375" style="3" customWidth="1"/>
    <col min="397" max="397" width="11.85546875" style="3" bestFit="1" customWidth="1"/>
    <col min="398" max="398" width="9.140625" style="2"/>
    <col min="399" max="404" width="10.7109375" style="3" customWidth="1"/>
    <col min="405" max="405" width="11.85546875" style="3" bestFit="1" customWidth="1"/>
    <col min="406" max="406" width="9.140625" style="2"/>
    <col min="407" max="412" width="10.7109375" style="3" customWidth="1"/>
    <col min="413" max="413" width="11.85546875" style="3" bestFit="1" customWidth="1"/>
    <col min="414" max="414" width="9.140625" style="2"/>
    <col min="415" max="420" width="10.7109375" style="3" customWidth="1"/>
    <col min="421" max="421" width="11.85546875" style="3" bestFit="1" customWidth="1"/>
    <col min="422" max="422" width="9.140625" style="2"/>
    <col min="423" max="428" width="10.7109375" style="3" customWidth="1"/>
    <col min="429" max="429" width="11.85546875" style="3" bestFit="1" customWidth="1"/>
    <col min="430" max="430" width="9.140625" style="2"/>
    <col min="431" max="436" width="10.7109375" style="3" customWidth="1"/>
    <col min="437" max="437" width="11.85546875" style="3" bestFit="1" customWidth="1"/>
    <col min="438" max="438" width="9.140625" style="2"/>
    <col min="439" max="444" width="10.7109375" style="3" customWidth="1"/>
    <col min="445" max="445" width="11.85546875" style="3" bestFit="1" customWidth="1"/>
    <col min="446" max="446" width="9.140625" style="2"/>
    <col min="447" max="452" width="10.7109375" style="3" customWidth="1"/>
    <col min="453" max="453" width="11.85546875" style="3" bestFit="1" customWidth="1"/>
    <col min="454" max="454" width="9.140625" style="2"/>
    <col min="455" max="460" width="10.7109375" style="3" customWidth="1"/>
    <col min="461" max="461" width="11.85546875" style="3" bestFit="1" customWidth="1"/>
    <col min="462" max="462" width="9.140625" style="2"/>
    <col min="463" max="468" width="10.7109375" style="3" customWidth="1"/>
    <col min="469" max="469" width="11.85546875" style="3" bestFit="1" customWidth="1"/>
    <col min="470" max="470" width="9.140625" style="2"/>
    <col min="471" max="476" width="10.7109375" style="3" customWidth="1"/>
    <col min="477" max="477" width="11.85546875" style="3" bestFit="1" customWidth="1"/>
    <col min="478" max="478" width="9.140625" style="2"/>
    <col min="479" max="484" width="10.7109375" style="3" customWidth="1"/>
    <col min="485" max="485" width="11.85546875" style="3" bestFit="1" customWidth="1"/>
    <col min="486" max="486" width="9.140625" style="2"/>
    <col min="487" max="492" width="10.7109375" style="3" customWidth="1"/>
    <col min="493" max="493" width="11.85546875" style="3" bestFit="1" customWidth="1"/>
    <col min="494" max="494" width="9.140625" style="2"/>
    <col min="495" max="500" width="10.7109375" style="3" customWidth="1"/>
    <col min="501" max="501" width="11.85546875" style="3" bestFit="1" customWidth="1"/>
    <col min="502" max="502" width="9.140625" style="2"/>
    <col min="503" max="508" width="10.7109375" style="3" customWidth="1"/>
    <col min="509" max="509" width="11.85546875" style="3" bestFit="1" customWidth="1"/>
    <col min="510" max="510" width="9.140625" style="2"/>
    <col min="511" max="516" width="10.7109375" style="3" customWidth="1"/>
    <col min="517" max="517" width="11.85546875" style="3" bestFit="1" customWidth="1"/>
    <col min="518" max="518" width="9.140625" style="2"/>
    <col min="519" max="524" width="10.7109375" style="3" customWidth="1"/>
    <col min="525" max="525" width="11.85546875" style="3" bestFit="1" customWidth="1"/>
    <col min="526" max="526" width="9.140625" style="2"/>
    <col min="527" max="532" width="10.7109375" style="3" customWidth="1"/>
    <col min="533" max="533" width="11.85546875" style="3" bestFit="1" customWidth="1"/>
    <col min="534" max="534" width="9.140625" style="2"/>
    <col min="535" max="540" width="10.7109375" style="3" customWidth="1"/>
    <col min="541" max="541" width="11.85546875" style="3" bestFit="1" customWidth="1"/>
    <col min="542" max="542" width="9.140625" style="2"/>
    <col min="543" max="548" width="10.7109375" style="3" customWidth="1"/>
    <col min="549" max="549" width="11.85546875" style="3" bestFit="1" customWidth="1"/>
    <col min="550" max="550" width="9.140625" style="2"/>
    <col min="551" max="556" width="10.7109375" style="3" customWidth="1"/>
    <col min="557" max="557" width="11.85546875" style="3" bestFit="1" customWidth="1"/>
    <col min="558" max="558" width="9.140625" style="2"/>
    <col min="559" max="564" width="10.7109375" style="3" customWidth="1"/>
    <col min="565" max="565" width="11.85546875" style="3" bestFit="1" customWidth="1"/>
    <col min="566" max="566" width="9.140625" style="2"/>
    <col min="567" max="572" width="10.7109375" style="3" customWidth="1"/>
    <col min="573" max="573" width="11.85546875" style="3" bestFit="1" customWidth="1"/>
    <col min="574" max="574" width="9.140625" style="2"/>
    <col min="575" max="580" width="10.7109375" style="3" customWidth="1"/>
    <col min="581" max="581" width="11.85546875" style="3" bestFit="1" customWidth="1"/>
    <col min="582" max="582" width="9.140625" style="2"/>
    <col min="583" max="588" width="10.7109375" style="3" customWidth="1"/>
    <col min="589" max="589" width="11.85546875" style="3" bestFit="1" customWidth="1"/>
    <col min="590" max="16384" width="9.140625" style="2"/>
  </cols>
  <sheetData>
    <row r="1" spans="1:589" s="6" customFormat="1" ht="15.75" thickBot="1" x14ac:dyDescent="0.3">
      <c r="A1" s="14" t="s">
        <v>3</v>
      </c>
      <c r="B1" s="7" t="s">
        <v>11</v>
      </c>
      <c r="C1" s="47"/>
      <c r="D1" s="51" t="s">
        <v>25</v>
      </c>
      <c r="E1" s="18"/>
      <c r="F1" s="18"/>
      <c r="H1" s="5">
        <v>36</v>
      </c>
      <c r="I1" s="5" t="s">
        <v>9</v>
      </c>
      <c r="J1" s="5">
        <v>2</v>
      </c>
      <c r="K1" s="5"/>
      <c r="L1" s="5"/>
      <c r="M1" s="5"/>
      <c r="N1" s="5"/>
      <c r="P1" s="5">
        <f>H1+1</f>
        <v>37</v>
      </c>
      <c r="Q1" s="5" t="s">
        <v>9</v>
      </c>
      <c r="R1" s="5">
        <f>J1+1</f>
        <v>3</v>
      </c>
      <c r="S1" s="5"/>
      <c r="T1" s="5"/>
      <c r="U1" s="5"/>
      <c r="V1" s="5"/>
      <c r="X1" s="5">
        <f>P1+1</f>
        <v>38</v>
      </c>
      <c r="Y1" s="5" t="s">
        <v>9</v>
      </c>
      <c r="Z1" s="5">
        <f>R1+1</f>
        <v>4</v>
      </c>
      <c r="AA1" s="5"/>
      <c r="AB1" s="5"/>
      <c r="AC1" s="5"/>
      <c r="AD1" s="5"/>
      <c r="AF1" s="5">
        <f>X1+1</f>
        <v>39</v>
      </c>
      <c r="AG1" s="5" t="s">
        <v>9</v>
      </c>
      <c r="AH1" s="5">
        <f>Z1+1</f>
        <v>5</v>
      </c>
      <c r="AI1" s="5"/>
      <c r="AJ1" s="5"/>
      <c r="AK1" s="5"/>
      <c r="AL1" s="5"/>
      <c r="AN1" s="5">
        <f>AF1+1</f>
        <v>40</v>
      </c>
      <c r="AO1" s="5" t="s">
        <v>9</v>
      </c>
      <c r="AP1" s="5">
        <f>AH1+1</f>
        <v>6</v>
      </c>
      <c r="AQ1" s="5"/>
      <c r="AR1" s="5"/>
      <c r="AS1" s="5"/>
      <c r="AT1" s="142"/>
      <c r="AU1" s="142"/>
      <c r="AV1" s="143"/>
      <c r="AW1" s="142">
        <f>AN1+1</f>
        <v>41</v>
      </c>
      <c r="AX1" s="142" t="s">
        <v>9</v>
      </c>
      <c r="AY1" s="5">
        <f>AP1+1</f>
        <v>7</v>
      </c>
      <c r="AZ1" s="142"/>
      <c r="BA1" s="142"/>
      <c r="BB1" s="142"/>
      <c r="BC1" s="142"/>
      <c r="BD1" s="143"/>
      <c r="BE1" s="142">
        <f>AW1+1</f>
        <v>42</v>
      </c>
      <c r="BF1" s="142" t="s">
        <v>9</v>
      </c>
      <c r="BG1" s="5">
        <f>AY1+1</f>
        <v>8</v>
      </c>
      <c r="BH1" s="142"/>
      <c r="BI1" s="142"/>
      <c r="BJ1" s="142"/>
      <c r="BK1" s="142"/>
      <c r="BL1" s="142"/>
      <c r="BM1" s="142"/>
      <c r="BN1" s="143"/>
      <c r="BO1" s="142">
        <f>BE1+1</f>
        <v>43</v>
      </c>
      <c r="BP1" s="142" t="s">
        <v>9</v>
      </c>
      <c r="BQ1" s="5">
        <f>BG1+1</f>
        <v>9</v>
      </c>
      <c r="BR1" s="142"/>
      <c r="BS1" s="142"/>
      <c r="BT1" s="142"/>
      <c r="BU1" s="142"/>
      <c r="BV1" s="142"/>
      <c r="BW1" s="142"/>
      <c r="BX1" s="142"/>
      <c r="BY1" s="143"/>
      <c r="BZ1" s="142">
        <f>BO1+1</f>
        <v>44</v>
      </c>
      <c r="CA1" s="142" t="s">
        <v>9</v>
      </c>
      <c r="CB1" s="5">
        <f>BQ1+1</f>
        <v>10</v>
      </c>
      <c r="CC1" s="142"/>
      <c r="CD1" s="142"/>
      <c r="CE1" s="142"/>
      <c r="CF1" s="142"/>
      <c r="CG1" s="142"/>
      <c r="CH1" s="142"/>
      <c r="CI1" s="143"/>
      <c r="CJ1" s="142">
        <f>BZ1+1</f>
        <v>45</v>
      </c>
      <c r="CK1" s="142" t="s">
        <v>9</v>
      </c>
      <c r="CL1" s="5">
        <f>CB1+1</f>
        <v>11</v>
      </c>
      <c r="CM1" s="142"/>
      <c r="CN1" s="142"/>
      <c r="CO1" s="142"/>
      <c r="CP1" s="142"/>
      <c r="CQ1" s="142"/>
      <c r="CR1" s="143"/>
      <c r="CS1" s="142">
        <f>CJ1+1</f>
        <v>46</v>
      </c>
      <c r="CT1" s="142" t="s">
        <v>9</v>
      </c>
      <c r="CU1" s="5">
        <f>CL1+1</f>
        <v>12</v>
      </c>
      <c r="CV1" s="142"/>
      <c r="CW1" s="142"/>
      <c r="CX1" s="142"/>
      <c r="CY1" s="142"/>
      <c r="CZ1" s="142"/>
      <c r="DA1" s="142"/>
      <c r="DB1" s="143"/>
      <c r="DC1" s="142">
        <f>CS1+1</f>
        <v>47</v>
      </c>
      <c r="DD1" s="142" t="s">
        <v>9</v>
      </c>
      <c r="DE1" s="5">
        <f>CU1+1</f>
        <v>13</v>
      </c>
      <c r="DF1" s="142"/>
      <c r="DG1" s="142"/>
      <c r="DH1" s="142"/>
      <c r="DI1" s="142"/>
      <c r="DJ1" s="142"/>
      <c r="DK1" s="143"/>
      <c r="DL1" s="142">
        <f>DC1+1</f>
        <v>48</v>
      </c>
      <c r="DM1" s="142" t="s">
        <v>9</v>
      </c>
      <c r="DN1" s="5">
        <f>DE1+1</f>
        <v>14</v>
      </c>
      <c r="DO1" s="142"/>
      <c r="DP1" s="142"/>
      <c r="DQ1" s="142"/>
      <c r="DR1" s="142"/>
      <c r="DS1" s="143"/>
      <c r="DT1" s="142">
        <f>DL1+1</f>
        <v>49</v>
      </c>
      <c r="DU1" s="142" t="s">
        <v>9</v>
      </c>
      <c r="DV1" s="5">
        <f>DN1+1</f>
        <v>15</v>
      </c>
      <c r="DW1" s="142"/>
      <c r="DX1" s="142"/>
      <c r="DY1" s="142"/>
      <c r="DZ1" s="142"/>
      <c r="EA1" s="142"/>
      <c r="EB1" s="142"/>
      <c r="EC1" s="143"/>
      <c r="ED1" s="142">
        <f>DT1+1</f>
        <v>50</v>
      </c>
      <c r="EE1" s="142" t="s">
        <v>9</v>
      </c>
      <c r="EF1" s="5">
        <f>DV1+1</f>
        <v>16</v>
      </c>
      <c r="EG1" s="142"/>
      <c r="EH1" s="142"/>
      <c r="EI1" s="142"/>
      <c r="EJ1" s="142"/>
      <c r="EK1" s="142"/>
      <c r="EL1" s="143"/>
      <c r="EM1" s="142">
        <f>ED1+1</f>
        <v>51</v>
      </c>
      <c r="EN1" s="142" t="s">
        <v>9</v>
      </c>
      <c r="EO1" s="5">
        <f>EF1+1</f>
        <v>17</v>
      </c>
      <c r="EP1" s="142"/>
      <c r="EQ1" s="142"/>
      <c r="ER1" s="142"/>
      <c r="ES1" s="142"/>
      <c r="ET1" s="143"/>
      <c r="EU1" s="142">
        <f>EM1+1</f>
        <v>52</v>
      </c>
      <c r="EV1" s="142" t="s">
        <v>9</v>
      </c>
      <c r="EW1" s="5">
        <f>EO1+1</f>
        <v>18</v>
      </c>
      <c r="EX1" s="142"/>
      <c r="EY1" s="142"/>
      <c r="EZ1" s="142"/>
      <c r="FA1" s="142"/>
      <c r="FB1" s="143"/>
      <c r="FC1" s="142">
        <v>1</v>
      </c>
      <c r="FD1" s="142" t="s">
        <v>23</v>
      </c>
      <c r="FE1" s="5">
        <f>EW1+1</f>
        <v>19</v>
      </c>
      <c r="FF1" s="142"/>
      <c r="FG1" s="142"/>
      <c r="FH1" s="142"/>
      <c r="FI1" s="142"/>
      <c r="FJ1" s="143"/>
      <c r="FK1" s="142">
        <f>FC1+1</f>
        <v>2</v>
      </c>
      <c r="FL1" s="142" t="s">
        <v>23</v>
      </c>
      <c r="FM1" s="5">
        <f>FE1+1</f>
        <v>20</v>
      </c>
      <c r="FN1" s="142"/>
      <c r="FO1" s="142"/>
      <c r="FP1" s="142"/>
      <c r="FQ1" s="142"/>
      <c r="FR1" s="143"/>
      <c r="FS1" s="142">
        <f>FK1+1</f>
        <v>3</v>
      </c>
      <c r="FT1" s="142" t="s">
        <v>23</v>
      </c>
      <c r="FU1" s="5">
        <f>FM1+1</f>
        <v>21</v>
      </c>
      <c r="FV1" s="142"/>
      <c r="FW1" s="142"/>
      <c r="FX1" s="142"/>
      <c r="FY1" s="142"/>
      <c r="FZ1" s="142"/>
      <c r="GA1" s="142"/>
      <c r="GB1" s="142"/>
      <c r="GC1" s="142"/>
      <c r="GD1" s="142"/>
      <c r="GE1" s="143"/>
      <c r="GF1" s="142">
        <f>FS1+1</f>
        <v>4</v>
      </c>
      <c r="GG1" s="142" t="s">
        <v>23</v>
      </c>
      <c r="GH1" s="5">
        <f>FU1+1</f>
        <v>22</v>
      </c>
      <c r="GI1" s="142"/>
      <c r="GJ1" s="142"/>
      <c r="GK1" s="142"/>
      <c r="GL1" s="142"/>
      <c r="GM1" s="142"/>
      <c r="GN1" s="143"/>
      <c r="GO1" s="142">
        <f>GF1+1</f>
        <v>5</v>
      </c>
      <c r="GP1" s="142" t="s">
        <v>23</v>
      </c>
      <c r="GQ1" s="5">
        <f>GH1+1</f>
        <v>23</v>
      </c>
      <c r="GR1" s="142"/>
      <c r="GS1" s="142"/>
      <c r="GT1" s="142"/>
      <c r="GU1" s="142"/>
      <c r="GV1" s="142"/>
      <c r="GW1" s="143"/>
      <c r="GX1" s="142">
        <f>GO1+1</f>
        <v>6</v>
      </c>
      <c r="GY1" s="142" t="s">
        <v>23</v>
      </c>
      <c r="GZ1" s="5">
        <f>GQ1+1</f>
        <v>24</v>
      </c>
      <c r="HA1" s="142"/>
      <c r="HB1" s="142"/>
      <c r="HC1" s="142"/>
      <c r="HD1" s="142"/>
      <c r="HE1" s="142"/>
      <c r="HF1" s="143"/>
      <c r="HG1" s="142">
        <f>GX1+1</f>
        <v>7</v>
      </c>
      <c r="HH1" s="142" t="s">
        <v>23</v>
      </c>
      <c r="HI1" s="5">
        <f>GZ1+1</f>
        <v>25</v>
      </c>
      <c r="HJ1" s="142"/>
      <c r="HK1" s="142"/>
      <c r="HL1" s="142"/>
      <c r="HM1" s="142"/>
      <c r="HN1" s="142"/>
      <c r="HO1" s="143"/>
      <c r="HP1" s="142">
        <f>HG1+1</f>
        <v>8</v>
      </c>
      <c r="HQ1" s="142" t="s">
        <v>23</v>
      </c>
      <c r="HR1" s="5">
        <f>HI1+1</f>
        <v>26</v>
      </c>
      <c r="HS1" s="142"/>
      <c r="HT1" s="142"/>
      <c r="HU1" s="142"/>
      <c r="HV1" s="142"/>
      <c r="HW1" s="142"/>
      <c r="HX1" s="143"/>
      <c r="HY1" s="142">
        <f>HP1+1</f>
        <v>9</v>
      </c>
      <c r="HZ1" s="142" t="s">
        <v>23</v>
      </c>
      <c r="IA1" s="5">
        <f>HR1+1</f>
        <v>27</v>
      </c>
      <c r="IB1" s="142"/>
      <c r="IC1" s="142"/>
      <c r="ID1" s="142"/>
      <c r="IE1" s="142"/>
      <c r="IF1" s="142"/>
      <c r="IG1" s="143"/>
      <c r="IH1" s="142">
        <f>HY1+1</f>
        <v>10</v>
      </c>
      <c r="II1" s="142" t="s">
        <v>9</v>
      </c>
      <c r="IJ1" s="5">
        <f>IA1+1</f>
        <v>28</v>
      </c>
      <c r="IK1" s="142"/>
      <c r="IL1" s="142"/>
      <c r="IM1" s="142"/>
      <c r="IN1" s="142"/>
      <c r="IO1" s="143"/>
      <c r="IP1" s="142">
        <f>IH1+1</f>
        <v>11</v>
      </c>
      <c r="IQ1" s="142" t="s">
        <v>9</v>
      </c>
      <c r="IR1" s="5">
        <f>IJ1+1</f>
        <v>29</v>
      </c>
      <c r="IS1" s="142"/>
      <c r="IT1" s="142"/>
      <c r="IU1" s="142"/>
      <c r="IV1" s="142"/>
      <c r="IW1" s="142"/>
      <c r="IX1" s="143"/>
      <c r="IY1" s="142">
        <f>IP1+1</f>
        <v>12</v>
      </c>
      <c r="IZ1" s="142" t="s">
        <v>9</v>
      </c>
      <c r="JA1" s="5">
        <f>IR1+1</f>
        <v>30</v>
      </c>
      <c r="JB1" s="142"/>
      <c r="JC1" s="142"/>
      <c r="JD1" s="142"/>
      <c r="JE1" s="142"/>
      <c r="JF1" s="143"/>
      <c r="JG1" s="142">
        <f>IY1+1</f>
        <v>13</v>
      </c>
      <c r="JH1" s="142" t="s">
        <v>9</v>
      </c>
      <c r="JI1" s="5">
        <f>JA1+1</f>
        <v>31</v>
      </c>
      <c r="JJ1" s="142"/>
      <c r="JK1" s="142"/>
      <c r="JL1" s="142"/>
      <c r="JM1" s="142"/>
      <c r="JN1" s="142"/>
      <c r="JO1" s="143"/>
      <c r="JP1" s="142">
        <f>JG1+1</f>
        <v>14</v>
      </c>
      <c r="JQ1" s="142" t="s">
        <v>9</v>
      </c>
      <c r="JR1" s="5">
        <f>JI1+1</f>
        <v>32</v>
      </c>
      <c r="JS1" s="142"/>
      <c r="JT1" s="142"/>
      <c r="JU1" s="142"/>
      <c r="JV1" s="142"/>
      <c r="JW1" s="143"/>
      <c r="JX1" s="142">
        <f>JP1+1</f>
        <v>15</v>
      </c>
      <c r="JY1" s="142" t="s">
        <v>9</v>
      </c>
      <c r="JZ1" s="5">
        <f>JR1+1</f>
        <v>33</v>
      </c>
      <c r="KA1" s="142"/>
      <c r="KB1" s="142"/>
      <c r="KC1" s="142"/>
      <c r="KD1" s="142"/>
      <c r="KE1" s="143"/>
      <c r="KF1" s="142">
        <f>JX1+1</f>
        <v>16</v>
      </c>
      <c r="KG1" s="142" t="s">
        <v>9</v>
      </c>
      <c r="KH1" s="5">
        <f>JZ1+1</f>
        <v>34</v>
      </c>
      <c r="KI1" s="142"/>
      <c r="KJ1" s="142"/>
      <c r="KK1" s="142"/>
      <c r="KL1" s="142"/>
      <c r="KM1" s="142"/>
      <c r="KN1" s="143"/>
      <c r="KO1" s="142">
        <f>KF1+1</f>
        <v>17</v>
      </c>
      <c r="KP1" s="142" t="s">
        <v>9</v>
      </c>
      <c r="KQ1" s="5">
        <f>KH1+1</f>
        <v>35</v>
      </c>
      <c r="KR1" s="142"/>
      <c r="KS1" s="142"/>
      <c r="KT1" s="142"/>
      <c r="KU1" s="142"/>
      <c r="KV1" s="142"/>
      <c r="KW1" s="143"/>
      <c r="KX1" s="142">
        <f>KO1+1</f>
        <v>18</v>
      </c>
      <c r="KY1" s="142" t="s">
        <v>9</v>
      </c>
      <c r="KZ1" s="5">
        <f>KQ1+1</f>
        <v>36</v>
      </c>
      <c r="LA1" s="142"/>
      <c r="LB1" s="142"/>
      <c r="LC1" s="142"/>
      <c r="LD1" s="142"/>
      <c r="LE1" s="143"/>
      <c r="LF1" s="142">
        <f>KX1+1</f>
        <v>19</v>
      </c>
      <c r="LG1" s="142" t="s">
        <v>9</v>
      </c>
      <c r="LH1" s="5">
        <f>KZ1+1</f>
        <v>37</v>
      </c>
      <c r="LI1" s="142"/>
      <c r="LJ1" s="142"/>
      <c r="LK1" s="142"/>
      <c r="LL1" s="142"/>
      <c r="LM1" s="142"/>
      <c r="LN1" s="143"/>
      <c r="LO1" s="142">
        <f>LF1+1</f>
        <v>20</v>
      </c>
      <c r="LP1" s="142" t="s">
        <v>9</v>
      </c>
      <c r="LQ1" s="5">
        <f>LH1+1</f>
        <v>38</v>
      </c>
      <c r="LR1" s="142"/>
      <c r="LS1" s="142"/>
      <c r="LT1" s="142"/>
      <c r="LU1" s="142"/>
      <c r="LV1" s="143"/>
      <c r="LW1" s="142">
        <f>LO1+1</f>
        <v>21</v>
      </c>
      <c r="LX1" s="142" t="s">
        <v>9</v>
      </c>
      <c r="LY1" s="5">
        <f>LQ1+1</f>
        <v>39</v>
      </c>
      <c r="LZ1" s="142"/>
      <c r="MA1" s="142"/>
      <c r="MB1" s="142"/>
      <c r="MC1" s="142"/>
      <c r="MD1" s="143"/>
      <c r="ME1" s="142">
        <f>LW1+1</f>
        <v>22</v>
      </c>
      <c r="MF1" s="142" t="s">
        <v>9</v>
      </c>
      <c r="MG1" s="5">
        <f>LY1+1</f>
        <v>40</v>
      </c>
      <c r="MH1" s="142"/>
      <c r="MI1" s="142"/>
      <c r="MJ1" s="142"/>
      <c r="MK1" s="142"/>
      <c r="ML1" s="143"/>
      <c r="MM1" s="142">
        <f>ME1+1</f>
        <v>23</v>
      </c>
      <c r="MN1" s="142" t="s">
        <v>9</v>
      </c>
      <c r="MO1" s="5">
        <f>MG1+1</f>
        <v>41</v>
      </c>
      <c r="MP1" s="142"/>
      <c r="MQ1" s="142"/>
      <c r="MR1" s="142"/>
      <c r="MS1" s="142"/>
      <c r="MT1" s="143"/>
      <c r="MU1" s="142">
        <f>MM1+1</f>
        <v>24</v>
      </c>
      <c r="MV1" s="142" t="s">
        <v>9</v>
      </c>
      <c r="MW1" s="5">
        <f>MO1+1</f>
        <v>42</v>
      </c>
      <c r="MX1" s="142"/>
      <c r="MY1" s="142"/>
      <c r="MZ1" s="142"/>
      <c r="NA1" s="142"/>
      <c r="NB1" s="143"/>
      <c r="NC1" s="142">
        <f>MU1+1</f>
        <v>25</v>
      </c>
      <c r="ND1" s="142" t="s">
        <v>9</v>
      </c>
      <c r="NE1" s="5">
        <f>MW1+1</f>
        <v>43</v>
      </c>
      <c r="NF1" s="142"/>
      <c r="NG1" s="142"/>
      <c r="NH1" s="142"/>
      <c r="NI1" s="142"/>
      <c r="NJ1" s="143"/>
      <c r="NK1" s="142">
        <f>NC1+1</f>
        <v>26</v>
      </c>
      <c r="NL1" s="142" t="s">
        <v>9</v>
      </c>
      <c r="NM1" s="5">
        <f>NE1+1</f>
        <v>44</v>
      </c>
      <c r="NN1" s="142"/>
      <c r="NO1" s="142"/>
      <c r="NP1" s="142"/>
      <c r="NQ1" s="142"/>
      <c r="NR1" s="143"/>
      <c r="NS1" s="142">
        <f>NK1+1</f>
        <v>27</v>
      </c>
      <c r="NT1" s="142" t="s">
        <v>9</v>
      </c>
      <c r="NU1" s="5">
        <f>NM1+1</f>
        <v>45</v>
      </c>
      <c r="NV1" s="142"/>
      <c r="NW1" s="142"/>
      <c r="NX1" s="142"/>
      <c r="NY1" s="142"/>
      <c r="NZ1" s="143"/>
      <c r="OA1" s="142">
        <f>NS1+1</f>
        <v>28</v>
      </c>
      <c r="OB1" s="142" t="s">
        <v>9</v>
      </c>
      <c r="OC1" s="5">
        <f>NU1+1</f>
        <v>46</v>
      </c>
      <c r="OD1" s="142"/>
      <c r="OE1" s="142"/>
      <c r="OF1" s="142"/>
      <c r="OG1" s="142"/>
      <c r="OH1" s="143"/>
      <c r="OI1" s="142">
        <f>OA1+1</f>
        <v>29</v>
      </c>
      <c r="OJ1" s="142" t="s">
        <v>9</v>
      </c>
      <c r="OK1" s="5">
        <f>OC1+1</f>
        <v>47</v>
      </c>
      <c r="OL1" s="142"/>
      <c r="OM1" s="142"/>
      <c r="ON1" s="142"/>
      <c r="OO1" s="142"/>
      <c r="OP1" s="143"/>
      <c r="OQ1" s="142">
        <f>OI1+1</f>
        <v>30</v>
      </c>
      <c r="OR1" s="142" t="s">
        <v>9</v>
      </c>
      <c r="OS1" s="5">
        <f>OK1+1</f>
        <v>48</v>
      </c>
      <c r="OT1" s="142"/>
      <c r="OU1" s="142"/>
      <c r="OV1" s="142"/>
      <c r="OW1" s="142"/>
      <c r="OX1" s="143"/>
      <c r="OY1" s="142">
        <f>OQ1+1</f>
        <v>31</v>
      </c>
      <c r="OZ1" s="142" t="s">
        <v>9</v>
      </c>
      <c r="PA1" s="5">
        <f>OS1+1</f>
        <v>49</v>
      </c>
      <c r="PB1" s="142"/>
      <c r="PC1" s="142"/>
      <c r="PD1" s="142"/>
      <c r="PE1" s="142"/>
      <c r="PF1" s="143"/>
      <c r="PG1" s="142">
        <f>OY1+1</f>
        <v>32</v>
      </c>
      <c r="PH1" s="142" t="s">
        <v>9</v>
      </c>
      <c r="PI1" s="5">
        <f>PA1+1</f>
        <v>50</v>
      </c>
      <c r="PJ1" s="142"/>
      <c r="PK1" s="142"/>
      <c r="PL1" s="142"/>
      <c r="PM1" s="142"/>
      <c r="PN1" s="143"/>
      <c r="PO1" s="142">
        <f>PG1+1</f>
        <v>33</v>
      </c>
      <c r="PP1" s="142" t="s">
        <v>9</v>
      </c>
      <c r="PQ1" s="5">
        <f>PI1+1</f>
        <v>51</v>
      </c>
      <c r="PR1" s="142"/>
      <c r="PS1" s="142"/>
      <c r="PT1" s="142"/>
      <c r="PU1" s="142"/>
      <c r="PV1" s="143"/>
      <c r="PW1" s="142">
        <f>PO1+1</f>
        <v>34</v>
      </c>
      <c r="PX1" s="142" t="s">
        <v>9</v>
      </c>
      <c r="PY1" s="5">
        <f>PQ1+1</f>
        <v>52</v>
      </c>
      <c r="PZ1" s="142"/>
      <c r="QA1" s="142"/>
      <c r="QB1" s="142"/>
      <c r="QC1" s="142"/>
      <c r="QD1" s="143"/>
      <c r="QE1" s="142">
        <f>PW1+1</f>
        <v>35</v>
      </c>
      <c r="QF1" s="142" t="s">
        <v>9</v>
      </c>
      <c r="QG1" s="5">
        <f>PY1+1</f>
        <v>53</v>
      </c>
      <c r="QH1" s="142"/>
      <c r="QI1" s="142"/>
      <c r="QJ1" s="142"/>
      <c r="QK1" s="142"/>
      <c r="QL1" s="143"/>
      <c r="QM1" s="142">
        <f>QE1+1</f>
        <v>36</v>
      </c>
      <c r="QN1" s="142" t="s">
        <v>9</v>
      </c>
      <c r="QO1" s="5">
        <f>QG1+1</f>
        <v>54</v>
      </c>
      <c r="QP1" s="142"/>
      <c r="QQ1" s="142"/>
      <c r="QR1" s="142"/>
      <c r="QS1" s="142"/>
      <c r="QT1" s="143"/>
      <c r="QU1" s="142">
        <f>QM1+1</f>
        <v>37</v>
      </c>
      <c r="QV1" s="142" t="s">
        <v>9</v>
      </c>
      <c r="QW1" s="5">
        <f>QO1+1</f>
        <v>55</v>
      </c>
      <c r="QX1" s="142"/>
      <c r="QY1" s="142"/>
      <c r="QZ1" s="142"/>
      <c r="RA1" s="142"/>
      <c r="RB1" s="143"/>
      <c r="RC1" s="142">
        <f>QU1+1</f>
        <v>38</v>
      </c>
      <c r="RD1" s="142" t="s">
        <v>9</v>
      </c>
      <c r="RE1" s="5">
        <f>QW1+1</f>
        <v>56</v>
      </c>
      <c r="RF1" s="142"/>
      <c r="RG1" s="142"/>
      <c r="RH1" s="142"/>
      <c r="RI1" s="142"/>
      <c r="RJ1" s="143"/>
      <c r="RK1" s="142">
        <f>RC1+1</f>
        <v>39</v>
      </c>
      <c r="RL1" s="142" t="s">
        <v>9</v>
      </c>
      <c r="RM1" s="5">
        <f>RE1+1</f>
        <v>57</v>
      </c>
      <c r="RN1" s="142"/>
      <c r="RO1" s="142"/>
      <c r="RP1" s="142"/>
      <c r="RQ1" s="142"/>
      <c r="RR1" s="143"/>
      <c r="RS1" s="142">
        <f>RK1+1</f>
        <v>40</v>
      </c>
      <c r="RT1" s="142" t="s">
        <v>9</v>
      </c>
      <c r="RU1" s="5">
        <f>RM1+1</f>
        <v>58</v>
      </c>
      <c r="RV1" s="142"/>
      <c r="RW1" s="142"/>
      <c r="RX1" s="142"/>
      <c r="RY1" s="142"/>
      <c r="RZ1" s="143"/>
      <c r="SA1" s="142">
        <f>RS1+1</f>
        <v>41</v>
      </c>
      <c r="SB1" s="142" t="s">
        <v>9</v>
      </c>
      <c r="SC1" s="5">
        <f>RU1+1</f>
        <v>59</v>
      </c>
      <c r="SD1" s="142"/>
      <c r="SE1" s="142"/>
      <c r="SF1" s="142"/>
      <c r="SG1" s="142"/>
      <c r="SH1" s="143"/>
      <c r="SI1" s="142">
        <f>SA1+1</f>
        <v>42</v>
      </c>
      <c r="SJ1" s="142" t="s">
        <v>9</v>
      </c>
      <c r="SK1" s="5">
        <f>SC1+1</f>
        <v>60</v>
      </c>
      <c r="SL1" s="142"/>
      <c r="SM1" s="142"/>
      <c r="SN1" s="142"/>
      <c r="SO1" s="142"/>
      <c r="SP1" s="143"/>
      <c r="SQ1" s="142">
        <f>SI1+1</f>
        <v>43</v>
      </c>
      <c r="SR1" s="142" t="s">
        <v>9</v>
      </c>
      <c r="SS1" s="5">
        <f>SK1+1</f>
        <v>61</v>
      </c>
      <c r="ST1" s="142"/>
      <c r="SU1" s="142"/>
      <c r="SV1" s="142"/>
      <c r="SW1" s="142"/>
      <c r="SX1" s="143"/>
      <c r="SY1" s="142">
        <f>SQ1+1</f>
        <v>44</v>
      </c>
      <c r="SZ1" s="142" t="s">
        <v>9</v>
      </c>
      <c r="TA1" s="5">
        <f>SS1+1</f>
        <v>62</v>
      </c>
      <c r="TB1" s="142"/>
      <c r="TC1" s="142"/>
      <c r="TD1" s="142"/>
      <c r="TE1" s="142"/>
      <c r="TF1" s="143"/>
      <c r="TG1" s="142">
        <f>SY1+1</f>
        <v>45</v>
      </c>
      <c r="TH1" s="142" t="s">
        <v>9</v>
      </c>
      <c r="TI1" s="5">
        <f>TA1+1</f>
        <v>63</v>
      </c>
      <c r="TJ1" s="142"/>
      <c r="TK1" s="142"/>
      <c r="TL1" s="142"/>
      <c r="TM1" s="142"/>
      <c r="TN1" s="143"/>
      <c r="TO1" s="142">
        <f>TG1+1</f>
        <v>46</v>
      </c>
      <c r="TP1" s="142" t="s">
        <v>9</v>
      </c>
      <c r="TQ1" s="5">
        <f>TI1+1</f>
        <v>64</v>
      </c>
      <c r="TR1" s="142"/>
      <c r="TS1" s="142"/>
      <c r="TT1" s="142"/>
      <c r="TU1" s="142"/>
      <c r="TV1" s="143"/>
      <c r="TW1" s="142">
        <f>TO1+1</f>
        <v>47</v>
      </c>
      <c r="TX1" s="142" t="s">
        <v>9</v>
      </c>
      <c r="TY1" s="5">
        <f>TQ1+1</f>
        <v>65</v>
      </c>
      <c r="TZ1" s="142"/>
      <c r="UA1" s="142"/>
      <c r="UB1" s="142"/>
      <c r="UC1" s="142"/>
      <c r="UD1" s="143"/>
      <c r="UE1" s="142">
        <f>TW1+1</f>
        <v>48</v>
      </c>
      <c r="UF1" s="142" t="s">
        <v>9</v>
      </c>
      <c r="UG1" s="5">
        <f>TY1+1</f>
        <v>66</v>
      </c>
      <c r="UH1" s="142"/>
      <c r="UI1" s="142"/>
      <c r="UJ1" s="142"/>
      <c r="UK1" s="142"/>
      <c r="UL1" s="143"/>
      <c r="UM1" s="142">
        <f>UE1+1</f>
        <v>49</v>
      </c>
      <c r="UN1" s="142" t="s">
        <v>9</v>
      </c>
      <c r="UO1" s="5">
        <f>UG1+1</f>
        <v>67</v>
      </c>
      <c r="UP1" s="142"/>
      <c r="UQ1" s="142"/>
      <c r="UR1" s="142"/>
      <c r="US1" s="142"/>
      <c r="UT1" s="143"/>
      <c r="UU1" s="142">
        <f>UM1+1</f>
        <v>50</v>
      </c>
      <c r="UV1" s="142" t="s">
        <v>9</v>
      </c>
      <c r="UW1" s="5">
        <f>UO1+1</f>
        <v>68</v>
      </c>
      <c r="UX1" s="142"/>
      <c r="UY1" s="142"/>
      <c r="UZ1" s="142"/>
      <c r="VA1" s="142"/>
      <c r="VB1" s="143"/>
      <c r="VC1" s="142">
        <f>UU1+1</f>
        <v>51</v>
      </c>
      <c r="VD1" s="142" t="s">
        <v>9</v>
      </c>
      <c r="VE1" s="5">
        <f>UW1+1</f>
        <v>69</v>
      </c>
      <c r="VF1" s="142"/>
      <c r="VG1" s="142"/>
      <c r="VH1" s="142"/>
      <c r="VI1" s="142"/>
      <c r="VJ1" s="143"/>
      <c r="VK1" s="142">
        <f>VC1+1</f>
        <v>52</v>
      </c>
      <c r="VL1" s="142" t="s">
        <v>9</v>
      </c>
      <c r="VM1" s="5">
        <f>VE1+1</f>
        <v>70</v>
      </c>
      <c r="VN1" s="142"/>
      <c r="VO1" s="142"/>
      <c r="VP1" s="142"/>
      <c r="VQ1" s="142"/>
    </row>
    <row r="2" spans="1:589" s="6" customFormat="1" ht="15.75" thickBot="1" x14ac:dyDescent="0.3">
      <c r="A2" s="14" t="s">
        <v>13</v>
      </c>
      <c r="B2" s="7" t="s">
        <v>11</v>
      </c>
      <c r="C2" s="47"/>
      <c r="D2" s="52" t="s">
        <v>24</v>
      </c>
      <c r="E2" s="18"/>
      <c r="F2" s="18"/>
      <c r="G2" s="46"/>
      <c r="H2" s="160"/>
      <c r="J2" s="160"/>
      <c r="K2" s="160"/>
      <c r="L2" s="164"/>
      <c r="M2" s="160"/>
      <c r="N2" s="160"/>
      <c r="O2" s="161"/>
      <c r="P2" s="160"/>
      <c r="R2" s="160"/>
      <c r="S2" s="160"/>
      <c r="T2" s="164"/>
      <c r="U2" s="160"/>
      <c r="V2" s="160"/>
      <c r="W2" s="161"/>
      <c r="X2" s="160"/>
      <c r="Z2" s="160"/>
      <c r="AA2" s="160"/>
      <c r="AB2" s="160"/>
      <c r="AC2" s="160"/>
      <c r="AD2" s="160"/>
      <c r="AE2" s="161"/>
      <c r="AF2" s="160"/>
      <c r="AH2" s="160"/>
      <c r="AI2" s="160"/>
      <c r="AJ2" s="160"/>
      <c r="AK2" s="160"/>
      <c r="AL2" s="160"/>
      <c r="AM2" s="161"/>
      <c r="AN2" s="160"/>
      <c r="AP2" s="160"/>
      <c r="AQ2" s="160"/>
      <c r="AR2" s="160"/>
      <c r="AS2" s="160"/>
      <c r="AT2" s="162"/>
      <c r="AU2" s="162"/>
      <c r="AV2" s="163"/>
      <c r="AW2" s="162"/>
      <c r="AY2" s="162"/>
      <c r="AZ2" s="162"/>
      <c r="BA2" s="162"/>
      <c r="BB2" s="162"/>
      <c r="BC2" s="162"/>
      <c r="BD2" s="163"/>
      <c r="BE2" s="162"/>
      <c r="BG2" s="162"/>
      <c r="BH2" s="162"/>
      <c r="BI2" s="162"/>
      <c r="BJ2" s="162"/>
      <c r="BK2" s="162"/>
      <c r="BL2" s="162"/>
      <c r="BM2" s="162"/>
      <c r="BN2" s="163"/>
      <c r="BO2" s="162"/>
      <c r="BQ2" s="162"/>
      <c r="BR2" s="162"/>
      <c r="BS2" s="162"/>
      <c r="BT2" s="162"/>
      <c r="BU2" s="162"/>
      <c r="BV2" s="162"/>
      <c r="BW2" s="162"/>
      <c r="BX2" s="162"/>
      <c r="BY2" s="163"/>
      <c r="BZ2" s="162"/>
      <c r="CB2" s="162"/>
      <c r="CC2" s="162"/>
      <c r="CD2" s="162"/>
      <c r="CE2" s="162"/>
      <c r="CF2" s="162"/>
      <c r="CG2" s="162"/>
      <c r="CH2" s="162"/>
      <c r="CI2" s="163"/>
      <c r="CJ2" s="162"/>
      <c r="CL2" s="162"/>
      <c r="CM2" s="162"/>
      <c r="CN2" s="162"/>
      <c r="CO2" s="162"/>
      <c r="CP2" s="162"/>
      <c r="CQ2" s="162"/>
      <c r="CR2" s="163"/>
      <c r="CS2"/>
      <c r="CU2" s="162"/>
      <c r="CV2" s="162"/>
      <c r="CW2" s="162"/>
      <c r="CX2" s="162"/>
      <c r="CY2" s="162"/>
      <c r="CZ2" s="162"/>
      <c r="DA2" s="162"/>
      <c r="DB2" s="163"/>
      <c r="DC2" s="162"/>
      <c r="DE2" s="162"/>
      <c r="DF2" s="162"/>
      <c r="DG2" s="162"/>
      <c r="DH2" s="162"/>
      <c r="DI2" s="162"/>
      <c r="DJ2" s="162"/>
      <c r="DK2" s="163"/>
      <c r="DL2" s="162"/>
      <c r="DN2" s="162"/>
      <c r="DO2" s="162"/>
      <c r="DP2" s="162"/>
      <c r="DQ2" s="162"/>
      <c r="DR2" s="162"/>
      <c r="DS2" s="163"/>
      <c r="DT2" s="162"/>
      <c r="DV2" s="162"/>
      <c r="DW2" s="162"/>
      <c r="DX2" s="162"/>
      <c r="DY2" s="162"/>
      <c r="DZ2" s="162"/>
      <c r="EA2" s="162"/>
      <c r="EB2" s="162"/>
      <c r="EC2" s="163"/>
      <c r="ED2" s="162"/>
      <c r="EF2" s="162"/>
      <c r="EG2" s="162"/>
      <c r="EH2" s="162"/>
      <c r="EI2" s="162"/>
      <c r="EJ2" s="162"/>
      <c r="EK2" s="162"/>
      <c r="EL2" s="163"/>
      <c r="EM2" s="162"/>
      <c r="EO2" s="162"/>
      <c r="EP2" s="162"/>
      <c r="EQ2" s="162"/>
      <c r="ER2" s="162"/>
      <c r="ES2" s="162"/>
      <c r="ET2" s="163"/>
      <c r="EU2" s="162"/>
      <c r="EV2" s="166" t="s">
        <v>135</v>
      </c>
      <c r="EW2" s="162"/>
      <c r="EX2" s="162"/>
      <c r="EY2" s="162"/>
      <c r="EZ2" s="162"/>
      <c r="FA2" s="162"/>
      <c r="FB2" s="163"/>
      <c r="FC2" s="162"/>
      <c r="FE2" s="162"/>
      <c r="FF2" s="162"/>
      <c r="FG2" s="162"/>
      <c r="FH2" s="162"/>
      <c r="FI2" s="162"/>
      <c r="FJ2" s="163"/>
      <c r="FK2" s="162"/>
      <c r="FM2" s="162"/>
      <c r="FN2" s="162"/>
      <c r="FO2" s="162"/>
      <c r="FP2" s="162"/>
      <c r="FQ2" s="162"/>
      <c r="FR2" s="163"/>
      <c r="FS2" s="162"/>
      <c r="FU2" s="162"/>
      <c r="FV2" s="162"/>
      <c r="FW2" s="162"/>
      <c r="FX2" s="162"/>
      <c r="FY2" s="162"/>
      <c r="FZ2" s="162"/>
      <c r="GA2" s="162"/>
      <c r="GB2" s="162"/>
      <c r="GC2" s="162"/>
      <c r="GD2" s="162"/>
      <c r="GE2" s="163"/>
      <c r="GF2" s="162"/>
      <c r="GH2" s="162"/>
      <c r="GI2" s="162"/>
      <c r="GJ2" s="162"/>
      <c r="GK2" s="162"/>
      <c r="GL2" s="162"/>
      <c r="GM2" s="162"/>
      <c r="GN2" s="163"/>
      <c r="GO2" s="162"/>
      <c r="GQ2" s="162"/>
      <c r="GR2" s="162"/>
      <c r="GS2" s="162"/>
      <c r="GT2" s="162"/>
      <c r="GU2" s="162"/>
      <c r="GV2" s="162"/>
      <c r="GW2" s="163"/>
      <c r="GX2" s="162"/>
      <c r="GZ2" s="162"/>
      <c r="HA2" s="162"/>
      <c r="HB2" s="162"/>
      <c r="HC2" s="162"/>
      <c r="HD2" s="162"/>
      <c r="HE2" s="162"/>
      <c r="HF2" s="163"/>
      <c r="HG2" s="162"/>
      <c r="HI2" s="162"/>
      <c r="HJ2" s="162"/>
      <c r="HK2" s="162"/>
      <c r="HL2" s="162"/>
      <c r="HM2" s="162"/>
      <c r="HN2" s="162"/>
      <c r="HO2" s="163"/>
      <c r="HP2" s="162"/>
      <c r="HR2" s="162"/>
      <c r="HS2" s="162"/>
      <c r="HT2" s="162"/>
      <c r="HU2" s="162"/>
      <c r="HV2" s="162"/>
      <c r="HW2" s="162"/>
      <c r="HX2" s="163"/>
      <c r="HY2" s="162"/>
      <c r="IA2" s="162"/>
      <c r="IB2" s="162"/>
      <c r="IC2" s="162"/>
      <c r="ID2" s="162"/>
      <c r="IE2" s="162"/>
      <c r="IF2" s="162"/>
      <c r="IG2" s="163"/>
      <c r="IH2" s="162"/>
      <c r="IJ2" s="162"/>
      <c r="IK2" s="162"/>
      <c r="IL2" s="162"/>
      <c r="IM2" s="162"/>
      <c r="IN2" s="162"/>
      <c r="IO2" s="163"/>
      <c r="IP2" s="162"/>
      <c r="IR2" s="162"/>
      <c r="IS2" s="162"/>
      <c r="IT2" s="162"/>
      <c r="IU2" s="162"/>
      <c r="IV2" s="162"/>
      <c r="IW2" s="162"/>
      <c r="IX2" s="163"/>
      <c r="IY2" s="162"/>
      <c r="JA2" s="162"/>
      <c r="JB2" s="162"/>
      <c r="JC2" s="162"/>
      <c r="JD2" s="162"/>
      <c r="JE2" s="162"/>
      <c r="JF2" s="163"/>
      <c r="JG2" s="162"/>
      <c r="JI2" s="162"/>
      <c r="JJ2" s="162"/>
      <c r="JK2" s="162"/>
      <c r="JL2" s="162"/>
      <c r="JM2" s="162"/>
      <c r="JN2" s="162"/>
      <c r="JO2" s="163"/>
      <c r="JP2" s="162"/>
      <c r="JR2" s="162"/>
      <c r="JS2" s="162"/>
      <c r="JT2" s="162"/>
      <c r="JU2" s="162"/>
      <c r="JV2" s="162"/>
      <c r="JW2" s="163"/>
      <c r="JX2" s="162"/>
      <c r="JZ2" s="162"/>
      <c r="KA2" s="162"/>
      <c r="KB2" s="162"/>
      <c r="KC2" s="162"/>
      <c r="KD2" s="162"/>
      <c r="KE2" s="163"/>
      <c r="KF2" s="162"/>
      <c r="KH2" s="162"/>
      <c r="KI2" s="162"/>
      <c r="KJ2" s="162"/>
      <c r="KK2" s="162"/>
      <c r="KL2" s="162"/>
      <c r="KM2" s="162"/>
      <c r="KN2" s="163"/>
      <c r="KO2" s="162"/>
      <c r="KQ2" s="162"/>
      <c r="KR2" s="162"/>
      <c r="KS2" s="162"/>
      <c r="KT2" s="162"/>
      <c r="KU2" s="162"/>
      <c r="KV2" s="162"/>
      <c r="KW2" s="163"/>
      <c r="KX2" s="162"/>
      <c r="KZ2" s="162"/>
      <c r="LA2" s="162"/>
      <c r="LB2" s="162"/>
      <c r="LC2" s="162"/>
      <c r="LD2" s="162"/>
      <c r="LE2" s="163"/>
      <c r="LF2" s="162"/>
      <c r="LH2" s="162"/>
      <c r="LI2" s="162"/>
      <c r="LJ2" s="162"/>
      <c r="LK2" s="162"/>
      <c r="LL2" s="162"/>
      <c r="LM2" s="162"/>
      <c r="LN2" s="163"/>
      <c r="LO2" s="162"/>
      <c r="LQ2" s="162"/>
      <c r="LR2" s="162"/>
      <c r="LS2" s="162"/>
      <c r="LT2" s="162"/>
      <c r="LU2" s="162"/>
      <c r="LV2" s="163"/>
      <c r="LW2" s="162"/>
      <c r="LY2" s="162"/>
      <c r="LZ2" s="162"/>
      <c r="MA2" s="162"/>
      <c r="MB2" s="162"/>
      <c r="MC2" s="162"/>
      <c r="MD2" s="163"/>
      <c r="ME2" s="162"/>
      <c r="MG2" s="162"/>
      <c r="MH2" s="162"/>
      <c r="MI2" s="162"/>
      <c r="MJ2" s="162"/>
      <c r="MK2" s="162"/>
      <c r="ML2" s="163"/>
      <c r="MM2" s="162"/>
      <c r="MO2" s="162"/>
      <c r="MP2" s="162"/>
      <c r="MQ2" s="162"/>
      <c r="MR2" s="162"/>
      <c r="MS2" s="162"/>
      <c r="MT2" s="163"/>
      <c r="MU2" s="162"/>
      <c r="MW2" s="162"/>
      <c r="MX2" s="162"/>
      <c r="MY2" s="162"/>
      <c r="MZ2" s="162"/>
      <c r="NA2" s="162"/>
      <c r="NB2" s="163"/>
      <c r="NC2" s="162"/>
      <c r="NE2" s="162"/>
      <c r="NF2" s="162"/>
      <c r="NG2" s="162"/>
      <c r="NH2" s="162"/>
      <c r="NI2" s="162"/>
      <c r="NJ2" s="163"/>
      <c r="NK2" s="162"/>
      <c r="NM2" s="162"/>
      <c r="NN2" s="162"/>
      <c r="NO2" s="162"/>
      <c r="NP2" s="162"/>
      <c r="NQ2" s="162"/>
      <c r="NR2" s="163"/>
      <c r="NS2" s="162"/>
      <c r="NU2" s="162"/>
      <c r="NV2" s="162"/>
      <c r="NW2" s="162"/>
      <c r="NX2" s="162"/>
      <c r="NY2" s="162"/>
      <c r="NZ2" s="163"/>
      <c r="OA2" s="162"/>
      <c r="OC2" s="162"/>
      <c r="OD2" s="162"/>
      <c r="OE2" s="162"/>
      <c r="OF2" s="162"/>
      <c r="OG2" s="162"/>
      <c r="OH2" s="163"/>
      <c r="OI2" s="162"/>
      <c r="OK2" s="162"/>
      <c r="OL2" s="162"/>
      <c r="OM2" s="162"/>
      <c r="ON2" s="162"/>
      <c r="OO2" s="162"/>
      <c r="OP2" s="163"/>
      <c r="OQ2" s="162"/>
      <c r="OS2" s="162"/>
      <c r="OT2" s="162"/>
      <c r="OU2" s="162"/>
      <c r="OV2" s="162"/>
      <c r="OW2" s="162"/>
      <c r="OX2" s="163"/>
      <c r="OY2" s="162"/>
      <c r="PA2" s="162"/>
      <c r="PB2" s="162"/>
      <c r="PC2" s="162"/>
      <c r="PD2" s="162"/>
      <c r="PE2" s="162"/>
      <c r="PF2" s="163"/>
      <c r="PG2" s="162"/>
      <c r="PI2" s="162"/>
      <c r="PJ2" s="162"/>
      <c r="PK2" s="162"/>
      <c r="PL2" s="162"/>
      <c r="PM2" s="162"/>
      <c r="PN2" s="163"/>
      <c r="PO2" s="162"/>
      <c r="PQ2" s="162"/>
      <c r="PR2" s="162"/>
      <c r="PS2" s="162"/>
      <c r="PT2" s="162"/>
      <c r="PU2" s="162"/>
      <c r="PV2" s="163"/>
      <c r="PW2" s="162"/>
      <c r="PY2" s="162"/>
      <c r="PZ2" s="162"/>
      <c r="QA2" s="162"/>
      <c r="QB2" s="162"/>
      <c r="QC2" s="162"/>
      <c r="QD2" s="163"/>
      <c r="QE2" s="162"/>
      <c r="QG2" s="162"/>
      <c r="QH2" s="162"/>
      <c r="QI2" s="162"/>
      <c r="QJ2" s="162"/>
      <c r="QK2" s="162"/>
      <c r="QL2" s="163"/>
      <c r="QM2" s="162"/>
      <c r="QO2" s="162"/>
      <c r="QP2" s="162"/>
      <c r="QQ2" s="162"/>
      <c r="QR2" s="162"/>
      <c r="QS2" s="162"/>
      <c r="QT2" s="163"/>
      <c r="QU2" s="162"/>
      <c r="QW2" s="162"/>
      <c r="QX2" s="162"/>
      <c r="QY2" s="162"/>
      <c r="QZ2" s="162"/>
      <c r="RA2" s="162"/>
      <c r="RB2" s="163"/>
      <c r="RC2" s="162"/>
      <c r="RE2" s="162"/>
      <c r="RF2" s="162"/>
      <c r="RG2" s="162"/>
      <c r="RH2" s="162"/>
      <c r="RI2" s="162"/>
      <c r="RJ2" s="163"/>
      <c r="RK2" s="162"/>
      <c r="RM2" s="162"/>
      <c r="RN2" s="162"/>
      <c r="RO2" s="162"/>
      <c r="RP2" s="162"/>
      <c r="RQ2" s="162"/>
      <c r="RR2" s="163"/>
      <c r="RS2" s="162"/>
      <c r="RU2" s="162"/>
      <c r="RV2" s="162"/>
      <c r="RW2" s="162"/>
      <c r="RX2" s="162"/>
      <c r="RY2" s="162"/>
      <c r="RZ2" s="163"/>
      <c r="SA2" s="162"/>
      <c r="SC2" s="162"/>
      <c r="SD2" s="162"/>
      <c r="SE2" s="162"/>
      <c r="SF2" s="162"/>
      <c r="SG2" s="162"/>
      <c r="SH2" s="163"/>
      <c r="SI2" s="162"/>
      <c r="SK2" s="162"/>
      <c r="SL2" s="162"/>
      <c r="SM2" s="162"/>
      <c r="SN2" s="162"/>
      <c r="SO2" s="162"/>
      <c r="SP2" s="163"/>
      <c r="SQ2" s="162"/>
      <c r="SS2" s="162"/>
      <c r="ST2" s="162"/>
      <c r="SU2" s="162"/>
      <c r="SV2" s="162"/>
      <c r="SW2" s="162"/>
      <c r="SX2" s="163"/>
      <c r="SY2" s="162"/>
      <c r="TA2" s="162"/>
      <c r="TB2" s="162"/>
      <c r="TC2" s="162"/>
      <c r="TD2" s="162"/>
      <c r="TE2" s="162"/>
      <c r="TF2" s="163"/>
      <c r="TG2" s="162"/>
      <c r="TI2" s="162"/>
      <c r="TJ2" s="162"/>
      <c r="TK2" s="162"/>
      <c r="TL2" s="162"/>
      <c r="TM2" s="162"/>
      <c r="TN2" s="163"/>
      <c r="TO2" s="162"/>
      <c r="TQ2" s="162"/>
      <c r="TR2" s="162"/>
      <c r="TS2" s="162"/>
      <c r="TT2" s="162"/>
      <c r="TU2" s="162"/>
      <c r="TV2" s="163"/>
      <c r="TW2" s="162"/>
      <c r="TY2" s="162"/>
      <c r="TZ2" s="162"/>
      <c r="UA2" s="162"/>
      <c r="UB2" s="162"/>
      <c r="UC2" s="162"/>
      <c r="UD2" s="163"/>
      <c r="UE2" s="162"/>
      <c r="UG2" s="162"/>
      <c r="UH2" s="162"/>
      <c r="UI2" s="162"/>
      <c r="UJ2" s="162"/>
      <c r="UK2" s="162"/>
      <c r="UL2" s="163"/>
      <c r="UM2" s="162"/>
      <c r="UO2" s="162"/>
      <c r="UP2" s="162"/>
      <c r="UQ2" s="162"/>
      <c r="UR2" s="162"/>
      <c r="US2" s="162"/>
      <c r="UT2" s="163"/>
      <c r="UU2" s="162"/>
      <c r="UW2" s="162"/>
      <c r="UX2" s="162"/>
      <c r="UY2" s="162"/>
      <c r="UZ2" s="162"/>
      <c r="VA2" s="162"/>
      <c r="VB2" s="163"/>
      <c r="VC2" s="162"/>
      <c r="VE2" s="162"/>
      <c r="VF2" s="162"/>
      <c r="VG2" s="162"/>
      <c r="VH2" s="162"/>
      <c r="VI2" s="162"/>
      <c r="VJ2" s="163"/>
      <c r="VK2" s="162"/>
      <c r="VM2" s="162"/>
      <c r="VN2" s="162"/>
      <c r="VO2" s="162"/>
      <c r="VP2" s="162"/>
      <c r="VQ2" s="162"/>
    </row>
    <row r="3" spans="1:589" ht="15.75" thickBot="1" x14ac:dyDescent="0.3">
      <c r="A3" s="196" t="s">
        <v>123</v>
      </c>
      <c r="B3" s="197"/>
      <c r="C3" s="47"/>
      <c r="D3" s="53" t="s">
        <v>28</v>
      </c>
      <c r="E3" s="17"/>
      <c r="F3" s="17"/>
      <c r="G3" s="46"/>
      <c r="H3" s="160"/>
      <c r="J3" s="160"/>
      <c r="K3" s="160"/>
      <c r="L3" s="160"/>
      <c r="M3" s="160"/>
      <c r="N3" s="160"/>
      <c r="O3" s="161"/>
      <c r="P3" s="160"/>
      <c r="R3" s="160"/>
      <c r="S3" s="160"/>
      <c r="T3" s="160"/>
      <c r="U3" s="160"/>
      <c r="V3" s="160"/>
      <c r="W3" s="161"/>
      <c r="X3" s="160"/>
      <c r="Z3" s="160"/>
      <c r="AA3" s="160"/>
      <c r="AB3" s="160"/>
      <c r="AC3" s="160"/>
      <c r="AD3" s="160"/>
      <c r="AE3" s="161"/>
      <c r="AF3" s="160"/>
      <c r="AH3" s="160"/>
      <c r="AI3" s="160"/>
      <c r="AJ3" s="160"/>
      <c r="AK3" s="160"/>
      <c r="AL3" s="160"/>
      <c r="AM3" s="161"/>
      <c r="AN3" s="160"/>
      <c r="AP3" s="160"/>
      <c r="AQ3" s="160"/>
      <c r="AR3" s="118" t="s">
        <v>30</v>
      </c>
      <c r="AS3" s="160"/>
      <c r="AT3" s="160"/>
      <c r="AU3" s="160"/>
      <c r="AV3" s="161"/>
      <c r="AW3" s="160"/>
      <c r="AY3" s="160"/>
      <c r="AZ3" s="160"/>
      <c r="BA3" s="160"/>
      <c r="BB3" s="160"/>
      <c r="BC3" s="160"/>
      <c r="BD3" s="161"/>
      <c r="BE3" s="160"/>
      <c r="BG3" s="160"/>
      <c r="BH3" s="160"/>
      <c r="BI3" s="211" t="s">
        <v>30</v>
      </c>
      <c r="BJ3" s="212"/>
      <c r="BK3" s="160"/>
      <c r="BL3" s="160"/>
      <c r="BM3" s="160"/>
      <c r="BN3" s="161"/>
      <c r="BO3" s="160"/>
      <c r="BQ3" s="160"/>
      <c r="BR3" s="160"/>
      <c r="BS3" s="211" t="s">
        <v>30</v>
      </c>
      <c r="BT3" s="212"/>
      <c r="BU3" s="118" t="s">
        <v>30</v>
      </c>
      <c r="BV3" s="160"/>
      <c r="BW3" s="160"/>
      <c r="BX3" s="160"/>
      <c r="BY3" s="161"/>
      <c r="BZ3" s="160"/>
      <c r="CB3" s="160"/>
      <c r="CC3" s="160"/>
      <c r="CD3" s="118" t="s">
        <v>30</v>
      </c>
      <c r="CE3" s="118" t="s">
        <v>30</v>
      </c>
      <c r="CF3" s="160"/>
      <c r="CG3" s="160"/>
      <c r="CH3" s="160"/>
      <c r="CI3" s="161"/>
      <c r="CJ3" s="160"/>
      <c r="CL3" s="160"/>
      <c r="CM3" s="160"/>
      <c r="CN3" s="160"/>
      <c r="CO3" s="160"/>
      <c r="CP3" s="160"/>
      <c r="CQ3" s="160"/>
      <c r="CR3" s="161"/>
      <c r="CS3" s="160"/>
      <c r="CT3" s="166" t="s">
        <v>113</v>
      </c>
      <c r="CU3" s="160"/>
      <c r="CV3" s="160"/>
      <c r="CW3" s="118" t="s">
        <v>30</v>
      </c>
      <c r="CX3" s="160"/>
      <c r="CY3" s="160"/>
      <c r="CZ3" s="160"/>
      <c r="DA3" s="160"/>
      <c r="DB3" s="161"/>
      <c r="DC3" s="160"/>
      <c r="DE3" s="160"/>
      <c r="DF3" s="160"/>
      <c r="DG3" s="160"/>
      <c r="DH3" s="160"/>
      <c r="DI3" s="160"/>
      <c r="DJ3" s="160"/>
      <c r="DK3" s="161"/>
      <c r="DL3" s="160"/>
      <c r="DN3" s="160"/>
      <c r="DO3" s="160"/>
      <c r="DP3" s="160"/>
      <c r="DQ3" s="160"/>
      <c r="DR3" s="160"/>
      <c r="DS3" s="161"/>
      <c r="DT3" s="160"/>
      <c r="DV3" s="160"/>
      <c r="DW3" s="160"/>
      <c r="DX3" s="160"/>
      <c r="DY3" s="160"/>
      <c r="DZ3" s="160"/>
      <c r="EA3" s="160"/>
      <c r="EB3" s="160"/>
      <c r="EC3" s="161"/>
      <c r="ED3" s="160"/>
      <c r="EF3" s="160"/>
      <c r="EG3" s="160"/>
      <c r="EH3" s="160"/>
      <c r="EI3" s="160"/>
      <c r="EJ3" s="160"/>
      <c r="EK3" s="160"/>
      <c r="EL3" s="161"/>
      <c r="EM3" s="160"/>
      <c r="EO3" s="160"/>
      <c r="EP3" s="160"/>
      <c r="EQ3" s="160"/>
      <c r="ER3" s="160"/>
      <c r="ES3" s="160"/>
      <c r="ET3" s="161"/>
      <c r="EU3" s="160"/>
      <c r="EV3" s="166" t="s">
        <v>113</v>
      </c>
      <c r="EW3" s="160"/>
      <c r="EX3" s="160"/>
      <c r="EY3" s="160"/>
      <c r="EZ3" s="160"/>
      <c r="FA3" s="160"/>
      <c r="FB3" s="161"/>
      <c r="FC3" s="160"/>
      <c r="FD3" s="226" t="s">
        <v>113</v>
      </c>
      <c r="FE3" s="227"/>
      <c r="FF3" s="228"/>
      <c r="FG3" s="160"/>
      <c r="FH3" s="160"/>
      <c r="FI3" s="160"/>
      <c r="FJ3" s="161"/>
      <c r="FK3" s="160"/>
      <c r="FL3" s="178" t="s">
        <v>136</v>
      </c>
      <c r="FM3" s="160"/>
      <c r="FN3" s="160"/>
      <c r="FO3" s="160"/>
      <c r="FP3" s="160"/>
      <c r="FQ3" s="160"/>
      <c r="FR3" s="161"/>
      <c r="FS3" s="160"/>
      <c r="FU3" s="160"/>
      <c r="FV3" s="160"/>
      <c r="FW3" s="160"/>
      <c r="FX3" s="160"/>
      <c r="FY3" s="160"/>
      <c r="FZ3" s="160"/>
      <c r="GA3" s="160"/>
      <c r="GB3" s="160"/>
      <c r="GC3" s="160"/>
      <c r="GD3" s="160"/>
      <c r="GE3" s="161"/>
      <c r="GF3" s="160"/>
      <c r="GH3" s="160"/>
      <c r="GI3" s="160"/>
      <c r="GJ3" s="160"/>
      <c r="GK3" s="160"/>
      <c r="GL3" s="160"/>
      <c r="GM3" s="160"/>
      <c r="GN3" s="161"/>
      <c r="GO3" s="160"/>
      <c r="GQ3" s="160"/>
      <c r="GR3" s="160"/>
      <c r="GS3" s="160"/>
      <c r="GT3" s="160"/>
      <c r="GU3" s="160"/>
      <c r="GV3" s="160"/>
      <c r="GW3" s="161"/>
      <c r="GX3" s="160"/>
      <c r="GZ3" s="160"/>
      <c r="HA3" s="160"/>
      <c r="HB3" s="160"/>
      <c r="HC3" s="160"/>
      <c r="HD3" s="160"/>
      <c r="HE3" s="160"/>
      <c r="HF3" s="161"/>
      <c r="HG3" s="160"/>
      <c r="HI3" s="160"/>
      <c r="HJ3" s="160"/>
      <c r="HK3" s="160"/>
      <c r="HL3" s="160"/>
      <c r="HM3" s="160"/>
      <c r="HN3" s="160"/>
      <c r="HO3" s="161"/>
      <c r="HP3" s="160"/>
      <c r="HR3" s="160"/>
      <c r="HS3" s="160"/>
      <c r="HT3" s="160"/>
      <c r="HU3" s="160"/>
      <c r="HV3" s="160"/>
      <c r="HW3" s="160"/>
      <c r="HX3" s="161"/>
      <c r="HY3" s="160"/>
      <c r="IA3" s="160"/>
      <c r="IB3" s="160"/>
      <c r="IC3" s="160"/>
      <c r="ID3" s="160"/>
      <c r="IE3" s="160"/>
      <c r="IF3" s="160"/>
      <c r="IG3" s="161"/>
      <c r="IH3" s="160"/>
      <c r="IJ3" s="160"/>
      <c r="IK3" s="160"/>
      <c r="IL3" s="160"/>
      <c r="IM3" s="160"/>
      <c r="IN3" s="160"/>
      <c r="IO3" s="161"/>
      <c r="IP3" s="160"/>
      <c r="IR3" s="160"/>
      <c r="IS3" s="160"/>
      <c r="IT3" s="160"/>
      <c r="IU3" s="160"/>
      <c r="IV3" s="160"/>
      <c r="IW3" s="160"/>
      <c r="IX3" s="161"/>
      <c r="IY3" s="160"/>
      <c r="JA3" s="160"/>
      <c r="JB3" s="160"/>
      <c r="JC3" s="160"/>
      <c r="JD3" s="160"/>
      <c r="JE3" s="160"/>
      <c r="JF3" s="161"/>
      <c r="JG3" s="160"/>
      <c r="JI3" s="160"/>
      <c r="JJ3" s="160"/>
      <c r="JK3" s="160"/>
      <c r="JL3" s="160"/>
      <c r="JM3" s="160"/>
      <c r="JN3" s="160"/>
      <c r="JO3" s="161"/>
      <c r="JP3" s="160"/>
      <c r="JR3" s="160"/>
      <c r="JS3" s="160"/>
      <c r="JT3" s="160"/>
      <c r="JU3" s="160"/>
      <c r="JV3" s="160"/>
      <c r="JW3" s="161"/>
      <c r="JX3" s="160"/>
      <c r="JY3" s="166" t="s">
        <v>113</v>
      </c>
      <c r="JZ3" s="160"/>
      <c r="KA3" s="160"/>
      <c r="KB3" s="160"/>
      <c r="KC3" s="160"/>
      <c r="KD3" s="160"/>
      <c r="KE3" s="161"/>
      <c r="KF3" s="160"/>
      <c r="KH3" s="160"/>
      <c r="KI3" s="160"/>
      <c r="KJ3" s="160"/>
      <c r="KK3" s="160"/>
      <c r="KL3" s="160"/>
      <c r="KM3" s="160"/>
      <c r="KN3" s="161"/>
      <c r="KO3" s="160"/>
      <c r="KQ3" s="160"/>
      <c r="KR3" s="160"/>
      <c r="KS3" s="160"/>
      <c r="KT3" s="160"/>
      <c r="KU3" s="160"/>
      <c r="KV3" s="160"/>
      <c r="KW3" s="161"/>
      <c r="KX3" s="160"/>
      <c r="KZ3" s="160"/>
      <c r="LA3" s="160"/>
      <c r="LB3" s="160"/>
      <c r="LC3" s="160"/>
      <c r="LD3" s="160"/>
      <c r="LE3" s="161"/>
      <c r="LF3" s="160"/>
      <c r="LH3" s="160"/>
      <c r="LI3" s="160"/>
      <c r="LJ3" s="195" t="s">
        <v>1558</v>
      </c>
      <c r="LK3" s="160"/>
      <c r="LL3" s="160"/>
      <c r="LM3" s="160"/>
      <c r="LN3" s="161"/>
      <c r="LO3" s="160"/>
      <c r="LQ3" s="160"/>
      <c r="LR3" s="160"/>
      <c r="LS3" s="160"/>
      <c r="LT3" s="160"/>
      <c r="LU3" s="160"/>
      <c r="LV3" s="161"/>
      <c r="LW3" s="160"/>
      <c r="LY3" s="160"/>
      <c r="LZ3" s="160"/>
      <c r="MA3" s="160"/>
      <c r="MB3" s="160"/>
      <c r="MC3" s="160"/>
      <c r="MD3" s="161"/>
      <c r="ME3" s="160"/>
      <c r="MF3" s="166" t="s">
        <v>113</v>
      </c>
      <c r="MG3" s="160"/>
      <c r="MH3" s="160"/>
      <c r="MI3" s="160"/>
      <c r="MJ3" s="160"/>
      <c r="MK3" s="160"/>
      <c r="ML3" s="161"/>
      <c r="MM3" s="160"/>
      <c r="MO3" s="160"/>
      <c r="MP3" s="160"/>
      <c r="MQ3" s="160"/>
      <c r="MR3" s="160"/>
      <c r="MS3" s="160"/>
      <c r="MT3" s="161"/>
      <c r="MU3" s="160"/>
      <c r="MW3" s="160"/>
      <c r="MX3" s="160"/>
      <c r="MY3" s="160"/>
      <c r="MZ3" s="160"/>
      <c r="NA3" s="160"/>
      <c r="NB3" s="161"/>
      <c r="NC3" s="160"/>
      <c r="NE3" s="160"/>
      <c r="NF3" s="160"/>
      <c r="NG3" s="160"/>
      <c r="NH3" s="160"/>
      <c r="NI3" s="160"/>
      <c r="NJ3" s="161"/>
      <c r="NK3" s="160"/>
      <c r="NM3" s="160"/>
      <c r="NN3" s="160"/>
      <c r="NO3" s="160"/>
      <c r="NP3" s="160"/>
      <c r="NQ3" s="160"/>
      <c r="NR3" s="161"/>
      <c r="NS3" s="160"/>
      <c r="NU3" s="160"/>
      <c r="NV3" s="160"/>
      <c r="NW3" s="160"/>
      <c r="NX3" s="160"/>
      <c r="NY3" s="160"/>
      <c r="NZ3" s="161"/>
      <c r="OA3" s="160"/>
      <c r="OC3" s="160"/>
      <c r="OD3" s="160"/>
      <c r="OE3" s="160"/>
      <c r="OF3" s="160"/>
      <c r="OG3" s="160"/>
      <c r="OH3" s="161"/>
      <c r="OI3" s="160"/>
      <c r="OK3" s="160"/>
      <c r="OL3" s="160"/>
      <c r="OM3" s="160"/>
      <c r="ON3" s="160"/>
      <c r="OO3" s="160"/>
      <c r="OP3" s="161"/>
      <c r="OQ3" s="160"/>
      <c r="OS3" s="160"/>
      <c r="OT3" s="160"/>
      <c r="OU3" s="160"/>
      <c r="OV3" s="160"/>
      <c r="OW3" s="160"/>
      <c r="OX3" s="161"/>
      <c r="OY3" s="160"/>
      <c r="PA3" s="160"/>
      <c r="PB3" s="160"/>
      <c r="PC3" s="160"/>
      <c r="PD3" s="160"/>
      <c r="PE3" s="160"/>
      <c r="PF3" s="161"/>
      <c r="PG3" s="160"/>
      <c r="PI3" s="160"/>
      <c r="PJ3" s="160"/>
      <c r="PK3" s="160"/>
      <c r="PL3" s="160"/>
      <c r="PM3" s="160"/>
      <c r="PN3" s="161"/>
      <c r="PO3" s="160"/>
      <c r="PQ3" s="160"/>
      <c r="PR3" s="160"/>
      <c r="PS3" s="160"/>
      <c r="PT3" s="160"/>
      <c r="PU3" s="160"/>
      <c r="PV3" s="161"/>
      <c r="PW3" s="160"/>
      <c r="PY3" s="160"/>
      <c r="PZ3" s="160"/>
      <c r="QA3" s="160"/>
      <c r="QB3" s="160"/>
      <c r="QC3" s="160"/>
      <c r="QD3" s="161"/>
      <c r="QE3" s="160"/>
      <c r="QG3" s="160"/>
      <c r="QH3" s="160"/>
      <c r="QI3" s="160"/>
      <c r="QJ3" s="160"/>
      <c r="QK3" s="160"/>
      <c r="QL3" s="161"/>
      <c r="QM3" s="160"/>
      <c r="QO3" s="160"/>
      <c r="QP3" s="160"/>
      <c r="QQ3" s="160"/>
      <c r="QR3" s="160"/>
      <c r="QS3" s="160"/>
      <c r="QT3" s="161"/>
      <c r="QU3" s="160"/>
      <c r="QW3" s="160"/>
      <c r="QX3" s="160"/>
      <c r="QY3" s="160"/>
      <c r="QZ3" s="160"/>
      <c r="RA3" s="160"/>
      <c r="RB3" s="161"/>
      <c r="RC3" s="160"/>
      <c r="RE3" s="160"/>
      <c r="RF3" s="160"/>
      <c r="RG3" s="160"/>
      <c r="RH3" s="160"/>
      <c r="RI3" s="160"/>
      <c r="RJ3" s="161"/>
      <c r="RK3" s="160"/>
      <c r="RM3" s="160"/>
      <c r="RN3" s="160"/>
      <c r="RO3" s="160"/>
      <c r="RP3" s="160"/>
      <c r="RQ3" s="160"/>
      <c r="RR3" s="161"/>
      <c r="RS3" s="160"/>
      <c r="RU3" s="160"/>
      <c r="RV3" s="160"/>
      <c r="RW3" s="160"/>
      <c r="RX3" s="160"/>
      <c r="RY3" s="160"/>
      <c r="RZ3" s="161"/>
      <c r="SA3" s="160"/>
      <c r="SC3" s="160"/>
      <c r="SD3" s="160"/>
      <c r="SE3" s="160"/>
      <c r="SF3" s="160"/>
      <c r="SG3" s="160"/>
      <c r="SH3" s="161"/>
      <c r="SI3" s="160"/>
      <c r="SK3" s="160"/>
      <c r="SL3" s="160"/>
      <c r="SM3" s="160"/>
      <c r="SN3" s="160"/>
      <c r="SO3" s="160"/>
      <c r="SP3" s="161"/>
      <c r="SQ3" s="160"/>
      <c r="SS3" s="160"/>
      <c r="ST3" s="160"/>
      <c r="SU3" s="160"/>
      <c r="SV3" s="160"/>
      <c r="SW3" s="160"/>
      <c r="SX3" s="161"/>
      <c r="SY3" s="160"/>
      <c r="TA3" s="160"/>
      <c r="TB3" s="160"/>
      <c r="TC3" s="160"/>
      <c r="TD3" s="160"/>
      <c r="TE3" s="160"/>
      <c r="TF3" s="161"/>
      <c r="TG3" s="160"/>
      <c r="TI3" s="160"/>
      <c r="TJ3" s="160"/>
      <c r="TK3" s="160"/>
      <c r="TL3" s="160"/>
      <c r="TM3" s="160"/>
      <c r="TN3" s="161"/>
      <c r="TO3" s="160"/>
      <c r="TQ3" s="160"/>
      <c r="TR3" s="160"/>
      <c r="TS3" s="160"/>
      <c r="TT3" s="160"/>
      <c r="TU3" s="160"/>
      <c r="TV3" s="161"/>
      <c r="TW3" s="160"/>
      <c r="TY3" s="160"/>
      <c r="TZ3" s="160"/>
      <c r="UA3" s="160"/>
      <c r="UB3" s="160"/>
      <c r="UC3" s="160"/>
      <c r="UD3" s="161"/>
      <c r="UE3" s="160"/>
      <c r="UG3" s="160"/>
      <c r="UH3" s="160"/>
      <c r="UI3" s="160"/>
      <c r="UJ3" s="160"/>
      <c r="UK3" s="160"/>
      <c r="UL3" s="161"/>
      <c r="UM3" s="160"/>
      <c r="UO3" s="160"/>
      <c r="UP3" s="160"/>
      <c r="UQ3" s="160"/>
      <c r="UR3" s="160"/>
      <c r="US3" s="160"/>
      <c r="UT3" s="161"/>
      <c r="UU3" s="160"/>
      <c r="UW3" s="160"/>
      <c r="UX3" s="160"/>
      <c r="UY3" s="160"/>
      <c r="UZ3" s="160"/>
      <c r="VA3" s="160"/>
      <c r="VB3" s="161"/>
      <c r="VC3" s="160"/>
      <c r="VE3" s="160"/>
      <c r="VF3" s="160"/>
      <c r="VG3" s="160"/>
      <c r="VH3" s="160"/>
      <c r="VI3" s="160"/>
      <c r="VJ3" s="161"/>
      <c r="VK3" s="160"/>
      <c r="VM3" s="160"/>
      <c r="VN3" s="160"/>
      <c r="VO3" s="160"/>
      <c r="VP3" s="160"/>
      <c r="VQ3" s="160"/>
    </row>
    <row r="4" spans="1:589" ht="15.75" thickBot="1" x14ac:dyDescent="0.3">
      <c r="A4" s="196" t="s">
        <v>12</v>
      </c>
      <c r="B4" s="197"/>
      <c r="C4" s="47"/>
      <c r="D4" s="17"/>
      <c r="E4" s="17"/>
      <c r="F4" s="17"/>
      <c r="H4" s="207">
        <v>45901</v>
      </c>
      <c r="I4" s="208"/>
      <c r="J4" s="208"/>
      <c r="K4" s="208"/>
      <c r="L4" s="208"/>
      <c r="M4" s="208"/>
      <c r="N4" s="209"/>
      <c r="P4" s="207">
        <v>45901</v>
      </c>
      <c r="Q4" s="208"/>
      <c r="R4" s="208"/>
      <c r="S4" s="208"/>
      <c r="T4" s="208"/>
      <c r="U4" s="208"/>
      <c r="V4" s="209"/>
      <c r="X4" s="207">
        <v>45901</v>
      </c>
      <c r="Y4" s="208"/>
      <c r="Z4" s="208"/>
      <c r="AA4" s="208"/>
      <c r="AB4" s="208"/>
      <c r="AC4" s="208"/>
      <c r="AD4" s="209"/>
      <c r="AF4" s="207">
        <v>45901</v>
      </c>
      <c r="AG4" s="208"/>
      <c r="AH4" s="208"/>
      <c r="AI4" s="208"/>
      <c r="AJ4" s="208"/>
      <c r="AK4" s="208"/>
      <c r="AL4" s="209"/>
      <c r="AN4" s="198">
        <v>45931</v>
      </c>
      <c r="AO4" s="199"/>
      <c r="AP4" s="199"/>
      <c r="AQ4" s="199"/>
      <c r="AR4" s="199"/>
      <c r="AS4" s="199"/>
      <c r="AT4" s="199"/>
      <c r="AU4" s="200"/>
      <c r="AW4" s="198">
        <v>45931</v>
      </c>
      <c r="AX4" s="199"/>
      <c r="AY4" s="199"/>
      <c r="AZ4" s="199"/>
      <c r="BA4" s="199"/>
      <c r="BB4" s="199"/>
      <c r="BC4" s="200"/>
      <c r="BE4" s="198">
        <v>45931</v>
      </c>
      <c r="BF4" s="199"/>
      <c r="BG4" s="199"/>
      <c r="BH4" s="199"/>
      <c r="BI4" s="199"/>
      <c r="BJ4" s="199"/>
      <c r="BK4" s="199"/>
      <c r="BL4" s="199"/>
      <c r="BM4" s="200"/>
      <c r="BO4" s="201">
        <v>45931</v>
      </c>
      <c r="BP4" s="202"/>
      <c r="BQ4" s="202"/>
      <c r="BR4" s="202"/>
      <c r="BS4" s="202"/>
      <c r="BT4" s="202"/>
      <c r="BU4" s="202"/>
      <c r="BV4" s="202"/>
      <c r="BW4" s="202"/>
      <c r="BX4" s="203"/>
      <c r="BZ4" s="198">
        <v>45931</v>
      </c>
      <c r="CA4" s="199"/>
      <c r="CB4" s="199"/>
      <c r="CC4" s="199"/>
      <c r="CD4" s="199"/>
      <c r="CE4" s="199"/>
      <c r="CF4" s="199"/>
      <c r="CG4" s="199"/>
      <c r="CH4" s="200"/>
      <c r="CJ4" s="207">
        <v>45962</v>
      </c>
      <c r="CK4" s="208"/>
      <c r="CL4" s="208"/>
      <c r="CM4" s="208"/>
      <c r="CN4" s="208"/>
      <c r="CO4" s="208"/>
      <c r="CP4" s="208"/>
      <c r="CQ4" s="209"/>
      <c r="CS4" s="207">
        <v>45962</v>
      </c>
      <c r="CT4" s="210"/>
      <c r="CU4" s="208"/>
      <c r="CV4" s="208"/>
      <c r="CW4" s="208"/>
      <c r="CX4" s="208"/>
      <c r="CY4" s="208"/>
      <c r="CZ4" s="208"/>
      <c r="DA4" s="209"/>
      <c r="DC4" s="207">
        <v>45962</v>
      </c>
      <c r="DD4" s="208"/>
      <c r="DE4" s="208"/>
      <c r="DF4" s="208"/>
      <c r="DG4" s="208"/>
      <c r="DH4" s="208"/>
      <c r="DI4" s="208"/>
      <c r="DJ4" s="209"/>
      <c r="DL4" s="198">
        <v>45992</v>
      </c>
      <c r="DM4" s="199"/>
      <c r="DN4" s="199"/>
      <c r="DO4" s="199"/>
      <c r="DP4" s="199"/>
      <c r="DQ4" s="199"/>
      <c r="DR4" s="200"/>
      <c r="DT4" s="198">
        <v>45992</v>
      </c>
      <c r="DU4" s="199"/>
      <c r="DV4" s="199"/>
      <c r="DW4" s="199"/>
      <c r="DX4" s="199"/>
      <c r="DY4" s="199"/>
      <c r="DZ4" s="199"/>
      <c r="EA4" s="199"/>
      <c r="EB4" s="200"/>
      <c r="ED4" s="198">
        <v>45992</v>
      </c>
      <c r="EE4" s="199"/>
      <c r="EF4" s="199"/>
      <c r="EG4" s="199"/>
      <c r="EH4" s="199"/>
      <c r="EI4" s="199"/>
      <c r="EJ4" s="199"/>
      <c r="EK4" s="200"/>
      <c r="EM4" s="198">
        <v>45992</v>
      </c>
      <c r="EN4" s="199"/>
      <c r="EO4" s="199"/>
      <c r="EP4" s="199"/>
      <c r="EQ4" s="199"/>
      <c r="ER4" s="199"/>
      <c r="ES4" s="200"/>
      <c r="EU4" s="198">
        <v>45992</v>
      </c>
      <c r="EV4" s="199"/>
      <c r="EW4" s="199"/>
      <c r="EX4" s="199"/>
      <c r="EY4" s="199"/>
      <c r="EZ4" s="199"/>
      <c r="FA4" s="200"/>
      <c r="FC4" s="207">
        <v>46023</v>
      </c>
      <c r="FD4" s="208"/>
      <c r="FE4" s="208"/>
      <c r="FF4" s="208"/>
      <c r="FG4" s="208"/>
      <c r="FH4" s="208"/>
      <c r="FI4" s="209"/>
      <c r="FK4" s="207">
        <v>46023</v>
      </c>
      <c r="FL4" s="208"/>
      <c r="FM4" s="208"/>
      <c r="FN4" s="208"/>
      <c r="FO4" s="208"/>
      <c r="FP4" s="208"/>
      <c r="FQ4" s="209"/>
      <c r="FS4" s="207">
        <v>46023</v>
      </c>
      <c r="FT4" s="208"/>
      <c r="FU4" s="208"/>
      <c r="FV4" s="208"/>
      <c r="FW4" s="208"/>
      <c r="FX4" s="208"/>
      <c r="FY4" s="208"/>
      <c r="FZ4" s="208"/>
      <c r="GA4" s="208"/>
      <c r="GB4" s="208"/>
      <c r="GC4" s="208"/>
      <c r="GD4" s="209"/>
      <c r="GF4" s="207">
        <v>46023</v>
      </c>
      <c r="GG4" s="208"/>
      <c r="GH4" s="208"/>
      <c r="GI4" s="208"/>
      <c r="GJ4" s="208"/>
      <c r="GK4" s="208"/>
      <c r="GL4" s="208"/>
      <c r="GM4" s="209"/>
      <c r="GO4" s="207">
        <v>46023</v>
      </c>
      <c r="GP4" s="208"/>
      <c r="GQ4" s="208"/>
      <c r="GR4" s="208"/>
      <c r="GS4" s="208"/>
      <c r="GT4" s="208"/>
      <c r="GU4" s="208"/>
      <c r="GV4" s="209"/>
      <c r="GX4" s="198">
        <v>46054</v>
      </c>
      <c r="GY4" s="199"/>
      <c r="GZ4" s="199"/>
      <c r="HA4" s="199"/>
      <c r="HB4" s="199"/>
      <c r="HC4" s="199"/>
      <c r="HD4" s="199"/>
      <c r="HE4" s="200"/>
      <c r="HG4" s="198">
        <v>46054</v>
      </c>
      <c r="HH4" s="199"/>
      <c r="HI4" s="199"/>
      <c r="HJ4" s="199"/>
      <c r="HK4" s="199"/>
      <c r="HL4" s="199"/>
      <c r="HM4" s="199"/>
      <c r="HN4" s="200"/>
      <c r="HP4" s="198">
        <v>46054</v>
      </c>
      <c r="HQ4" s="199"/>
      <c r="HR4" s="199"/>
      <c r="HS4" s="199"/>
      <c r="HT4" s="199"/>
      <c r="HU4" s="199"/>
      <c r="HV4" s="199"/>
      <c r="HW4" s="200"/>
      <c r="HY4" s="198">
        <v>46054</v>
      </c>
      <c r="HZ4" s="199"/>
      <c r="IA4" s="199"/>
      <c r="IB4" s="199"/>
      <c r="IC4" s="199"/>
      <c r="ID4" s="199"/>
      <c r="IE4" s="199"/>
      <c r="IF4" s="200"/>
      <c r="IH4" s="207">
        <v>46082</v>
      </c>
      <c r="II4" s="208"/>
      <c r="IJ4" s="208"/>
      <c r="IK4" s="208"/>
      <c r="IL4" s="208"/>
      <c r="IM4" s="208"/>
      <c r="IN4" s="209"/>
      <c r="IP4" s="207">
        <v>46082</v>
      </c>
      <c r="IQ4" s="208"/>
      <c r="IR4" s="208"/>
      <c r="IS4" s="208"/>
      <c r="IT4" s="208"/>
      <c r="IU4" s="208"/>
      <c r="IV4" s="208"/>
      <c r="IW4" s="209"/>
      <c r="IY4" s="207">
        <v>46082</v>
      </c>
      <c r="IZ4" s="208"/>
      <c r="JA4" s="208"/>
      <c r="JB4" s="208"/>
      <c r="JC4" s="208"/>
      <c r="JD4" s="208"/>
      <c r="JE4" s="209"/>
      <c r="JG4" s="207">
        <v>46082</v>
      </c>
      <c r="JH4" s="208"/>
      <c r="JI4" s="208"/>
      <c r="JJ4" s="208"/>
      <c r="JK4" s="208"/>
      <c r="JL4" s="208"/>
      <c r="JM4" s="208"/>
      <c r="JN4" s="209"/>
      <c r="JP4" s="198">
        <v>46113</v>
      </c>
      <c r="JQ4" s="199"/>
      <c r="JR4" s="199"/>
      <c r="JS4" s="199"/>
      <c r="JT4" s="199"/>
      <c r="JU4" s="199"/>
      <c r="JV4" s="200"/>
      <c r="JX4" s="198">
        <v>46113</v>
      </c>
      <c r="JY4" s="199"/>
      <c r="JZ4" s="199"/>
      <c r="KA4" s="199"/>
      <c r="KB4" s="199"/>
      <c r="KC4" s="199"/>
      <c r="KD4" s="200"/>
      <c r="KF4" s="198">
        <v>46113</v>
      </c>
      <c r="KG4" s="199"/>
      <c r="KH4" s="199"/>
      <c r="KI4" s="199"/>
      <c r="KJ4" s="199"/>
      <c r="KK4" s="199"/>
      <c r="KL4" s="199"/>
      <c r="KM4" s="200"/>
      <c r="KO4" s="198">
        <v>46113</v>
      </c>
      <c r="KP4" s="199"/>
      <c r="KQ4" s="199"/>
      <c r="KR4" s="199"/>
      <c r="KS4" s="199"/>
      <c r="KT4" s="199"/>
      <c r="KU4" s="199"/>
      <c r="KV4" s="200"/>
      <c r="KX4" s="207">
        <v>46143</v>
      </c>
      <c r="KY4" s="208"/>
      <c r="KZ4" s="208"/>
      <c r="LA4" s="208"/>
      <c r="LB4" s="208"/>
      <c r="LC4" s="208"/>
      <c r="LD4" s="209"/>
      <c r="LF4" s="207">
        <v>46143</v>
      </c>
      <c r="LG4" s="208"/>
      <c r="LH4" s="208"/>
      <c r="LI4" s="208"/>
      <c r="LJ4" s="208"/>
      <c r="LK4" s="208"/>
      <c r="LL4" s="208"/>
      <c r="LM4" s="209"/>
      <c r="LO4" s="207">
        <v>46143</v>
      </c>
      <c r="LP4" s="208"/>
      <c r="LQ4" s="208"/>
      <c r="LR4" s="208"/>
      <c r="LS4" s="208"/>
      <c r="LT4" s="208"/>
      <c r="LU4" s="209"/>
      <c r="LW4" s="207">
        <v>46143</v>
      </c>
      <c r="LX4" s="208"/>
      <c r="LY4" s="208"/>
      <c r="LZ4" s="208"/>
      <c r="MA4" s="208"/>
      <c r="MB4" s="208"/>
      <c r="MC4" s="209"/>
      <c r="ME4" s="207">
        <v>46143</v>
      </c>
      <c r="MF4" s="208"/>
      <c r="MG4" s="208"/>
      <c r="MH4" s="208"/>
      <c r="MI4" s="208"/>
      <c r="MJ4" s="208"/>
      <c r="MK4" s="209"/>
      <c r="MM4" s="198">
        <v>46174</v>
      </c>
      <c r="MN4" s="199"/>
      <c r="MO4" s="199"/>
      <c r="MP4" s="199"/>
      <c r="MQ4" s="199"/>
      <c r="MR4" s="199"/>
      <c r="MS4" s="200"/>
      <c r="MU4" s="198">
        <v>46174</v>
      </c>
      <c r="MV4" s="199"/>
      <c r="MW4" s="199"/>
      <c r="MX4" s="199"/>
      <c r="MY4" s="199"/>
      <c r="MZ4" s="199"/>
      <c r="NA4" s="200"/>
      <c r="NC4" s="198">
        <v>46174</v>
      </c>
      <c r="ND4" s="199"/>
      <c r="NE4" s="199"/>
      <c r="NF4" s="199"/>
      <c r="NG4" s="199"/>
      <c r="NH4" s="199"/>
      <c r="NI4" s="200"/>
      <c r="NK4" s="198">
        <v>46174</v>
      </c>
      <c r="NL4" s="199"/>
      <c r="NM4" s="199"/>
      <c r="NN4" s="199"/>
      <c r="NO4" s="199"/>
      <c r="NP4" s="199"/>
      <c r="NQ4" s="200"/>
      <c r="NS4" s="207">
        <v>46204</v>
      </c>
      <c r="NT4" s="208"/>
      <c r="NU4" s="208"/>
      <c r="NV4" s="208"/>
      <c r="NW4" s="208"/>
      <c r="NX4" s="208"/>
      <c r="NY4" s="209"/>
      <c r="OA4" s="207">
        <v>46204</v>
      </c>
      <c r="OB4" s="208"/>
      <c r="OC4" s="208"/>
      <c r="OD4" s="208"/>
      <c r="OE4" s="208"/>
      <c r="OF4" s="208"/>
      <c r="OG4" s="209"/>
      <c r="OI4" s="207">
        <v>46204</v>
      </c>
      <c r="OJ4" s="208"/>
      <c r="OK4" s="208"/>
      <c r="OL4" s="208"/>
      <c r="OM4" s="208"/>
      <c r="ON4" s="208"/>
      <c r="OO4" s="209"/>
      <c r="OQ4" s="207">
        <v>46204</v>
      </c>
      <c r="OR4" s="208"/>
      <c r="OS4" s="208"/>
      <c r="OT4" s="208"/>
      <c r="OU4" s="208"/>
      <c r="OV4" s="208"/>
      <c r="OW4" s="209"/>
      <c r="OY4" s="207">
        <v>46204</v>
      </c>
      <c r="OZ4" s="208"/>
      <c r="PA4" s="208"/>
      <c r="PB4" s="208"/>
      <c r="PC4" s="208"/>
      <c r="PD4" s="208"/>
      <c r="PE4" s="209"/>
      <c r="PG4" s="198">
        <v>46235</v>
      </c>
      <c r="PH4" s="199"/>
      <c r="PI4" s="199"/>
      <c r="PJ4" s="199"/>
      <c r="PK4" s="199"/>
      <c r="PL4" s="199"/>
      <c r="PM4" s="200"/>
      <c r="PO4" s="198">
        <v>46235</v>
      </c>
      <c r="PP4" s="199"/>
      <c r="PQ4" s="199"/>
      <c r="PR4" s="199"/>
      <c r="PS4" s="199"/>
      <c r="PT4" s="199"/>
      <c r="PU4" s="200"/>
      <c r="PW4" s="198">
        <v>46235</v>
      </c>
      <c r="PX4" s="199"/>
      <c r="PY4" s="199"/>
      <c r="PZ4" s="199"/>
      <c r="QA4" s="199"/>
      <c r="QB4" s="199"/>
      <c r="QC4" s="200"/>
      <c r="QE4" s="198">
        <v>46235</v>
      </c>
      <c r="QF4" s="199"/>
      <c r="QG4" s="199"/>
      <c r="QH4" s="199"/>
      <c r="QI4" s="199"/>
      <c r="QJ4" s="199"/>
      <c r="QK4" s="200"/>
      <c r="QM4" s="207">
        <v>46266</v>
      </c>
      <c r="QN4" s="208"/>
      <c r="QO4" s="208"/>
      <c r="QP4" s="208"/>
      <c r="QQ4" s="208"/>
      <c r="QR4" s="208"/>
      <c r="QS4" s="209"/>
      <c r="QU4" s="207">
        <v>46266</v>
      </c>
      <c r="QV4" s="208"/>
      <c r="QW4" s="208"/>
      <c r="QX4" s="208"/>
      <c r="QY4" s="208"/>
      <c r="QZ4" s="208"/>
      <c r="RA4" s="209"/>
      <c r="RC4" s="207">
        <v>46266</v>
      </c>
      <c r="RD4" s="208"/>
      <c r="RE4" s="208"/>
      <c r="RF4" s="208"/>
      <c r="RG4" s="208"/>
      <c r="RH4" s="208"/>
      <c r="RI4" s="209"/>
      <c r="RK4" s="207">
        <v>46266</v>
      </c>
      <c r="RL4" s="208"/>
      <c r="RM4" s="208"/>
      <c r="RN4" s="208"/>
      <c r="RO4" s="208"/>
      <c r="RP4" s="208"/>
      <c r="RQ4" s="209"/>
      <c r="RS4" s="198">
        <v>46296</v>
      </c>
      <c r="RT4" s="199"/>
      <c r="RU4" s="199"/>
      <c r="RV4" s="199"/>
      <c r="RW4" s="199"/>
      <c r="RX4" s="199"/>
      <c r="RY4" s="200"/>
      <c r="SA4" s="198">
        <v>46296</v>
      </c>
      <c r="SB4" s="199"/>
      <c r="SC4" s="199"/>
      <c r="SD4" s="199"/>
      <c r="SE4" s="199"/>
      <c r="SF4" s="199"/>
      <c r="SG4" s="200"/>
      <c r="SI4" s="198">
        <v>46296</v>
      </c>
      <c r="SJ4" s="199"/>
      <c r="SK4" s="199"/>
      <c r="SL4" s="199"/>
      <c r="SM4" s="199"/>
      <c r="SN4" s="199"/>
      <c r="SO4" s="200"/>
      <c r="SQ4" s="198">
        <v>46296</v>
      </c>
      <c r="SR4" s="199"/>
      <c r="SS4" s="199"/>
      <c r="ST4" s="199"/>
      <c r="SU4" s="199"/>
      <c r="SV4" s="199"/>
      <c r="SW4" s="200"/>
      <c r="SY4" s="198">
        <v>46296</v>
      </c>
      <c r="SZ4" s="199"/>
      <c r="TA4" s="199"/>
      <c r="TB4" s="199"/>
      <c r="TC4" s="199"/>
      <c r="TD4" s="199"/>
      <c r="TE4" s="200"/>
      <c r="TG4" s="207">
        <v>46327</v>
      </c>
      <c r="TH4" s="208"/>
      <c r="TI4" s="208"/>
      <c r="TJ4" s="208"/>
      <c r="TK4" s="208"/>
      <c r="TL4" s="208"/>
      <c r="TM4" s="209"/>
      <c r="TO4" s="207">
        <v>46327</v>
      </c>
      <c r="TP4" s="208"/>
      <c r="TQ4" s="208"/>
      <c r="TR4" s="208"/>
      <c r="TS4" s="208"/>
      <c r="TT4" s="208"/>
      <c r="TU4" s="209"/>
      <c r="TW4" s="207">
        <v>46327</v>
      </c>
      <c r="TX4" s="208"/>
      <c r="TY4" s="208"/>
      <c r="TZ4" s="208"/>
      <c r="UA4" s="208"/>
      <c r="UB4" s="208"/>
      <c r="UC4" s="209"/>
      <c r="UE4" s="207">
        <v>46327</v>
      </c>
      <c r="UF4" s="208"/>
      <c r="UG4" s="208"/>
      <c r="UH4" s="208"/>
      <c r="UI4" s="208"/>
      <c r="UJ4" s="208"/>
      <c r="UK4" s="209"/>
      <c r="UM4" s="198">
        <v>46296</v>
      </c>
      <c r="UN4" s="199"/>
      <c r="UO4" s="199"/>
      <c r="UP4" s="199"/>
      <c r="UQ4" s="199"/>
      <c r="UR4" s="199"/>
      <c r="US4" s="200"/>
      <c r="UU4" s="198">
        <v>46296</v>
      </c>
      <c r="UV4" s="199"/>
      <c r="UW4" s="199"/>
      <c r="UX4" s="199"/>
      <c r="UY4" s="199"/>
      <c r="UZ4" s="199"/>
      <c r="VA4" s="200"/>
      <c r="VC4" s="198">
        <v>46296</v>
      </c>
      <c r="VD4" s="199"/>
      <c r="VE4" s="199"/>
      <c r="VF4" s="199"/>
      <c r="VG4" s="199"/>
      <c r="VH4" s="199"/>
      <c r="VI4" s="200"/>
      <c r="VK4" s="198">
        <v>46296</v>
      </c>
      <c r="VL4" s="199"/>
      <c r="VM4" s="199"/>
      <c r="VN4" s="199"/>
      <c r="VO4" s="199"/>
      <c r="VP4" s="199"/>
      <c r="VQ4" s="200"/>
    </row>
    <row r="5" spans="1:589" ht="15.75" thickBot="1" x14ac:dyDescent="0.3">
      <c r="A5" s="15">
        <v>46113</v>
      </c>
      <c r="B5" s="16" t="s">
        <v>62</v>
      </c>
      <c r="C5" s="47"/>
      <c r="D5" s="17"/>
      <c r="E5" s="17"/>
      <c r="F5" s="17"/>
      <c r="H5" s="204" t="str">
        <f>I1&amp;H1</f>
        <v>WK 36</v>
      </c>
      <c r="I5" s="205"/>
      <c r="J5" s="205"/>
      <c r="K5" s="205"/>
      <c r="L5" s="205"/>
      <c r="M5" s="205"/>
      <c r="N5" s="206"/>
      <c r="P5" s="204" t="str">
        <f>Q1&amp;P1</f>
        <v>WK 37</v>
      </c>
      <c r="Q5" s="205"/>
      <c r="R5" s="205"/>
      <c r="S5" s="205"/>
      <c r="T5" s="205"/>
      <c r="U5" s="205"/>
      <c r="V5" s="206"/>
      <c r="X5" s="204" t="str">
        <f>Y1&amp;X1</f>
        <v>WK 38</v>
      </c>
      <c r="Y5" s="205"/>
      <c r="Z5" s="205"/>
      <c r="AA5" s="205"/>
      <c r="AB5" s="205"/>
      <c r="AC5" s="205"/>
      <c r="AD5" s="206"/>
      <c r="AF5" s="204" t="str">
        <f>AG1&amp;AF1</f>
        <v>WK 39</v>
      </c>
      <c r="AG5" s="205"/>
      <c r="AH5" s="205"/>
      <c r="AI5" s="205"/>
      <c r="AJ5" s="205"/>
      <c r="AK5" s="205"/>
      <c r="AL5" s="206"/>
      <c r="AN5" s="204" t="str">
        <f>AO1&amp;AN1</f>
        <v>WK 40</v>
      </c>
      <c r="AO5" s="205"/>
      <c r="AP5" s="205"/>
      <c r="AQ5" s="205"/>
      <c r="AR5" s="205"/>
      <c r="AS5" s="205"/>
      <c r="AT5" s="205"/>
      <c r="AU5" s="206"/>
      <c r="AW5" s="204" t="str">
        <f>AX1&amp;AW1</f>
        <v>WK 41</v>
      </c>
      <c r="AX5" s="205"/>
      <c r="AY5" s="205"/>
      <c r="AZ5" s="205"/>
      <c r="BA5" s="205"/>
      <c r="BB5" s="205"/>
      <c r="BC5" s="206"/>
      <c r="BE5" s="204" t="str">
        <f>BF1&amp;BE1</f>
        <v>WK 42</v>
      </c>
      <c r="BF5" s="205"/>
      <c r="BG5" s="205"/>
      <c r="BH5" s="205"/>
      <c r="BI5" s="205"/>
      <c r="BJ5" s="205"/>
      <c r="BK5" s="205"/>
      <c r="BL5" s="205"/>
      <c r="BM5" s="206"/>
      <c r="BO5" s="204" t="str">
        <f>BP1&amp;BO1</f>
        <v>WK 43</v>
      </c>
      <c r="BP5" s="205"/>
      <c r="BQ5" s="205"/>
      <c r="BR5" s="205"/>
      <c r="BS5" s="205"/>
      <c r="BT5" s="205"/>
      <c r="BU5" s="205"/>
      <c r="BV5" s="205"/>
      <c r="BW5" s="205"/>
      <c r="BX5" s="206"/>
      <c r="BZ5" s="204" t="str">
        <f>CA1&amp;BZ1</f>
        <v>WK 44</v>
      </c>
      <c r="CA5" s="205"/>
      <c r="CB5" s="205"/>
      <c r="CC5" s="205"/>
      <c r="CD5" s="205"/>
      <c r="CE5" s="205"/>
      <c r="CF5" s="205"/>
      <c r="CG5" s="205"/>
      <c r="CH5" s="206"/>
      <c r="CJ5" s="204" t="str">
        <f>CK1&amp;CJ1</f>
        <v>WK 45</v>
      </c>
      <c r="CK5" s="205"/>
      <c r="CL5" s="205"/>
      <c r="CM5" s="205"/>
      <c r="CN5" s="205"/>
      <c r="CO5" s="205"/>
      <c r="CP5" s="205"/>
      <c r="CQ5" s="206"/>
      <c r="CS5" s="204" t="str">
        <f>CT1&amp;CS1</f>
        <v>WK 46</v>
      </c>
      <c r="CT5" s="205"/>
      <c r="CU5" s="205"/>
      <c r="CV5" s="205"/>
      <c r="CW5" s="205"/>
      <c r="CX5" s="205"/>
      <c r="CY5" s="205"/>
      <c r="CZ5" s="205"/>
      <c r="DA5" s="206"/>
      <c r="DC5" s="204" t="str">
        <f>DD1&amp;DC1</f>
        <v>WK 47</v>
      </c>
      <c r="DD5" s="205"/>
      <c r="DE5" s="205"/>
      <c r="DF5" s="205"/>
      <c r="DG5" s="205"/>
      <c r="DH5" s="205"/>
      <c r="DI5" s="205"/>
      <c r="DJ5" s="206"/>
      <c r="DL5" s="204" t="str">
        <f>DM1&amp;DL1</f>
        <v>WK 48</v>
      </c>
      <c r="DM5" s="205"/>
      <c r="DN5" s="205"/>
      <c r="DO5" s="205"/>
      <c r="DP5" s="205"/>
      <c r="DQ5" s="205"/>
      <c r="DR5" s="206"/>
      <c r="DT5" s="204" t="str">
        <f>DU1&amp;DT1</f>
        <v>WK 49</v>
      </c>
      <c r="DU5" s="205"/>
      <c r="DV5" s="205"/>
      <c r="DW5" s="205"/>
      <c r="DX5" s="205"/>
      <c r="DY5" s="205"/>
      <c r="DZ5" s="205"/>
      <c r="EA5" s="205"/>
      <c r="EB5" s="206"/>
      <c r="ED5" s="204" t="str">
        <f>EE1&amp;ED1</f>
        <v>WK 50</v>
      </c>
      <c r="EE5" s="205"/>
      <c r="EF5" s="205"/>
      <c r="EG5" s="205"/>
      <c r="EH5" s="205"/>
      <c r="EI5" s="205"/>
      <c r="EJ5" s="205"/>
      <c r="EK5" s="206"/>
      <c r="EM5" s="204" t="str">
        <f>EN1&amp;EM1</f>
        <v>WK 51</v>
      </c>
      <c r="EN5" s="205"/>
      <c r="EO5" s="205"/>
      <c r="EP5" s="205"/>
      <c r="EQ5" s="205"/>
      <c r="ER5" s="205"/>
      <c r="ES5" s="206"/>
      <c r="EU5" s="204" t="str">
        <f>EV1&amp;EU1</f>
        <v>WK 52</v>
      </c>
      <c r="EV5" s="205"/>
      <c r="EW5" s="205"/>
      <c r="EX5" s="205"/>
      <c r="EY5" s="205"/>
      <c r="EZ5" s="205"/>
      <c r="FA5" s="206"/>
      <c r="FC5" s="204" t="str">
        <f>FD1&amp;FC1</f>
        <v>WK 01</v>
      </c>
      <c r="FD5" s="205"/>
      <c r="FE5" s="205"/>
      <c r="FF5" s="205"/>
      <c r="FG5" s="205"/>
      <c r="FH5" s="205"/>
      <c r="FI5" s="206"/>
      <c r="FK5" s="204" t="str">
        <f>FL1&amp;FK1</f>
        <v>WK 02</v>
      </c>
      <c r="FL5" s="205"/>
      <c r="FM5" s="205"/>
      <c r="FN5" s="205"/>
      <c r="FO5" s="205"/>
      <c r="FP5" s="205"/>
      <c r="FQ5" s="206"/>
      <c r="FS5" s="204" t="str">
        <f>FT1&amp;FS1</f>
        <v>WK 03</v>
      </c>
      <c r="FT5" s="205"/>
      <c r="FU5" s="205"/>
      <c r="FV5" s="205"/>
      <c r="FW5" s="205"/>
      <c r="FX5" s="205"/>
      <c r="FY5" s="205"/>
      <c r="FZ5" s="205"/>
      <c r="GA5" s="205"/>
      <c r="GB5" s="205"/>
      <c r="GC5" s="205"/>
      <c r="GD5" s="206"/>
      <c r="GF5" s="204" t="str">
        <f>GG1&amp;GF1</f>
        <v>WK 04</v>
      </c>
      <c r="GG5" s="205"/>
      <c r="GH5" s="205"/>
      <c r="GI5" s="205"/>
      <c r="GJ5" s="205"/>
      <c r="GK5" s="205"/>
      <c r="GL5" s="205"/>
      <c r="GM5" s="206"/>
      <c r="GO5" s="204" t="str">
        <f>GP1&amp;GO1</f>
        <v>WK 05</v>
      </c>
      <c r="GP5" s="205"/>
      <c r="GQ5" s="205"/>
      <c r="GR5" s="205"/>
      <c r="GS5" s="205"/>
      <c r="GT5" s="205"/>
      <c r="GU5" s="205"/>
      <c r="GV5" s="206"/>
      <c r="GX5" s="204" t="str">
        <f>GY1&amp;GX1</f>
        <v>WK 06</v>
      </c>
      <c r="GY5" s="205"/>
      <c r="GZ5" s="205"/>
      <c r="HA5" s="205"/>
      <c r="HB5" s="205"/>
      <c r="HC5" s="205"/>
      <c r="HD5" s="205"/>
      <c r="HE5" s="206"/>
      <c r="HG5" s="204" t="str">
        <f>HH1&amp;HG1</f>
        <v>WK 07</v>
      </c>
      <c r="HH5" s="205"/>
      <c r="HI5" s="205"/>
      <c r="HJ5" s="205"/>
      <c r="HK5" s="205"/>
      <c r="HL5" s="205"/>
      <c r="HM5" s="205"/>
      <c r="HN5" s="206"/>
      <c r="HP5" s="204" t="str">
        <f>HQ1&amp;HP1</f>
        <v>WK 08</v>
      </c>
      <c r="HQ5" s="205"/>
      <c r="HR5" s="205"/>
      <c r="HS5" s="205"/>
      <c r="HT5" s="205"/>
      <c r="HU5" s="205"/>
      <c r="HV5" s="205"/>
      <c r="HW5" s="206"/>
      <c r="HY5" s="204" t="str">
        <f>HZ1&amp;HY1</f>
        <v>WK 09</v>
      </c>
      <c r="HZ5" s="205"/>
      <c r="IA5" s="205"/>
      <c r="IB5" s="205"/>
      <c r="IC5" s="205"/>
      <c r="ID5" s="205"/>
      <c r="IE5" s="205"/>
      <c r="IF5" s="206"/>
      <c r="IH5" s="204" t="str">
        <f>II1&amp;IH1</f>
        <v>WK 10</v>
      </c>
      <c r="II5" s="205"/>
      <c r="IJ5" s="205"/>
      <c r="IK5" s="205"/>
      <c r="IL5" s="205"/>
      <c r="IM5" s="205"/>
      <c r="IN5" s="206"/>
      <c r="IP5" s="204" t="str">
        <f>IQ1&amp;IP1</f>
        <v>WK 11</v>
      </c>
      <c r="IQ5" s="205"/>
      <c r="IR5" s="205"/>
      <c r="IS5" s="205"/>
      <c r="IT5" s="205"/>
      <c r="IU5" s="205"/>
      <c r="IV5" s="205"/>
      <c r="IW5" s="206"/>
      <c r="IY5" s="204" t="str">
        <f>IZ1&amp;IY1</f>
        <v>WK 12</v>
      </c>
      <c r="IZ5" s="205"/>
      <c r="JA5" s="205"/>
      <c r="JB5" s="205"/>
      <c r="JC5" s="205"/>
      <c r="JD5" s="205"/>
      <c r="JE5" s="206"/>
      <c r="JG5" s="204" t="str">
        <f>JH1&amp;JG1</f>
        <v>WK 13</v>
      </c>
      <c r="JH5" s="205"/>
      <c r="JI5" s="205"/>
      <c r="JJ5" s="205"/>
      <c r="JK5" s="205"/>
      <c r="JL5" s="205"/>
      <c r="JM5" s="205"/>
      <c r="JN5" s="206"/>
      <c r="JP5" s="204" t="str">
        <f>JQ1&amp;JP1</f>
        <v>WK 14</v>
      </c>
      <c r="JQ5" s="205"/>
      <c r="JR5" s="205"/>
      <c r="JS5" s="205"/>
      <c r="JT5" s="205"/>
      <c r="JU5" s="205"/>
      <c r="JV5" s="206"/>
      <c r="JX5" s="204" t="str">
        <f>JY1&amp;JX1</f>
        <v>WK 15</v>
      </c>
      <c r="JY5" s="205"/>
      <c r="JZ5" s="205"/>
      <c r="KA5" s="205"/>
      <c r="KB5" s="205"/>
      <c r="KC5" s="205"/>
      <c r="KD5" s="206"/>
      <c r="KF5" s="204" t="str">
        <f>KG1&amp;KF1</f>
        <v>WK 16</v>
      </c>
      <c r="KG5" s="205"/>
      <c r="KH5" s="205"/>
      <c r="KI5" s="205"/>
      <c r="KJ5" s="205"/>
      <c r="KK5" s="205"/>
      <c r="KL5" s="205"/>
      <c r="KM5" s="206"/>
      <c r="KO5" s="204" t="str">
        <f>KP1&amp;KO1</f>
        <v>WK 17</v>
      </c>
      <c r="KP5" s="205"/>
      <c r="KQ5" s="205"/>
      <c r="KR5" s="205"/>
      <c r="KS5" s="205"/>
      <c r="KT5" s="205"/>
      <c r="KU5" s="205"/>
      <c r="KV5" s="206"/>
      <c r="KX5" s="204" t="str">
        <f>KY1&amp;KX1</f>
        <v>WK 18</v>
      </c>
      <c r="KY5" s="205"/>
      <c r="KZ5" s="205"/>
      <c r="LA5" s="205"/>
      <c r="LB5" s="205"/>
      <c r="LC5" s="205"/>
      <c r="LD5" s="206"/>
      <c r="LF5" s="204" t="str">
        <f>LG1&amp;LF1</f>
        <v>WK 19</v>
      </c>
      <c r="LG5" s="205"/>
      <c r="LH5" s="205"/>
      <c r="LI5" s="205"/>
      <c r="LJ5" s="205"/>
      <c r="LK5" s="205"/>
      <c r="LL5" s="205"/>
      <c r="LM5" s="206"/>
      <c r="LO5" s="204" t="str">
        <f>LP1&amp;LO1</f>
        <v>WK 20</v>
      </c>
      <c r="LP5" s="205"/>
      <c r="LQ5" s="205"/>
      <c r="LR5" s="205"/>
      <c r="LS5" s="205"/>
      <c r="LT5" s="205"/>
      <c r="LU5" s="206"/>
      <c r="LW5" s="204" t="str">
        <f>LX1&amp;LW1</f>
        <v>WK 21</v>
      </c>
      <c r="LX5" s="205"/>
      <c r="LY5" s="205"/>
      <c r="LZ5" s="205"/>
      <c r="MA5" s="205"/>
      <c r="MB5" s="205"/>
      <c r="MC5" s="206"/>
      <c r="ME5" s="204" t="str">
        <f>MF1&amp;ME1</f>
        <v>WK 22</v>
      </c>
      <c r="MF5" s="205"/>
      <c r="MG5" s="205"/>
      <c r="MH5" s="205"/>
      <c r="MI5" s="205"/>
      <c r="MJ5" s="205"/>
      <c r="MK5" s="206"/>
      <c r="MM5" s="204" t="str">
        <f>MN1&amp;MM1</f>
        <v>WK 23</v>
      </c>
      <c r="MN5" s="205"/>
      <c r="MO5" s="205"/>
      <c r="MP5" s="205"/>
      <c r="MQ5" s="205"/>
      <c r="MR5" s="205"/>
      <c r="MS5" s="206"/>
      <c r="MU5" s="204" t="str">
        <f>MV1&amp;MU1</f>
        <v>WK 24</v>
      </c>
      <c r="MV5" s="205"/>
      <c r="MW5" s="205"/>
      <c r="MX5" s="205"/>
      <c r="MY5" s="205"/>
      <c r="MZ5" s="205"/>
      <c r="NA5" s="206"/>
      <c r="NC5" s="204" t="str">
        <f>ND1&amp;NC1</f>
        <v>WK 25</v>
      </c>
      <c r="ND5" s="205"/>
      <c r="NE5" s="205"/>
      <c r="NF5" s="205"/>
      <c r="NG5" s="205"/>
      <c r="NH5" s="205"/>
      <c r="NI5" s="206"/>
      <c r="NK5" s="204" t="str">
        <f>NL1&amp;NK1</f>
        <v>WK 26</v>
      </c>
      <c r="NL5" s="205"/>
      <c r="NM5" s="205"/>
      <c r="NN5" s="205"/>
      <c r="NO5" s="205"/>
      <c r="NP5" s="205"/>
      <c r="NQ5" s="206"/>
      <c r="NS5" s="204" t="str">
        <f>NT1&amp;NS1</f>
        <v>WK 27</v>
      </c>
      <c r="NT5" s="205"/>
      <c r="NU5" s="205"/>
      <c r="NV5" s="205"/>
      <c r="NW5" s="205"/>
      <c r="NX5" s="205"/>
      <c r="NY5" s="206"/>
      <c r="OA5" s="204" t="str">
        <f>OB1&amp;OA1</f>
        <v>WK 28</v>
      </c>
      <c r="OB5" s="205"/>
      <c r="OC5" s="205"/>
      <c r="OD5" s="205"/>
      <c r="OE5" s="205"/>
      <c r="OF5" s="205"/>
      <c r="OG5" s="206"/>
      <c r="OI5" s="204" t="str">
        <f>OJ1&amp;OI1</f>
        <v>WK 29</v>
      </c>
      <c r="OJ5" s="205"/>
      <c r="OK5" s="205"/>
      <c r="OL5" s="205"/>
      <c r="OM5" s="205"/>
      <c r="ON5" s="205"/>
      <c r="OO5" s="206"/>
      <c r="OQ5" s="204" t="str">
        <f>OR1&amp;OQ1</f>
        <v>WK 30</v>
      </c>
      <c r="OR5" s="205"/>
      <c r="OS5" s="205"/>
      <c r="OT5" s="205"/>
      <c r="OU5" s="205"/>
      <c r="OV5" s="205"/>
      <c r="OW5" s="206"/>
      <c r="OY5" s="204" t="str">
        <f>OZ1&amp;OY1</f>
        <v>WK 31</v>
      </c>
      <c r="OZ5" s="205"/>
      <c r="PA5" s="205"/>
      <c r="PB5" s="205"/>
      <c r="PC5" s="205"/>
      <c r="PD5" s="205"/>
      <c r="PE5" s="206"/>
      <c r="PG5" s="204" t="str">
        <f>PH1&amp;PG1</f>
        <v>WK 32</v>
      </c>
      <c r="PH5" s="205"/>
      <c r="PI5" s="205"/>
      <c r="PJ5" s="205"/>
      <c r="PK5" s="205"/>
      <c r="PL5" s="205"/>
      <c r="PM5" s="206"/>
      <c r="PO5" s="204" t="str">
        <f>PP1&amp;PO1</f>
        <v>WK 33</v>
      </c>
      <c r="PP5" s="205"/>
      <c r="PQ5" s="205"/>
      <c r="PR5" s="205"/>
      <c r="PS5" s="205"/>
      <c r="PT5" s="205"/>
      <c r="PU5" s="206"/>
      <c r="PW5" s="204" t="str">
        <f>PX1&amp;PW1</f>
        <v>WK 34</v>
      </c>
      <c r="PX5" s="205"/>
      <c r="PY5" s="205"/>
      <c r="PZ5" s="205"/>
      <c r="QA5" s="205"/>
      <c r="QB5" s="205"/>
      <c r="QC5" s="206"/>
      <c r="QE5" s="204" t="str">
        <f>QF1&amp;QE1</f>
        <v>WK 35</v>
      </c>
      <c r="QF5" s="205"/>
      <c r="QG5" s="205"/>
      <c r="QH5" s="205"/>
      <c r="QI5" s="205"/>
      <c r="QJ5" s="205"/>
      <c r="QK5" s="206"/>
      <c r="QM5" s="204" t="str">
        <f>QN1&amp;QM1</f>
        <v>WK 36</v>
      </c>
      <c r="QN5" s="205"/>
      <c r="QO5" s="205"/>
      <c r="QP5" s="205"/>
      <c r="QQ5" s="205"/>
      <c r="QR5" s="205"/>
      <c r="QS5" s="206"/>
      <c r="QU5" s="204" t="str">
        <f>QV1&amp;QU1</f>
        <v>WK 37</v>
      </c>
      <c r="QV5" s="205"/>
      <c r="QW5" s="205"/>
      <c r="QX5" s="205"/>
      <c r="QY5" s="205"/>
      <c r="QZ5" s="205"/>
      <c r="RA5" s="206"/>
      <c r="RC5" s="204" t="str">
        <f>RD1&amp;RC1</f>
        <v>WK 38</v>
      </c>
      <c r="RD5" s="205"/>
      <c r="RE5" s="205"/>
      <c r="RF5" s="205"/>
      <c r="RG5" s="205"/>
      <c r="RH5" s="205"/>
      <c r="RI5" s="206"/>
      <c r="RK5" s="204" t="str">
        <f>RL1&amp;RK1</f>
        <v>WK 39</v>
      </c>
      <c r="RL5" s="205"/>
      <c r="RM5" s="205"/>
      <c r="RN5" s="205"/>
      <c r="RO5" s="205"/>
      <c r="RP5" s="205"/>
      <c r="RQ5" s="206"/>
      <c r="RS5" s="204" t="str">
        <f>RT1&amp;RS1</f>
        <v>WK 40</v>
      </c>
      <c r="RT5" s="205"/>
      <c r="RU5" s="205"/>
      <c r="RV5" s="205"/>
      <c r="RW5" s="205"/>
      <c r="RX5" s="205"/>
      <c r="RY5" s="206"/>
      <c r="SA5" s="204" t="str">
        <f>SB1&amp;SA1</f>
        <v>WK 41</v>
      </c>
      <c r="SB5" s="205"/>
      <c r="SC5" s="205"/>
      <c r="SD5" s="205"/>
      <c r="SE5" s="205"/>
      <c r="SF5" s="205"/>
      <c r="SG5" s="206"/>
      <c r="SI5" s="204" t="str">
        <f>SJ1&amp;SI1</f>
        <v>WK 42</v>
      </c>
      <c r="SJ5" s="205"/>
      <c r="SK5" s="205"/>
      <c r="SL5" s="205"/>
      <c r="SM5" s="205"/>
      <c r="SN5" s="205"/>
      <c r="SO5" s="206"/>
      <c r="SQ5" s="204" t="str">
        <f>SR1&amp;SQ1</f>
        <v>WK 43</v>
      </c>
      <c r="SR5" s="205"/>
      <c r="SS5" s="205"/>
      <c r="ST5" s="205"/>
      <c r="SU5" s="205"/>
      <c r="SV5" s="205"/>
      <c r="SW5" s="206"/>
      <c r="SY5" s="204" t="str">
        <f>SZ1&amp;SY1</f>
        <v>WK 44</v>
      </c>
      <c r="SZ5" s="205"/>
      <c r="TA5" s="205"/>
      <c r="TB5" s="205"/>
      <c r="TC5" s="205"/>
      <c r="TD5" s="205"/>
      <c r="TE5" s="206"/>
      <c r="TG5" s="204" t="str">
        <f>TH1&amp;TG1</f>
        <v>WK 45</v>
      </c>
      <c r="TH5" s="205"/>
      <c r="TI5" s="205"/>
      <c r="TJ5" s="205"/>
      <c r="TK5" s="205"/>
      <c r="TL5" s="205"/>
      <c r="TM5" s="206"/>
      <c r="TO5" s="204" t="str">
        <f>TP1&amp;TO1</f>
        <v>WK 46</v>
      </c>
      <c r="TP5" s="205"/>
      <c r="TQ5" s="205"/>
      <c r="TR5" s="205"/>
      <c r="TS5" s="205"/>
      <c r="TT5" s="205"/>
      <c r="TU5" s="206"/>
      <c r="TW5" s="204" t="str">
        <f>TX1&amp;TW1</f>
        <v>WK 47</v>
      </c>
      <c r="TX5" s="205"/>
      <c r="TY5" s="205"/>
      <c r="TZ5" s="205"/>
      <c r="UA5" s="205"/>
      <c r="UB5" s="205"/>
      <c r="UC5" s="206"/>
      <c r="UE5" s="204" t="str">
        <f>UF1&amp;UE1</f>
        <v>WK 48</v>
      </c>
      <c r="UF5" s="205"/>
      <c r="UG5" s="205"/>
      <c r="UH5" s="205"/>
      <c r="UI5" s="205"/>
      <c r="UJ5" s="205"/>
      <c r="UK5" s="206"/>
      <c r="UM5" s="204" t="str">
        <f>UN1&amp;UM1</f>
        <v>WK 49</v>
      </c>
      <c r="UN5" s="205"/>
      <c r="UO5" s="205"/>
      <c r="UP5" s="205"/>
      <c r="UQ5" s="205"/>
      <c r="UR5" s="205"/>
      <c r="US5" s="206"/>
      <c r="UU5" s="204" t="str">
        <f>UV1&amp;UU1</f>
        <v>WK 50</v>
      </c>
      <c r="UV5" s="205"/>
      <c r="UW5" s="205"/>
      <c r="UX5" s="205"/>
      <c r="UY5" s="205"/>
      <c r="UZ5" s="205"/>
      <c r="VA5" s="206"/>
      <c r="VC5" s="204" t="str">
        <f>VD1&amp;VC1</f>
        <v>WK 51</v>
      </c>
      <c r="VD5" s="205"/>
      <c r="VE5" s="205"/>
      <c r="VF5" s="205"/>
      <c r="VG5" s="205"/>
      <c r="VH5" s="205"/>
      <c r="VI5" s="206"/>
      <c r="VK5" s="204" t="str">
        <f>VL1&amp;VK1</f>
        <v>WK 52</v>
      </c>
      <c r="VL5" s="205"/>
      <c r="VM5" s="205"/>
      <c r="VN5" s="205"/>
      <c r="VO5" s="205"/>
      <c r="VP5" s="205"/>
      <c r="VQ5" s="206"/>
    </row>
    <row r="6" spans="1:589" ht="15" customHeight="1" x14ac:dyDescent="0.25">
      <c r="A6" s="213" t="s">
        <v>1</v>
      </c>
      <c r="B6" s="216" t="s">
        <v>2</v>
      </c>
      <c r="C6" s="219" t="s">
        <v>26</v>
      </c>
      <c r="D6" s="216" t="s">
        <v>0</v>
      </c>
      <c r="E6" s="220" t="s">
        <v>4</v>
      </c>
      <c r="F6" s="223" t="s">
        <v>5</v>
      </c>
      <c r="H6" s="33" t="s">
        <v>85</v>
      </c>
      <c r="I6" s="54" t="s">
        <v>104</v>
      </c>
      <c r="J6" s="54" t="s">
        <v>24</v>
      </c>
      <c r="K6" s="54" t="s">
        <v>25</v>
      </c>
      <c r="L6" s="38" t="s">
        <v>27</v>
      </c>
      <c r="M6" s="27" t="s">
        <v>14</v>
      </c>
      <c r="N6" s="105" t="s">
        <v>85</v>
      </c>
      <c r="P6" s="33" t="s">
        <v>85</v>
      </c>
      <c r="Q6" s="54" t="s">
        <v>104</v>
      </c>
      <c r="R6" s="54" t="s">
        <v>24</v>
      </c>
      <c r="S6" s="54" t="s">
        <v>25</v>
      </c>
      <c r="T6" s="38" t="s">
        <v>27</v>
      </c>
      <c r="U6" s="27" t="s">
        <v>14</v>
      </c>
      <c r="V6" s="105" t="s">
        <v>85</v>
      </c>
      <c r="X6" s="33" t="s">
        <v>85</v>
      </c>
      <c r="Y6" s="54" t="s">
        <v>104</v>
      </c>
      <c r="Z6" s="54" t="s">
        <v>24</v>
      </c>
      <c r="AA6" s="54" t="s">
        <v>25</v>
      </c>
      <c r="AB6" s="38" t="s">
        <v>27</v>
      </c>
      <c r="AC6" s="27" t="s">
        <v>14</v>
      </c>
      <c r="AD6" s="105" t="s">
        <v>85</v>
      </c>
      <c r="AF6" s="33" t="s">
        <v>85</v>
      </c>
      <c r="AG6" s="54" t="s">
        <v>104</v>
      </c>
      <c r="AH6" s="54" t="s">
        <v>24</v>
      </c>
      <c r="AI6" s="54" t="s">
        <v>25</v>
      </c>
      <c r="AJ6" s="38" t="s">
        <v>27</v>
      </c>
      <c r="AK6" s="27" t="s">
        <v>14</v>
      </c>
      <c r="AL6" s="105" t="s">
        <v>85</v>
      </c>
      <c r="AN6" s="33" t="s">
        <v>85</v>
      </c>
      <c r="AO6" s="54" t="s">
        <v>104</v>
      </c>
      <c r="AP6" s="54" t="s">
        <v>24</v>
      </c>
      <c r="AQ6" s="54" t="s">
        <v>25</v>
      </c>
      <c r="AR6" s="64" t="s">
        <v>29</v>
      </c>
      <c r="AS6" s="38" t="s">
        <v>27</v>
      </c>
      <c r="AT6" s="27" t="s">
        <v>14</v>
      </c>
      <c r="AU6" s="105" t="s">
        <v>85</v>
      </c>
      <c r="AW6" s="33" t="s">
        <v>85</v>
      </c>
      <c r="AX6" s="54" t="s">
        <v>104</v>
      </c>
      <c r="AY6" s="54" t="s">
        <v>24</v>
      </c>
      <c r="AZ6" s="54" t="s">
        <v>25</v>
      </c>
      <c r="BA6" s="38" t="s">
        <v>27</v>
      </c>
      <c r="BB6" s="27" t="s">
        <v>14</v>
      </c>
      <c r="BC6" s="105" t="s">
        <v>85</v>
      </c>
      <c r="BE6" s="33" t="s">
        <v>85</v>
      </c>
      <c r="BF6" s="54" t="s">
        <v>104</v>
      </c>
      <c r="BG6" s="54" t="s">
        <v>24</v>
      </c>
      <c r="BH6" s="54" t="s">
        <v>25</v>
      </c>
      <c r="BI6" s="64" t="s">
        <v>68</v>
      </c>
      <c r="BJ6" s="64" t="s">
        <v>90</v>
      </c>
      <c r="BK6" s="38" t="s">
        <v>27</v>
      </c>
      <c r="BL6" s="27" t="s">
        <v>14</v>
      </c>
      <c r="BM6" s="105" t="s">
        <v>85</v>
      </c>
      <c r="BO6" s="33" t="s">
        <v>85</v>
      </c>
      <c r="BP6" s="54" t="s">
        <v>104</v>
      </c>
      <c r="BQ6" s="54" t="s">
        <v>24</v>
      </c>
      <c r="BR6" s="54" t="s">
        <v>25</v>
      </c>
      <c r="BS6" s="64" t="s">
        <v>92</v>
      </c>
      <c r="BT6" s="64" t="s">
        <v>90</v>
      </c>
      <c r="BU6" s="64" t="s">
        <v>93</v>
      </c>
      <c r="BV6" s="38" t="s">
        <v>27</v>
      </c>
      <c r="BW6" s="27" t="s">
        <v>14</v>
      </c>
      <c r="BX6" s="105" t="s">
        <v>85</v>
      </c>
      <c r="BZ6" s="33" t="s">
        <v>85</v>
      </c>
      <c r="CA6" s="54" t="s">
        <v>104</v>
      </c>
      <c r="CB6" s="54" t="s">
        <v>24</v>
      </c>
      <c r="CC6" s="54" t="s">
        <v>25</v>
      </c>
      <c r="CD6" s="64" t="s">
        <v>97</v>
      </c>
      <c r="CE6" s="64" t="s">
        <v>99</v>
      </c>
      <c r="CF6" s="38" t="s">
        <v>27</v>
      </c>
      <c r="CG6" s="27" t="s">
        <v>14</v>
      </c>
      <c r="CH6" s="105" t="s">
        <v>85</v>
      </c>
      <c r="CJ6" s="33" t="s">
        <v>85</v>
      </c>
      <c r="CK6" s="54" t="s">
        <v>104</v>
      </c>
      <c r="CL6" s="54" t="s">
        <v>24</v>
      </c>
      <c r="CM6" s="54" t="s">
        <v>25</v>
      </c>
      <c r="CN6" s="64" t="s">
        <v>102</v>
      </c>
      <c r="CO6" s="145" t="s">
        <v>27</v>
      </c>
      <c r="CP6" s="27" t="s">
        <v>14</v>
      </c>
      <c r="CQ6" s="105" t="s">
        <v>85</v>
      </c>
      <c r="CS6" s="131" t="s">
        <v>85</v>
      </c>
      <c r="CT6" s="150" t="s">
        <v>104</v>
      </c>
      <c r="CU6" s="54" t="s">
        <v>24</v>
      </c>
      <c r="CV6" s="54" t="s">
        <v>25</v>
      </c>
      <c r="CW6" s="64" t="s">
        <v>114</v>
      </c>
      <c r="CX6" s="64" t="s">
        <v>115</v>
      </c>
      <c r="CY6" s="38" t="s">
        <v>27</v>
      </c>
      <c r="CZ6" s="27" t="s">
        <v>14</v>
      </c>
      <c r="DA6" s="105" t="s">
        <v>85</v>
      </c>
      <c r="DC6" s="33" t="s">
        <v>85</v>
      </c>
      <c r="DD6" s="54" t="s">
        <v>104</v>
      </c>
      <c r="DE6" s="54" t="s">
        <v>24</v>
      </c>
      <c r="DF6" s="54" t="s">
        <v>25</v>
      </c>
      <c r="DG6" s="64" t="s">
        <v>116</v>
      </c>
      <c r="DH6" s="38" t="s">
        <v>27</v>
      </c>
      <c r="DI6" s="27" t="s">
        <v>14</v>
      </c>
      <c r="DJ6" s="105" t="s">
        <v>85</v>
      </c>
      <c r="DL6" s="33" t="s">
        <v>85</v>
      </c>
      <c r="DM6" s="174" t="s">
        <v>104</v>
      </c>
      <c r="DN6" s="54" t="s">
        <v>24</v>
      </c>
      <c r="DO6" s="54" t="s">
        <v>25</v>
      </c>
      <c r="DP6" s="38" t="s">
        <v>27</v>
      </c>
      <c r="DQ6" s="27" t="s">
        <v>14</v>
      </c>
      <c r="DR6" s="105" t="s">
        <v>85</v>
      </c>
      <c r="DT6" s="33" t="s">
        <v>85</v>
      </c>
      <c r="DU6" s="174" t="s">
        <v>104</v>
      </c>
      <c r="DV6" s="54" t="s">
        <v>24</v>
      </c>
      <c r="DW6" s="54" t="s">
        <v>25</v>
      </c>
      <c r="DX6" s="64" t="s">
        <v>121</v>
      </c>
      <c r="DY6" s="64" t="s">
        <v>124</v>
      </c>
      <c r="DZ6" s="38" t="s">
        <v>27</v>
      </c>
      <c r="EA6" s="27" t="s">
        <v>14</v>
      </c>
      <c r="EB6" s="105" t="s">
        <v>85</v>
      </c>
      <c r="ED6" s="33" t="s">
        <v>85</v>
      </c>
      <c r="EE6" s="174" t="s">
        <v>104</v>
      </c>
      <c r="EF6" s="54" t="s">
        <v>24</v>
      </c>
      <c r="EG6" s="54" t="s">
        <v>25</v>
      </c>
      <c r="EH6" s="64" t="s">
        <v>125</v>
      </c>
      <c r="EI6" s="38" t="s">
        <v>27</v>
      </c>
      <c r="EJ6" s="27" t="s">
        <v>14</v>
      </c>
      <c r="EK6" s="105" t="s">
        <v>85</v>
      </c>
      <c r="EM6" s="33" t="s">
        <v>85</v>
      </c>
      <c r="EN6" s="174" t="s">
        <v>104</v>
      </c>
      <c r="EO6" s="54" t="s">
        <v>24</v>
      </c>
      <c r="EP6" s="54" t="s">
        <v>25</v>
      </c>
      <c r="EQ6" s="38" t="s">
        <v>27</v>
      </c>
      <c r="ER6" s="27" t="s">
        <v>14</v>
      </c>
      <c r="ES6" s="105" t="s">
        <v>85</v>
      </c>
      <c r="EU6" s="33" t="s">
        <v>85</v>
      </c>
      <c r="EV6" s="174" t="s">
        <v>104</v>
      </c>
      <c r="EW6" s="54" t="s">
        <v>24</v>
      </c>
      <c r="EX6" s="54" t="s">
        <v>25</v>
      </c>
      <c r="EY6" s="38" t="s">
        <v>27</v>
      </c>
      <c r="EZ6" s="27" t="s">
        <v>14</v>
      </c>
      <c r="FA6" s="105" t="s">
        <v>85</v>
      </c>
      <c r="FC6" s="33" t="s">
        <v>85</v>
      </c>
      <c r="FD6" s="150" t="s">
        <v>104</v>
      </c>
      <c r="FE6" s="150" t="s">
        <v>24</v>
      </c>
      <c r="FF6" s="150" t="s">
        <v>25</v>
      </c>
      <c r="FG6" s="38" t="s">
        <v>27</v>
      </c>
      <c r="FH6" s="27" t="s">
        <v>14</v>
      </c>
      <c r="FI6" s="105" t="s">
        <v>85</v>
      </c>
      <c r="FK6" s="33" t="s">
        <v>85</v>
      </c>
      <c r="FL6" s="174" t="s">
        <v>104</v>
      </c>
      <c r="FM6" s="54" t="s">
        <v>24</v>
      </c>
      <c r="FN6" s="54" t="s">
        <v>25</v>
      </c>
      <c r="FO6" s="38" t="s">
        <v>27</v>
      </c>
      <c r="FP6" s="27" t="s">
        <v>14</v>
      </c>
      <c r="FQ6" s="105" t="s">
        <v>85</v>
      </c>
      <c r="FS6" s="33" t="s">
        <v>85</v>
      </c>
      <c r="FT6" s="174" t="s">
        <v>104</v>
      </c>
      <c r="FU6" s="54" t="s">
        <v>24</v>
      </c>
      <c r="FV6" s="54" t="s">
        <v>25</v>
      </c>
      <c r="FW6" s="64" t="s">
        <v>128</v>
      </c>
      <c r="FX6" s="64" t="s">
        <v>137</v>
      </c>
      <c r="FY6" s="64" t="s">
        <v>138</v>
      </c>
      <c r="FZ6" s="64" t="s">
        <v>141</v>
      </c>
      <c r="GA6" s="64" t="s">
        <v>144</v>
      </c>
      <c r="GB6" s="38" t="s">
        <v>27</v>
      </c>
      <c r="GC6" s="27" t="s">
        <v>14</v>
      </c>
      <c r="GD6" s="105" t="s">
        <v>85</v>
      </c>
      <c r="GF6" s="33" t="s">
        <v>85</v>
      </c>
      <c r="GG6" s="174" t="s">
        <v>104</v>
      </c>
      <c r="GH6" s="54" t="s">
        <v>24</v>
      </c>
      <c r="GI6" s="54" t="s">
        <v>25</v>
      </c>
      <c r="GJ6" s="64" t="s">
        <v>150</v>
      </c>
      <c r="GK6" s="38" t="s">
        <v>27</v>
      </c>
      <c r="GL6" s="27" t="s">
        <v>14</v>
      </c>
      <c r="GM6" s="105" t="s">
        <v>85</v>
      </c>
      <c r="GO6" s="33" t="s">
        <v>85</v>
      </c>
      <c r="GP6" s="174" t="s">
        <v>104</v>
      </c>
      <c r="GQ6" s="54" t="s">
        <v>24</v>
      </c>
      <c r="GR6" s="54" t="s">
        <v>25</v>
      </c>
      <c r="GS6" s="64" t="s">
        <v>152</v>
      </c>
      <c r="GT6" s="38" t="s">
        <v>27</v>
      </c>
      <c r="GU6" s="27" t="s">
        <v>14</v>
      </c>
      <c r="GV6" s="105" t="s">
        <v>85</v>
      </c>
      <c r="GX6" s="33" t="s">
        <v>85</v>
      </c>
      <c r="GY6" s="174" t="s">
        <v>104</v>
      </c>
      <c r="GZ6" s="54" t="s">
        <v>24</v>
      </c>
      <c r="HA6" s="54" t="s">
        <v>25</v>
      </c>
      <c r="HB6" s="64" t="s">
        <v>154</v>
      </c>
      <c r="HC6" s="38" t="s">
        <v>27</v>
      </c>
      <c r="HD6" s="27" t="s">
        <v>14</v>
      </c>
      <c r="HE6" s="105" t="s">
        <v>85</v>
      </c>
      <c r="HG6" s="33" t="s">
        <v>85</v>
      </c>
      <c r="HH6" s="174" t="s">
        <v>104</v>
      </c>
      <c r="HI6" s="54" t="s">
        <v>24</v>
      </c>
      <c r="HJ6" s="54" t="s">
        <v>25</v>
      </c>
      <c r="HK6" s="64" t="s">
        <v>1404</v>
      </c>
      <c r="HL6" s="38" t="s">
        <v>27</v>
      </c>
      <c r="HM6" s="27" t="s">
        <v>14</v>
      </c>
      <c r="HN6" s="105" t="s">
        <v>85</v>
      </c>
      <c r="HP6" s="33" t="s">
        <v>85</v>
      </c>
      <c r="HQ6" s="174" t="s">
        <v>104</v>
      </c>
      <c r="HR6" s="54" t="s">
        <v>24</v>
      </c>
      <c r="HS6" s="54" t="s">
        <v>25</v>
      </c>
      <c r="HT6" s="64" t="s">
        <v>1406</v>
      </c>
      <c r="HU6" s="38" t="s">
        <v>27</v>
      </c>
      <c r="HV6" s="27" t="s">
        <v>14</v>
      </c>
      <c r="HW6" s="105" t="s">
        <v>85</v>
      </c>
      <c r="HY6" s="33" t="s">
        <v>85</v>
      </c>
      <c r="HZ6" s="174" t="s">
        <v>104</v>
      </c>
      <c r="IA6" s="54" t="s">
        <v>24</v>
      </c>
      <c r="IB6" s="54" t="s">
        <v>25</v>
      </c>
      <c r="IC6" s="64" t="s">
        <v>1411</v>
      </c>
      <c r="ID6" s="38" t="s">
        <v>27</v>
      </c>
      <c r="IE6" s="27" t="s">
        <v>14</v>
      </c>
      <c r="IF6" s="105" t="s">
        <v>85</v>
      </c>
      <c r="IH6" s="33" t="s">
        <v>85</v>
      </c>
      <c r="II6" s="174" t="s">
        <v>104</v>
      </c>
      <c r="IJ6" s="54" t="s">
        <v>24</v>
      </c>
      <c r="IK6" s="54" t="s">
        <v>25</v>
      </c>
      <c r="IL6" s="38" t="s">
        <v>27</v>
      </c>
      <c r="IM6" s="27" t="s">
        <v>14</v>
      </c>
      <c r="IN6" s="105" t="s">
        <v>85</v>
      </c>
      <c r="IP6" s="33" t="s">
        <v>85</v>
      </c>
      <c r="IQ6" s="174" t="s">
        <v>104</v>
      </c>
      <c r="IR6" s="54" t="s">
        <v>24</v>
      </c>
      <c r="IS6" s="54" t="s">
        <v>25</v>
      </c>
      <c r="IT6" s="64" t="s">
        <v>1414</v>
      </c>
      <c r="IU6" s="38" t="s">
        <v>27</v>
      </c>
      <c r="IV6" s="27" t="s">
        <v>14</v>
      </c>
      <c r="IW6" s="105" t="s">
        <v>85</v>
      </c>
      <c r="IY6" s="33" t="s">
        <v>85</v>
      </c>
      <c r="IZ6" s="174" t="s">
        <v>104</v>
      </c>
      <c r="JA6" s="54" t="s">
        <v>24</v>
      </c>
      <c r="JB6" s="54" t="s">
        <v>25</v>
      </c>
      <c r="JC6" s="38" t="s">
        <v>27</v>
      </c>
      <c r="JD6" s="27" t="s">
        <v>14</v>
      </c>
      <c r="JE6" s="105" t="s">
        <v>85</v>
      </c>
      <c r="JG6" s="33" t="s">
        <v>85</v>
      </c>
      <c r="JH6" s="174" t="s">
        <v>104</v>
      </c>
      <c r="JI6" s="54" t="s">
        <v>24</v>
      </c>
      <c r="JJ6" s="54" t="s">
        <v>25</v>
      </c>
      <c r="JK6" s="64" t="s">
        <v>1418</v>
      </c>
      <c r="JL6" s="38" t="s">
        <v>27</v>
      </c>
      <c r="JM6" s="27" t="s">
        <v>14</v>
      </c>
      <c r="JN6" s="105" t="s">
        <v>85</v>
      </c>
      <c r="JP6" s="33" t="s">
        <v>85</v>
      </c>
      <c r="JQ6" s="174" t="s">
        <v>104</v>
      </c>
      <c r="JR6" s="54" t="s">
        <v>24</v>
      </c>
      <c r="JS6" s="54" t="s">
        <v>25</v>
      </c>
      <c r="JT6" s="38" t="s">
        <v>27</v>
      </c>
      <c r="JU6" s="27" t="s">
        <v>14</v>
      </c>
      <c r="JV6" s="105" t="s">
        <v>85</v>
      </c>
      <c r="JX6" s="33" t="s">
        <v>85</v>
      </c>
      <c r="JY6" s="150" t="s">
        <v>104</v>
      </c>
      <c r="JZ6" s="54" t="s">
        <v>24</v>
      </c>
      <c r="KA6" s="54" t="s">
        <v>25</v>
      </c>
      <c r="KB6" s="38" t="s">
        <v>27</v>
      </c>
      <c r="KC6" s="27" t="s">
        <v>14</v>
      </c>
      <c r="KD6" s="105" t="s">
        <v>85</v>
      </c>
      <c r="KF6" s="33" t="s">
        <v>85</v>
      </c>
      <c r="KG6" s="174" t="s">
        <v>104</v>
      </c>
      <c r="KH6" s="54" t="s">
        <v>24</v>
      </c>
      <c r="KI6" s="54" t="s">
        <v>25</v>
      </c>
      <c r="KJ6" s="64" t="s">
        <v>1443</v>
      </c>
      <c r="KK6" s="38" t="s">
        <v>27</v>
      </c>
      <c r="KL6" s="27" t="s">
        <v>14</v>
      </c>
      <c r="KM6" s="105" t="s">
        <v>85</v>
      </c>
      <c r="KO6" s="33" t="s">
        <v>85</v>
      </c>
      <c r="KP6" s="136" t="s">
        <v>104</v>
      </c>
      <c r="KQ6" s="102" t="s">
        <v>24</v>
      </c>
      <c r="KR6" s="102" t="s">
        <v>25</v>
      </c>
      <c r="KS6" s="187" t="s">
        <v>1550</v>
      </c>
      <c r="KT6" s="38" t="s">
        <v>27</v>
      </c>
      <c r="KU6" s="27" t="s">
        <v>14</v>
      </c>
      <c r="KV6" s="105" t="s">
        <v>85</v>
      </c>
      <c r="KX6" s="33" t="s">
        <v>85</v>
      </c>
      <c r="KY6" s="136" t="s">
        <v>104</v>
      </c>
      <c r="KZ6" s="102" t="s">
        <v>24</v>
      </c>
      <c r="LA6" s="102" t="s">
        <v>25</v>
      </c>
      <c r="LB6" s="38" t="s">
        <v>27</v>
      </c>
      <c r="LC6" s="27" t="s">
        <v>14</v>
      </c>
      <c r="LD6" s="105" t="s">
        <v>85</v>
      </c>
      <c r="LF6" s="33" t="s">
        <v>85</v>
      </c>
      <c r="LG6" s="136" t="s">
        <v>104</v>
      </c>
      <c r="LH6" s="102" t="s">
        <v>24</v>
      </c>
      <c r="LI6" s="102" t="s">
        <v>25</v>
      </c>
      <c r="LJ6" s="187" t="s">
        <v>1551</v>
      </c>
      <c r="LK6" s="38" t="s">
        <v>27</v>
      </c>
      <c r="LL6" s="27" t="s">
        <v>14</v>
      </c>
      <c r="LM6" s="42" t="s">
        <v>85</v>
      </c>
      <c r="LO6" s="33" t="s">
        <v>85</v>
      </c>
      <c r="LP6" s="136" t="s">
        <v>104</v>
      </c>
      <c r="LQ6" s="102" t="s">
        <v>24</v>
      </c>
      <c r="LR6" s="102" t="s">
        <v>25</v>
      </c>
      <c r="LS6" s="38" t="s">
        <v>27</v>
      </c>
      <c r="LT6" s="27" t="s">
        <v>14</v>
      </c>
      <c r="LU6" s="42" t="s">
        <v>85</v>
      </c>
      <c r="LW6" s="33" t="s">
        <v>85</v>
      </c>
      <c r="LX6" s="136" t="s">
        <v>104</v>
      </c>
      <c r="LY6" s="102" t="s">
        <v>24</v>
      </c>
      <c r="LZ6" s="102" t="s">
        <v>25</v>
      </c>
      <c r="MA6" s="38" t="s">
        <v>27</v>
      </c>
      <c r="MB6" s="27" t="s">
        <v>14</v>
      </c>
      <c r="MC6" s="42" t="s">
        <v>85</v>
      </c>
      <c r="ME6" s="33" t="s">
        <v>85</v>
      </c>
      <c r="MF6" s="150" t="s">
        <v>104</v>
      </c>
      <c r="MG6" s="102" t="s">
        <v>24</v>
      </c>
      <c r="MH6" s="102" t="s">
        <v>25</v>
      </c>
      <c r="MI6" s="38" t="s">
        <v>27</v>
      </c>
      <c r="MJ6" s="27" t="s">
        <v>14</v>
      </c>
      <c r="MK6" s="42" t="s">
        <v>85</v>
      </c>
      <c r="MM6" s="33" t="s">
        <v>85</v>
      </c>
      <c r="MN6" s="136" t="s">
        <v>104</v>
      </c>
      <c r="MO6" s="102" t="s">
        <v>24</v>
      </c>
      <c r="MP6" s="102" t="s">
        <v>25</v>
      </c>
      <c r="MQ6" s="38" t="s">
        <v>27</v>
      </c>
      <c r="MR6" s="27" t="s">
        <v>14</v>
      </c>
      <c r="MS6" s="42" t="s">
        <v>85</v>
      </c>
      <c r="MU6" s="33" t="s">
        <v>85</v>
      </c>
      <c r="MV6" s="136" t="s">
        <v>104</v>
      </c>
      <c r="MW6" s="102" t="s">
        <v>24</v>
      </c>
      <c r="MX6" s="102" t="s">
        <v>25</v>
      </c>
      <c r="MY6" s="38" t="s">
        <v>27</v>
      </c>
      <c r="MZ6" s="27" t="s">
        <v>14</v>
      </c>
      <c r="NA6" s="42" t="s">
        <v>85</v>
      </c>
      <c r="NC6" s="33" t="s">
        <v>85</v>
      </c>
      <c r="ND6" s="136" t="s">
        <v>104</v>
      </c>
      <c r="NE6" s="102" t="s">
        <v>24</v>
      </c>
      <c r="NF6" s="102" t="s">
        <v>25</v>
      </c>
      <c r="NG6" s="38" t="s">
        <v>27</v>
      </c>
      <c r="NH6" s="27" t="s">
        <v>14</v>
      </c>
      <c r="NI6" s="42" t="s">
        <v>85</v>
      </c>
      <c r="NK6" s="33" t="s">
        <v>85</v>
      </c>
      <c r="NL6" s="136" t="s">
        <v>104</v>
      </c>
      <c r="NM6" s="102" t="s">
        <v>24</v>
      </c>
      <c r="NN6" s="102" t="s">
        <v>25</v>
      </c>
      <c r="NO6" s="38" t="s">
        <v>27</v>
      </c>
      <c r="NP6" s="27" t="s">
        <v>14</v>
      </c>
      <c r="NQ6" s="42" t="s">
        <v>85</v>
      </c>
      <c r="NS6" s="33" t="s">
        <v>85</v>
      </c>
      <c r="NT6" s="136" t="s">
        <v>104</v>
      </c>
      <c r="NU6" s="102" t="s">
        <v>24</v>
      </c>
      <c r="NV6" s="102" t="s">
        <v>25</v>
      </c>
      <c r="NW6" s="38" t="s">
        <v>27</v>
      </c>
      <c r="NX6" s="27" t="s">
        <v>14</v>
      </c>
      <c r="NY6" s="42" t="s">
        <v>85</v>
      </c>
      <c r="OA6" s="33" t="s">
        <v>85</v>
      </c>
      <c r="OB6" s="136" t="s">
        <v>104</v>
      </c>
      <c r="OC6" s="102" t="s">
        <v>24</v>
      </c>
      <c r="OD6" s="102" t="s">
        <v>25</v>
      </c>
      <c r="OE6" s="38" t="s">
        <v>27</v>
      </c>
      <c r="OF6" s="27" t="s">
        <v>14</v>
      </c>
      <c r="OG6" s="42" t="s">
        <v>85</v>
      </c>
      <c r="OI6" s="33" t="s">
        <v>85</v>
      </c>
      <c r="OJ6" s="136" t="s">
        <v>104</v>
      </c>
      <c r="OK6" s="102" t="s">
        <v>24</v>
      </c>
      <c r="OL6" s="102" t="s">
        <v>25</v>
      </c>
      <c r="OM6" s="38" t="s">
        <v>27</v>
      </c>
      <c r="ON6" s="27" t="s">
        <v>14</v>
      </c>
      <c r="OO6" s="42" t="s">
        <v>85</v>
      </c>
      <c r="OQ6" s="33" t="s">
        <v>85</v>
      </c>
      <c r="OR6" s="136" t="s">
        <v>104</v>
      </c>
      <c r="OS6" s="102" t="s">
        <v>24</v>
      </c>
      <c r="OT6" s="102" t="s">
        <v>25</v>
      </c>
      <c r="OU6" s="38" t="s">
        <v>27</v>
      </c>
      <c r="OV6" s="27" t="s">
        <v>14</v>
      </c>
      <c r="OW6" s="42" t="s">
        <v>85</v>
      </c>
      <c r="OY6" s="33" t="s">
        <v>85</v>
      </c>
      <c r="OZ6" s="136" t="s">
        <v>104</v>
      </c>
      <c r="PA6" s="102" t="s">
        <v>24</v>
      </c>
      <c r="PB6" s="102" t="s">
        <v>25</v>
      </c>
      <c r="PC6" s="38" t="s">
        <v>27</v>
      </c>
      <c r="PD6" s="27" t="s">
        <v>14</v>
      </c>
      <c r="PE6" s="42" t="s">
        <v>85</v>
      </c>
      <c r="PG6" s="33" t="s">
        <v>85</v>
      </c>
      <c r="PH6" s="136" t="s">
        <v>104</v>
      </c>
      <c r="PI6" s="102" t="s">
        <v>24</v>
      </c>
      <c r="PJ6" s="102" t="s">
        <v>25</v>
      </c>
      <c r="PK6" s="38" t="s">
        <v>27</v>
      </c>
      <c r="PL6" s="27" t="s">
        <v>14</v>
      </c>
      <c r="PM6" s="42" t="s">
        <v>85</v>
      </c>
      <c r="PO6" s="33" t="s">
        <v>85</v>
      </c>
      <c r="PP6" s="136" t="s">
        <v>104</v>
      </c>
      <c r="PQ6" s="102" t="s">
        <v>24</v>
      </c>
      <c r="PR6" s="102" t="s">
        <v>25</v>
      </c>
      <c r="PS6" s="38" t="s">
        <v>27</v>
      </c>
      <c r="PT6" s="27" t="s">
        <v>14</v>
      </c>
      <c r="PU6" s="42" t="s">
        <v>85</v>
      </c>
      <c r="PW6" s="33" t="s">
        <v>85</v>
      </c>
      <c r="PX6" s="136" t="s">
        <v>104</v>
      </c>
      <c r="PY6" s="102" t="s">
        <v>24</v>
      </c>
      <c r="PZ6" s="102" t="s">
        <v>25</v>
      </c>
      <c r="QA6" s="38" t="s">
        <v>27</v>
      </c>
      <c r="QB6" s="27" t="s">
        <v>14</v>
      </c>
      <c r="QC6" s="42" t="s">
        <v>85</v>
      </c>
      <c r="QE6" s="33" t="s">
        <v>85</v>
      </c>
      <c r="QF6" s="136" t="s">
        <v>104</v>
      </c>
      <c r="QG6" s="102" t="s">
        <v>24</v>
      </c>
      <c r="QH6" s="102" t="s">
        <v>25</v>
      </c>
      <c r="QI6" s="38" t="s">
        <v>27</v>
      </c>
      <c r="QJ6" s="27" t="s">
        <v>14</v>
      </c>
      <c r="QK6" s="42" t="s">
        <v>85</v>
      </c>
      <c r="QM6" s="33" t="s">
        <v>85</v>
      </c>
      <c r="QN6" s="136" t="s">
        <v>104</v>
      </c>
      <c r="QO6" s="102" t="s">
        <v>24</v>
      </c>
      <c r="QP6" s="102" t="s">
        <v>25</v>
      </c>
      <c r="QQ6" s="38" t="s">
        <v>27</v>
      </c>
      <c r="QR6" s="27" t="s">
        <v>14</v>
      </c>
      <c r="QS6" s="42" t="s">
        <v>85</v>
      </c>
      <c r="QU6" s="33" t="s">
        <v>85</v>
      </c>
      <c r="QV6" s="136" t="s">
        <v>104</v>
      </c>
      <c r="QW6" s="102" t="s">
        <v>24</v>
      </c>
      <c r="QX6" s="102" t="s">
        <v>25</v>
      </c>
      <c r="QY6" s="38" t="s">
        <v>27</v>
      </c>
      <c r="QZ6" s="27" t="s">
        <v>14</v>
      </c>
      <c r="RA6" s="42" t="s">
        <v>85</v>
      </c>
      <c r="RC6" s="33" t="s">
        <v>85</v>
      </c>
      <c r="RD6" s="136" t="s">
        <v>104</v>
      </c>
      <c r="RE6" s="102" t="s">
        <v>24</v>
      </c>
      <c r="RF6" s="102" t="s">
        <v>25</v>
      </c>
      <c r="RG6" s="38" t="s">
        <v>27</v>
      </c>
      <c r="RH6" s="27" t="s">
        <v>14</v>
      </c>
      <c r="RI6" s="42" t="s">
        <v>85</v>
      </c>
      <c r="RK6" s="33" t="s">
        <v>85</v>
      </c>
      <c r="RL6" s="136" t="s">
        <v>104</v>
      </c>
      <c r="RM6" s="102" t="s">
        <v>24</v>
      </c>
      <c r="RN6" s="102" t="s">
        <v>25</v>
      </c>
      <c r="RO6" s="38" t="s">
        <v>27</v>
      </c>
      <c r="RP6" s="27" t="s">
        <v>14</v>
      </c>
      <c r="RQ6" s="42" t="s">
        <v>85</v>
      </c>
      <c r="RS6" s="33" t="s">
        <v>85</v>
      </c>
      <c r="RT6" s="136" t="s">
        <v>104</v>
      </c>
      <c r="RU6" s="102" t="s">
        <v>24</v>
      </c>
      <c r="RV6" s="102" t="s">
        <v>25</v>
      </c>
      <c r="RW6" s="38" t="s">
        <v>27</v>
      </c>
      <c r="RX6" s="27" t="s">
        <v>14</v>
      </c>
      <c r="RY6" s="42" t="s">
        <v>85</v>
      </c>
      <c r="SA6" s="33" t="s">
        <v>85</v>
      </c>
      <c r="SB6" s="136" t="s">
        <v>104</v>
      </c>
      <c r="SC6" s="102" t="s">
        <v>24</v>
      </c>
      <c r="SD6" s="102" t="s">
        <v>25</v>
      </c>
      <c r="SE6" s="38" t="s">
        <v>27</v>
      </c>
      <c r="SF6" s="27" t="s">
        <v>14</v>
      </c>
      <c r="SG6" s="42" t="s">
        <v>85</v>
      </c>
      <c r="SI6" s="33" t="s">
        <v>85</v>
      </c>
      <c r="SJ6" s="136" t="s">
        <v>104</v>
      </c>
      <c r="SK6" s="102" t="s">
        <v>24</v>
      </c>
      <c r="SL6" s="102" t="s">
        <v>25</v>
      </c>
      <c r="SM6" s="38" t="s">
        <v>27</v>
      </c>
      <c r="SN6" s="27" t="s">
        <v>14</v>
      </c>
      <c r="SO6" s="42" t="s">
        <v>85</v>
      </c>
      <c r="SQ6" s="33" t="s">
        <v>85</v>
      </c>
      <c r="SR6" s="136" t="s">
        <v>104</v>
      </c>
      <c r="SS6" s="102" t="s">
        <v>24</v>
      </c>
      <c r="ST6" s="102" t="s">
        <v>25</v>
      </c>
      <c r="SU6" s="38" t="s">
        <v>27</v>
      </c>
      <c r="SV6" s="27" t="s">
        <v>14</v>
      </c>
      <c r="SW6" s="42" t="s">
        <v>85</v>
      </c>
      <c r="SY6" s="33" t="s">
        <v>85</v>
      </c>
      <c r="SZ6" s="136" t="s">
        <v>104</v>
      </c>
      <c r="TA6" s="102" t="s">
        <v>24</v>
      </c>
      <c r="TB6" s="102" t="s">
        <v>25</v>
      </c>
      <c r="TC6" s="38" t="s">
        <v>27</v>
      </c>
      <c r="TD6" s="27" t="s">
        <v>14</v>
      </c>
      <c r="TE6" s="42" t="s">
        <v>85</v>
      </c>
      <c r="TG6" s="33" t="s">
        <v>85</v>
      </c>
      <c r="TH6" s="136" t="s">
        <v>104</v>
      </c>
      <c r="TI6" s="102" t="s">
        <v>24</v>
      </c>
      <c r="TJ6" s="102" t="s">
        <v>25</v>
      </c>
      <c r="TK6" s="38" t="s">
        <v>27</v>
      </c>
      <c r="TL6" s="27" t="s">
        <v>14</v>
      </c>
      <c r="TM6" s="42" t="s">
        <v>85</v>
      </c>
      <c r="TO6" s="33" t="s">
        <v>85</v>
      </c>
      <c r="TP6" s="136" t="s">
        <v>104</v>
      </c>
      <c r="TQ6" s="102" t="s">
        <v>24</v>
      </c>
      <c r="TR6" s="102" t="s">
        <v>25</v>
      </c>
      <c r="TS6" s="38" t="s">
        <v>27</v>
      </c>
      <c r="TT6" s="27" t="s">
        <v>14</v>
      </c>
      <c r="TU6" s="42" t="s">
        <v>85</v>
      </c>
      <c r="TW6" s="33" t="s">
        <v>85</v>
      </c>
      <c r="TX6" s="136" t="s">
        <v>104</v>
      </c>
      <c r="TY6" s="102" t="s">
        <v>24</v>
      </c>
      <c r="TZ6" s="102" t="s">
        <v>25</v>
      </c>
      <c r="UA6" s="38" t="s">
        <v>27</v>
      </c>
      <c r="UB6" s="27" t="s">
        <v>14</v>
      </c>
      <c r="UC6" s="42" t="s">
        <v>85</v>
      </c>
      <c r="UE6" s="33" t="s">
        <v>85</v>
      </c>
      <c r="UF6" s="136" t="s">
        <v>104</v>
      </c>
      <c r="UG6" s="102" t="s">
        <v>24</v>
      </c>
      <c r="UH6" s="102" t="s">
        <v>25</v>
      </c>
      <c r="UI6" s="38" t="s">
        <v>27</v>
      </c>
      <c r="UJ6" s="27" t="s">
        <v>14</v>
      </c>
      <c r="UK6" s="42" t="s">
        <v>85</v>
      </c>
      <c r="UM6" s="33" t="s">
        <v>85</v>
      </c>
      <c r="UN6" s="136" t="s">
        <v>104</v>
      </c>
      <c r="UO6" s="102" t="s">
        <v>24</v>
      </c>
      <c r="UP6" s="102" t="s">
        <v>25</v>
      </c>
      <c r="UQ6" s="38" t="s">
        <v>27</v>
      </c>
      <c r="UR6" s="27" t="s">
        <v>14</v>
      </c>
      <c r="US6" s="42" t="s">
        <v>85</v>
      </c>
      <c r="UU6" s="33" t="s">
        <v>85</v>
      </c>
      <c r="UV6" s="136" t="s">
        <v>104</v>
      </c>
      <c r="UW6" s="102" t="s">
        <v>24</v>
      </c>
      <c r="UX6" s="102" t="s">
        <v>25</v>
      </c>
      <c r="UY6" s="38" t="s">
        <v>27</v>
      </c>
      <c r="UZ6" s="27" t="s">
        <v>14</v>
      </c>
      <c r="VA6" s="42" t="s">
        <v>85</v>
      </c>
      <c r="VC6" s="33" t="s">
        <v>85</v>
      </c>
      <c r="VD6" s="136" t="s">
        <v>104</v>
      </c>
      <c r="VE6" s="102" t="s">
        <v>24</v>
      </c>
      <c r="VF6" s="102" t="s">
        <v>25</v>
      </c>
      <c r="VG6" s="38" t="s">
        <v>27</v>
      </c>
      <c r="VH6" s="27" t="s">
        <v>14</v>
      </c>
      <c r="VI6" s="42" t="s">
        <v>85</v>
      </c>
      <c r="VK6" s="33" t="s">
        <v>85</v>
      </c>
      <c r="VL6" s="136" t="s">
        <v>104</v>
      </c>
      <c r="VM6" s="102" t="s">
        <v>24</v>
      </c>
      <c r="VN6" s="102" t="s">
        <v>25</v>
      </c>
      <c r="VO6" s="38" t="s">
        <v>27</v>
      </c>
      <c r="VP6" s="27" t="s">
        <v>14</v>
      </c>
      <c r="VQ6" s="42" t="s">
        <v>85</v>
      </c>
    </row>
    <row r="7" spans="1:589" x14ac:dyDescent="0.25">
      <c r="A7" s="214"/>
      <c r="B7" s="217"/>
      <c r="C7" s="217"/>
      <c r="D7" s="217"/>
      <c r="E7" s="221"/>
      <c r="F7" s="224"/>
      <c r="H7" s="34" t="s">
        <v>8</v>
      </c>
      <c r="I7" s="55" t="s">
        <v>7</v>
      </c>
      <c r="J7" s="55" t="s">
        <v>7</v>
      </c>
      <c r="K7" s="55" t="s">
        <v>7</v>
      </c>
      <c r="L7" s="39" t="s">
        <v>120</v>
      </c>
      <c r="M7" s="28" t="s">
        <v>15</v>
      </c>
      <c r="N7" s="106" t="s">
        <v>16</v>
      </c>
      <c r="P7" s="34" t="s">
        <v>8</v>
      </c>
      <c r="Q7" s="55" t="s">
        <v>7</v>
      </c>
      <c r="R7" s="55" t="s">
        <v>7</v>
      </c>
      <c r="S7" s="55" t="s">
        <v>7</v>
      </c>
      <c r="T7" s="39" t="s">
        <v>120</v>
      </c>
      <c r="U7" s="28" t="s">
        <v>15</v>
      </c>
      <c r="V7" s="106" t="s">
        <v>16</v>
      </c>
      <c r="X7" s="34" t="s">
        <v>8</v>
      </c>
      <c r="Y7" s="55" t="s">
        <v>7</v>
      </c>
      <c r="Z7" s="55" t="s">
        <v>7</v>
      </c>
      <c r="AA7" s="55" t="s">
        <v>7</v>
      </c>
      <c r="AB7" s="39" t="s">
        <v>120</v>
      </c>
      <c r="AC7" s="28" t="s">
        <v>15</v>
      </c>
      <c r="AD7" s="106" t="s">
        <v>16</v>
      </c>
      <c r="AF7" s="34" t="s">
        <v>8</v>
      </c>
      <c r="AG7" s="55" t="s">
        <v>7</v>
      </c>
      <c r="AH7" s="55" t="s">
        <v>7</v>
      </c>
      <c r="AI7" s="55" t="s">
        <v>7</v>
      </c>
      <c r="AJ7" s="39" t="s">
        <v>120</v>
      </c>
      <c r="AK7" s="28" t="s">
        <v>15</v>
      </c>
      <c r="AL7" s="106" t="s">
        <v>16</v>
      </c>
      <c r="AN7" s="34" t="s">
        <v>8</v>
      </c>
      <c r="AO7" s="55" t="s">
        <v>7</v>
      </c>
      <c r="AP7" s="55" t="s">
        <v>7</v>
      </c>
      <c r="AQ7" s="55" t="s">
        <v>7</v>
      </c>
      <c r="AR7" s="65">
        <v>45930</v>
      </c>
      <c r="AS7" s="39" t="s">
        <v>120</v>
      </c>
      <c r="AT7" s="28" t="s">
        <v>15</v>
      </c>
      <c r="AU7" s="106" t="s">
        <v>16</v>
      </c>
      <c r="AW7" s="34" t="s">
        <v>8</v>
      </c>
      <c r="AX7" s="55" t="s">
        <v>7</v>
      </c>
      <c r="AY7" s="55" t="s">
        <v>7</v>
      </c>
      <c r="AZ7" s="55" t="s">
        <v>7</v>
      </c>
      <c r="BA7" s="39" t="s">
        <v>120</v>
      </c>
      <c r="BB7" s="28" t="s">
        <v>15</v>
      </c>
      <c r="BC7" s="106" t="s">
        <v>16</v>
      </c>
      <c r="BE7" s="34" t="s">
        <v>8</v>
      </c>
      <c r="BF7" s="55" t="s">
        <v>7</v>
      </c>
      <c r="BG7" s="55" t="s">
        <v>7</v>
      </c>
      <c r="BH7" s="55" t="s">
        <v>7</v>
      </c>
      <c r="BI7" s="65">
        <v>45937</v>
      </c>
      <c r="BJ7" s="65">
        <v>45944</v>
      </c>
      <c r="BK7" s="39" t="s">
        <v>120</v>
      </c>
      <c r="BL7" s="28" t="s">
        <v>15</v>
      </c>
      <c r="BM7" s="106" t="s">
        <v>16</v>
      </c>
      <c r="BO7" s="34" t="s">
        <v>8</v>
      </c>
      <c r="BP7" s="55" t="s">
        <v>7</v>
      </c>
      <c r="BQ7" s="55" t="s">
        <v>7</v>
      </c>
      <c r="BR7" s="55" t="s">
        <v>7</v>
      </c>
      <c r="BS7" s="229">
        <v>45945</v>
      </c>
      <c r="BT7" s="230"/>
      <c r="BU7" s="65">
        <v>45948</v>
      </c>
      <c r="BV7" s="39" t="s">
        <v>120</v>
      </c>
      <c r="BW7" s="28" t="s">
        <v>15</v>
      </c>
      <c r="BX7" s="106" t="s">
        <v>16</v>
      </c>
      <c r="BZ7" s="34" t="s">
        <v>8</v>
      </c>
      <c r="CA7" s="55" t="s">
        <v>7</v>
      </c>
      <c r="CB7" s="55" t="s">
        <v>7</v>
      </c>
      <c r="CC7" s="55" t="s">
        <v>7</v>
      </c>
      <c r="CD7" s="65">
        <v>45950</v>
      </c>
      <c r="CE7" s="65">
        <v>45953</v>
      </c>
      <c r="CF7" s="39" t="s">
        <v>120</v>
      </c>
      <c r="CG7" s="28" t="s">
        <v>15</v>
      </c>
      <c r="CH7" s="106" t="s">
        <v>16</v>
      </c>
      <c r="CJ7" s="34" t="s">
        <v>8</v>
      </c>
      <c r="CK7" s="55" t="s">
        <v>7</v>
      </c>
      <c r="CL7" s="55" t="s">
        <v>7</v>
      </c>
      <c r="CM7" s="55" t="s">
        <v>7</v>
      </c>
      <c r="CN7" s="65">
        <v>45959</v>
      </c>
      <c r="CO7" s="146" t="s">
        <v>120</v>
      </c>
      <c r="CP7" s="28" t="s">
        <v>15</v>
      </c>
      <c r="CQ7" s="106" t="s">
        <v>16</v>
      </c>
      <c r="CS7" s="132" t="s">
        <v>8</v>
      </c>
      <c r="CT7" s="151" t="s">
        <v>7</v>
      </c>
      <c r="CU7" s="55" t="s">
        <v>7</v>
      </c>
      <c r="CV7" s="55" t="s">
        <v>7</v>
      </c>
      <c r="CW7" s="65">
        <v>45966</v>
      </c>
      <c r="CX7" s="65">
        <v>45966</v>
      </c>
      <c r="CY7" s="39" t="s">
        <v>120</v>
      </c>
      <c r="CZ7" s="28" t="s">
        <v>15</v>
      </c>
      <c r="DA7" s="106" t="s">
        <v>16</v>
      </c>
      <c r="DC7" s="34" t="s">
        <v>8</v>
      </c>
      <c r="DD7" s="55" t="s">
        <v>7</v>
      </c>
      <c r="DE7" s="55" t="s">
        <v>7</v>
      </c>
      <c r="DF7" s="55" t="s">
        <v>7</v>
      </c>
      <c r="DG7" s="65">
        <v>45973</v>
      </c>
      <c r="DH7" s="39" t="s">
        <v>120</v>
      </c>
      <c r="DI7" s="28" t="s">
        <v>15</v>
      </c>
      <c r="DJ7" s="106" t="s">
        <v>16</v>
      </c>
      <c r="DL7" s="34" t="s">
        <v>8</v>
      </c>
      <c r="DM7" s="125" t="s">
        <v>7</v>
      </c>
      <c r="DN7" s="55" t="s">
        <v>7</v>
      </c>
      <c r="DO7" s="55" t="s">
        <v>7</v>
      </c>
      <c r="DP7" s="39" t="s">
        <v>120</v>
      </c>
      <c r="DQ7" s="28" t="s">
        <v>15</v>
      </c>
      <c r="DR7" s="106" t="s">
        <v>16</v>
      </c>
      <c r="DT7" s="34" t="s">
        <v>8</v>
      </c>
      <c r="DU7" s="125" t="s">
        <v>7</v>
      </c>
      <c r="DV7" s="55" t="s">
        <v>7</v>
      </c>
      <c r="DW7" s="55" t="s">
        <v>7</v>
      </c>
      <c r="DX7" s="65">
        <v>45980</v>
      </c>
      <c r="DY7" s="65">
        <v>45987</v>
      </c>
      <c r="DZ7" s="39" t="s">
        <v>120</v>
      </c>
      <c r="EA7" s="28" t="s">
        <v>15</v>
      </c>
      <c r="EB7" s="106" t="s">
        <v>16</v>
      </c>
      <c r="ED7" s="34" t="s">
        <v>8</v>
      </c>
      <c r="EE7" s="125" t="s">
        <v>7</v>
      </c>
      <c r="EF7" s="55" t="s">
        <v>7</v>
      </c>
      <c r="EG7" s="55" t="s">
        <v>7</v>
      </c>
      <c r="EH7" s="65">
        <v>45994</v>
      </c>
      <c r="EI7" s="39" t="s">
        <v>120</v>
      </c>
      <c r="EJ7" s="28" t="s">
        <v>15</v>
      </c>
      <c r="EK7" s="106" t="s">
        <v>16</v>
      </c>
      <c r="EM7" s="34" t="s">
        <v>8</v>
      </c>
      <c r="EN7" s="125" t="s">
        <v>7</v>
      </c>
      <c r="EO7" s="55" t="s">
        <v>7</v>
      </c>
      <c r="EP7" s="55" t="s">
        <v>7</v>
      </c>
      <c r="EQ7" s="39" t="s">
        <v>120</v>
      </c>
      <c r="ER7" s="28" t="s">
        <v>15</v>
      </c>
      <c r="ES7" s="106" t="s">
        <v>16</v>
      </c>
      <c r="EU7" s="34" t="s">
        <v>8</v>
      </c>
      <c r="EV7" s="125" t="s">
        <v>7</v>
      </c>
      <c r="EW7" s="55" t="s">
        <v>7</v>
      </c>
      <c r="EX7" s="55" t="s">
        <v>7</v>
      </c>
      <c r="EY7" s="39" t="s">
        <v>120</v>
      </c>
      <c r="EZ7" s="28" t="s">
        <v>15</v>
      </c>
      <c r="FA7" s="106" t="s">
        <v>16</v>
      </c>
      <c r="FC7" s="34" t="s">
        <v>8</v>
      </c>
      <c r="FD7" s="151" t="s">
        <v>7</v>
      </c>
      <c r="FE7" s="151" t="s">
        <v>7</v>
      </c>
      <c r="FF7" s="151" t="s">
        <v>7</v>
      </c>
      <c r="FG7" s="39" t="s">
        <v>120</v>
      </c>
      <c r="FH7" s="28" t="s">
        <v>15</v>
      </c>
      <c r="FI7" s="106" t="s">
        <v>16</v>
      </c>
      <c r="FK7" s="34" t="s">
        <v>8</v>
      </c>
      <c r="FL7" s="125" t="s">
        <v>7</v>
      </c>
      <c r="FM7" s="55" t="s">
        <v>7</v>
      </c>
      <c r="FN7" s="55" t="s">
        <v>7</v>
      </c>
      <c r="FO7" s="39" t="s">
        <v>120</v>
      </c>
      <c r="FP7" s="28" t="s">
        <v>15</v>
      </c>
      <c r="FQ7" s="106" t="s">
        <v>16</v>
      </c>
      <c r="FS7" s="34" t="s">
        <v>8</v>
      </c>
      <c r="FT7" s="125" t="s">
        <v>7</v>
      </c>
      <c r="FU7" s="55" t="s">
        <v>7</v>
      </c>
      <c r="FV7" s="55" t="s">
        <v>7</v>
      </c>
      <c r="FW7" s="65">
        <v>46002</v>
      </c>
      <c r="FX7" s="229">
        <v>46009</v>
      </c>
      <c r="FY7" s="230"/>
      <c r="FZ7" s="65">
        <v>46016</v>
      </c>
      <c r="GA7" s="65">
        <v>46028</v>
      </c>
      <c r="GB7" s="39" t="s">
        <v>120</v>
      </c>
      <c r="GC7" s="28" t="s">
        <v>15</v>
      </c>
      <c r="GD7" s="106" t="s">
        <v>16</v>
      </c>
      <c r="GF7" s="34" t="s">
        <v>8</v>
      </c>
      <c r="GG7" s="125" t="s">
        <v>7</v>
      </c>
      <c r="GH7" s="55" t="s">
        <v>7</v>
      </c>
      <c r="GI7" s="55" t="s">
        <v>7</v>
      </c>
      <c r="GJ7" s="65">
        <v>46036</v>
      </c>
      <c r="GK7" s="39" t="s">
        <v>120</v>
      </c>
      <c r="GL7" s="28" t="s">
        <v>15</v>
      </c>
      <c r="GM7" s="106" t="s">
        <v>16</v>
      </c>
      <c r="GO7" s="34" t="s">
        <v>8</v>
      </c>
      <c r="GP7" s="125" t="s">
        <v>7</v>
      </c>
      <c r="GQ7" s="55" t="s">
        <v>7</v>
      </c>
      <c r="GR7" s="55" t="s">
        <v>7</v>
      </c>
      <c r="GS7" s="65">
        <v>46043</v>
      </c>
      <c r="GT7" s="39" t="s">
        <v>120</v>
      </c>
      <c r="GU7" s="28" t="s">
        <v>15</v>
      </c>
      <c r="GV7" s="106" t="s">
        <v>16</v>
      </c>
      <c r="GX7" s="34" t="s">
        <v>8</v>
      </c>
      <c r="GY7" s="125" t="s">
        <v>7</v>
      </c>
      <c r="GZ7" s="55" t="s">
        <v>7</v>
      </c>
      <c r="HA7" s="55" t="s">
        <v>7</v>
      </c>
      <c r="HB7" s="65">
        <v>46050</v>
      </c>
      <c r="HC7" s="39" t="s">
        <v>120</v>
      </c>
      <c r="HD7" s="28" t="s">
        <v>15</v>
      </c>
      <c r="HE7" s="106" t="s">
        <v>16</v>
      </c>
      <c r="HG7" s="34" t="s">
        <v>8</v>
      </c>
      <c r="HH7" s="125" t="s">
        <v>7</v>
      </c>
      <c r="HI7" s="55" t="s">
        <v>7</v>
      </c>
      <c r="HJ7" s="55" t="s">
        <v>7</v>
      </c>
      <c r="HK7" s="65">
        <v>46057</v>
      </c>
      <c r="HL7" s="39" t="s">
        <v>120</v>
      </c>
      <c r="HM7" s="28" t="s">
        <v>15</v>
      </c>
      <c r="HN7" s="106" t="s">
        <v>16</v>
      </c>
      <c r="HP7" s="34" t="s">
        <v>8</v>
      </c>
      <c r="HQ7" s="125" t="s">
        <v>7</v>
      </c>
      <c r="HR7" s="55" t="s">
        <v>7</v>
      </c>
      <c r="HS7" s="55" t="s">
        <v>7</v>
      </c>
      <c r="HT7" s="65">
        <v>46064</v>
      </c>
      <c r="HU7" s="39" t="s">
        <v>120</v>
      </c>
      <c r="HV7" s="28" t="s">
        <v>15</v>
      </c>
      <c r="HW7" s="106" t="s">
        <v>16</v>
      </c>
      <c r="HY7" s="34" t="s">
        <v>8</v>
      </c>
      <c r="HZ7" s="125" t="s">
        <v>7</v>
      </c>
      <c r="IA7" s="55" t="s">
        <v>7</v>
      </c>
      <c r="IB7" s="55" t="s">
        <v>7</v>
      </c>
      <c r="IC7" s="65">
        <v>46070</v>
      </c>
      <c r="ID7" s="39" t="s">
        <v>120</v>
      </c>
      <c r="IE7" s="28" t="s">
        <v>15</v>
      </c>
      <c r="IF7" s="106" t="s">
        <v>16</v>
      </c>
      <c r="IH7" s="34" t="s">
        <v>8</v>
      </c>
      <c r="II7" s="125" t="s">
        <v>7</v>
      </c>
      <c r="IJ7" s="55" t="s">
        <v>7</v>
      </c>
      <c r="IK7" s="55" t="s">
        <v>7</v>
      </c>
      <c r="IL7" s="39" t="s">
        <v>120</v>
      </c>
      <c r="IM7" s="28" t="s">
        <v>15</v>
      </c>
      <c r="IN7" s="106" t="s">
        <v>16</v>
      </c>
      <c r="IP7" s="34" t="s">
        <v>8</v>
      </c>
      <c r="IQ7" s="125" t="s">
        <v>7</v>
      </c>
      <c r="IR7" s="55" t="s">
        <v>7</v>
      </c>
      <c r="IS7" s="55" t="s">
        <v>7</v>
      </c>
      <c r="IT7" s="65">
        <v>46085</v>
      </c>
      <c r="IU7" s="39" t="s">
        <v>120</v>
      </c>
      <c r="IV7" s="28" t="s">
        <v>15</v>
      </c>
      <c r="IW7" s="106" t="s">
        <v>16</v>
      </c>
      <c r="IY7" s="34" t="s">
        <v>8</v>
      </c>
      <c r="IZ7" s="125" t="s">
        <v>7</v>
      </c>
      <c r="JA7" s="55" t="s">
        <v>7</v>
      </c>
      <c r="JB7" s="55" t="s">
        <v>7</v>
      </c>
      <c r="JC7" s="39" t="s">
        <v>120</v>
      </c>
      <c r="JD7" s="28" t="s">
        <v>15</v>
      </c>
      <c r="JE7" s="106" t="s">
        <v>16</v>
      </c>
      <c r="JG7" s="34" t="s">
        <v>8</v>
      </c>
      <c r="JH7" s="125" t="s">
        <v>7</v>
      </c>
      <c r="JI7" s="55" t="s">
        <v>7</v>
      </c>
      <c r="JJ7" s="55" t="s">
        <v>7</v>
      </c>
      <c r="JK7" s="65">
        <v>46099</v>
      </c>
      <c r="JL7" s="39" t="s">
        <v>120</v>
      </c>
      <c r="JM7" s="28" t="s">
        <v>15</v>
      </c>
      <c r="JN7" s="106" t="s">
        <v>16</v>
      </c>
      <c r="JP7" s="34" t="s">
        <v>8</v>
      </c>
      <c r="JQ7" s="125" t="s">
        <v>7</v>
      </c>
      <c r="JR7" s="55" t="s">
        <v>7</v>
      </c>
      <c r="JS7" s="55" t="s">
        <v>7</v>
      </c>
      <c r="JT7" s="39" t="s">
        <v>120</v>
      </c>
      <c r="JU7" s="28" t="s">
        <v>15</v>
      </c>
      <c r="JV7" s="106" t="s">
        <v>16</v>
      </c>
      <c r="JX7" s="34" t="s">
        <v>8</v>
      </c>
      <c r="JY7" s="151" t="s">
        <v>7</v>
      </c>
      <c r="JZ7" s="55" t="s">
        <v>7</v>
      </c>
      <c r="KA7" s="55" t="s">
        <v>7</v>
      </c>
      <c r="KB7" s="39" t="s">
        <v>120</v>
      </c>
      <c r="KC7" s="28" t="s">
        <v>15</v>
      </c>
      <c r="KD7" s="106" t="s">
        <v>16</v>
      </c>
      <c r="KF7" s="34" t="s">
        <v>8</v>
      </c>
      <c r="KG7" s="125" t="s">
        <v>7</v>
      </c>
      <c r="KH7" s="55" t="s">
        <v>7</v>
      </c>
      <c r="KI7" s="55" t="s">
        <v>7</v>
      </c>
      <c r="KJ7" s="65">
        <v>46111</v>
      </c>
      <c r="KK7" s="39" t="s">
        <v>120</v>
      </c>
      <c r="KL7" s="28" t="s">
        <v>15</v>
      </c>
      <c r="KM7" s="106" t="s">
        <v>16</v>
      </c>
      <c r="KO7" s="34" t="s">
        <v>8</v>
      </c>
      <c r="KP7" s="137" t="s">
        <v>7</v>
      </c>
      <c r="KQ7" s="103" t="s">
        <v>7</v>
      </c>
      <c r="KR7" s="103" t="s">
        <v>7</v>
      </c>
      <c r="KS7" s="188">
        <v>46127</v>
      </c>
      <c r="KT7" s="39" t="s">
        <v>120</v>
      </c>
      <c r="KU7" s="28" t="s">
        <v>15</v>
      </c>
      <c r="KV7" s="106" t="s">
        <v>16</v>
      </c>
      <c r="KX7" s="34" t="s">
        <v>8</v>
      </c>
      <c r="KY7" s="137" t="s">
        <v>7</v>
      </c>
      <c r="KZ7" s="103" t="s">
        <v>7</v>
      </c>
      <c r="LA7" s="103" t="s">
        <v>7</v>
      </c>
      <c r="LB7" s="39" t="s">
        <v>120</v>
      </c>
      <c r="LC7" s="28" t="s">
        <v>15</v>
      </c>
      <c r="LD7" s="106" t="s">
        <v>16</v>
      </c>
      <c r="LF7" s="34" t="s">
        <v>8</v>
      </c>
      <c r="LG7" s="137" t="s">
        <v>7</v>
      </c>
      <c r="LH7" s="103" t="s">
        <v>7</v>
      </c>
      <c r="LI7" s="103" t="s">
        <v>7</v>
      </c>
      <c r="LJ7" s="188">
        <v>46123</v>
      </c>
      <c r="LK7" s="39" t="s">
        <v>120</v>
      </c>
      <c r="LL7" s="28" t="s">
        <v>15</v>
      </c>
      <c r="LM7" s="43" t="s">
        <v>16</v>
      </c>
      <c r="LO7" s="34" t="s">
        <v>8</v>
      </c>
      <c r="LP7" s="137" t="s">
        <v>7</v>
      </c>
      <c r="LQ7" s="103" t="s">
        <v>7</v>
      </c>
      <c r="LR7" s="103" t="s">
        <v>7</v>
      </c>
      <c r="LS7" s="39" t="s">
        <v>120</v>
      </c>
      <c r="LT7" s="28" t="s">
        <v>15</v>
      </c>
      <c r="LU7" s="43" t="s">
        <v>16</v>
      </c>
      <c r="LW7" s="34" t="s">
        <v>8</v>
      </c>
      <c r="LX7" s="137" t="s">
        <v>7</v>
      </c>
      <c r="LY7" s="103" t="s">
        <v>7</v>
      </c>
      <c r="LZ7" s="103" t="s">
        <v>7</v>
      </c>
      <c r="MA7" s="39" t="s">
        <v>120</v>
      </c>
      <c r="MB7" s="28" t="s">
        <v>15</v>
      </c>
      <c r="MC7" s="43" t="s">
        <v>16</v>
      </c>
      <c r="ME7" s="34" t="s">
        <v>8</v>
      </c>
      <c r="MF7" s="151" t="s">
        <v>7</v>
      </c>
      <c r="MG7" s="103" t="s">
        <v>7</v>
      </c>
      <c r="MH7" s="103" t="s">
        <v>7</v>
      </c>
      <c r="MI7" s="39" t="s">
        <v>120</v>
      </c>
      <c r="MJ7" s="28" t="s">
        <v>15</v>
      </c>
      <c r="MK7" s="43" t="s">
        <v>16</v>
      </c>
      <c r="MM7" s="34" t="s">
        <v>8</v>
      </c>
      <c r="MN7" s="137" t="s">
        <v>7</v>
      </c>
      <c r="MO7" s="103" t="s">
        <v>7</v>
      </c>
      <c r="MP7" s="103" t="s">
        <v>7</v>
      </c>
      <c r="MQ7" s="39" t="s">
        <v>120</v>
      </c>
      <c r="MR7" s="28" t="s">
        <v>15</v>
      </c>
      <c r="MS7" s="43" t="s">
        <v>16</v>
      </c>
      <c r="MU7" s="34" t="s">
        <v>8</v>
      </c>
      <c r="MV7" s="137" t="s">
        <v>7</v>
      </c>
      <c r="MW7" s="103" t="s">
        <v>7</v>
      </c>
      <c r="MX7" s="103" t="s">
        <v>7</v>
      </c>
      <c r="MY7" s="39" t="s">
        <v>120</v>
      </c>
      <c r="MZ7" s="28" t="s">
        <v>15</v>
      </c>
      <c r="NA7" s="43" t="s">
        <v>16</v>
      </c>
      <c r="NC7" s="34" t="s">
        <v>8</v>
      </c>
      <c r="ND7" s="137" t="s">
        <v>7</v>
      </c>
      <c r="NE7" s="103" t="s">
        <v>7</v>
      </c>
      <c r="NF7" s="103" t="s">
        <v>7</v>
      </c>
      <c r="NG7" s="39" t="s">
        <v>120</v>
      </c>
      <c r="NH7" s="28" t="s">
        <v>15</v>
      </c>
      <c r="NI7" s="43" t="s">
        <v>16</v>
      </c>
      <c r="NK7" s="34" t="s">
        <v>8</v>
      </c>
      <c r="NL7" s="137" t="s">
        <v>7</v>
      </c>
      <c r="NM7" s="103" t="s">
        <v>7</v>
      </c>
      <c r="NN7" s="103" t="s">
        <v>7</v>
      </c>
      <c r="NO7" s="39" t="s">
        <v>120</v>
      </c>
      <c r="NP7" s="28" t="s">
        <v>15</v>
      </c>
      <c r="NQ7" s="43" t="s">
        <v>16</v>
      </c>
      <c r="NS7" s="34" t="s">
        <v>8</v>
      </c>
      <c r="NT7" s="137" t="s">
        <v>7</v>
      </c>
      <c r="NU7" s="103" t="s">
        <v>7</v>
      </c>
      <c r="NV7" s="103" t="s">
        <v>7</v>
      </c>
      <c r="NW7" s="39" t="s">
        <v>120</v>
      </c>
      <c r="NX7" s="28" t="s">
        <v>15</v>
      </c>
      <c r="NY7" s="43" t="s">
        <v>16</v>
      </c>
      <c r="OA7" s="34" t="s">
        <v>8</v>
      </c>
      <c r="OB7" s="137" t="s">
        <v>7</v>
      </c>
      <c r="OC7" s="103" t="s">
        <v>7</v>
      </c>
      <c r="OD7" s="103" t="s">
        <v>7</v>
      </c>
      <c r="OE7" s="39" t="s">
        <v>120</v>
      </c>
      <c r="OF7" s="28" t="s">
        <v>15</v>
      </c>
      <c r="OG7" s="43" t="s">
        <v>16</v>
      </c>
      <c r="OI7" s="34" t="s">
        <v>8</v>
      </c>
      <c r="OJ7" s="137" t="s">
        <v>7</v>
      </c>
      <c r="OK7" s="103" t="s">
        <v>7</v>
      </c>
      <c r="OL7" s="103" t="s">
        <v>7</v>
      </c>
      <c r="OM7" s="39" t="s">
        <v>120</v>
      </c>
      <c r="ON7" s="28" t="s">
        <v>15</v>
      </c>
      <c r="OO7" s="43" t="s">
        <v>16</v>
      </c>
      <c r="OQ7" s="34" t="s">
        <v>8</v>
      </c>
      <c r="OR7" s="137" t="s">
        <v>7</v>
      </c>
      <c r="OS7" s="103" t="s">
        <v>7</v>
      </c>
      <c r="OT7" s="103" t="s">
        <v>7</v>
      </c>
      <c r="OU7" s="39" t="s">
        <v>120</v>
      </c>
      <c r="OV7" s="28" t="s">
        <v>15</v>
      </c>
      <c r="OW7" s="43" t="s">
        <v>16</v>
      </c>
      <c r="OY7" s="34" t="s">
        <v>8</v>
      </c>
      <c r="OZ7" s="137" t="s">
        <v>7</v>
      </c>
      <c r="PA7" s="103" t="s">
        <v>7</v>
      </c>
      <c r="PB7" s="103" t="s">
        <v>7</v>
      </c>
      <c r="PC7" s="39" t="s">
        <v>120</v>
      </c>
      <c r="PD7" s="28" t="s">
        <v>15</v>
      </c>
      <c r="PE7" s="43" t="s">
        <v>16</v>
      </c>
      <c r="PG7" s="34" t="s">
        <v>8</v>
      </c>
      <c r="PH7" s="137" t="s">
        <v>7</v>
      </c>
      <c r="PI7" s="103" t="s">
        <v>7</v>
      </c>
      <c r="PJ7" s="103" t="s">
        <v>7</v>
      </c>
      <c r="PK7" s="39" t="s">
        <v>120</v>
      </c>
      <c r="PL7" s="28" t="s">
        <v>15</v>
      </c>
      <c r="PM7" s="43" t="s">
        <v>16</v>
      </c>
      <c r="PO7" s="34" t="s">
        <v>8</v>
      </c>
      <c r="PP7" s="137" t="s">
        <v>7</v>
      </c>
      <c r="PQ7" s="103" t="s">
        <v>7</v>
      </c>
      <c r="PR7" s="103" t="s">
        <v>7</v>
      </c>
      <c r="PS7" s="39" t="s">
        <v>120</v>
      </c>
      <c r="PT7" s="28" t="s">
        <v>15</v>
      </c>
      <c r="PU7" s="43" t="s">
        <v>16</v>
      </c>
      <c r="PW7" s="34" t="s">
        <v>8</v>
      </c>
      <c r="PX7" s="137" t="s">
        <v>7</v>
      </c>
      <c r="PY7" s="103" t="s">
        <v>7</v>
      </c>
      <c r="PZ7" s="103" t="s">
        <v>7</v>
      </c>
      <c r="QA7" s="39" t="s">
        <v>120</v>
      </c>
      <c r="QB7" s="28" t="s">
        <v>15</v>
      </c>
      <c r="QC7" s="43" t="s">
        <v>16</v>
      </c>
      <c r="QE7" s="34" t="s">
        <v>8</v>
      </c>
      <c r="QF7" s="137" t="s">
        <v>7</v>
      </c>
      <c r="QG7" s="103" t="s">
        <v>7</v>
      </c>
      <c r="QH7" s="103" t="s">
        <v>7</v>
      </c>
      <c r="QI7" s="39" t="s">
        <v>120</v>
      </c>
      <c r="QJ7" s="28" t="s">
        <v>15</v>
      </c>
      <c r="QK7" s="43" t="s">
        <v>16</v>
      </c>
      <c r="QM7" s="34" t="s">
        <v>8</v>
      </c>
      <c r="QN7" s="137" t="s">
        <v>7</v>
      </c>
      <c r="QO7" s="103" t="s">
        <v>7</v>
      </c>
      <c r="QP7" s="103" t="s">
        <v>7</v>
      </c>
      <c r="QQ7" s="39" t="s">
        <v>120</v>
      </c>
      <c r="QR7" s="28" t="s">
        <v>15</v>
      </c>
      <c r="QS7" s="43" t="s">
        <v>16</v>
      </c>
      <c r="QU7" s="34" t="s">
        <v>8</v>
      </c>
      <c r="QV7" s="137" t="s">
        <v>7</v>
      </c>
      <c r="QW7" s="103" t="s">
        <v>7</v>
      </c>
      <c r="QX7" s="103" t="s">
        <v>7</v>
      </c>
      <c r="QY7" s="39" t="s">
        <v>120</v>
      </c>
      <c r="QZ7" s="28" t="s">
        <v>15</v>
      </c>
      <c r="RA7" s="43" t="s">
        <v>16</v>
      </c>
      <c r="RC7" s="34" t="s">
        <v>8</v>
      </c>
      <c r="RD7" s="137" t="s">
        <v>7</v>
      </c>
      <c r="RE7" s="103" t="s">
        <v>7</v>
      </c>
      <c r="RF7" s="103" t="s">
        <v>7</v>
      </c>
      <c r="RG7" s="39" t="s">
        <v>120</v>
      </c>
      <c r="RH7" s="28" t="s">
        <v>15</v>
      </c>
      <c r="RI7" s="43" t="s">
        <v>16</v>
      </c>
      <c r="RK7" s="34" t="s">
        <v>8</v>
      </c>
      <c r="RL7" s="137" t="s">
        <v>7</v>
      </c>
      <c r="RM7" s="103" t="s">
        <v>7</v>
      </c>
      <c r="RN7" s="103" t="s">
        <v>7</v>
      </c>
      <c r="RO7" s="39" t="s">
        <v>120</v>
      </c>
      <c r="RP7" s="28" t="s">
        <v>15</v>
      </c>
      <c r="RQ7" s="43" t="s">
        <v>16</v>
      </c>
      <c r="RS7" s="34" t="s">
        <v>8</v>
      </c>
      <c r="RT7" s="137" t="s">
        <v>7</v>
      </c>
      <c r="RU7" s="103" t="s">
        <v>7</v>
      </c>
      <c r="RV7" s="103" t="s">
        <v>7</v>
      </c>
      <c r="RW7" s="39" t="s">
        <v>120</v>
      </c>
      <c r="RX7" s="28" t="s">
        <v>15</v>
      </c>
      <c r="RY7" s="43" t="s">
        <v>16</v>
      </c>
      <c r="SA7" s="34" t="s">
        <v>8</v>
      </c>
      <c r="SB7" s="137" t="s">
        <v>7</v>
      </c>
      <c r="SC7" s="103" t="s">
        <v>7</v>
      </c>
      <c r="SD7" s="103" t="s">
        <v>7</v>
      </c>
      <c r="SE7" s="39" t="s">
        <v>120</v>
      </c>
      <c r="SF7" s="28" t="s">
        <v>15</v>
      </c>
      <c r="SG7" s="43" t="s">
        <v>16</v>
      </c>
      <c r="SI7" s="34" t="s">
        <v>8</v>
      </c>
      <c r="SJ7" s="137" t="s">
        <v>7</v>
      </c>
      <c r="SK7" s="103" t="s">
        <v>7</v>
      </c>
      <c r="SL7" s="103" t="s">
        <v>7</v>
      </c>
      <c r="SM7" s="39" t="s">
        <v>120</v>
      </c>
      <c r="SN7" s="28" t="s">
        <v>15</v>
      </c>
      <c r="SO7" s="43" t="s">
        <v>16</v>
      </c>
      <c r="SQ7" s="34" t="s">
        <v>8</v>
      </c>
      <c r="SR7" s="137" t="s">
        <v>7</v>
      </c>
      <c r="SS7" s="103" t="s">
        <v>7</v>
      </c>
      <c r="ST7" s="103" t="s">
        <v>7</v>
      </c>
      <c r="SU7" s="39" t="s">
        <v>120</v>
      </c>
      <c r="SV7" s="28" t="s">
        <v>15</v>
      </c>
      <c r="SW7" s="43" t="s">
        <v>16</v>
      </c>
      <c r="SY7" s="34" t="s">
        <v>8</v>
      </c>
      <c r="SZ7" s="137" t="s">
        <v>7</v>
      </c>
      <c r="TA7" s="103" t="s">
        <v>7</v>
      </c>
      <c r="TB7" s="103" t="s">
        <v>7</v>
      </c>
      <c r="TC7" s="39" t="s">
        <v>120</v>
      </c>
      <c r="TD7" s="28" t="s">
        <v>15</v>
      </c>
      <c r="TE7" s="43" t="s">
        <v>16</v>
      </c>
      <c r="TG7" s="34" t="s">
        <v>8</v>
      </c>
      <c r="TH7" s="137" t="s">
        <v>7</v>
      </c>
      <c r="TI7" s="103" t="s">
        <v>7</v>
      </c>
      <c r="TJ7" s="103" t="s">
        <v>7</v>
      </c>
      <c r="TK7" s="39" t="s">
        <v>120</v>
      </c>
      <c r="TL7" s="28" t="s">
        <v>15</v>
      </c>
      <c r="TM7" s="43" t="s">
        <v>16</v>
      </c>
      <c r="TO7" s="34" t="s">
        <v>8</v>
      </c>
      <c r="TP7" s="137" t="s">
        <v>7</v>
      </c>
      <c r="TQ7" s="103" t="s">
        <v>7</v>
      </c>
      <c r="TR7" s="103" t="s">
        <v>7</v>
      </c>
      <c r="TS7" s="39" t="s">
        <v>120</v>
      </c>
      <c r="TT7" s="28" t="s">
        <v>15</v>
      </c>
      <c r="TU7" s="43" t="s">
        <v>16</v>
      </c>
      <c r="TW7" s="34" t="s">
        <v>8</v>
      </c>
      <c r="TX7" s="137" t="s">
        <v>7</v>
      </c>
      <c r="TY7" s="103" t="s">
        <v>7</v>
      </c>
      <c r="TZ7" s="103" t="s">
        <v>7</v>
      </c>
      <c r="UA7" s="39" t="s">
        <v>120</v>
      </c>
      <c r="UB7" s="28" t="s">
        <v>15</v>
      </c>
      <c r="UC7" s="43" t="s">
        <v>16</v>
      </c>
      <c r="UE7" s="34" t="s">
        <v>8</v>
      </c>
      <c r="UF7" s="137" t="s">
        <v>7</v>
      </c>
      <c r="UG7" s="103" t="s">
        <v>7</v>
      </c>
      <c r="UH7" s="103" t="s">
        <v>7</v>
      </c>
      <c r="UI7" s="39" t="s">
        <v>120</v>
      </c>
      <c r="UJ7" s="28" t="s">
        <v>15</v>
      </c>
      <c r="UK7" s="43" t="s">
        <v>16</v>
      </c>
      <c r="UM7" s="34" t="s">
        <v>8</v>
      </c>
      <c r="UN7" s="137" t="s">
        <v>7</v>
      </c>
      <c r="UO7" s="103" t="s">
        <v>7</v>
      </c>
      <c r="UP7" s="103" t="s">
        <v>7</v>
      </c>
      <c r="UQ7" s="39" t="s">
        <v>120</v>
      </c>
      <c r="UR7" s="28" t="s">
        <v>15</v>
      </c>
      <c r="US7" s="43" t="s">
        <v>16</v>
      </c>
      <c r="UU7" s="34" t="s">
        <v>8</v>
      </c>
      <c r="UV7" s="137" t="s">
        <v>7</v>
      </c>
      <c r="UW7" s="103" t="s">
        <v>7</v>
      </c>
      <c r="UX7" s="103" t="s">
        <v>7</v>
      </c>
      <c r="UY7" s="39" t="s">
        <v>120</v>
      </c>
      <c r="UZ7" s="28" t="s">
        <v>15</v>
      </c>
      <c r="VA7" s="43" t="s">
        <v>16</v>
      </c>
      <c r="VC7" s="34" t="s">
        <v>8</v>
      </c>
      <c r="VD7" s="137" t="s">
        <v>7</v>
      </c>
      <c r="VE7" s="103" t="s">
        <v>7</v>
      </c>
      <c r="VF7" s="103" t="s">
        <v>7</v>
      </c>
      <c r="VG7" s="39" t="s">
        <v>120</v>
      </c>
      <c r="VH7" s="28" t="s">
        <v>15</v>
      </c>
      <c r="VI7" s="43" t="s">
        <v>16</v>
      </c>
      <c r="VK7" s="34" t="s">
        <v>8</v>
      </c>
      <c r="VL7" s="137" t="s">
        <v>7</v>
      </c>
      <c r="VM7" s="103" t="s">
        <v>7</v>
      </c>
      <c r="VN7" s="103" t="s">
        <v>7</v>
      </c>
      <c r="VO7" s="39" t="s">
        <v>120</v>
      </c>
      <c r="VP7" s="28" t="s">
        <v>15</v>
      </c>
      <c r="VQ7" s="43" t="s">
        <v>16</v>
      </c>
    </row>
    <row r="8" spans="1:589" ht="15.75" thickBot="1" x14ac:dyDescent="0.3">
      <c r="A8" s="215"/>
      <c r="B8" s="218"/>
      <c r="C8" s="218"/>
      <c r="D8" s="218"/>
      <c r="E8" s="222"/>
      <c r="F8" s="225"/>
      <c r="H8" s="35" t="str">
        <f>H5</f>
        <v>WK 36</v>
      </c>
      <c r="I8" s="56">
        <v>45901</v>
      </c>
      <c r="J8" s="56">
        <v>45901</v>
      </c>
      <c r="K8" s="56">
        <v>45901</v>
      </c>
      <c r="L8" s="101">
        <f>Q8</f>
        <v>45908</v>
      </c>
      <c r="M8" s="29" t="str">
        <f>H5</f>
        <v>WK 36</v>
      </c>
      <c r="N8" s="107" t="str">
        <f>H5</f>
        <v>WK 36</v>
      </c>
      <c r="P8" s="35" t="str">
        <f t="shared" ref="P8" si="0">P5</f>
        <v>WK 37</v>
      </c>
      <c r="Q8" s="56">
        <f>I8+7</f>
        <v>45908</v>
      </c>
      <c r="R8" s="56">
        <f>Q8</f>
        <v>45908</v>
      </c>
      <c r="S8" s="56">
        <f>R8</f>
        <v>45908</v>
      </c>
      <c r="T8" s="101">
        <f>Y8</f>
        <v>45915</v>
      </c>
      <c r="U8" s="29" t="str">
        <f>V8</f>
        <v>WK 37</v>
      </c>
      <c r="V8" s="107" t="str">
        <f>P5</f>
        <v>WK 37</v>
      </c>
      <c r="X8" s="35" t="str">
        <f t="shared" ref="X8" si="1">X5</f>
        <v>WK 38</v>
      </c>
      <c r="Y8" s="56">
        <f>Q8+7</f>
        <v>45915</v>
      </c>
      <c r="Z8" s="56">
        <f>Y8</f>
        <v>45915</v>
      </c>
      <c r="AA8" s="56">
        <f>Z8</f>
        <v>45915</v>
      </c>
      <c r="AB8" s="101">
        <f>AG8</f>
        <v>45922</v>
      </c>
      <c r="AC8" s="29" t="str">
        <f>AD8</f>
        <v>WK 38</v>
      </c>
      <c r="AD8" s="107" t="str">
        <f>X5</f>
        <v>WK 38</v>
      </c>
      <c r="AF8" s="35" t="str">
        <f t="shared" ref="AF8" si="2">AF5</f>
        <v>WK 39</v>
      </c>
      <c r="AG8" s="56">
        <f>Y8+7</f>
        <v>45922</v>
      </c>
      <c r="AH8" s="56">
        <f>AG8</f>
        <v>45922</v>
      </c>
      <c r="AI8" s="56">
        <f>AH8</f>
        <v>45922</v>
      </c>
      <c r="AJ8" s="101">
        <f>AO8</f>
        <v>45929</v>
      </c>
      <c r="AK8" s="29" t="str">
        <f>AL8</f>
        <v>WK 39</v>
      </c>
      <c r="AL8" s="107" t="str">
        <f>AF5</f>
        <v>WK 39</v>
      </c>
      <c r="AN8" s="35" t="str">
        <f t="shared" ref="AN8" si="3">AN5</f>
        <v>WK 40</v>
      </c>
      <c r="AO8" s="56">
        <f>AG8+7</f>
        <v>45929</v>
      </c>
      <c r="AP8" s="56">
        <f>AO8</f>
        <v>45929</v>
      </c>
      <c r="AQ8" s="56">
        <f>AP8</f>
        <v>45929</v>
      </c>
      <c r="AR8" s="65">
        <v>45933</v>
      </c>
      <c r="AS8" s="101" t="str">
        <f t="shared" ref="AS8" si="4">AW5</f>
        <v>WK 41</v>
      </c>
      <c r="AT8" s="29" t="str">
        <f>AU8</f>
        <v>WK 40</v>
      </c>
      <c r="AU8" s="107" t="str">
        <f>AN5</f>
        <v>WK 40</v>
      </c>
      <c r="AW8" s="35" t="str">
        <f t="shared" ref="AW8" si="5">AW5</f>
        <v>WK 41</v>
      </c>
      <c r="AX8" s="56">
        <f>AO8+7</f>
        <v>45936</v>
      </c>
      <c r="AY8" s="56">
        <f>AX8</f>
        <v>45936</v>
      </c>
      <c r="AZ8" s="56">
        <f>AY8</f>
        <v>45936</v>
      </c>
      <c r="BA8" s="101" t="str">
        <f t="shared" ref="BA8" si="6">BE5</f>
        <v>WK 42</v>
      </c>
      <c r="BB8" s="29" t="str">
        <f>BC8</f>
        <v>WK 41</v>
      </c>
      <c r="BC8" s="107" t="str">
        <f>AW5</f>
        <v>WK 41</v>
      </c>
      <c r="BE8" s="35" t="str">
        <f t="shared" ref="BE8" si="7">BE5</f>
        <v>WK 42</v>
      </c>
      <c r="BF8" s="56">
        <f>AX8+7</f>
        <v>45943</v>
      </c>
      <c r="BG8" s="56">
        <f>BF8</f>
        <v>45943</v>
      </c>
      <c r="BH8" s="56">
        <f>BG8</f>
        <v>45943</v>
      </c>
      <c r="BI8" s="65">
        <v>45943</v>
      </c>
      <c r="BJ8" s="65">
        <v>45947</v>
      </c>
      <c r="BK8" s="101" t="str">
        <f>BO5</f>
        <v>WK 43</v>
      </c>
      <c r="BL8" s="29" t="str">
        <f>BM8</f>
        <v>WK 42</v>
      </c>
      <c r="BM8" s="107" t="str">
        <f>BE5</f>
        <v>WK 42</v>
      </c>
      <c r="BO8" s="35" t="str">
        <f t="shared" ref="BO8" si="8">BO5</f>
        <v>WK 43</v>
      </c>
      <c r="BP8" s="56">
        <f>BH8+7</f>
        <v>45950</v>
      </c>
      <c r="BQ8" s="56">
        <f>BP8</f>
        <v>45950</v>
      </c>
      <c r="BR8" s="56">
        <f>BQ8</f>
        <v>45950</v>
      </c>
      <c r="BS8" s="229">
        <v>45953</v>
      </c>
      <c r="BT8" s="230"/>
      <c r="BU8" s="65">
        <v>45954</v>
      </c>
      <c r="BV8" s="101" t="str">
        <f>BZ5</f>
        <v>WK 44</v>
      </c>
      <c r="BW8" s="29" t="str">
        <f>BX8</f>
        <v>WK 43</v>
      </c>
      <c r="BX8" s="107" t="str">
        <f>BO5</f>
        <v>WK 43</v>
      </c>
      <c r="BZ8" s="35" t="str">
        <f t="shared" ref="BZ8" si="9">BZ5</f>
        <v>WK 44</v>
      </c>
      <c r="CA8" s="56">
        <f>BP8+7</f>
        <v>45957</v>
      </c>
      <c r="CB8" s="56">
        <f>CA8</f>
        <v>45957</v>
      </c>
      <c r="CC8" s="56">
        <f>CB8</f>
        <v>45957</v>
      </c>
      <c r="CD8" s="65">
        <v>45957</v>
      </c>
      <c r="CE8" s="65">
        <v>45958</v>
      </c>
      <c r="CF8" s="101" t="str">
        <f>CJ5</f>
        <v>WK 45</v>
      </c>
      <c r="CG8" s="29" t="str">
        <f>CH8</f>
        <v>WK 44</v>
      </c>
      <c r="CH8" s="107" t="str">
        <f>BZ5</f>
        <v>WK 44</v>
      </c>
      <c r="CJ8" s="35" t="str">
        <f t="shared" ref="CJ8" si="10">CJ5</f>
        <v>WK 45</v>
      </c>
      <c r="CK8" s="56">
        <f>CA8+7</f>
        <v>45964</v>
      </c>
      <c r="CL8" s="56">
        <f>CK8</f>
        <v>45964</v>
      </c>
      <c r="CM8" s="56">
        <f>CL8</f>
        <v>45964</v>
      </c>
      <c r="CN8" s="65">
        <v>45967</v>
      </c>
      <c r="CO8" s="147" t="str">
        <f>CS5</f>
        <v>WK 46</v>
      </c>
      <c r="CP8" s="29" t="str">
        <f t="shared" ref="CP8" si="11">CQ8</f>
        <v>WK 45</v>
      </c>
      <c r="CQ8" s="107" t="str">
        <f>CJ5</f>
        <v>WK 45</v>
      </c>
      <c r="CS8" s="133" t="str">
        <f t="shared" ref="CS8" si="12">CS5</f>
        <v>WK 46</v>
      </c>
      <c r="CT8" s="152">
        <f>CK8+7</f>
        <v>45971</v>
      </c>
      <c r="CU8" s="56">
        <f>CT8</f>
        <v>45971</v>
      </c>
      <c r="CV8" s="56">
        <f>CU8</f>
        <v>45971</v>
      </c>
      <c r="CW8" s="65">
        <v>45971</v>
      </c>
      <c r="CX8" s="65">
        <v>45975</v>
      </c>
      <c r="CY8" s="101" t="str">
        <f>DC5</f>
        <v>WK 47</v>
      </c>
      <c r="CZ8" s="29" t="str">
        <f t="shared" ref="CZ8" si="13">DA8</f>
        <v>WK 46</v>
      </c>
      <c r="DA8" s="107" t="str">
        <f>CS5</f>
        <v>WK 46</v>
      </c>
      <c r="DC8" s="35" t="str">
        <f t="shared" ref="DC8" si="14">DC5</f>
        <v>WK 47</v>
      </c>
      <c r="DD8" s="56">
        <f>CT8+7</f>
        <v>45978</v>
      </c>
      <c r="DE8" s="56">
        <f>DD8</f>
        <v>45978</v>
      </c>
      <c r="DF8" s="56">
        <f>DE8</f>
        <v>45978</v>
      </c>
      <c r="DG8" s="65">
        <v>45982</v>
      </c>
      <c r="DH8" s="101" t="str">
        <f>DL5</f>
        <v>WK 48</v>
      </c>
      <c r="DI8" s="29" t="str">
        <f t="shared" ref="DI8" si="15">DJ8</f>
        <v>WK 47</v>
      </c>
      <c r="DJ8" s="107" t="str">
        <f>DC5</f>
        <v>WK 47</v>
      </c>
      <c r="DL8" s="35" t="str">
        <f t="shared" ref="DL8" si="16">DL5</f>
        <v>WK 48</v>
      </c>
      <c r="DM8" s="175">
        <f>DD8+7</f>
        <v>45985</v>
      </c>
      <c r="DN8" s="56">
        <f>DM8</f>
        <v>45985</v>
      </c>
      <c r="DO8" s="56">
        <f>DN8</f>
        <v>45985</v>
      </c>
      <c r="DP8" s="101" t="str">
        <f>DT5</f>
        <v>WK 49</v>
      </c>
      <c r="DQ8" s="29" t="str">
        <f t="shared" ref="DQ8" si="17">DR8</f>
        <v>WK 48</v>
      </c>
      <c r="DR8" s="107" t="str">
        <f>DL5</f>
        <v>WK 48</v>
      </c>
      <c r="DT8" s="35" t="str">
        <f t="shared" ref="DT8" si="18">DT5</f>
        <v>WK 49</v>
      </c>
      <c r="DU8" s="175">
        <f>DM8+7</f>
        <v>45992</v>
      </c>
      <c r="DV8" s="56">
        <f>DU8</f>
        <v>45992</v>
      </c>
      <c r="DW8" s="56">
        <f>DV8</f>
        <v>45992</v>
      </c>
      <c r="DX8" s="65">
        <v>45993</v>
      </c>
      <c r="DY8" s="65">
        <v>45996</v>
      </c>
      <c r="DZ8" s="101" t="str">
        <f>ED5</f>
        <v>WK 50</v>
      </c>
      <c r="EA8" s="29" t="str">
        <f t="shared" ref="EA8" si="19">EB8</f>
        <v>WK 49</v>
      </c>
      <c r="EB8" s="107" t="str">
        <f>DT5</f>
        <v>WK 49</v>
      </c>
      <c r="ED8" s="35" t="str">
        <f t="shared" ref="ED8" si="20">ED5</f>
        <v>WK 50</v>
      </c>
      <c r="EE8" s="175">
        <f>DU8+7</f>
        <v>45999</v>
      </c>
      <c r="EF8" s="56">
        <f>EE8</f>
        <v>45999</v>
      </c>
      <c r="EG8" s="56">
        <f>EF8</f>
        <v>45999</v>
      </c>
      <c r="EH8" s="65">
        <v>46002</v>
      </c>
      <c r="EI8" s="101" t="str">
        <f>EM5</f>
        <v>WK 51</v>
      </c>
      <c r="EJ8" s="29" t="str">
        <f t="shared" ref="EJ8" si="21">EK8</f>
        <v>WK 50</v>
      </c>
      <c r="EK8" s="107" t="str">
        <f>ED5</f>
        <v>WK 50</v>
      </c>
      <c r="EM8" s="35" t="str">
        <f t="shared" ref="EM8" si="22">EM5</f>
        <v>WK 51</v>
      </c>
      <c r="EN8" s="175">
        <f>EE8+7</f>
        <v>46006</v>
      </c>
      <c r="EO8" s="56">
        <f>EN8</f>
        <v>46006</v>
      </c>
      <c r="EP8" s="56">
        <f>EO8</f>
        <v>46006</v>
      </c>
      <c r="EQ8" s="101" t="s">
        <v>45</v>
      </c>
      <c r="ER8" s="29" t="str">
        <f t="shared" ref="ER8" si="23">ES8</f>
        <v>WK 51</v>
      </c>
      <c r="ES8" s="107" t="str">
        <f>EM5</f>
        <v>WK 51</v>
      </c>
      <c r="EU8" s="35" t="str">
        <f t="shared" ref="EU8" si="24">EU5</f>
        <v>WK 52</v>
      </c>
      <c r="EV8" s="175">
        <f>EN8+7</f>
        <v>46013</v>
      </c>
      <c r="EW8" s="56">
        <f>EV8</f>
        <v>46013</v>
      </c>
      <c r="EX8" s="56">
        <f>EW8</f>
        <v>46013</v>
      </c>
      <c r="EY8" s="101" t="str">
        <f>FK5</f>
        <v>WK 02</v>
      </c>
      <c r="EZ8" s="29" t="str">
        <f t="shared" ref="EZ8" si="25">FA8</f>
        <v>WK 52</v>
      </c>
      <c r="FA8" s="107" t="str">
        <f>EU5</f>
        <v>WK 52</v>
      </c>
      <c r="FC8" s="35" t="str">
        <f t="shared" ref="FC8" si="26">FC5</f>
        <v>WK 01</v>
      </c>
      <c r="FD8" s="152">
        <f>EV8+7</f>
        <v>46020</v>
      </c>
      <c r="FE8" s="152">
        <f>FD8</f>
        <v>46020</v>
      </c>
      <c r="FF8" s="152">
        <f>FE8</f>
        <v>46020</v>
      </c>
      <c r="FG8" s="101" t="str">
        <f>FC5</f>
        <v>WK 01</v>
      </c>
      <c r="FH8" s="29" t="str">
        <f t="shared" ref="FH8" si="27">FI8</f>
        <v>WK 01</v>
      </c>
      <c r="FI8" s="107" t="str">
        <f>FC5</f>
        <v>WK 01</v>
      </c>
      <c r="FK8" s="35" t="str">
        <f t="shared" ref="FK8" si="28">FK5</f>
        <v>WK 02</v>
      </c>
      <c r="FL8" s="175">
        <f>FD8+7</f>
        <v>46027</v>
      </c>
      <c r="FM8" s="56">
        <f>FL8</f>
        <v>46027</v>
      </c>
      <c r="FN8" s="56">
        <f>FM8</f>
        <v>46027</v>
      </c>
      <c r="FO8" s="101" t="str">
        <f>FS5</f>
        <v>WK 03</v>
      </c>
      <c r="FP8" s="29" t="str">
        <f t="shared" ref="FP8" si="29">FQ8</f>
        <v>WK 02</v>
      </c>
      <c r="FQ8" s="107" t="str">
        <f>FK5</f>
        <v>WK 02</v>
      </c>
      <c r="FS8" s="35" t="str">
        <f t="shared" ref="FS8" si="30">FS5</f>
        <v>WK 03</v>
      </c>
      <c r="FT8" s="175">
        <f>FL8+7</f>
        <v>46034</v>
      </c>
      <c r="FU8" s="56">
        <f>FT8</f>
        <v>46034</v>
      </c>
      <c r="FV8" s="56">
        <f>FU8</f>
        <v>46034</v>
      </c>
      <c r="FW8" s="65">
        <v>46038</v>
      </c>
      <c r="FX8" s="229">
        <v>46037</v>
      </c>
      <c r="FY8" s="230"/>
      <c r="FZ8" s="65">
        <v>46038</v>
      </c>
      <c r="GA8" s="65">
        <v>46038</v>
      </c>
      <c r="GB8" s="101" t="str">
        <f>GF5</f>
        <v>WK 04</v>
      </c>
      <c r="GC8" s="29" t="str">
        <f t="shared" ref="GC8" si="31">GD8</f>
        <v>WK 03</v>
      </c>
      <c r="GD8" s="107" t="str">
        <f>FS5</f>
        <v>WK 03</v>
      </c>
      <c r="GF8" s="35" t="str">
        <f t="shared" ref="GF8" si="32">GF5</f>
        <v>WK 04</v>
      </c>
      <c r="GG8" s="175">
        <f>FT8+7</f>
        <v>46041</v>
      </c>
      <c r="GH8" s="56">
        <f>GG8</f>
        <v>46041</v>
      </c>
      <c r="GI8" s="56">
        <f>GH8</f>
        <v>46041</v>
      </c>
      <c r="GJ8" s="65">
        <v>46045</v>
      </c>
      <c r="GK8" s="101" t="str">
        <f>GO5</f>
        <v>WK 05</v>
      </c>
      <c r="GL8" s="29" t="str">
        <f t="shared" ref="GL8" si="33">GM8</f>
        <v>WK 04</v>
      </c>
      <c r="GM8" s="107" t="str">
        <f>GF5</f>
        <v>WK 04</v>
      </c>
      <c r="GO8" s="35" t="str">
        <f t="shared" ref="GO8" si="34">GO5</f>
        <v>WK 05</v>
      </c>
      <c r="GP8" s="175">
        <f>GG8+7</f>
        <v>46048</v>
      </c>
      <c r="GQ8" s="56">
        <f>GP8</f>
        <v>46048</v>
      </c>
      <c r="GR8" s="56">
        <f>GQ8</f>
        <v>46048</v>
      </c>
      <c r="GS8" s="65">
        <v>46052</v>
      </c>
      <c r="GT8" s="101" t="str">
        <f>GX5</f>
        <v>WK 06</v>
      </c>
      <c r="GU8" s="29" t="str">
        <f t="shared" ref="GU8" si="35">GV8</f>
        <v>WK 05</v>
      </c>
      <c r="GV8" s="107" t="str">
        <f>GO5</f>
        <v>WK 05</v>
      </c>
      <c r="GX8" s="35" t="str">
        <f t="shared" ref="GX8" si="36">GX5</f>
        <v>WK 06</v>
      </c>
      <c r="GY8" s="175">
        <f>GP8+7</f>
        <v>46055</v>
      </c>
      <c r="GZ8" s="56">
        <f>GY8</f>
        <v>46055</v>
      </c>
      <c r="HA8" s="56">
        <f>GZ8</f>
        <v>46055</v>
      </c>
      <c r="HB8" s="65">
        <v>46059</v>
      </c>
      <c r="HC8" s="101" t="str">
        <f>HG5</f>
        <v>WK 07</v>
      </c>
      <c r="HD8" s="29" t="str">
        <f t="shared" ref="HD8" si="37">HE8</f>
        <v>WK 06</v>
      </c>
      <c r="HE8" s="107" t="str">
        <f>GX5</f>
        <v>WK 06</v>
      </c>
      <c r="HG8" s="35" t="str">
        <f t="shared" ref="HG8" si="38">HG5</f>
        <v>WK 07</v>
      </c>
      <c r="HH8" s="175">
        <f>GY8+7</f>
        <v>46062</v>
      </c>
      <c r="HI8" s="56">
        <f>HH8</f>
        <v>46062</v>
      </c>
      <c r="HJ8" s="56">
        <f>HI8</f>
        <v>46062</v>
      </c>
      <c r="HK8" s="65">
        <v>46066</v>
      </c>
      <c r="HL8" s="101" t="str">
        <f>HP5</f>
        <v>WK 08</v>
      </c>
      <c r="HM8" s="29" t="str">
        <f t="shared" ref="HM8" si="39">HN8</f>
        <v>WK 07</v>
      </c>
      <c r="HN8" s="107" t="str">
        <f>HG5</f>
        <v>WK 07</v>
      </c>
      <c r="HP8" s="35" t="str">
        <f t="shared" ref="HP8" si="40">HP5</f>
        <v>WK 08</v>
      </c>
      <c r="HQ8" s="175">
        <f>HH8+7</f>
        <v>46069</v>
      </c>
      <c r="HR8" s="56">
        <f>HQ8</f>
        <v>46069</v>
      </c>
      <c r="HS8" s="56">
        <f>HR8</f>
        <v>46069</v>
      </c>
      <c r="HT8" s="65">
        <v>46073</v>
      </c>
      <c r="HU8" s="101" t="str">
        <f>HY5</f>
        <v>WK 09</v>
      </c>
      <c r="HV8" s="29" t="str">
        <f t="shared" ref="HV8" si="41">HW8</f>
        <v>WK 08</v>
      </c>
      <c r="HW8" s="107" t="str">
        <f>HP5</f>
        <v>WK 08</v>
      </c>
      <c r="HY8" s="35" t="str">
        <f t="shared" ref="HY8" si="42">HY5</f>
        <v>WK 09</v>
      </c>
      <c r="HZ8" s="175">
        <f>HQ8+7</f>
        <v>46076</v>
      </c>
      <c r="IA8" s="56">
        <f>HZ8</f>
        <v>46076</v>
      </c>
      <c r="IB8" s="56">
        <f>IA8</f>
        <v>46076</v>
      </c>
      <c r="IC8" s="65">
        <v>46080</v>
      </c>
      <c r="ID8" s="101" t="str">
        <f>IH5</f>
        <v>WK 10</v>
      </c>
      <c r="IE8" s="29" t="str">
        <f t="shared" ref="IE8" si="43">IF8</f>
        <v>WK 09</v>
      </c>
      <c r="IF8" s="107" t="str">
        <f>HY5</f>
        <v>WK 09</v>
      </c>
      <c r="IH8" s="35" t="str">
        <f t="shared" ref="IH8" si="44">IH5</f>
        <v>WK 10</v>
      </c>
      <c r="II8" s="175">
        <f>HZ8+7</f>
        <v>46083</v>
      </c>
      <c r="IJ8" s="56">
        <f>II8</f>
        <v>46083</v>
      </c>
      <c r="IK8" s="56">
        <f>IJ8</f>
        <v>46083</v>
      </c>
      <c r="IL8" s="101" t="str">
        <f>IP5</f>
        <v>WK 11</v>
      </c>
      <c r="IM8" s="29" t="str">
        <f t="shared" ref="IM8" si="45">IN8</f>
        <v>WK 10</v>
      </c>
      <c r="IN8" s="107" t="str">
        <f>IH5</f>
        <v>WK 10</v>
      </c>
      <c r="IP8" s="35" t="str">
        <f t="shared" ref="IP8" si="46">IP5</f>
        <v>WK 11</v>
      </c>
      <c r="IQ8" s="175">
        <f>II8+7</f>
        <v>46090</v>
      </c>
      <c r="IR8" s="56">
        <f>IQ8</f>
        <v>46090</v>
      </c>
      <c r="IS8" s="56">
        <f>IR8</f>
        <v>46090</v>
      </c>
      <c r="IT8" s="65">
        <v>46094</v>
      </c>
      <c r="IU8" s="101" t="str">
        <f>IY5</f>
        <v>WK 12</v>
      </c>
      <c r="IV8" s="29" t="str">
        <f t="shared" ref="IV8" si="47">IW8</f>
        <v>WK 11</v>
      </c>
      <c r="IW8" s="107" t="str">
        <f>IP5</f>
        <v>WK 11</v>
      </c>
      <c r="IY8" s="35" t="str">
        <f t="shared" ref="IY8" si="48">IY5</f>
        <v>WK 12</v>
      </c>
      <c r="IZ8" s="175">
        <f>IQ8+7</f>
        <v>46097</v>
      </c>
      <c r="JA8" s="56">
        <f>IZ8</f>
        <v>46097</v>
      </c>
      <c r="JB8" s="56">
        <f>JA8</f>
        <v>46097</v>
      </c>
      <c r="JC8" s="101" t="str">
        <f>JG5</f>
        <v>WK 13</v>
      </c>
      <c r="JD8" s="29" t="str">
        <f t="shared" ref="JD8" si="49">JE8</f>
        <v>WK 12</v>
      </c>
      <c r="JE8" s="107" t="str">
        <f>IY5</f>
        <v>WK 12</v>
      </c>
      <c r="JG8" s="35" t="str">
        <f t="shared" ref="JG8" si="50">JG5</f>
        <v>WK 13</v>
      </c>
      <c r="JH8" s="175">
        <f>IZ8+7</f>
        <v>46104</v>
      </c>
      <c r="JI8" s="56">
        <f>JH8</f>
        <v>46104</v>
      </c>
      <c r="JJ8" s="56">
        <f>JI8</f>
        <v>46104</v>
      </c>
      <c r="JK8" s="65">
        <v>46108</v>
      </c>
      <c r="JL8" s="101" t="str">
        <f>JP5</f>
        <v>WK 14</v>
      </c>
      <c r="JM8" s="29" t="str">
        <f t="shared" ref="JM8" si="51">JN8</f>
        <v>WK 13</v>
      </c>
      <c r="JN8" s="107" t="str">
        <f>JG5</f>
        <v>WK 13</v>
      </c>
      <c r="JP8" s="35" t="str">
        <f t="shared" ref="JP8" si="52">JP5</f>
        <v>WK 14</v>
      </c>
      <c r="JQ8" s="175">
        <f>JH8+7</f>
        <v>46111</v>
      </c>
      <c r="JR8" s="56">
        <f>JQ8</f>
        <v>46111</v>
      </c>
      <c r="JS8" s="56">
        <f>JR8</f>
        <v>46111</v>
      </c>
      <c r="JT8" s="101" t="str">
        <f>JX5</f>
        <v>WK 15</v>
      </c>
      <c r="JU8" s="29" t="str">
        <f t="shared" ref="JU8" si="53">JV8</f>
        <v>WK 14</v>
      </c>
      <c r="JV8" s="107" t="str">
        <f>JP5</f>
        <v>WK 14</v>
      </c>
      <c r="JX8" s="35" t="str">
        <f t="shared" ref="JX8" si="54">JX5</f>
        <v>WK 15</v>
      </c>
      <c r="JY8" s="152">
        <f>JQ8+7</f>
        <v>46118</v>
      </c>
      <c r="JZ8" s="56">
        <f>JY8</f>
        <v>46118</v>
      </c>
      <c r="KA8" s="56">
        <f>JZ8</f>
        <v>46118</v>
      </c>
      <c r="KB8" s="101" t="str">
        <f>KF5</f>
        <v>WK 16</v>
      </c>
      <c r="KC8" s="29" t="str">
        <f t="shared" ref="KC8" si="55">KD8</f>
        <v>WK 15</v>
      </c>
      <c r="KD8" s="107" t="str">
        <f>JX5</f>
        <v>WK 15</v>
      </c>
      <c r="KF8" s="35" t="str">
        <f t="shared" ref="KF8" si="56">KF5</f>
        <v>WK 16</v>
      </c>
      <c r="KG8" s="175">
        <f>JY8+7</f>
        <v>46125</v>
      </c>
      <c r="KH8" s="56">
        <f>KG8</f>
        <v>46125</v>
      </c>
      <c r="KI8" s="56">
        <f>KH8</f>
        <v>46125</v>
      </c>
      <c r="KJ8" s="65">
        <v>46126</v>
      </c>
      <c r="KK8" s="101" t="str">
        <f>KO5</f>
        <v>WK 17</v>
      </c>
      <c r="KL8" s="29" t="str">
        <f t="shared" ref="KL8" si="57">KM8</f>
        <v>WK 16</v>
      </c>
      <c r="KM8" s="107" t="str">
        <f>KF5</f>
        <v>WK 16</v>
      </c>
      <c r="KO8" s="35" t="str">
        <f t="shared" ref="KO8" si="58">KO5</f>
        <v>WK 17</v>
      </c>
      <c r="KP8" s="138">
        <f>KG8+7</f>
        <v>46132</v>
      </c>
      <c r="KQ8" s="104">
        <f>KP8</f>
        <v>46132</v>
      </c>
      <c r="KR8" s="104">
        <f>KQ8</f>
        <v>46132</v>
      </c>
      <c r="KS8" s="188">
        <v>46136</v>
      </c>
      <c r="KT8" s="101" t="str">
        <f>KX5</f>
        <v>WK 18</v>
      </c>
      <c r="KU8" s="29" t="str">
        <f t="shared" ref="KU8" si="59">KV8</f>
        <v>WK 17</v>
      </c>
      <c r="KV8" s="107" t="str">
        <f>KO5</f>
        <v>WK 17</v>
      </c>
      <c r="KX8" s="35" t="str">
        <f t="shared" ref="KX8" si="60">KX5</f>
        <v>WK 18</v>
      </c>
      <c r="KY8" s="138">
        <f>KP8+7</f>
        <v>46139</v>
      </c>
      <c r="KZ8" s="104">
        <f>KY8</f>
        <v>46139</v>
      </c>
      <c r="LA8" s="104">
        <f>KZ8</f>
        <v>46139</v>
      </c>
      <c r="LB8" s="101" t="str">
        <f>LF5</f>
        <v>WK 19</v>
      </c>
      <c r="LC8" s="29" t="str">
        <f t="shared" ref="LC8" si="61">LD8</f>
        <v>WK 18</v>
      </c>
      <c r="LD8" s="107" t="str">
        <f t="shared" ref="LD8" si="62">KX5</f>
        <v>WK 18</v>
      </c>
      <c r="LF8" s="35" t="str">
        <f t="shared" ref="LF8" si="63">LF5</f>
        <v>WK 19</v>
      </c>
      <c r="LG8" s="138">
        <f>KY8+7</f>
        <v>46146</v>
      </c>
      <c r="LH8" s="104">
        <f>LG8</f>
        <v>46146</v>
      </c>
      <c r="LI8" s="104">
        <f>LH8</f>
        <v>46146</v>
      </c>
      <c r="LJ8" s="188">
        <v>46150</v>
      </c>
      <c r="LK8" s="101" t="str">
        <f>LO5</f>
        <v>WK 20</v>
      </c>
      <c r="LL8" s="29" t="str">
        <f t="shared" ref="LL8" si="64">LM8</f>
        <v>WK 19</v>
      </c>
      <c r="LM8" s="44" t="str">
        <f>LF5</f>
        <v>WK 19</v>
      </c>
      <c r="LO8" s="35" t="str">
        <f t="shared" ref="LO8" si="65">LO5</f>
        <v>WK 20</v>
      </c>
      <c r="LP8" s="138">
        <f>LG8+7</f>
        <v>46153</v>
      </c>
      <c r="LQ8" s="104">
        <f>LP8</f>
        <v>46153</v>
      </c>
      <c r="LR8" s="104">
        <f>LQ8</f>
        <v>46153</v>
      </c>
      <c r="LS8" s="101" t="str">
        <f>LW5</f>
        <v>WK 21</v>
      </c>
      <c r="LT8" s="29" t="str">
        <f t="shared" ref="LT8" si="66">LU8</f>
        <v>WK 20</v>
      </c>
      <c r="LU8" s="44" t="str">
        <f t="shared" ref="LU8" si="67">LO5</f>
        <v>WK 20</v>
      </c>
      <c r="LW8" s="35" t="str">
        <f t="shared" ref="LW8" si="68">LW5</f>
        <v>WK 21</v>
      </c>
      <c r="LX8" s="138">
        <f>LP8+7</f>
        <v>46160</v>
      </c>
      <c r="LY8" s="104">
        <f>LX8</f>
        <v>46160</v>
      </c>
      <c r="LZ8" s="104">
        <f>LY8</f>
        <v>46160</v>
      </c>
      <c r="MA8" s="101" t="str">
        <f>ME5</f>
        <v>WK 22</v>
      </c>
      <c r="MB8" s="29" t="str">
        <f t="shared" ref="MB8" si="69">MC8</f>
        <v>WK 21</v>
      </c>
      <c r="MC8" s="44" t="str">
        <f t="shared" ref="MC8" si="70">LW5</f>
        <v>WK 21</v>
      </c>
      <c r="ME8" s="35" t="str">
        <f t="shared" ref="ME8" si="71">ME5</f>
        <v>WK 22</v>
      </c>
      <c r="MF8" s="152">
        <f>LX8+7</f>
        <v>46167</v>
      </c>
      <c r="MG8" s="104">
        <f>MF8</f>
        <v>46167</v>
      </c>
      <c r="MH8" s="104">
        <f>MG8</f>
        <v>46167</v>
      </c>
      <c r="MI8" s="101" t="str">
        <f>MM5</f>
        <v>WK 23</v>
      </c>
      <c r="MJ8" s="29" t="str">
        <f t="shared" ref="MJ8" si="72">MK8</f>
        <v>WK 22</v>
      </c>
      <c r="MK8" s="44" t="str">
        <f t="shared" ref="MK8" si="73">ME5</f>
        <v>WK 22</v>
      </c>
      <c r="MM8" s="35" t="str">
        <f t="shared" ref="MM8" si="74">MM5</f>
        <v>WK 23</v>
      </c>
      <c r="MN8" s="138">
        <f>MF8+7</f>
        <v>46174</v>
      </c>
      <c r="MO8" s="104">
        <f>MN8</f>
        <v>46174</v>
      </c>
      <c r="MP8" s="104">
        <f>MO8</f>
        <v>46174</v>
      </c>
      <c r="MQ8" s="101" t="str">
        <f>MU5</f>
        <v>WK 24</v>
      </c>
      <c r="MR8" s="29" t="str">
        <f t="shared" ref="MR8" si="75">MS8</f>
        <v>WK 23</v>
      </c>
      <c r="MS8" s="44" t="str">
        <f t="shared" ref="MS8" si="76">MM5</f>
        <v>WK 23</v>
      </c>
      <c r="MU8" s="35" t="str">
        <f t="shared" ref="MU8" si="77">MU5</f>
        <v>WK 24</v>
      </c>
      <c r="MV8" s="138">
        <f>MN8+7</f>
        <v>46181</v>
      </c>
      <c r="MW8" s="104">
        <f>MV8</f>
        <v>46181</v>
      </c>
      <c r="MX8" s="104">
        <f>MW8</f>
        <v>46181</v>
      </c>
      <c r="MY8" s="101" t="str">
        <f>NC5</f>
        <v>WK 25</v>
      </c>
      <c r="MZ8" s="29" t="str">
        <f t="shared" ref="MZ8" si="78">NA8</f>
        <v>WK 24</v>
      </c>
      <c r="NA8" s="44" t="str">
        <f t="shared" ref="NA8" si="79">MU5</f>
        <v>WK 24</v>
      </c>
      <c r="NC8" s="35" t="str">
        <f t="shared" ref="NC8" si="80">NC5</f>
        <v>WK 25</v>
      </c>
      <c r="ND8" s="138">
        <f>MV8+7</f>
        <v>46188</v>
      </c>
      <c r="NE8" s="104">
        <f>ND8</f>
        <v>46188</v>
      </c>
      <c r="NF8" s="104">
        <f>NE8</f>
        <v>46188</v>
      </c>
      <c r="NG8" s="101" t="str">
        <f>NK5</f>
        <v>WK 26</v>
      </c>
      <c r="NH8" s="29" t="str">
        <f t="shared" ref="NH8" si="81">NI8</f>
        <v>WK 25</v>
      </c>
      <c r="NI8" s="44" t="str">
        <f t="shared" ref="NI8" si="82">NC5</f>
        <v>WK 25</v>
      </c>
      <c r="NK8" s="35" t="str">
        <f t="shared" ref="NK8" si="83">NK5</f>
        <v>WK 26</v>
      </c>
      <c r="NL8" s="138">
        <f>ND8+7</f>
        <v>46195</v>
      </c>
      <c r="NM8" s="104">
        <f>NL8</f>
        <v>46195</v>
      </c>
      <c r="NN8" s="104">
        <f>NM8</f>
        <v>46195</v>
      </c>
      <c r="NO8" s="101" t="str">
        <f>NS5</f>
        <v>WK 27</v>
      </c>
      <c r="NP8" s="29" t="str">
        <f t="shared" ref="NP8" si="84">NQ8</f>
        <v>WK 26</v>
      </c>
      <c r="NQ8" s="44" t="str">
        <f t="shared" ref="NQ8" si="85">NK5</f>
        <v>WK 26</v>
      </c>
      <c r="NS8" s="35" t="str">
        <f t="shared" ref="NS8" si="86">NS5</f>
        <v>WK 27</v>
      </c>
      <c r="NT8" s="138">
        <f>NL8+7</f>
        <v>46202</v>
      </c>
      <c r="NU8" s="104">
        <f>NT8</f>
        <v>46202</v>
      </c>
      <c r="NV8" s="104">
        <f>NU8</f>
        <v>46202</v>
      </c>
      <c r="NW8" s="101" t="str">
        <f>OA5</f>
        <v>WK 28</v>
      </c>
      <c r="NX8" s="29" t="str">
        <f t="shared" ref="NX8" si="87">NY8</f>
        <v>WK 27</v>
      </c>
      <c r="NY8" s="44" t="str">
        <f t="shared" ref="NY8" si="88">NS5</f>
        <v>WK 27</v>
      </c>
      <c r="OA8" s="35" t="str">
        <f t="shared" ref="OA8" si="89">OA5</f>
        <v>WK 28</v>
      </c>
      <c r="OB8" s="138">
        <f>NT8+7</f>
        <v>46209</v>
      </c>
      <c r="OC8" s="104">
        <f>OB8</f>
        <v>46209</v>
      </c>
      <c r="OD8" s="104">
        <f>OC8</f>
        <v>46209</v>
      </c>
      <c r="OE8" s="101" t="str">
        <f>OI5</f>
        <v>WK 29</v>
      </c>
      <c r="OF8" s="29" t="str">
        <f t="shared" ref="OF8" si="90">OG8</f>
        <v>WK 28</v>
      </c>
      <c r="OG8" s="44" t="str">
        <f t="shared" ref="OG8" si="91">OA5</f>
        <v>WK 28</v>
      </c>
      <c r="OI8" s="35" t="str">
        <f t="shared" ref="OI8" si="92">OI5</f>
        <v>WK 29</v>
      </c>
      <c r="OJ8" s="138">
        <f>OB8+7</f>
        <v>46216</v>
      </c>
      <c r="OK8" s="104">
        <f>OJ8</f>
        <v>46216</v>
      </c>
      <c r="OL8" s="104">
        <f>OK8</f>
        <v>46216</v>
      </c>
      <c r="OM8" s="101" t="str">
        <f>OQ5</f>
        <v>WK 30</v>
      </c>
      <c r="ON8" s="29" t="str">
        <f t="shared" ref="ON8" si="93">OO8</f>
        <v>WK 29</v>
      </c>
      <c r="OO8" s="44" t="str">
        <f t="shared" ref="OO8" si="94">OI5</f>
        <v>WK 29</v>
      </c>
      <c r="OQ8" s="35" t="str">
        <f t="shared" ref="OQ8" si="95">OQ5</f>
        <v>WK 30</v>
      </c>
      <c r="OR8" s="138">
        <f>OJ8+7</f>
        <v>46223</v>
      </c>
      <c r="OS8" s="104">
        <f>OR8</f>
        <v>46223</v>
      </c>
      <c r="OT8" s="104">
        <f>OS8</f>
        <v>46223</v>
      </c>
      <c r="OU8" s="101" t="str">
        <f>OY5</f>
        <v>WK 31</v>
      </c>
      <c r="OV8" s="29" t="str">
        <f t="shared" ref="OV8" si="96">OW8</f>
        <v>WK 30</v>
      </c>
      <c r="OW8" s="44" t="str">
        <f t="shared" ref="OW8" si="97">OQ5</f>
        <v>WK 30</v>
      </c>
      <c r="OY8" s="35" t="str">
        <f t="shared" ref="OY8" si="98">OY5</f>
        <v>WK 31</v>
      </c>
      <c r="OZ8" s="138">
        <f>OR8+7</f>
        <v>46230</v>
      </c>
      <c r="PA8" s="104">
        <f>OZ8</f>
        <v>46230</v>
      </c>
      <c r="PB8" s="104">
        <f>PA8</f>
        <v>46230</v>
      </c>
      <c r="PC8" s="101" t="str">
        <f>PG5</f>
        <v>WK 32</v>
      </c>
      <c r="PD8" s="29" t="str">
        <f t="shared" ref="PD8" si="99">PE8</f>
        <v>WK 31</v>
      </c>
      <c r="PE8" s="44" t="str">
        <f t="shared" ref="PE8" si="100">OY5</f>
        <v>WK 31</v>
      </c>
      <c r="PG8" s="35" t="str">
        <f t="shared" ref="PG8" si="101">PG5</f>
        <v>WK 32</v>
      </c>
      <c r="PH8" s="138">
        <f>OZ8+7</f>
        <v>46237</v>
      </c>
      <c r="PI8" s="104">
        <f>PH8</f>
        <v>46237</v>
      </c>
      <c r="PJ8" s="104">
        <f>PI8</f>
        <v>46237</v>
      </c>
      <c r="PK8" s="101" t="str">
        <f>PO5</f>
        <v>WK 33</v>
      </c>
      <c r="PL8" s="29" t="str">
        <f t="shared" ref="PL8" si="102">PM8</f>
        <v>WK 32</v>
      </c>
      <c r="PM8" s="44" t="str">
        <f t="shared" ref="PM8" si="103">PG5</f>
        <v>WK 32</v>
      </c>
      <c r="PO8" s="35" t="str">
        <f t="shared" ref="PO8" si="104">PO5</f>
        <v>WK 33</v>
      </c>
      <c r="PP8" s="138">
        <f>PH8+7</f>
        <v>46244</v>
      </c>
      <c r="PQ8" s="104">
        <f>PP8</f>
        <v>46244</v>
      </c>
      <c r="PR8" s="104">
        <f>PQ8</f>
        <v>46244</v>
      </c>
      <c r="PS8" s="101" t="str">
        <f>PW5</f>
        <v>WK 34</v>
      </c>
      <c r="PT8" s="29" t="str">
        <f t="shared" ref="PT8" si="105">PU8</f>
        <v>WK 33</v>
      </c>
      <c r="PU8" s="44" t="str">
        <f t="shared" ref="PU8" si="106">PO5</f>
        <v>WK 33</v>
      </c>
      <c r="PW8" s="35" t="str">
        <f t="shared" ref="PW8" si="107">PW5</f>
        <v>WK 34</v>
      </c>
      <c r="PX8" s="138">
        <f>PP8+7</f>
        <v>46251</v>
      </c>
      <c r="PY8" s="104">
        <f>PX8</f>
        <v>46251</v>
      </c>
      <c r="PZ8" s="104">
        <f>PY8</f>
        <v>46251</v>
      </c>
      <c r="QA8" s="101" t="str">
        <f>QE5</f>
        <v>WK 35</v>
      </c>
      <c r="QB8" s="29" t="str">
        <f t="shared" ref="QB8" si="108">QC8</f>
        <v>WK 34</v>
      </c>
      <c r="QC8" s="44" t="str">
        <f t="shared" ref="QC8" si="109">PW5</f>
        <v>WK 34</v>
      </c>
      <c r="QE8" s="35" t="str">
        <f t="shared" ref="QE8" si="110">QE5</f>
        <v>WK 35</v>
      </c>
      <c r="QF8" s="138">
        <f>PX8+7</f>
        <v>46258</v>
      </c>
      <c r="QG8" s="104">
        <f>QF8</f>
        <v>46258</v>
      </c>
      <c r="QH8" s="104">
        <f>QG8</f>
        <v>46258</v>
      </c>
      <c r="QI8" s="101" t="str">
        <f>QM5</f>
        <v>WK 36</v>
      </c>
      <c r="QJ8" s="29" t="str">
        <f t="shared" ref="QJ8" si="111">QK8</f>
        <v>WK 35</v>
      </c>
      <c r="QK8" s="44" t="str">
        <f t="shared" ref="QK8" si="112">QE5</f>
        <v>WK 35</v>
      </c>
      <c r="QM8" s="35" t="str">
        <f t="shared" ref="QM8" si="113">QM5</f>
        <v>WK 36</v>
      </c>
      <c r="QN8" s="138">
        <f>QF8+7</f>
        <v>46265</v>
      </c>
      <c r="QO8" s="104">
        <f>QN8</f>
        <v>46265</v>
      </c>
      <c r="QP8" s="104">
        <f>QO8</f>
        <v>46265</v>
      </c>
      <c r="QQ8" s="101" t="str">
        <f>QU5</f>
        <v>WK 37</v>
      </c>
      <c r="QR8" s="29" t="str">
        <f t="shared" ref="QR8" si="114">QS8</f>
        <v>WK 36</v>
      </c>
      <c r="QS8" s="44" t="str">
        <f t="shared" ref="QS8" si="115">QM5</f>
        <v>WK 36</v>
      </c>
      <c r="QU8" s="35" t="str">
        <f t="shared" ref="QU8" si="116">QU5</f>
        <v>WK 37</v>
      </c>
      <c r="QV8" s="138">
        <f>QN8+7</f>
        <v>46272</v>
      </c>
      <c r="QW8" s="104">
        <f>QV8</f>
        <v>46272</v>
      </c>
      <c r="QX8" s="104">
        <f>QW8</f>
        <v>46272</v>
      </c>
      <c r="QY8" s="101" t="str">
        <f>RC5</f>
        <v>WK 38</v>
      </c>
      <c r="QZ8" s="29" t="str">
        <f t="shared" ref="QZ8" si="117">RA8</f>
        <v>WK 37</v>
      </c>
      <c r="RA8" s="44" t="str">
        <f t="shared" ref="RA8" si="118">QU5</f>
        <v>WK 37</v>
      </c>
      <c r="RC8" s="35" t="str">
        <f t="shared" ref="RC8" si="119">RC5</f>
        <v>WK 38</v>
      </c>
      <c r="RD8" s="138">
        <f>QV8+7</f>
        <v>46279</v>
      </c>
      <c r="RE8" s="104">
        <f>RD8</f>
        <v>46279</v>
      </c>
      <c r="RF8" s="104">
        <f>RE8</f>
        <v>46279</v>
      </c>
      <c r="RG8" s="101" t="str">
        <f>RK5</f>
        <v>WK 39</v>
      </c>
      <c r="RH8" s="29" t="str">
        <f t="shared" ref="RH8" si="120">RI8</f>
        <v>WK 38</v>
      </c>
      <c r="RI8" s="44" t="str">
        <f t="shared" ref="RI8" si="121">RC5</f>
        <v>WK 38</v>
      </c>
      <c r="RK8" s="35" t="str">
        <f t="shared" ref="RK8" si="122">RK5</f>
        <v>WK 39</v>
      </c>
      <c r="RL8" s="138">
        <f>RD8+7</f>
        <v>46286</v>
      </c>
      <c r="RM8" s="104">
        <f>RL8</f>
        <v>46286</v>
      </c>
      <c r="RN8" s="104">
        <f>RM8</f>
        <v>46286</v>
      </c>
      <c r="RO8" s="101" t="str">
        <f>RS5</f>
        <v>WK 40</v>
      </c>
      <c r="RP8" s="29" t="str">
        <f t="shared" ref="RP8" si="123">RQ8</f>
        <v>WK 39</v>
      </c>
      <c r="RQ8" s="44" t="str">
        <f t="shared" ref="RQ8" si="124">RK5</f>
        <v>WK 39</v>
      </c>
      <c r="RS8" s="35" t="str">
        <f t="shared" ref="RS8" si="125">RS5</f>
        <v>WK 40</v>
      </c>
      <c r="RT8" s="138">
        <f>RL8+7</f>
        <v>46293</v>
      </c>
      <c r="RU8" s="104">
        <f>RT8</f>
        <v>46293</v>
      </c>
      <c r="RV8" s="104">
        <f>RU8</f>
        <v>46293</v>
      </c>
      <c r="RW8" s="101" t="str">
        <f>SA5</f>
        <v>WK 41</v>
      </c>
      <c r="RX8" s="29" t="str">
        <f t="shared" ref="RX8" si="126">RY8</f>
        <v>WK 40</v>
      </c>
      <c r="RY8" s="44" t="str">
        <f t="shared" ref="RY8" si="127">RS5</f>
        <v>WK 40</v>
      </c>
      <c r="SA8" s="35" t="str">
        <f t="shared" ref="SA8" si="128">SA5</f>
        <v>WK 41</v>
      </c>
      <c r="SB8" s="138">
        <f>RT8+7</f>
        <v>46300</v>
      </c>
      <c r="SC8" s="104">
        <f>SB8</f>
        <v>46300</v>
      </c>
      <c r="SD8" s="104">
        <f>SC8</f>
        <v>46300</v>
      </c>
      <c r="SE8" s="101" t="str">
        <f>SI5</f>
        <v>WK 42</v>
      </c>
      <c r="SF8" s="29" t="str">
        <f t="shared" ref="SF8" si="129">SG8</f>
        <v>WK 41</v>
      </c>
      <c r="SG8" s="44" t="str">
        <f t="shared" ref="SG8" si="130">SA5</f>
        <v>WK 41</v>
      </c>
      <c r="SI8" s="35" t="str">
        <f t="shared" ref="SI8" si="131">SI5</f>
        <v>WK 42</v>
      </c>
      <c r="SJ8" s="138">
        <f>SB8+7</f>
        <v>46307</v>
      </c>
      <c r="SK8" s="104">
        <f>SJ8</f>
        <v>46307</v>
      </c>
      <c r="SL8" s="104">
        <f>SK8</f>
        <v>46307</v>
      </c>
      <c r="SM8" s="101" t="str">
        <f>SQ5</f>
        <v>WK 43</v>
      </c>
      <c r="SN8" s="29" t="str">
        <f t="shared" ref="SN8" si="132">SO8</f>
        <v>WK 42</v>
      </c>
      <c r="SO8" s="44" t="str">
        <f t="shared" ref="SO8" si="133">SI5</f>
        <v>WK 42</v>
      </c>
      <c r="SQ8" s="35" t="str">
        <f t="shared" ref="SQ8" si="134">SQ5</f>
        <v>WK 43</v>
      </c>
      <c r="SR8" s="138">
        <f>SJ8+7</f>
        <v>46314</v>
      </c>
      <c r="SS8" s="104">
        <f>SR8</f>
        <v>46314</v>
      </c>
      <c r="ST8" s="104">
        <f>SS8</f>
        <v>46314</v>
      </c>
      <c r="SU8" s="101" t="str">
        <f>SY5</f>
        <v>WK 44</v>
      </c>
      <c r="SV8" s="29" t="str">
        <f t="shared" ref="SV8" si="135">SW8</f>
        <v>WK 43</v>
      </c>
      <c r="SW8" s="44" t="str">
        <f t="shared" ref="SW8" si="136">SQ5</f>
        <v>WK 43</v>
      </c>
      <c r="SY8" s="35" t="str">
        <f t="shared" ref="SY8" si="137">SY5</f>
        <v>WK 44</v>
      </c>
      <c r="SZ8" s="138">
        <f>SR8+7</f>
        <v>46321</v>
      </c>
      <c r="TA8" s="104">
        <f>SZ8</f>
        <v>46321</v>
      </c>
      <c r="TB8" s="104">
        <f>TA8</f>
        <v>46321</v>
      </c>
      <c r="TC8" s="101" t="str">
        <f>TG5</f>
        <v>WK 45</v>
      </c>
      <c r="TD8" s="29" t="str">
        <f t="shared" ref="TD8" si="138">TE8</f>
        <v>WK 44</v>
      </c>
      <c r="TE8" s="44" t="str">
        <f t="shared" ref="TE8" si="139">SY5</f>
        <v>WK 44</v>
      </c>
      <c r="TG8" s="35" t="str">
        <f t="shared" ref="TG8" si="140">TG5</f>
        <v>WK 45</v>
      </c>
      <c r="TH8" s="138">
        <f>SZ8+7</f>
        <v>46328</v>
      </c>
      <c r="TI8" s="104">
        <f>TH8</f>
        <v>46328</v>
      </c>
      <c r="TJ8" s="104">
        <f>TI8</f>
        <v>46328</v>
      </c>
      <c r="TK8" s="101" t="str">
        <f>TO5</f>
        <v>WK 46</v>
      </c>
      <c r="TL8" s="29" t="str">
        <f t="shared" ref="TL8" si="141">TM8</f>
        <v>WK 45</v>
      </c>
      <c r="TM8" s="44" t="str">
        <f t="shared" ref="TM8" si="142">TG5</f>
        <v>WK 45</v>
      </c>
      <c r="TO8" s="35" t="str">
        <f t="shared" ref="TO8" si="143">TO5</f>
        <v>WK 46</v>
      </c>
      <c r="TP8" s="138">
        <f>TH8+7</f>
        <v>46335</v>
      </c>
      <c r="TQ8" s="104">
        <f>TP8</f>
        <v>46335</v>
      </c>
      <c r="TR8" s="104">
        <f>TQ8</f>
        <v>46335</v>
      </c>
      <c r="TS8" s="101" t="str">
        <f>TW5</f>
        <v>WK 47</v>
      </c>
      <c r="TT8" s="29" t="str">
        <f t="shared" ref="TT8" si="144">TU8</f>
        <v>WK 46</v>
      </c>
      <c r="TU8" s="44" t="str">
        <f t="shared" ref="TU8" si="145">TO5</f>
        <v>WK 46</v>
      </c>
      <c r="TW8" s="35" t="str">
        <f t="shared" ref="TW8" si="146">TW5</f>
        <v>WK 47</v>
      </c>
      <c r="TX8" s="138">
        <f>TP8+7</f>
        <v>46342</v>
      </c>
      <c r="TY8" s="104">
        <f>TX8</f>
        <v>46342</v>
      </c>
      <c r="TZ8" s="104">
        <f>TY8</f>
        <v>46342</v>
      </c>
      <c r="UA8" s="101" t="str">
        <f>UE5</f>
        <v>WK 48</v>
      </c>
      <c r="UB8" s="29" t="str">
        <f t="shared" ref="UB8" si="147">UC8</f>
        <v>WK 47</v>
      </c>
      <c r="UC8" s="44" t="str">
        <f t="shared" ref="UC8" si="148">TW5</f>
        <v>WK 47</v>
      </c>
      <c r="UE8" s="35" t="str">
        <f t="shared" ref="UE8" si="149">UE5</f>
        <v>WK 48</v>
      </c>
      <c r="UF8" s="138">
        <f>TX8+7</f>
        <v>46349</v>
      </c>
      <c r="UG8" s="104">
        <f>UF8</f>
        <v>46349</v>
      </c>
      <c r="UH8" s="104">
        <f>UG8</f>
        <v>46349</v>
      </c>
      <c r="UI8" s="101" t="str">
        <f>UM5</f>
        <v>WK 49</v>
      </c>
      <c r="UJ8" s="29" t="str">
        <f t="shared" ref="UJ8" si="150">UK8</f>
        <v>WK 48</v>
      </c>
      <c r="UK8" s="44" t="str">
        <f t="shared" ref="UK8" si="151">UE5</f>
        <v>WK 48</v>
      </c>
      <c r="UM8" s="35" t="str">
        <f t="shared" ref="UM8" si="152">UM5</f>
        <v>WK 49</v>
      </c>
      <c r="UN8" s="138">
        <f>UF8+7</f>
        <v>46356</v>
      </c>
      <c r="UO8" s="104">
        <f>UN8</f>
        <v>46356</v>
      </c>
      <c r="UP8" s="104">
        <f>UO8</f>
        <v>46356</v>
      </c>
      <c r="UQ8" s="101" t="str">
        <f>UU5</f>
        <v>WK 50</v>
      </c>
      <c r="UR8" s="29" t="str">
        <f t="shared" ref="UR8" si="153">US8</f>
        <v>WK 49</v>
      </c>
      <c r="US8" s="44" t="str">
        <f t="shared" ref="US8" si="154">UM5</f>
        <v>WK 49</v>
      </c>
      <c r="UU8" s="35" t="str">
        <f t="shared" ref="UU8" si="155">UU5</f>
        <v>WK 50</v>
      </c>
      <c r="UV8" s="138">
        <f>UN8+7</f>
        <v>46363</v>
      </c>
      <c r="UW8" s="104">
        <f>UV8</f>
        <v>46363</v>
      </c>
      <c r="UX8" s="104">
        <f>UW8</f>
        <v>46363</v>
      </c>
      <c r="UY8" s="101" t="str">
        <f>VC5</f>
        <v>WK 51</v>
      </c>
      <c r="UZ8" s="29" t="str">
        <f t="shared" ref="UZ8" si="156">VA8</f>
        <v>WK 50</v>
      </c>
      <c r="VA8" s="44" t="str">
        <f t="shared" ref="VA8" si="157">UU5</f>
        <v>WK 50</v>
      </c>
      <c r="VC8" s="35" t="str">
        <f t="shared" ref="VC8" si="158">VC5</f>
        <v>WK 51</v>
      </c>
      <c r="VD8" s="138">
        <f>UV8+7</f>
        <v>46370</v>
      </c>
      <c r="VE8" s="104">
        <f>VD8</f>
        <v>46370</v>
      </c>
      <c r="VF8" s="104">
        <f>VE8</f>
        <v>46370</v>
      </c>
      <c r="VG8" s="101" t="str">
        <f>VK5</f>
        <v>WK 52</v>
      </c>
      <c r="VH8" s="29" t="str">
        <f t="shared" ref="VH8" si="159">VI8</f>
        <v>WK 51</v>
      </c>
      <c r="VI8" s="44" t="str">
        <f t="shared" ref="VI8" si="160">VC5</f>
        <v>WK 51</v>
      </c>
      <c r="VK8" s="35" t="str">
        <f t="shared" ref="VK8" si="161">VK5</f>
        <v>WK 52</v>
      </c>
      <c r="VL8" s="138">
        <f>VD8+7</f>
        <v>46377</v>
      </c>
      <c r="VM8" s="104">
        <f>VL8</f>
        <v>46377</v>
      </c>
      <c r="VN8" s="104">
        <f>VM8</f>
        <v>46377</v>
      </c>
      <c r="VO8" s="101">
        <f>VS5</f>
        <v>0</v>
      </c>
      <c r="VP8" s="29" t="str">
        <f t="shared" ref="VP8" si="162">VQ8</f>
        <v>WK 52</v>
      </c>
      <c r="VQ8" s="44" t="str">
        <f t="shared" ref="VQ8" si="163">VK5</f>
        <v>WK 52</v>
      </c>
    </row>
    <row r="9" spans="1:589" ht="15.75" thickBot="1" x14ac:dyDescent="0.3">
      <c r="A9" s="19"/>
      <c r="B9" s="20"/>
      <c r="C9" s="20"/>
      <c r="D9" s="20"/>
      <c r="E9" s="21"/>
      <c r="F9" s="22"/>
      <c r="H9" s="36"/>
      <c r="I9" s="57"/>
      <c r="J9" s="57"/>
      <c r="K9" s="57"/>
      <c r="L9" s="40"/>
      <c r="M9" s="27"/>
      <c r="N9" s="108"/>
      <c r="P9" s="36"/>
      <c r="Q9" s="57"/>
      <c r="R9" s="57"/>
      <c r="S9" s="57"/>
      <c r="T9" s="40"/>
      <c r="U9" s="27"/>
      <c r="V9" s="108"/>
      <c r="X9" s="36"/>
      <c r="Y9" s="57"/>
      <c r="Z9" s="57"/>
      <c r="AA9" s="57"/>
      <c r="AB9" s="40"/>
      <c r="AC9" s="27"/>
      <c r="AD9" s="108"/>
      <c r="AF9" s="36"/>
      <c r="AG9" s="57"/>
      <c r="AH9" s="57"/>
      <c r="AI9" s="57"/>
      <c r="AJ9" s="40"/>
      <c r="AK9" s="27"/>
      <c r="AL9" s="108"/>
      <c r="AN9" s="36"/>
      <c r="AO9" s="57"/>
      <c r="AP9" s="57"/>
      <c r="AQ9" s="57"/>
      <c r="AR9" s="59"/>
      <c r="AS9" s="40"/>
      <c r="AT9" s="27"/>
      <c r="AU9" s="108"/>
      <c r="AW9" s="36"/>
      <c r="AX9" s="57"/>
      <c r="AY9" s="57"/>
      <c r="AZ9" s="57"/>
      <c r="BA9" s="40"/>
      <c r="BB9" s="27"/>
      <c r="BC9" s="108"/>
      <c r="BE9" s="36"/>
      <c r="BF9" s="57"/>
      <c r="BG9" s="57"/>
      <c r="BH9" s="57"/>
      <c r="BI9" s="59"/>
      <c r="BJ9" s="59"/>
      <c r="BK9" s="40"/>
      <c r="BL9" s="27"/>
      <c r="BM9" s="108"/>
      <c r="BO9" s="36"/>
      <c r="BP9" s="57"/>
      <c r="BQ9" s="57"/>
      <c r="BR9" s="57"/>
      <c r="BS9" s="59"/>
      <c r="BT9" s="59"/>
      <c r="BU9" s="59"/>
      <c r="BV9" s="40"/>
      <c r="BW9" s="27"/>
      <c r="BX9" s="108"/>
      <c r="BZ9" s="36"/>
      <c r="CA9" s="57"/>
      <c r="CB9" s="57"/>
      <c r="CC9" s="57"/>
      <c r="CD9" s="59"/>
      <c r="CE9" s="59"/>
      <c r="CF9" s="40"/>
      <c r="CG9" s="27"/>
      <c r="CH9" s="108"/>
      <c r="CJ9" s="36"/>
      <c r="CK9" s="57"/>
      <c r="CL9" s="57"/>
      <c r="CM9" s="57"/>
      <c r="CN9" s="59"/>
      <c r="CO9" s="148"/>
      <c r="CP9" s="27"/>
      <c r="CQ9" s="108"/>
      <c r="CS9" s="134"/>
      <c r="CT9" s="153"/>
      <c r="CU9" s="57"/>
      <c r="CV9" s="57"/>
      <c r="CW9" s="59"/>
      <c r="CX9" s="59"/>
      <c r="CY9" s="40"/>
      <c r="CZ9" s="27"/>
      <c r="DA9" s="108"/>
      <c r="DC9" s="36"/>
      <c r="DD9" s="57"/>
      <c r="DE9" s="57"/>
      <c r="DF9" s="57"/>
      <c r="DG9" s="59"/>
      <c r="DH9" s="40"/>
      <c r="DI9" s="27"/>
      <c r="DJ9" s="108"/>
      <c r="DL9" s="36"/>
      <c r="DM9" s="176"/>
      <c r="DN9" s="177"/>
      <c r="DO9" s="177"/>
      <c r="DP9" s="40"/>
      <c r="DQ9" s="27"/>
      <c r="DR9" s="108"/>
      <c r="DT9" s="36"/>
      <c r="DU9" s="176"/>
      <c r="DV9" s="177"/>
      <c r="DW9" s="177"/>
      <c r="DX9" s="59"/>
      <c r="DY9" s="59"/>
      <c r="DZ9" s="40"/>
      <c r="EA9" s="27"/>
      <c r="EB9" s="108"/>
      <c r="ED9" s="36"/>
      <c r="EE9" s="176"/>
      <c r="EF9" s="177"/>
      <c r="EG9" s="177"/>
      <c r="EH9" s="59"/>
      <c r="EI9" s="40"/>
      <c r="EJ9" s="27"/>
      <c r="EK9" s="108"/>
      <c r="EM9" s="36"/>
      <c r="EN9" s="176"/>
      <c r="EO9" s="177"/>
      <c r="EP9" s="177"/>
      <c r="EQ9" s="40"/>
      <c r="ER9" s="27"/>
      <c r="ES9" s="108"/>
      <c r="EU9" s="36"/>
      <c r="EV9" s="176"/>
      <c r="EW9" s="177"/>
      <c r="EX9" s="177"/>
      <c r="EY9" s="40"/>
      <c r="EZ9" s="27"/>
      <c r="FA9" s="108"/>
      <c r="FC9" s="36"/>
      <c r="FD9" s="153"/>
      <c r="FE9" s="153"/>
      <c r="FF9" s="153"/>
      <c r="FG9" s="40"/>
      <c r="FH9" s="27"/>
      <c r="FI9" s="108"/>
      <c r="FK9" s="36"/>
      <c r="FL9" s="176"/>
      <c r="FM9" s="177"/>
      <c r="FN9" s="177"/>
      <c r="FO9" s="40"/>
      <c r="FP9" s="27"/>
      <c r="FQ9" s="108"/>
      <c r="FS9" s="36"/>
      <c r="FT9" s="176"/>
      <c r="FU9" s="177"/>
      <c r="FV9" s="177"/>
      <c r="FW9" s="59"/>
      <c r="FX9" s="59"/>
      <c r="FY9" s="59"/>
      <c r="FZ9" s="59"/>
      <c r="GA9" s="59"/>
      <c r="GB9" s="40"/>
      <c r="GC9" s="27"/>
      <c r="GD9" s="108"/>
      <c r="GF9" s="36"/>
      <c r="GG9" s="176"/>
      <c r="GH9" s="177"/>
      <c r="GI9" s="177"/>
      <c r="GJ9" s="59"/>
      <c r="GK9" s="40"/>
      <c r="GL9" s="27"/>
      <c r="GM9" s="108"/>
      <c r="GO9" s="36"/>
      <c r="GP9" s="176"/>
      <c r="GQ9" s="177"/>
      <c r="GR9" s="177"/>
      <c r="GS9" s="59"/>
      <c r="GT9" s="40"/>
      <c r="GU9" s="27"/>
      <c r="GV9" s="108"/>
      <c r="GX9" s="36"/>
      <c r="GY9" s="176"/>
      <c r="GZ9" s="177"/>
      <c r="HA9" s="177"/>
      <c r="HB9" s="59"/>
      <c r="HC9" s="40"/>
      <c r="HD9" s="27"/>
      <c r="HE9" s="108"/>
      <c r="HG9" s="36"/>
      <c r="HH9" s="176"/>
      <c r="HI9" s="177"/>
      <c r="HJ9" s="177"/>
      <c r="HK9" s="59"/>
      <c r="HL9" s="40"/>
      <c r="HM9" s="27"/>
      <c r="HN9" s="108"/>
      <c r="HP9" s="36"/>
      <c r="HQ9" s="176"/>
      <c r="HR9" s="177"/>
      <c r="HS9" s="177"/>
      <c r="HT9" s="59"/>
      <c r="HU9" s="40"/>
      <c r="HV9" s="27"/>
      <c r="HW9" s="108"/>
      <c r="HY9" s="36"/>
      <c r="HZ9" s="176"/>
      <c r="IA9" s="177"/>
      <c r="IB9" s="177"/>
      <c r="IC9" s="59"/>
      <c r="ID9" s="40"/>
      <c r="IE9" s="27"/>
      <c r="IF9" s="108"/>
      <c r="IH9" s="36"/>
      <c r="II9" s="176"/>
      <c r="IJ9" s="177"/>
      <c r="IK9" s="177"/>
      <c r="IL9" s="40"/>
      <c r="IM9" s="27"/>
      <c r="IN9" s="108"/>
      <c r="IP9" s="36"/>
      <c r="IQ9" s="176"/>
      <c r="IR9" s="177"/>
      <c r="IS9" s="177"/>
      <c r="IT9" s="59"/>
      <c r="IU9" s="40"/>
      <c r="IV9" s="27"/>
      <c r="IW9" s="108"/>
      <c r="IY9" s="36"/>
      <c r="IZ9" s="176"/>
      <c r="JA9" s="177"/>
      <c r="JB9" s="177"/>
      <c r="JC9" s="40"/>
      <c r="JD9" s="27"/>
      <c r="JE9" s="108"/>
      <c r="JG9" s="36"/>
      <c r="JH9" s="176"/>
      <c r="JI9" s="177"/>
      <c r="JJ9" s="177"/>
      <c r="JK9" s="59"/>
      <c r="JL9" s="40"/>
      <c r="JM9" s="27"/>
      <c r="JN9" s="108"/>
      <c r="JP9" s="36"/>
      <c r="JQ9" s="176"/>
      <c r="JR9" s="177"/>
      <c r="JS9" s="177"/>
      <c r="JT9" s="40"/>
      <c r="JU9" s="27"/>
      <c r="JV9" s="108"/>
      <c r="JX9" s="36"/>
      <c r="JY9" s="153"/>
      <c r="JZ9" s="177"/>
      <c r="KA9" s="177"/>
      <c r="KB9" s="40"/>
      <c r="KC9" s="27"/>
      <c r="KD9" s="108"/>
      <c r="KF9" s="36"/>
      <c r="KG9" s="176"/>
      <c r="KH9" s="177"/>
      <c r="KI9" s="177"/>
      <c r="KJ9" s="59"/>
      <c r="KK9" s="40"/>
      <c r="KL9" s="27"/>
      <c r="KM9" s="108"/>
      <c r="KO9" s="36"/>
      <c r="KP9" s="139"/>
      <c r="KQ9" s="23"/>
      <c r="KR9" s="23"/>
      <c r="KS9" s="59"/>
      <c r="KT9" s="40"/>
      <c r="KU9" s="27"/>
      <c r="KV9" s="108"/>
      <c r="KX9" s="36"/>
      <c r="KY9" s="139"/>
      <c r="KZ9" s="23"/>
      <c r="LA9" s="23"/>
      <c r="LB9" s="40"/>
      <c r="LC9" s="27"/>
      <c r="LD9" s="108"/>
      <c r="LF9" s="36"/>
      <c r="LG9" s="139"/>
      <c r="LH9" s="23"/>
      <c r="LI9" s="23"/>
      <c r="LJ9" s="59"/>
      <c r="LK9" s="40"/>
      <c r="LL9" s="27"/>
      <c r="LM9" s="45"/>
      <c r="LO9" s="36"/>
      <c r="LP9" s="139"/>
      <c r="LQ9" s="23"/>
      <c r="LR9" s="23"/>
      <c r="LS9" s="40"/>
      <c r="LT9" s="27"/>
      <c r="LU9" s="45"/>
      <c r="LW9" s="36"/>
      <c r="LX9" s="139"/>
      <c r="LY9" s="23"/>
      <c r="LZ9" s="23"/>
      <c r="MA9" s="40"/>
      <c r="MB9" s="27"/>
      <c r="MC9" s="45"/>
      <c r="ME9" s="36"/>
      <c r="MF9" s="153"/>
      <c r="MG9" s="23"/>
      <c r="MH9" s="23"/>
      <c r="MI9" s="40"/>
      <c r="MJ9" s="27"/>
      <c r="MK9" s="45"/>
      <c r="MM9" s="36"/>
      <c r="MN9" s="139"/>
      <c r="MO9" s="23"/>
      <c r="MP9" s="23"/>
      <c r="MQ9" s="40"/>
      <c r="MR9" s="27"/>
      <c r="MS9" s="45"/>
      <c r="MU9" s="36"/>
      <c r="MV9" s="139"/>
      <c r="MW9" s="23"/>
      <c r="MX9" s="23"/>
      <c r="MY9" s="40"/>
      <c r="MZ9" s="27"/>
      <c r="NA9" s="45"/>
      <c r="NC9" s="36"/>
      <c r="ND9" s="139"/>
      <c r="NE9" s="23"/>
      <c r="NF9" s="23"/>
      <c r="NG9" s="40"/>
      <c r="NH9" s="27"/>
      <c r="NI9" s="45"/>
      <c r="NK9" s="36"/>
      <c r="NL9" s="139"/>
      <c r="NM9" s="23"/>
      <c r="NN9" s="23"/>
      <c r="NO9" s="40"/>
      <c r="NP9" s="27"/>
      <c r="NQ9" s="45"/>
      <c r="NS9" s="36"/>
      <c r="NT9" s="139"/>
      <c r="NU9" s="23"/>
      <c r="NV9" s="23"/>
      <c r="NW9" s="40"/>
      <c r="NX9" s="27"/>
      <c r="NY9" s="45"/>
      <c r="OA9" s="36"/>
      <c r="OB9" s="139"/>
      <c r="OC9" s="23"/>
      <c r="OD9" s="23"/>
      <c r="OE9" s="40"/>
      <c r="OF9" s="27"/>
      <c r="OG9" s="45"/>
      <c r="OI9" s="36"/>
      <c r="OJ9" s="139"/>
      <c r="OK9" s="23"/>
      <c r="OL9" s="23"/>
      <c r="OM9" s="40"/>
      <c r="ON9" s="27"/>
      <c r="OO9" s="45"/>
      <c r="OQ9" s="36"/>
      <c r="OR9" s="139"/>
      <c r="OS9" s="23"/>
      <c r="OT9" s="23"/>
      <c r="OU9" s="40"/>
      <c r="OV9" s="27"/>
      <c r="OW9" s="45"/>
      <c r="OY9" s="36"/>
      <c r="OZ9" s="139"/>
      <c r="PA9" s="23"/>
      <c r="PB9" s="23"/>
      <c r="PC9" s="40"/>
      <c r="PD9" s="27"/>
      <c r="PE9" s="45"/>
      <c r="PG9" s="36"/>
      <c r="PH9" s="139"/>
      <c r="PI9" s="23"/>
      <c r="PJ9" s="23"/>
      <c r="PK9" s="40"/>
      <c r="PL9" s="27"/>
      <c r="PM9" s="45"/>
      <c r="PO9" s="36"/>
      <c r="PP9" s="139"/>
      <c r="PQ9" s="23"/>
      <c r="PR9" s="23"/>
      <c r="PS9" s="40"/>
      <c r="PT9" s="27"/>
      <c r="PU9" s="45"/>
      <c r="PW9" s="36"/>
      <c r="PX9" s="139"/>
      <c r="PY9" s="23"/>
      <c r="PZ9" s="23"/>
      <c r="QA9" s="40"/>
      <c r="QB9" s="27"/>
      <c r="QC9" s="45"/>
      <c r="QE9" s="36"/>
      <c r="QF9" s="139"/>
      <c r="QG9" s="23"/>
      <c r="QH9" s="23"/>
      <c r="QI9" s="40"/>
      <c r="QJ9" s="27"/>
      <c r="QK9" s="45"/>
      <c r="QM9" s="36"/>
      <c r="QN9" s="139"/>
      <c r="QO9" s="23"/>
      <c r="QP9" s="23"/>
      <c r="QQ9" s="40"/>
      <c r="QR9" s="27"/>
      <c r="QS9" s="45"/>
      <c r="QU9" s="36"/>
      <c r="QV9" s="139"/>
      <c r="QW9" s="23"/>
      <c r="QX9" s="23"/>
      <c r="QY9" s="40"/>
      <c r="QZ9" s="27"/>
      <c r="RA9" s="45"/>
      <c r="RC9" s="36"/>
      <c r="RD9" s="139"/>
      <c r="RE9" s="23"/>
      <c r="RF9" s="23"/>
      <c r="RG9" s="40"/>
      <c r="RH9" s="27"/>
      <c r="RI9" s="45"/>
      <c r="RK9" s="36"/>
      <c r="RL9" s="139"/>
      <c r="RM9" s="23"/>
      <c r="RN9" s="23"/>
      <c r="RO9" s="40"/>
      <c r="RP9" s="27"/>
      <c r="RQ9" s="45"/>
      <c r="RS9" s="36"/>
      <c r="RT9" s="139"/>
      <c r="RU9" s="23"/>
      <c r="RV9" s="23"/>
      <c r="RW9" s="40"/>
      <c r="RX9" s="27"/>
      <c r="RY9" s="45"/>
      <c r="SA9" s="36"/>
      <c r="SB9" s="139"/>
      <c r="SC9" s="23"/>
      <c r="SD9" s="23"/>
      <c r="SE9" s="40"/>
      <c r="SF9" s="27"/>
      <c r="SG9" s="45"/>
      <c r="SI9" s="36"/>
      <c r="SJ9" s="139"/>
      <c r="SK9" s="23"/>
      <c r="SL9" s="23"/>
      <c r="SM9" s="40"/>
      <c r="SN9" s="27"/>
      <c r="SO9" s="45"/>
      <c r="SQ9" s="36"/>
      <c r="SR9" s="139"/>
      <c r="SS9" s="23"/>
      <c r="ST9" s="23"/>
      <c r="SU9" s="40"/>
      <c r="SV9" s="27"/>
      <c r="SW9" s="45"/>
      <c r="SY9" s="36"/>
      <c r="SZ9" s="139"/>
      <c r="TA9" s="23"/>
      <c r="TB9" s="23"/>
      <c r="TC9" s="40"/>
      <c r="TD9" s="27"/>
      <c r="TE9" s="45"/>
      <c r="TG9" s="36"/>
      <c r="TH9" s="139"/>
      <c r="TI9" s="23"/>
      <c r="TJ9" s="23"/>
      <c r="TK9" s="40"/>
      <c r="TL9" s="27"/>
      <c r="TM9" s="45"/>
      <c r="TO9" s="36"/>
      <c r="TP9" s="139"/>
      <c r="TQ9" s="23"/>
      <c r="TR9" s="23"/>
      <c r="TS9" s="40"/>
      <c r="TT9" s="27"/>
      <c r="TU9" s="45"/>
      <c r="TW9" s="36"/>
      <c r="TX9" s="139"/>
      <c r="TY9" s="23"/>
      <c r="TZ9" s="23"/>
      <c r="UA9" s="40"/>
      <c r="UB9" s="27"/>
      <c r="UC9" s="45"/>
      <c r="UE9" s="36"/>
      <c r="UF9" s="139"/>
      <c r="UG9" s="23"/>
      <c r="UH9" s="23"/>
      <c r="UI9" s="40"/>
      <c r="UJ9" s="27"/>
      <c r="UK9" s="45"/>
      <c r="UM9" s="36"/>
      <c r="UN9" s="139"/>
      <c r="UO9" s="23"/>
      <c r="UP9" s="23"/>
      <c r="UQ9" s="40"/>
      <c r="UR9" s="27"/>
      <c r="US9" s="45"/>
      <c r="UU9" s="36"/>
      <c r="UV9" s="139"/>
      <c r="UW9" s="23"/>
      <c r="UX9" s="23"/>
      <c r="UY9" s="40"/>
      <c r="UZ9" s="27"/>
      <c r="VA9" s="45"/>
      <c r="VC9" s="36"/>
      <c r="VD9" s="139"/>
      <c r="VE9" s="23"/>
      <c r="VF9" s="23"/>
      <c r="VG9" s="40"/>
      <c r="VH9" s="27"/>
      <c r="VI9" s="45"/>
      <c r="VK9" s="36"/>
      <c r="VL9" s="139"/>
      <c r="VM9" s="23"/>
      <c r="VN9" s="23"/>
      <c r="VO9" s="40"/>
      <c r="VP9" s="27"/>
      <c r="VQ9" s="45"/>
    </row>
    <row r="10" spans="1:589" x14ac:dyDescent="0.25">
      <c r="A10" s="10" t="s">
        <v>18</v>
      </c>
      <c r="B10" s="11" t="s">
        <v>19</v>
      </c>
      <c r="C10" s="87">
        <v>32248362</v>
      </c>
      <c r="D10" s="81">
        <v>4172750</v>
      </c>
      <c r="E10" s="11">
        <v>40</v>
      </c>
      <c r="F10" s="12"/>
      <c r="H10" s="122">
        <v>1720</v>
      </c>
      <c r="I10" s="124">
        <f>IFERROR(VLOOKUP($D10,'Adient Assende (Belgium) WK.17'!$B:C,J$1,0),0)</f>
        <v>0</v>
      </c>
      <c r="J10" s="54">
        <f>IFERROR(VLOOKUP($D10,'Adient Arendal (Malzia) WK.12'!$B:C,J$1,0),0)</f>
        <v>0</v>
      </c>
      <c r="K10" s="129">
        <f>IFERROR(VLOOKUP($D10,'Adient Taizhou (China) WK.16'!$B:C,J$1,0),0)</f>
        <v>0</v>
      </c>
      <c r="L10" s="128">
        <v>320</v>
      </c>
      <c r="M10" s="30">
        <v>0</v>
      </c>
      <c r="N10" s="109">
        <f>((H10-(L10+J10+K10))+M10)</f>
        <v>1400</v>
      </c>
      <c r="P10" s="37">
        <f>N10</f>
        <v>1400</v>
      </c>
      <c r="Q10" s="124">
        <f>IFERROR(VLOOKUP($D10,'Adient Assende (Belgium) WK.17'!$B:K,R$1,0),0)</f>
        <v>320</v>
      </c>
      <c r="R10" s="54">
        <f>IFERROR(VLOOKUP($D10,'Adient Arendal (Malzia) WK.12'!$B:K,R$1,0),0)</f>
        <v>0</v>
      </c>
      <c r="S10" s="129">
        <f>IFERROR(VLOOKUP($D10,'Adient Taizhou (China) WK.16'!$B:K,R$1,0),0)</f>
        <v>0</v>
      </c>
      <c r="T10" s="41">
        <v>160</v>
      </c>
      <c r="U10" s="30">
        <v>0</v>
      </c>
      <c r="V10" s="109">
        <f>((P10-(T10+R10+S10))+U10)</f>
        <v>1240</v>
      </c>
      <c r="X10" s="37">
        <f>V10</f>
        <v>1240</v>
      </c>
      <c r="Y10" s="124">
        <f>IFERROR(VLOOKUP($D10,'Adient Assende (Belgium) WK.17'!$B:S,Z$1,0),0)</f>
        <v>160</v>
      </c>
      <c r="Z10" s="54">
        <f>IFERROR(VLOOKUP($D10,'Adient Arendal (Malzia) WK.12'!$B:S,Z$1,0),0)</f>
        <v>0</v>
      </c>
      <c r="AA10" s="129">
        <f>IFERROR(VLOOKUP($D10,'Adient Taizhou (China) WK.16'!$B:S,Z$1,0),0)</f>
        <v>0</v>
      </c>
      <c r="AB10" s="41">
        <v>320</v>
      </c>
      <c r="AC10" s="30">
        <v>0</v>
      </c>
      <c r="AD10" s="109">
        <f>((X10-(AB10+Z10+AA10))+AC10)</f>
        <v>920</v>
      </c>
      <c r="AF10" s="37">
        <f>AD10</f>
        <v>920</v>
      </c>
      <c r="AG10" s="124">
        <f>IFERROR(VLOOKUP($D10,'Adient Assende (Belgium) WK.17'!$B:AA,AH$1,0),0)</f>
        <v>320</v>
      </c>
      <c r="AH10" s="54">
        <f>IFERROR(VLOOKUP($D10,'Adient Arendal (Malzia) WK.12'!$B:AA,AH$1,0),0)</f>
        <v>0</v>
      </c>
      <c r="AI10" s="129">
        <f>IFERROR(VLOOKUP($D10,'Adient Taizhou (China) WK.16'!$B:AA,AH$1,0),0)</f>
        <v>0</v>
      </c>
      <c r="AJ10" s="41">
        <v>160</v>
      </c>
      <c r="AK10" s="30">
        <v>0</v>
      </c>
      <c r="AL10" s="109">
        <f>((AF10-(AJ10+AH10+AI10))+AK10)</f>
        <v>760</v>
      </c>
      <c r="AN10" s="37">
        <f t="shared" ref="AN10:AN38" si="164">AL10</f>
        <v>760</v>
      </c>
      <c r="AO10" s="124">
        <f>IFERROR(VLOOKUP($D10,'Adient Assende (Belgium) WK.17'!$B:AI,AP$1,0),0)</f>
        <v>160</v>
      </c>
      <c r="AP10" s="54">
        <f>IFERROR(VLOOKUP($D10,'Adient Arendal (Malzia) WK.12'!$B:AI,AP$1,0),0)</f>
        <v>0</v>
      </c>
      <c r="AQ10" s="129">
        <f>IFERROR(VLOOKUP($D10,'Adient Taizhou (China) WK.16'!$B:AI,AP$1,0),0)</f>
        <v>0</v>
      </c>
      <c r="AR10" s="60">
        <v>160</v>
      </c>
      <c r="AS10" s="41">
        <v>160</v>
      </c>
      <c r="AT10" s="30">
        <v>0</v>
      </c>
      <c r="AU10" s="109">
        <f>((AN10-(AS10+AP10+AQ10))+AT10)+AR10</f>
        <v>760</v>
      </c>
      <c r="AW10" s="37">
        <f t="shared" ref="AW10:AW38" si="165">AU10</f>
        <v>760</v>
      </c>
      <c r="AX10" s="124">
        <f>IFERROR(VLOOKUP($D10,'Adient Assende (Belgium) WK.17'!$B:AR,AY$1,0),0)</f>
        <v>160</v>
      </c>
      <c r="AY10" s="54">
        <f>IFERROR(VLOOKUP($D10,'Adient Arendal (Malzia) WK.12'!$B:AR,AY$1,0),0)</f>
        <v>0</v>
      </c>
      <c r="AZ10" s="129">
        <f>IFERROR(VLOOKUP($D10,'Adient Taizhou (China) WK.16'!$B:AU,AY$1,0),0)</f>
        <v>0</v>
      </c>
      <c r="BA10" s="41">
        <v>320</v>
      </c>
      <c r="BB10" s="30">
        <v>0</v>
      </c>
      <c r="BC10" s="109">
        <f>((AW10-(BA10+AY10+AZ10))+BB10)</f>
        <v>440</v>
      </c>
      <c r="BE10" s="37">
        <f t="shared" ref="BE10:BE38" si="166">BC10</f>
        <v>440</v>
      </c>
      <c r="BF10" s="124">
        <f>IFERROR(VLOOKUP($D10,'Adient Assende (Belgium) WK.17'!$B:AX,BG$1,0),0)</f>
        <v>320</v>
      </c>
      <c r="BG10" s="54">
        <f>IFERROR(VLOOKUP($D10,'Adient Arendal (Malzia) WK.12'!$B:AZ,BG$1,0),0)</f>
        <v>0</v>
      </c>
      <c r="BH10" s="129">
        <f>IFERROR(VLOOKUP($D10,'Adient Taizhou (China) WK.16'!$B:BB,BG$1,0),0)</f>
        <v>0</v>
      </c>
      <c r="BI10" s="60">
        <v>120</v>
      </c>
      <c r="BJ10" s="60">
        <v>0</v>
      </c>
      <c r="BK10" s="41">
        <v>160</v>
      </c>
      <c r="BL10" s="30">
        <v>0</v>
      </c>
      <c r="BM10" s="109">
        <f>((BE10-(BK10+BG10+BH10))+BL10)+BI10+BJ10</f>
        <v>400</v>
      </c>
      <c r="BN10" s="8"/>
      <c r="BO10" s="37">
        <f t="shared" ref="BO10:BO38" si="167">BM10</f>
        <v>400</v>
      </c>
      <c r="BP10" s="124">
        <f>IFERROR(VLOOKUP($D10,'Adient Assende (Belgium) WK.17'!$B:BH,BQ$1,0),0)</f>
        <v>160</v>
      </c>
      <c r="BQ10" s="54">
        <f>IFERROR(VLOOKUP($D10,'Adient Arendal (Malzia) WK.12'!$B:BI,BQ$1,0),0)</f>
        <v>0</v>
      </c>
      <c r="BR10" s="129">
        <f>IFERROR(VLOOKUP($D10,'Adient Taizhou (China) WK.16'!$B:BL,BQ$1,0),0)</f>
        <v>0</v>
      </c>
      <c r="BS10" s="60">
        <v>200</v>
      </c>
      <c r="BT10" s="60">
        <v>600</v>
      </c>
      <c r="BU10" s="60">
        <v>0</v>
      </c>
      <c r="BV10" s="41">
        <v>160</v>
      </c>
      <c r="BW10" s="30">
        <v>0</v>
      </c>
      <c r="BX10" s="109">
        <f>((BO10-(BV10+BQ10+BR10))+BW10)+BS10+BT10+BU10</f>
        <v>1040</v>
      </c>
      <c r="BY10" s="8"/>
      <c r="BZ10" s="37">
        <f t="shared" ref="BZ10:BZ38" si="168">BX10</f>
        <v>1040</v>
      </c>
      <c r="CA10" s="124">
        <f>IFERROR(VLOOKUP($D10,'Adient Assende (Belgium) WK.17'!$B:BS,CB$1,0),0)</f>
        <v>160</v>
      </c>
      <c r="CB10" s="54">
        <f>IFERROR(VLOOKUP($D10,'Adient Arendal (Malzia) WK.12'!$B:BT,CB$1,0),0)</f>
        <v>0</v>
      </c>
      <c r="CC10" s="129">
        <f>IFERROR(VLOOKUP($D10,'Adient Taizhou (China) WK.16'!$B:BW,CB$1,0),0)</f>
        <v>0</v>
      </c>
      <c r="CD10" s="60">
        <v>0</v>
      </c>
      <c r="CE10" s="60">
        <v>0</v>
      </c>
      <c r="CF10" s="41">
        <v>480</v>
      </c>
      <c r="CG10" s="30">
        <v>0</v>
      </c>
      <c r="CH10" s="109">
        <f>((BZ10-(CF10+CB10+CC10))+CG10)+CD10+CE10</f>
        <v>560</v>
      </c>
      <c r="CI10" s="8"/>
      <c r="CJ10" s="37">
        <f t="shared" ref="CJ10:CJ38" si="169">CH10</f>
        <v>560</v>
      </c>
      <c r="CK10" s="124">
        <f>IFERROR(VLOOKUP($D10,'Adient Assende (Belgium) WK.17'!$B:CC,CL$1,0),0)</f>
        <v>480</v>
      </c>
      <c r="CL10" s="54">
        <f>IFERROR(VLOOKUP($D10,'Adient Arendal (Malzia) WK.12'!$B:CD,CL$1,0),0)</f>
        <v>0</v>
      </c>
      <c r="CM10" s="129">
        <f>IFERROR(VLOOKUP($D10,'Adient Taizhou (China) WK.16'!$B:CG,CL$1,0),0)</f>
        <v>0</v>
      </c>
      <c r="CN10" s="60">
        <v>0</v>
      </c>
      <c r="CO10" s="149">
        <v>0</v>
      </c>
      <c r="CP10" s="30">
        <v>0</v>
      </c>
      <c r="CQ10" s="109">
        <f>((CJ10-(CO10+CL10+CM10))+CP10)+CN10</f>
        <v>560</v>
      </c>
      <c r="CR10" s="8"/>
      <c r="CS10" s="122">
        <f t="shared" ref="CS10:CS38" si="170">CQ10</f>
        <v>560</v>
      </c>
      <c r="CT10" s="154">
        <f>IFERROR(VLOOKUP($D10,'Adient Assende (Belgium) WK.17'!$B:CL,CU$1,0),0)</f>
        <v>0</v>
      </c>
      <c r="CU10" s="54">
        <f>IFERROR(VLOOKUP($D10,'Adient Arendal (Malzia) WK.12'!$B:CM,CU$1,0),0)</f>
        <v>0</v>
      </c>
      <c r="CV10" s="129">
        <f>IFERROR(VLOOKUP($D10,'Adient Taizhou (China) WK.16'!$B:CP,CU$1,0),0)</f>
        <v>0</v>
      </c>
      <c r="CW10" s="60">
        <v>0</v>
      </c>
      <c r="CX10" s="60">
        <v>200</v>
      </c>
      <c r="CY10" s="128">
        <v>160</v>
      </c>
      <c r="CZ10" s="30">
        <v>0</v>
      </c>
      <c r="DA10" s="109">
        <f>((CS10-(CY10+CU10+CV10))+CZ10)+CW10+CX10</f>
        <v>600</v>
      </c>
      <c r="DB10" s="8"/>
      <c r="DC10" s="37">
        <f t="shared" ref="DC10:DC38" si="171">DA10</f>
        <v>600</v>
      </c>
      <c r="DD10" s="124">
        <f>IFERROR(VLOOKUP($D10,'Adient Assende (Belgium) WK.17'!$B:CS,DE$1,0),0)</f>
        <v>160</v>
      </c>
      <c r="DE10" s="54">
        <f>IFERROR(VLOOKUP($D10,'Adient Arendal (Malzia) WK.12'!$B:CU,DE$1,0),0)</f>
        <v>0</v>
      </c>
      <c r="DF10" s="129">
        <f>IFERROR(VLOOKUP($D10,'Adient Taizhou (China) WK.16'!$B:CX,DE$1,0),0)</f>
        <v>0</v>
      </c>
      <c r="DG10" s="60">
        <v>160</v>
      </c>
      <c r="DH10" s="128">
        <v>160</v>
      </c>
      <c r="DI10" s="30">
        <v>0</v>
      </c>
      <c r="DJ10" s="109">
        <f>((DC10-(DH10+DE10+DF10))+DI10)+DG10</f>
        <v>600</v>
      </c>
      <c r="DL10" s="37">
        <f t="shared" ref="DL10:DL38" si="172">DJ10</f>
        <v>600</v>
      </c>
      <c r="DM10" s="125">
        <f>IFERROR(VLOOKUP($D10,'Adient Assende (Belgium) WK.17'!$B:DB,DN$1,0),0)</f>
        <v>160</v>
      </c>
      <c r="DN10" s="55">
        <f>IFERROR(VLOOKUP($D10,'Adient Arendal (Malzia) WK.12'!$B:DC,DN$1,0),0)</f>
        <v>0</v>
      </c>
      <c r="DO10" s="55">
        <f>IFERROR(VLOOKUP($D10,'Adient Taizhou (China) WK.16'!$B:DF,DN$1,0),0)</f>
        <v>0</v>
      </c>
      <c r="DP10" s="128">
        <v>160</v>
      </c>
      <c r="DQ10" s="30">
        <v>0</v>
      </c>
      <c r="DR10" s="109">
        <f t="shared" ref="DR10:DR38" si="173">((DL10-(DN10+DO10+DP10)+DQ10))</f>
        <v>440</v>
      </c>
      <c r="DS10" s="8"/>
      <c r="DT10" s="37">
        <f t="shared" ref="DT10:DT38" si="174">DR10</f>
        <v>440</v>
      </c>
      <c r="DU10" s="125">
        <f>IFERROR(VLOOKUP($D10,'Adient Assende (Belgium) WK.17'!$B:DJ,DV$1,0),0)</f>
        <v>160</v>
      </c>
      <c r="DV10" s="55">
        <f>IFERROR(VLOOKUP($D10,'Adient Arendal (Malzia) WK.12'!$B:DK,DV$1,0),0)</f>
        <v>0</v>
      </c>
      <c r="DW10" s="55">
        <f>IFERROR(VLOOKUP($D10,'Adient Taizhou (China) WK.16'!$B:DN,DV$1,0),0)</f>
        <v>0</v>
      </c>
      <c r="DX10" s="60">
        <v>40</v>
      </c>
      <c r="DY10" s="60">
        <v>400</v>
      </c>
      <c r="DZ10" s="128">
        <v>320</v>
      </c>
      <c r="EA10" s="30">
        <v>0</v>
      </c>
      <c r="EB10" s="109">
        <f>((DT10-(DV10+DW10+DZ10)+EA10))+DX10+DY10</f>
        <v>560</v>
      </c>
      <c r="EC10" s="8"/>
      <c r="ED10" s="37">
        <f t="shared" ref="ED10:ED38" si="175">EB10</f>
        <v>560</v>
      </c>
      <c r="EE10" s="125">
        <f>IFERROR(VLOOKUP($D10,'Adient Assende (Belgium) WK.17'!$B:DR,EF$1,0),0)</f>
        <v>320</v>
      </c>
      <c r="EF10" s="55">
        <f>IFERROR(VLOOKUP($D10,'Adient Arendal (Malzia) WK.12'!$B:DS,EF$1,0),0)</f>
        <v>0</v>
      </c>
      <c r="EG10" s="55">
        <f>IFERROR(VLOOKUP($D10,'Adient Taizhou (China) WK.16'!$B:DV,EF$1,0),0)</f>
        <v>0</v>
      </c>
      <c r="EH10" s="60">
        <v>440</v>
      </c>
      <c r="EI10" s="128">
        <v>160</v>
      </c>
      <c r="EJ10" s="30">
        <v>0</v>
      </c>
      <c r="EK10" s="109">
        <f>((ED10-(EF10+EG10+EI10)+EJ10))+EH10</f>
        <v>840</v>
      </c>
      <c r="EM10" s="37">
        <f t="shared" ref="EM10:EM38" si="176">EK10</f>
        <v>840</v>
      </c>
      <c r="EN10" s="125">
        <f>IFERROR(VLOOKUP($D10,'Adient Assende (Belgium) WK.17'!$B:DZ,EO$1,0),0)</f>
        <v>160</v>
      </c>
      <c r="EO10" s="55">
        <f>IFERROR(VLOOKUP($D10,'Adient Arendal (Malzia) WK.12'!$B:EA,EO$1,0),0)</f>
        <v>0</v>
      </c>
      <c r="EP10" s="55">
        <f>IFERROR(VLOOKUP($D10,'Adient Taizhou (China) WK.16'!$B:ED,EO$1,0),0)</f>
        <v>0</v>
      </c>
      <c r="EQ10" s="128">
        <v>160</v>
      </c>
      <c r="ER10" s="30">
        <v>0</v>
      </c>
      <c r="ES10" s="109">
        <f>((EM10-(EO10+EP10+EQ10)+ER10))</f>
        <v>680</v>
      </c>
      <c r="EU10" s="37">
        <f t="shared" ref="EU10:EU38" si="177">ES10</f>
        <v>680</v>
      </c>
      <c r="EV10" s="125">
        <f>IFERROR(VLOOKUP($D10,'Adient Assende (Belgium) WK.17'!$B:EH,EW$1,0),0)</f>
        <v>160</v>
      </c>
      <c r="EW10" s="55">
        <f>IFERROR(VLOOKUP($D10,'Adient Arendal (Malzia) WK.12'!$B:EI,EW$1,0),0)</f>
        <v>0</v>
      </c>
      <c r="EX10" s="55">
        <f>IFERROR(VLOOKUP($D10,'Adient Taizhou (China) WK.16'!$B:EL,EW$1,0),0)</f>
        <v>0</v>
      </c>
      <c r="EY10" s="128">
        <v>0</v>
      </c>
      <c r="EZ10" s="30">
        <v>0</v>
      </c>
      <c r="FA10" s="109">
        <f>((EU10-(EW10+EX10+EY10)+EZ10))</f>
        <v>680</v>
      </c>
      <c r="FC10" s="37">
        <f t="shared" ref="FC10:FC38" si="178">FA10</f>
        <v>680</v>
      </c>
      <c r="FD10" s="154">
        <f>IFERROR(VLOOKUP($D10,'Adient Assende (Belgium) WK.17'!$B:EP,FE$1,0),0)</f>
        <v>0</v>
      </c>
      <c r="FE10" s="154">
        <f>IFERROR(VLOOKUP($D10,'Adient Arendal (Malzia) WK.12'!$B:EQ,FE$1,0),0)</f>
        <v>0</v>
      </c>
      <c r="FF10" s="154">
        <f>IFERROR(VLOOKUP($D10,'Adient Taizhou (China) WK.16'!$B:ET,FE$1,0),0)</f>
        <v>0</v>
      </c>
      <c r="FG10" s="128">
        <v>0</v>
      </c>
      <c r="FH10" s="30">
        <v>0</v>
      </c>
      <c r="FI10" s="109">
        <f>((FC10-(FE10+FF10+FG10)+FH10))</f>
        <v>680</v>
      </c>
      <c r="FK10" s="37">
        <f t="shared" ref="FK10:FK38" si="179">FI10</f>
        <v>680</v>
      </c>
      <c r="FL10" s="125">
        <f>IFERROR(VLOOKUP($D10,'Adient Assende (Belgium) WK.17'!$B:EX,FM$1,0),0)</f>
        <v>0</v>
      </c>
      <c r="FM10" s="55">
        <f>IFERROR(VLOOKUP($D10,'Adient Arendal (Malzia) WK.12'!$B:EY,FM$1,0),0)</f>
        <v>0</v>
      </c>
      <c r="FN10" s="55">
        <f>IFERROR(VLOOKUP($D10,'Adient Taizhou (China) WK.16'!$B:FB,FM$1,0),0)</f>
        <v>0</v>
      </c>
      <c r="FO10" s="128">
        <v>160</v>
      </c>
      <c r="FP10" s="30">
        <v>0</v>
      </c>
      <c r="FQ10" s="109">
        <f>((FK10-(FM10+FN10+FO10)+FP10))</f>
        <v>520</v>
      </c>
      <c r="FR10" s="8"/>
      <c r="FS10" s="37">
        <f t="shared" ref="FS10:FS38" si="180">FQ10</f>
        <v>520</v>
      </c>
      <c r="FT10" s="125">
        <f>IFERROR(VLOOKUP($D10,'Adient Assende (Belgium) WK.17'!$B:FF,FU$1,0),0)</f>
        <v>160</v>
      </c>
      <c r="FU10" s="55">
        <f>IFERROR(VLOOKUP($D10,'Adient Arendal (Malzia) WK.12'!$B:FG,FU$1,0),0)</f>
        <v>0</v>
      </c>
      <c r="FV10" s="55">
        <f>IFERROR(VLOOKUP($D10,'Adient Taizhou (China) WK.16'!$B:FJ,FU$1,0),0)</f>
        <v>0</v>
      </c>
      <c r="FW10" s="60">
        <v>200</v>
      </c>
      <c r="FX10" s="60">
        <v>200</v>
      </c>
      <c r="FY10" s="60">
        <v>80</v>
      </c>
      <c r="FZ10" s="60">
        <v>40</v>
      </c>
      <c r="GA10" s="60">
        <v>320</v>
      </c>
      <c r="GB10" s="128">
        <v>0</v>
      </c>
      <c r="GC10" s="30">
        <v>0</v>
      </c>
      <c r="GD10" s="109">
        <f>((FS10-(FU10+FV10+GB10)+GC10))+FW10+FX10+FY10+FZ10+GA10</f>
        <v>1360</v>
      </c>
      <c r="GF10" s="37">
        <f t="shared" ref="GF10:GF38" si="181">GD10</f>
        <v>1360</v>
      </c>
      <c r="GG10" s="125">
        <f>IFERROR(VLOOKUP($D10,'Adient Assende (Belgium) WK.17'!$B:FN,GH$1,0),0)</f>
        <v>0</v>
      </c>
      <c r="GH10" s="55">
        <f>IFERROR(VLOOKUP($D10,'Adient Arendal (Malzia) WK.12'!$B:FO,GH$1,0),0)</f>
        <v>0</v>
      </c>
      <c r="GI10" s="55">
        <f>IFERROR(VLOOKUP($D10,'Adient Taizhou (China) WK.16'!$B:FR,GH$1,0),0)</f>
        <v>0</v>
      </c>
      <c r="GJ10" s="60">
        <v>0</v>
      </c>
      <c r="GK10" s="128">
        <v>320</v>
      </c>
      <c r="GL10" s="30">
        <v>0</v>
      </c>
      <c r="GM10" s="109">
        <f>((GF10-(GH10+GI10+GK10)+GL10))+GJ10</f>
        <v>1040</v>
      </c>
      <c r="GO10" s="37">
        <f t="shared" ref="GO10:GO38" si="182">GM10</f>
        <v>1040</v>
      </c>
      <c r="GP10" s="125">
        <f>IFERROR(VLOOKUP($D10,'Adient Assende (Belgium) WK.17'!$B:FV,GQ$1,0),0)</f>
        <v>320</v>
      </c>
      <c r="GQ10" s="55">
        <f>IFERROR(VLOOKUP($D10,'Adient Arendal (Malzia) WK.12'!$B:FW,GQ$1,0),0)</f>
        <v>0</v>
      </c>
      <c r="GR10" s="55">
        <f>IFERROR(VLOOKUP($D10,'Adient Taizhou (China) WK.16'!$B:FZ,GQ$1,0),0)</f>
        <v>0</v>
      </c>
      <c r="GS10" s="60">
        <v>0</v>
      </c>
      <c r="GT10" s="128">
        <v>160</v>
      </c>
      <c r="GU10" s="30">
        <v>0</v>
      </c>
      <c r="GV10" s="109">
        <f>((GO10-(GQ10+GR10+GT10)+GU10))+GS10</f>
        <v>880</v>
      </c>
      <c r="GW10" s="8"/>
      <c r="GX10" s="37">
        <f t="shared" ref="GX10:GX38" si="183">GV10</f>
        <v>880</v>
      </c>
      <c r="GY10" s="125">
        <f>IFERROR(VLOOKUP($D10,'Adient Assende (Belgium) WK.17'!$B:GD,GZ$1,0),0)</f>
        <v>160</v>
      </c>
      <c r="GZ10" s="55">
        <f>IFERROR(VLOOKUP($D10,'Adient Arendal (Malzia) WK.12'!$B:GE,GZ$1,0),0)</f>
        <v>0</v>
      </c>
      <c r="HA10" s="55">
        <f>IFERROR(VLOOKUP($D10,'Adient Taizhou (China) WK.16'!$B:GH,GZ$1,0),0)</f>
        <v>0</v>
      </c>
      <c r="HB10" s="60">
        <v>320</v>
      </c>
      <c r="HC10" s="128">
        <v>160</v>
      </c>
      <c r="HD10" s="30">
        <v>0</v>
      </c>
      <c r="HE10" s="109">
        <f>((GX10-(GZ10+HA10+HC10)+HD10))+HB10</f>
        <v>1040</v>
      </c>
      <c r="HF10" s="8"/>
      <c r="HG10" s="37">
        <f t="shared" ref="HG10:HG38" si="184">HE10</f>
        <v>1040</v>
      </c>
      <c r="HH10" s="125">
        <f>IFERROR(VLOOKUP($D10,'Adient Assende (Belgium) WK.17'!$B:GL,HI$1,0),0)</f>
        <v>160</v>
      </c>
      <c r="HI10" s="55">
        <f>IFERROR(VLOOKUP($D10,'Adient Arendal (Malzia) WK.12'!$B:GM,HI$1,0),0)</f>
        <v>0</v>
      </c>
      <c r="HJ10" s="55">
        <f>IFERROR(VLOOKUP($D10,'Adient Taizhou (China) WK.16'!$B:GP,HI$1,0),0)</f>
        <v>0</v>
      </c>
      <c r="HK10" s="60">
        <v>120</v>
      </c>
      <c r="HL10" s="128">
        <v>0</v>
      </c>
      <c r="HM10" s="30">
        <v>0</v>
      </c>
      <c r="HN10" s="109">
        <f>((HG10-(HI10+HJ10+HL10)+HM10))+HK10</f>
        <v>1160</v>
      </c>
      <c r="HO10" s="8"/>
      <c r="HP10" s="37">
        <f t="shared" ref="HP10:HP38" si="185">HN10</f>
        <v>1160</v>
      </c>
      <c r="HQ10" s="125">
        <f>IFERROR(VLOOKUP($D10,'Adient Assende (Belgium) WK.17'!$B:GT,HR$1,0),0)</f>
        <v>0</v>
      </c>
      <c r="HR10" s="55">
        <f>IFERROR(VLOOKUP($D10,'Adient Arendal (Malzia) WK.12'!$B:GU,HR$1,0),0)</f>
        <v>0</v>
      </c>
      <c r="HS10" s="55">
        <f>IFERROR(VLOOKUP($D10,'Adient Taizhou (China) WK.16'!$B:GX,HR$1,0),0)</f>
        <v>0</v>
      </c>
      <c r="HT10" s="60">
        <v>80</v>
      </c>
      <c r="HU10" s="128">
        <v>160</v>
      </c>
      <c r="HV10" s="30">
        <v>0</v>
      </c>
      <c r="HW10" s="109">
        <f>((HP10-(HR10+HS10+HU10)+HV10))+HT10</f>
        <v>1080</v>
      </c>
      <c r="HX10" s="8"/>
      <c r="HY10" s="37">
        <f t="shared" ref="HY10:HY38" si="186">HW10</f>
        <v>1080</v>
      </c>
      <c r="HZ10" s="125">
        <f>IFERROR(VLOOKUP($D10,'Adient Assende (Belgium) WK.17'!$B:HB,IA$1,0),0)</f>
        <v>160</v>
      </c>
      <c r="IA10" s="55">
        <f>IFERROR(VLOOKUP($D10,'Adient Arendal (Malzia) WK.12'!$B:HC,IA$1,0),0)</f>
        <v>0</v>
      </c>
      <c r="IB10" s="55">
        <f>IFERROR(VLOOKUP($D10,'Adient Taizhou (China) WK.16'!$B:HF,IA$1,0),0)</f>
        <v>0</v>
      </c>
      <c r="IC10" s="60">
        <v>0</v>
      </c>
      <c r="ID10" s="128">
        <v>320</v>
      </c>
      <c r="IE10" s="30">
        <v>0</v>
      </c>
      <c r="IF10" s="109">
        <f>((HY10-(IA10+IB10+ID10)+IE10))+IC10</f>
        <v>760</v>
      </c>
      <c r="IG10" s="8"/>
      <c r="IH10" s="37">
        <f t="shared" ref="IH10:IH38" si="187">IF10</f>
        <v>760</v>
      </c>
      <c r="II10" s="125">
        <f>IFERROR(VLOOKUP($D10,'Adient Assende (Belgium) WK.17'!$B:HJ,IJ$1,0),0)</f>
        <v>320</v>
      </c>
      <c r="IJ10" s="55">
        <f>IFERROR(VLOOKUP($D10,'Adient Arendal (Malzia) WK.12'!$B:HK,IJ$1,0),0)</f>
        <v>0</v>
      </c>
      <c r="IK10" s="55">
        <f>IFERROR(VLOOKUP($D10,'Adient Taizhou (China) WK.16'!$B:HN,IJ$1,0),0)</f>
        <v>0</v>
      </c>
      <c r="IL10" s="128">
        <v>160</v>
      </c>
      <c r="IM10" s="30">
        <v>0</v>
      </c>
      <c r="IN10" s="109">
        <f t="shared" ref="IN10:IN38" si="188">((IH10-(IJ10+IK10+IL10)+IM10))</f>
        <v>600</v>
      </c>
      <c r="IO10" s="8"/>
      <c r="IP10" s="37">
        <f t="shared" ref="IP10:IP38" si="189">IN10</f>
        <v>600</v>
      </c>
      <c r="IQ10" s="125">
        <f>IFERROR(VLOOKUP($D10,'Adient Assende (Belgium) WK.17'!$B:HR,IR$1,0),0)</f>
        <v>160</v>
      </c>
      <c r="IR10" s="55">
        <f>IFERROR(VLOOKUP($D10,'Adient Arendal (Malzia) WK.12'!$B:HS,IR$1,0),0)</f>
        <v>0</v>
      </c>
      <c r="IS10" s="55">
        <f>IFERROR(VLOOKUP($D10,'Adient Taizhou (China) WK.16'!$B:HV,IR$1,0),0)</f>
        <v>0</v>
      </c>
      <c r="IT10" s="60">
        <v>240</v>
      </c>
      <c r="IU10" s="128">
        <v>320</v>
      </c>
      <c r="IV10" s="30">
        <v>0</v>
      </c>
      <c r="IW10" s="109">
        <f>((IP10-(IR10+IS10+IU10)+IV10))+IT10</f>
        <v>520</v>
      </c>
      <c r="IX10" s="8"/>
      <c r="IY10" s="37">
        <f t="shared" ref="IY10:IY38" si="190">IW10</f>
        <v>520</v>
      </c>
      <c r="IZ10" s="125">
        <f>IFERROR(VLOOKUP($D10,'Adient Assende (Belgium) WK.17'!$B:HZ,JA$1,0),0)</f>
        <v>320</v>
      </c>
      <c r="JA10" s="55">
        <f>IFERROR(VLOOKUP($D10,'Adient Arendal (Malzia) WK.12'!$B:IA,JA$1,0),0)</f>
        <v>0</v>
      </c>
      <c r="JB10" s="55">
        <f>IFERROR(VLOOKUP($D10,'Adient Taizhou (China) WK.16'!$B:ID,JA$1,0),0)</f>
        <v>0</v>
      </c>
      <c r="JC10" s="128">
        <v>0</v>
      </c>
      <c r="JD10" s="30">
        <v>0</v>
      </c>
      <c r="JE10" s="109">
        <f t="shared" ref="JE10:JE38" si="191">((IY10-(JA10+JB10+JC10)+JD10))</f>
        <v>520</v>
      </c>
      <c r="JF10" s="8"/>
      <c r="JG10" s="37">
        <f t="shared" ref="JG10:JG38" si="192">JE10</f>
        <v>520</v>
      </c>
      <c r="JH10" s="125">
        <f>IFERROR(VLOOKUP($D10,'Adient Assende (Belgium) WK.17'!$B:IH,JI$1,0),0)</f>
        <v>0</v>
      </c>
      <c r="JI10" s="55">
        <f>IFERROR(VLOOKUP($D10,'Adient Arendal (Malzia) WK.12'!$B:II,JI$1,0),0)</f>
        <v>0</v>
      </c>
      <c r="JJ10" s="55">
        <f>IFERROR(VLOOKUP($D10,'Adient Taizhou (China) WK.16'!$B:IL,JI$1,0),0)</f>
        <v>0</v>
      </c>
      <c r="JK10" s="60">
        <v>440</v>
      </c>
      <c r="JL10" s="128">
        <v>480</v>
      </c>
      <c r="JM10" s="30">
        <v>0</v>
      </c>
      <c r="JN10" s="109">
        <f>((JG10-(JI10+JJ10+JL10)+JM10))+JK10</f>
        <v>480</v>
      </c>
      <c r="JO10" s="8"/>
      <c r="JP10" s="37">
        <f t="shared" ref="JP10:JP38" si="193">JN10</f>
        <v>480</v>
      </c>
      <c r="JQ10" s="125">
        <f>IFERROR(VLOOKUP($D10,'Adient Assende (Belgium) WK.17'!$B:IP,JR$1,0),0)</f>
        <v>480</v>
      </c>
      <c r="JR10" s="55">
        <f>IFERROR(VLOOKUP($D10,'Adient Arendal (Malzia) WK.12'!$B:IQ,JR$1,0),0)</f>
        <v>0</v>
      </c>
      <c r="JS10" s="55">
        <f>IFERROR(VLOOKUP($D10,'Adient Taizhou (China) WK.16'!$B:IT,JR$1,0),0)</f>
        <v>0</v>
      </c>
      <c r="JT10" s="128">
        <v>0</v>
      </c>
      <c r="JU10" s="30">
        <v>0</v>
      </c>
      <c r="JV10" s="109">
        <f t="shared" ref="JV10:JV38" si="194">((JP10-(JR10+JS10+JT10)+JU10))</f>
        <v>480</v>
      </c>
      <c r="JW10" s="8"/>
      <c r="JX10" s="37">
        <f t="shared" ref="JX10:JX38" si="195">JV10</f>
        <v>480</v>
      </c>
      <c r="JY10" s="154">
        <f>IFERROR(VLOOKUP($D10,'Adient Assende (Belgium) WK.17'!$B:IX,JZ$1,0),0)</f>
        <v>0</v>
      </c>
      <c r="JZ10" s="55">
        <f>IFERROR(VLOOKUP($D10,'Adient Arendal (Malzia) WK.12'!$B:IY,JZ$1,0),0)</f>
        <v>0</v>
      </c>
      <c r="KA10" s="55">
        <f>IFERROR(VLOOKUP($D10,'Adient Taizhou (China) WK.16'!$B:JB,JZ$1,0),0)</f>
        <v>0</v>
      </c>
      <c r="KB10" s="128">
        <v>160</v>
      </c>
      <c r="KC10" s="30">
        <v>0</v>
      </c>
      <c r="KD10" s="109">
        <f>((JX10-(JZ10+KA10+KB10)+KC10))</f>
        <v>320</v>
      </c>
      <c r="KE10" s="8"/>
      <c r="KF10" s="37">
        <f t="shared" ref="KF10:KF38" si="196">KD10</f>
        <v>320</v>
      </c>
      <c r="KG10" s="125">
        <f>IFERROR(VLOOKUP($D10,'Adient Assende (Belgium) WK.17'!$B:JF,KH$1,0),0)</f>
        <v>160</v>
      </c>
      <c r="KH10" s="55">
        <f>IFERROR(VLOOKUP($D10,'Adient Arendal (Malzia) WK.12'!$B:JG,KH$1,0),0)</f>
        <v>0</v>
      </c>
      <c r="KI10" s="55">
        <f>IFERROR(VLOOKUP($D10,'Adient Taizhou (China) WK.16'!$B:JJ,KH$1,0),0)</f>
        <v>0</v>
      </c>
      <c r="KJ10" s="60">
        <v>0</v>
      </c>
      <c r="KK10" s="128">
        <v>0</v>
      </c>
      <c r="KL10" s="30">
        <v>0</v>
      </c>
      <c r="KM10" s="109">
        <f>((KF10-(KH10+KI10+KK10)+KL10))+KJ10</f>
        <v>320</v>
      </c>
      <c r="KN10" s="8"/>
      <c r="KO10" s="37">
        <f t="shared" ref="KO10:KO38" si="197">KM10</f>
        <v>320</v>
      </c>
      <c r="KP10" s="141">
        <f>IFERROR(VLOOKUP($D10,'Adient Assende (Belgium) WK.17'!$B:JN,KQ$1,0),0)</f>
        <v>0</v>
      </c>
      <c r="KQ10" s="140">
        <f>IFERROR(VLOOKUP($D10,'Adient Arendal (Malzia) WK.12'!$B:JO,KQ$1,0),0)</f>
        <v>0</v>
      </c>
      <c r="KR10" s="140">
        <f>IFERROR(VLOOKUP($D10,'Adient Taizhou (China) WK.16'!$B:JR,KQ$1,0),0)</f>
        <v>0</v>
      </c>
      <c r="KS10" s="60">
        <v>680</v>
      </c>
      <c r="KT10" s="128">
        <v>160</v>
      </c>
      <c r="KU10" s="30">
        <v>0</v>
      </c>
      <c r="KV10" s="109">
        <f>((KO10-(KQ10+KR10+KT10)+KU10))+KS10</f>
        <v>840</v>
      </c>
      <c r="KX10" s="37">
        <f t="shared" ref="KX10:KX38" si="198">KV10</f>
        <v>840</v>
      </c>
      <c r="KY10" s="141">
        <f>IFERROR(VLOOKUP($D10,'Adient Assende (Belgium) WK.17'!$B:JV,KZ$1,0),0)</f>
        <v>160</v>
      </c>
      <c r="KZ10" s="140">
        <f>IFERROR(VLOOKUP($D10,'Adient Arendal (Malzia) WK.12'!$B:JW,KZ$1,0),0)</f>
        <v>0</v>
      </c>
      <c r="LA10" s="140">
        <f>IFERROR(VLOOKUP($D10,'Adient Taizhou (China) WK.16'!$B:JZ,KZ$1,0),0)</f>
        <v>0</v>
      </c>
      <c r="LB10" s="128">
        <v>0</v>
      </c>
      <c r="LC10" s="30">
        <v>0</v>
      </c>
      <c r="LD10" s="109">
        <f>((KX10-(KZ10+LA10+LB10)+LC10))</f>
        <v>840</v>
      </c>
      <c r="LF10" s="37">
        <f t="shared" ref="LF10:LF38" si="199">LD10</f>
        <v>840</v>
      </c>
      <c r="LG10" s="141">
        <f>IFERROR(VLOOKUP($D10,'Adient Assende (Belgium) WK.17'!$B:KD,LH$1,0),0)</f>
        <v>160</v>
      </c>
      <c r="LH10" s="140">
        <f>IFERROR(VLOOKUP($D10,'Adient Arendal (Malzia) WK.12'!$B:KE,LH$1,0),0)</f>
        <v>0</v>
      </c>
      <c r="LI10" s="140">
        <f>IFERROR(VLOOKUP($D10,'Adient Taizhou (China) WK.16'!$B:KH,LH$1,0),0)</f>
        <v>0</v>
      </c>
      <c r="LJ10" s="60">
        <v>0</v>
      </c>
      <c r="LK10" s="128">
        <v>0</v>
      </c>
      <c r="LL10" s="30">
        <v>0</v>
      </c>
      <c r="LM10" s="100">
        <f>((LF10-(LG10+LH10+LI10)+LL10))+LJ10</f>
        <v>680</v>
      </c>
      <c r="LO10" s="37">
        <f t="shared" ref="LO10:LO38" si="200">LM10</f>
        <v>680</v>
      </c>
      <c r="LP10" s="141">
        <f>IFERROR(VLOOKUP($D10,'Adient Assende (Belgium) WK.17'!$B:KL,LQ$1,0),0)</f>
        <v>160</v>
      </c>
      <c r="LQ10" s="140">
        <f>IFERROR(VLOOKUP($D10,'Adient Arendal (Malzia) WK.12'!$B:KM,LQ$1,0),0)</f>
        <v>0</v>
      </c>
      <c r="LR10" s="140">
        <f>IFERROR(VLOOKUP($D10,'Adient Taizhou (China) WK.16'!$B:KP,LQ$1,0),0)</f>
        <v>0</v>
      </c>
      <c r="LS10" s="128">
        <v>0</v>
      </c>
      <c r="LT10" s="30">
        <v>0</v>
      </c>
      <c r="LU10" s="100">
        <f>((LO10-(LP10+LQ10+LR10)+LT10))</f>
        <v>520</v>
      </c>
      <c r="LW10" s="37">
        <f t="shared" ref="LW10:LW38" si="201">LU10</f>
        <v>520</v>
      </c>
      <c r="LX10" s="141">
        <f>IFERROR(VLOOKUP($D10,'Adient Assende (Belgium) WK.17'!$B:KT,LY$1,0),0)</f>
        <v>320</v>
      </c>
      <c r="LY10" s="140">
        <f>IFERROR(VLOOKUP($D10,'Adient Arendal (Malzia) WK.12'!$B:KU,LY$1,0),0)</f>
        <v>0</v>
      </c>
      <c r="LZ10" s="140">
        <f>IFERROR(VLOOKUP($D10,'Adient Taizhou (China) WK.16'!$B:KX,LY$1,0),0)</f>
        <v>0</v>
      </c>
      <c r="MA10" s="128">
        <v>0</v>
      </c>
      <c r="MB10" s="30">
        <v>0</v>
      </c>
      <c r="MC10" s="100">
        <f>((LW10-(LX10+LY10+LZ10)+MB10))</f>
        <v>200</v>
      </c>
      <c r="ME10" s="37">
        <f t="shared" ref="ME10:ME38" si="202">MC10</f>
        <v>200</v>
      </c>
      <c r="MF10" s="154">
        <f>IFERROR(VLOOKUP($D10,'Adient Assende (Belgium) WK.17'!$B:LB,MG$1,0),0)</f>
        <v>0</v>
      </c>
      <c r="MG10" s="140">
        <f>IFERROR(VLOOKUP($D10,'Adient Arendal (Malzia) WK.12'!$B:LC,MG$1,0),0)</f>
        <v>0</v>
      </c>
      <c r="MH10" s="140">
        <f>IFERROR(VLOOKUP($D10,'Adient Taizhou (China) WK.16'!$B:LF,MG$1,0),0)</f>
        <v>0</v>
      </c>
      <c r="MI10" s="128">
        <v>0</v>
      </c>
      <c r="MJ10" s="30">
        <v>0</v>
      </c>
      <c r="MK10" s="100">
        <f>((ME10-(MF10+MG10+MH10)+MJ10))</f>
        <v>200</v>
      </c>
      <c r="MM10" s="37">
        <f t="shared" ref="MM10:MM38" si="203">MK10</f>
        <v>200</v>
      </c>
      <c r="MN10" s="141">
        <f>IFERROR(VLOOKUP($D10,'Adient Assende (Belgium) WK.17'!$B:LJ,MO$1,0),0)</f>
        <v>160</v>
      </c>
      <c r="MO10" s="140">
        <f>IFERROR(VLOOKUP($D10,'Adient Arendal (Malzia) WK.12'!$B:LK,MO$1,0),0)</f>
        <v>0</v>
      </c>
      <c r="MP10" s="140">
        <f>IFERROR(VLOOKUP($D10,'Adient Taizhou (China) WK.16'!$B:LN,MO$1,0),0)</f>
        <v>0</v>
      </c>
      <c r="MQ10" s="128">
        <v>0</v>
      </c>
      <c r="MR10" s="30">
        <v>0</v>
      </c>
      <c r="MS10" s="100">
        <f>((MM10-(MN10+MO10+MP10)+MR10))</f>
        <v>40</v>
      </c>
      <c r="MU10" s="37">
        <f t="shared" ref="MU10:MU38" si="204">MS10</f>
        <v>40</v>
      </c>
      <c r="MV10" s="141">
        <f>IFERROR(VLOOKUP($D10,'Adient Assende (Belgium) WK.17'!$B:LR,MW$1,0),0)</f>
        <v>160</v>
      </c>
      <c r="MW10" s="140">
        <f>IFERROR(VLOOKUP($D10,'Adient Arendal (Malzia) WK.12'!$B:LS,MW$1,0),0)</f>
        <v>0</v>
      </c>
      <c r="MX10" s="140">
        <f>IFERROR(VLOOKUP($D10,'Adient Taizhou (China) WK.16'!$B:LV,MW$1,0),0)</f>
        <v>0</v>
      </c>
      <c r="MY10" s="128">
        <v>0</v>
      </c>
      <c r="MZ10" s="30">
        <v>0</v>
      </c>
      <c r="NA10" s="100">
        <f>((MU10-(MV10+MW10+MX10)+MZ10))</f>
        <v>-120</v>
      </c>
      <c r="NC10" s="37">
        <f t="shared" ref="NC10:NC38" si="205">NA10</f>
        <v>-120</v>
      </c>
      <c r="ND10" s="141">
        <f>IFERROR(VLOOKUP($D10,'Adient Assende (Belgium) WK.17'!$B:LZ,NE$1,0),0)</f>
        <v>160</v>
      </c>
      <c r="NE10" s="140">
        <f>IFERROR(VLOOKUP($D10,'Adient Arendal (Malzia) WK.12'!$B:MA,NE$1,0),0)</f>
        <v>0</v>
      </c>
      <c r="NF10" s="140">
        <f>IFERROR(VLOOKUP($D10,'Adient Taizhou (China) WK.16'!$B:MD,NE$1,0),0)</f>
        <v>0</v>
      </c>
      <c r="NG10" s="128">
        <v>0</v>
      </c>
      <c r="NH10" s="30">
        <v>0</v>
      </c>
      <c r="NI10" s="100">
        <f>((NC10-(ND10+NE10+NF10)+NH10))</f>
        <v>-280</v>
      </c>
      <c r="NK10" s="37">
        <f t="shared" ref="NK10:NK38" si="206">NI10</f>
        <v>-280</v>
      </c>
      <c r="NL10" s="141">
        <f>IFERROR(VLOOKUP($D10,'Adient Assende (Belgium) WK.17'!$B:MH,NM$1,0),0)</f>
        <v>160</v>
      </c>
      <c r="NM10" s="140">
        <f>IFERROR(VLOOKUP($D10,'Adient Arendal (Malzia) WK.12'!$B:MI,NM$1,0),0)</f>
        <v>0</v>
      </c>
      <c r="NN10" s="140">
        <f>IFERROR(VLOOKUP($D10,'Adient Taizhou (China) WK.16'!$B:ML,NM$1,0),0)</f>
        <v>0</v>
      </c>
      <c r="NO10" s="128">
        <v>0</v>
      </c>
      <c r="NP10" s="30">
        <v>0</v>
      </c>
      <c r="NQ10" s="100">
        <f>((NK10-(NL10+NM10+NN10)+NP10))</f>
        <v>-440</v>
      </c>
      <c r="NS10" s="37">
        <f t="shared" ref="NS10:NS38" si="207">NQ10</f>
        <v>-440</v>
      </c>
      <c r="NT10" s="141">
        <f>IFERROR(VLOOKUP($D10,'Adient Assende (Belgium) WK.17'!$B:MP,NU$1,0),0)</f>
        <v>160</v>
      </c>
      <c r="NU10" s="140">
        <f>IFERROR(VLOOKUP($D10,'Adient Arendal (Malzia) WK.12'!$B:MQ,NU$1,0),0)</f>
        <v>0</v>
      </c>
      <c r="NV10" s="140">
        <f>IFERROR(VLOOKUP($D10,'Adient Taizhou (China) WK.16'!$B:MT,NU$1,0),0)</f>
        <v>0</v>
      </c>
      <c r="NW10" s="128">
        <v>0</v>
      </c>
      <c r="NX10" s="30">
        <v>0</v>
      </c>
      <c r="NY10" s="100">
        <f>((NS10-(NT10+NU10+NV10)+NX10))</f>
        <v>-600</v>
      </c>
      <c r="OA10" s="37">
        <f t="shared" ref="OA10:OA38" si="208">NY10</f>
        <v>-600</v>
      </c>
      <c r="OB10" s="141">
        <f>IFERROR(VLOOKUP($D10,'Adient Assende (Belgium) WK.17'!$B:MX,OC$1,0),0)</f>
        <v>0</v>
      </c>
      <c r="OC10" s="140">
        <f>IFERROR(VLOOKUP($D10,'Adient Arendal (Malzia) WK.12'!$B:MY,OC$1,0),0)</f>
        <v>0</v>
      </c>
      <c r="OD10" s="140">
        <f>IFERROR(VLOOKUP($D10,'Adient Taizhou (China) WK.16'!$B:NB,OC$1,0),0)</f>
        <v>0</v>
      </c>
      <c r="OE10" s="128">
        <v>0</v>
      </c>
      <c r="OF10" s="30">
        <v>0</v>
      </c>
      <c r="OG10" s="100">
        <f>((OA10-(OB10+OC10+OD10)+OF10))</f>
        <v>-600</v>
      </c>
      <c r="OI10" s="37">
        <f t="shared" ref="OI10:OI38" si="209">OG10</f>
        <v>-600</v>
      </c>
      <c r="OJ10" s="141">
        <f>IFERROR(VLOOKUP($D10,'Adient Assende (Belgium) WK.17'!$B:NF,OK$1,0),0)</f>
        <v>160</v>
      </c>
      <c r="OK10" s="140">
        <f>IFERROR(VLOOKUP($D10,'Adient Arendal (Malzia) WK.12'!$B:NG,OK$1,0),0)</f>
        <v>0</v>
      </c>
      <c r="OL10" s="140">
        <f>IFERROR(VLOOKUP($D10,'Adient Taizhou (China) WK.16'!$B:NJ,OK$1,0),0)</f>
        <v>0</v>
      </c>
      <c r="OM10" s="128">
        <v>0</v>
      </c>
      <c r="ON10" s="30">
        <v>0</v>
      </c>
      <c r="OO10" s="100">
        <f>((OI10-(OJ10+OK10+OL10)+ON10))</f>
        <v>-760</v>
      </c>
      <c r="OQ10" s="37">
        <f t="shared" ref="OQ10:OQ38" si="210">OO10</f>
        <v>-760</v>
      </c>
      <c r="OR10" s="141">
        <f>IFERROR(VLOOKUP($D10,'Adient Assende (Belgium) WK.17'!$B:NN,OS$1,0),0)</f>
        <v>0</v>
      </c>
      <c r="OS10" s="140">
        <f>IFERROR(VLOOKUP($D10,'Adient Arendal (Malzia) WK.12'!$B:NO,OS$1,0),0)</f>
        <v>0</v>
      </c>
      <c r="OT10" s="140">
        <f>IFERROR(VLOOKUP($D10,'Adient Taizhou (China) WK.16'!$B:NR,OS$1,0),0)</f>
        <v>0</v>
      </c>
      <c r="OU10" s="128">
        <v>0</v>
      </c>
      <c r="OV10" s="30">
        <v>0</v>
      </c>
      <c r="OW10" s="100">
        <f>((OQ10-(OR10+OS10+OT10)+OV10))</f>
        <v>-760</v>
      </c>
      <c r="OY10" s="37">
        <f t="shared" ref="OY10:OY38" si="211">OW10</f>
        <v>-760</v>
      </c>
      <c r="OZ10" s="141">
        <f>IFERROR(VLOOKUP($D10,'Adient Assende (Belgium) WK.17'!$B:NV,PA$1,0),0)</f>
        <v>0</v>
      </c>
      <c r="PA10" s="140">
        <f>IFERROR(VLOOKUP($D10,'Adient Arendal (Malzia) WK.12'!$B:NW,PA$1,0),0)</f>
        <v>0</v>
      </c>
      <c r="PB10" s="140">
        <f>IFERROR(VLOOKUP($D10,'Adient Taizhou (China) WK.16'!$B:NZ,PA$1,0),0)</f>
        <v>0</v>
      </c>
      <c r="PC10" s="128">
        <v>0</v>
      </c>
      <c r="PD10" s="30">
        <v>0</v>
      </c>
      <c r="PE10" s="100">
        <f>((OY10-(OZ10+PA10+PB10)+PD10))</f>
        <v>-760</v>
      </c>
      <c r="PG10" s="37">
        <f t="shared" ref="PG10:PG38" si="212">PE10</f>
        <v>-760</v>
      </c>
      <c r="PH10" s="141">
        <f>IFERROR(VLOOKUP($D10,'Adient Assende (Belgium) WK.17'!$B:OD,PI$1,0),0)</f>
        <v>0</v>
      </c>
      <c r="PI10" s="140">
        <f>IFERROR(VLOOKUP($D10,'Adient Arendal (Malzia) WK.12'!$B:OE,PI$1,0),0)</f>
        <v>0</v>
      </c>
      <c r="PJ10" s="140">
        <f>IFERROR(VLOOKUP($D10,'Adient Taizhou (China) WK.16'!$B:OH,PI$1,0),0)</f>
        <v>0</v>
      </c>
      <c r="PK10" s="128">
        <v>0</v>
      </c>
      <c r="PL10" s="30">
        <v>0</v>
      </c>
      <c r="PM10" s="100">
        <f>((PG10-(PH10+PI10+PJ10)+PL10))</f>
        <v>-760</v>
      </c>
      <c r="PO10" s="37">
        <f t="shared" ref="PO10:PO38" si="213">PM10</f>
        <v>-760</v>
      </c>
      <c r="PP10" s="141">
        <f>IFERROR(VLOOKUP($D10,'Adient Assende (Belgium) WK.17'!$B:OL,PQ$1,0),0)</f>
        <v>0</v>
      </c>
      <c r="PQ10" s="140">
        <f>IFERROR(VLOOKUP($D10,'Adient Arendal (Malzia) WK.12'!$B:OM,PQ$1,0),0)</f>
        <v>0</v>
      </c>
      <c r="PR10" s="140">
        <f>IFERROR(VLOOKUP($D10,'Adient Taizhou (China) WK.16'!$B:OP,PQ$1,0),0)</f>
        <v>0</v>
      </c>
      <c r="PS10" s="128">
        <v>0</v>
      </c>
      <c r="PT10" s="30">
        <v>0</v>
      </c>
      <c r="PU10" s="100">
        <f>((PO10-(PP10+PQ10+PR10)+PT10))</f>
        <v>-760</v>
      </c>
      <c r="PW10" s="37">
        <f t="shared" ref="PW10:PW38" si="214">PU10</f>
        <v>-760</v>
      </c>
      <c r="PX10" s="141">
        <f>IFERROR(VLOOKUP($D10,'Adient Assende (Belgium) WK.17'!$B:OT,PY$1,0),0)</f>
        <v>160</v>
      </c>
      <c r="PY10" s="140">
        <f>IFERROR(VLOOKUP($D10,'Adient Arendal (Malzia) WK.12'!$B:OU,PY$1,0),0)</f>
        <v>0</v>
      </c>
      <c r="PZ10" s="140">
        <f>IFERROR(VLOOKUP($D10,'Adient Taizhou (China) WK.16'!$B:OX,PY$1,0),0)</f>
        <v>0</v>
      </c>
      <c r="QA10" s="128">
        <v>0</v>
      </c>
      <c r="QB10" s="30">
        <v>0</v>
      </c>
      <c r="QC10" s="100">
        <f>((PW10-(PX10+PY10+PZ10)+QB10))</f>
        <v>-920</v>
      </c>
      <c r="QE10" s="37">
        <f t="shared" ref="QE10:QE38" si="215">QC10</f>
        <v>-920</v>
      </c>
      <c r="QF10" s="141">
        <f>IFERROR(VLOOKUP($D10,'Adient Assende (Belgium) WK.17'!$B:PB,QG$1,0),0)</f>
        <v>0</v>
      </c>
      <c r="QG10" s="140">
        <f>IFERROR(VLOOKUP($D10,'Adient Arendal (Malzia) WK.12'!$B:PC,QG$1,0),0)</f>
        <v>0</v>
      </c>
      <c r="QH10" s="140">
        <f>IFERROR(VLOOKUP($D10,'Adient Taizhou (China) WK.16'!$B:PF,QG$1,0),0)</f>
        <v>0</v>
      </c>
      <c r="QI10" s="128">
        <v>0</v>
      </c>
      <c r="QJ10" s="30">
        <v>0</v>
      </c>
      <c r="QK10" s="100">
        <f>((QE10-(QF10+QG10+QH10)+QJ10))</f>
        <v>-920</v>
      </c>
      <c r="QM10" s="37">
        <f t="shared" ref="QM10:QM38" si="216">QK10</f>
        <v>-920</v>
      </c>
      <c r="QN10" s="141">
        <f>IFERROR(VLOOKUP($D10,'Adient Assende (Belgium) WK.17'!$B:PJ,QO$1,0),0)</f>
        <v>160</v>
      </c>
      <c r="QO10" s="140">
        <f>IFERROR(VLOOKUP($D10,'Adient Arendal (Malzia) WK.12'!$B:PK,QO$1,0),0)</f>
        <v>0</v>
      </c>
      <c r="QP10" s="140">
        <f>IFERROR(VLOOKUP($D10,'Adient Taizhou (China) WK.16'!$B:PN,QO$1,0),0)</f>
        <v>0</v>
      </c>
      <c r="QQ10" s="128">
        <v>0</v>
      </c>
      <c r="QR10" s="30">
        <v>0</v>
      </c>
      <c r="QS10" s="100">
        <f>((QM10-(QN10+QO10+QP10)+QR10))</f>
        <v>-1080</v>
      </c>
      <c r="QU10" s="37">
        <f t="shared" ref="QU10:QU38" si="217">QS10</f>
        <v>-1080</v>
      </c>
      <c r="QV10" s="141">
        <f>IFERROR(VLOOKUP($D10,'Adient Assende (Belgium) WK.17'!$B:PR,QW$1,0),0)</f>
        <v>80</v>
      </c>
      <c r="QW10" s="140">
        <f>IFERROR(VLOOKUP($D10,'Adient Arendal (Malzia) WK.12'!$B:PS,QW$1,0),0)</f>
        <v>0</v>
      </c>
      <c r="QX10" s="140">
        <f>IFERROR(VLOOKUP($D10,'Adient Taizhou (China) WK.16'!$B:PV,QW$1,0),0)</f>
        <v>0</v>
      </c>
      <c r="QY10" s="128">
        <v>0</v>
      </c>
      <c r="QZ10" s="30">
        <v>0</v>
      </c>
      <c r="RA10" s="100">
        <f>((QU10-(QV10+QW10+QX10)+QZ10))</f>
        <v>-1160</v>
      </c>
      <c r="RC10" s="37">
        <f t="shared" ref="RC10:RC38" si="218">RA10</f>
        <v>-1160</v>
      </c>
      <c r="RD10" s="141">
        <f>IFERROR(VLOOKUP($D10,'Adient Assende (Belgium) WK.17'!$B:PZ,RE$1,0),0)</f>
        <v>80</v>
      </c>
      <c r="RE10" s="140">
        <f>IFERROR(VLOOKUP($D10,'Adient Arendal (Malzia) WK.12'!$B:QA,RE$1,0),0)</f>
        <v>0</v>
      </c>
      <c r="RF10" s="140">
        <f>IFERROR(VLOOKUP($D10,'Adient Taizhou (China) WK.16'!$B:QD,RE$1,0),0)</f>
        <v>0</v>
      </c>
      <c r="RG10" s="128">
        <v>0</v>
      </c>
      <c r="RH10" s="30">
        <v>0</v>
      </c>
      <c r="RI10" s="100">
        <f>((RC10-(RD10+RE10+RF10)+RH10))</f>
        <v>-1240</v>
      </c>
      <c r="RK10" s="37">
        <f t="shared" ref="RK10:RK38" si="219">RI10</f>
        <v>-1240</v>
      </c>
      <c r="RL10" s="141">
        <f>IFERROR(VLOOKUP($D10,'Adient Assende (Belgium) WK.17'!$B:QH,RM$1,0),0)</f>
        <v>80</v>
      </c>
      <c r="RM10" s="140">
        <f>IFERROR(VLOOKUP($D10,'Adient Arendal (Malzia) WK.12'!$B:QI,RM$1,0),0)</f>
        <v>0</v>
      </c>
      <c r="RN10" s="140">
        <f>IFERROR(VLOOKUP($D10,'Adient Taizhou (China) WK.16'!$B:QL,RM$1,0),0)</f>
        <v>0</v>
      </c>
      <c r="RO10" s="128">
        <v>0</v>
      </c>
      <c r="RP10" s="30">
        <v>0</v>
      </c>
      <c r="RQ10" s="100">
        <f>((RK10-(RL10+RM10+RN10)+RP10))</f>
        <v>-1320</v>
      </c>
      <c r="RS10" s="37">
        <f t="shared" ref="RS10:RS38" si="220">RQ10</f>
        <v>-1320</v>
      </c>
      <c r="RT10" s="141">
        <f>IFERROR(VLOOKUP($D10,'Adient Assende (Belgium) WK.17'!$B:QP,RU$1,0),0)</f>
        <v>80</v>
      </c>
      <c r="RU10" s="140">
        <f>IFERROR(VLOOKUP($D10,'Adient Arendal (Malzia) WK.12'!$B:QQ,RU$1,0),0)</f>
        <v>0</v>
      </c>
      <c r="RV10" s="140">
        <f>IFERROR(VLOOKUP($D10,'Adient Taizhou (China) WK.16'!$B:QT,RU$1,0),0)</f>
        <v>0</v>
      </c>
      <c r="RW10" s="128">
        <v>0</v>
      </c>
      <c r="RX10" s="30">
        <v>0</v>
      </c>
      <c r="RY10" s="100">
        <f>((RS10-(RT10+RU10+RV10)+RX10))</f>
        <v>-1400</v>
      </c>
      <c r="SA10" s="37">
        <f t="shared" ref="SA10:SA38" si="221">RY10</f>
        <v>-1400</v>
      </c>
      <c r="SB10" s="141">
        <f>IFERROR(VLOOKUP($D10,'Adient Assende (Belgium) WK.17'!$B:QX,SC$1,0),0)</f>
        <v>80</v>
      </c>
      <c r="SC10" s="140">
        <f>IFERROR(VLOOKUP($D10,'Adient Arendal (Malzia) WK.12'!$B:QY,SC$1,0),0)</f>
        <v>0</v>
      </c>
      <c r="SD10" s="140">
        <f>IFERROR(VLOOKUP($D10,'Adient Taizhou (China) WK.16'!$B:RB,SC$1,0),0)</f>
        <v>0</v>
      </c>
      <c r="SE10" s="128">
        <v>0</v>
      </c>
      <c r="SF10" s="30">
        <v>0</v>
      </c>
      <c r="SG10" s="100">
        <f>((SA10-(SB10+SC10+SD10)+SF10))</f>
        <v>-1480</v>
      </c>
      <c r="SI10" s="37">
        <f t="shared" ref="SI10:SI38" si="222">SG10</f>
        <v>-1480</v>
      </c>
      <c r="SJ10" s="141">
        <f>IFERROR(VLOOKUP($D10,'Adient Assende (Belgium) WK.17'!$B:RF,SK$1,0),0)</f>
        <v>80</v>
      </c>
      <c r="SK10" s="140">
        <f>IFERROR(VLOOKUP($D10,'Adient Arendal (Malzia) WK.12'!$B:RG,SK$1,0),0)</f>
        <v>0</v>
      </c>
      <c r="SL10" s="140">
        <f>IFERROR(VLOOKUP($D10,'Adient Taizhou (China) WK.16'!$B:RJ,SK$1,0),0)</f>
        <v>0</v>
      </c>
      <c r="SM10" s="128">
        <v>0</v>
      </c>
      <c r="SN10" s="30">
        <v>0</v>
      </c>
      <c r="SO10" s="100">
        <f>((SI10-(SJ10+SK10+SL10)+SN10))</f>
        <v>-1560</v>
      </c>
      <c r="SQ10" s="37">
        <f t="shared" ref="SQ10:SQ38" si="223">SO10</f>
        <v>-1560</v>
      </c>
      <c r="SR10" s="141">
        <f>IFERROR(VLOOKUP($D10,'Adient Assende (Belgium) WK.17'!$B:RN,SS$1,0),0)</f>
        <v>80</v>
      </c>
      <c r="SS10" s="140">
        <f>IFERROR(VLOOKUP($D10,'Adient Arendal (Malzia) WK.12'!$B:RO,SS$1,0),0)</f>
        <v>0</v>
      </c>
      <c r="ST10" s="140">
        <f>IFERROR(VLOOKUP($D10,'Adient Taizhou (China) WK.16'!$B:RR,SS$1,0),0)</f>
        <v>0</v>
      </c>
      <c r="SU10" s="128">
        <v>0</v>
      </c>
      <c r="SV10" s="30">
        <v>0</v>
      </c>
      <c r="SW10" s="100">
        <f>((SQ10-(SR10+SS10+ST10)+SV10))</f>
        <v>-1640</v>
      </c>
      <c r="SY10" s="37">
        <f t="shared" ref="SY10:SY38" si="224">SW10</f>
        <v>-1640</v>
      </c>
      <c r="SZ10" s="141">
        <f>IFERROR(VLOOKUP($D10,'Adient Assende (Belgium) WK.17'!$B:RV,TA$1,0),0)</f>
        <v>80</v>
      </c>
      <c r="TA10" s="140">
        <f>IFERROR(VLOOKUP($D10,'Adient Arendal (Malzia) WK.12'!$B:RW,TA$1,0),0)</f>
        <v>0</v>
      </c>
      <c r="TB10" s="140">
        <f>IFERROR(VLOOKUP($D10,'Adient Taizhou (China) WK.16'!$B:RZ,TA$1,0),0)</f>
        <v>0</v>
      </c>
      <c r="TC10" s="128">
        <v>0</v>
      </c>
      <c r="TD10" s="30">
        <v>0</v>
      </c>
      <c r="TE10" s="100">
        <f>((SY10-(SZ10+TA10+TB10)+TD10))</f>
        <v>-1720</v>
      </c>
      <c r="TG10" s="37">
        <f t="shared" ref="TG10:TG38" si="225">TE10</f>
        <v>-1720</v>
      </c>
      <c r="TH10" s="141">
        <f>IFERROR(VLOOKUP($D10,'Adient Assende (Belgium) WK.17'!$B:SD,TI$1,0),0)</f>
        <v>130</v>
      </c>
      <c r="TI10" s="140">
        <f>IFERROR(VLOOKUP($D10,'Adient Arendal (Malzia) WK.12'!$B:SE,TI$1,0),0)</f>
        <v>0</v>
      </c>
      <c r="TJ10" s="140">
        <f>IFERROR(VLOOKUP($D10,'Adient Taizhou (China) WK.16'!$B:SH,TI$1,0),0)</f>
        <v>0</v>
      </c>
      <c r="TK10" s="128">
        <v>0</v>
      </c>
      <c r="TL10" s="30">
        <v>0</v>
      </c>
      <c r="TM10" s="100">
        <f>((TG10-(TH10+TI10+TJ10)+TL10))</f>
        <v>-1850</v>
      </c>
      <c r="TO10" s="37">
        <f t="shared" ref="TO10:TO38" si="226">TM10</f>
        <v>-1850</v>
      </c>
      <c r="TP10" s="141">
        <f>IFERROR(VLOOKUP($D10,'Adient Assende (Belgium) WK.17'!$B:SL,TQ$1,0),0)</f>
        <v>130</v>
      </c>
      <c r="TQ10" s="140">
        <f>IFERROR(VLOOKUP($D10,'Adient Arendal (Malzia) WK.12'!$B:SM,TQ$1,0),0)</f>
        <v>0</v>
      </c>
      <c r="TR10" s="140">
        <f>IFERROR(VLOOKUP($D10,'Adient Taizhou (China) WK.16'!$B:SP,TQ$1,0),0)</f>
        <v>0</v>
      </c>
      <c r="TS10" s="128">
        <v>0</v>
      </c>
      <c r="TT10" s="30">
        <v>0</v>
      </c>
      <c r="TU10" s="100">
        <f>((TO10-(TP10+TQ10+TR10)+TT10))</f>
        <v>-1980</v>
      </c>
      <c r="TW10" s="37">
        <f t="shared" ref="TW10:TW38" si="227">TU10</f>
        <v>-1980</v>
      </c>
      <c r="TX10" s="141">
        <f>IFERROR(VLOOKUP($D10,'Adient Assende (Belgium) WK.17'!$B:ST,TY$1,0),0)</f>
        <v>130</v>
      </c>
      <c r="TY10" s="140">
        <f>IFERROR(VLOOKUP($D10,'Adient Arendal (Malzia) WK.12'!$B:SU,TY$1,0),0)</f>
        <v>0</v>
      </c>
      <c r="TZ10" s="140">
        <f>IFERROR(VLOOKUP($D10,'Adient Taizhou (China) WK.16'!$B:SX,TY$1,0),0)</f>
        <v>0</v>
      </c>
      <c r="UA10" s="128">
        <v>0</v>
      </c>
      <c r="UB10" s="30">
        <v>0</v>
      </c>
      <c r="UC10" s="100">
        <f>((TW10-(TX10+TY10+TZ10)+UB10))</f>
        <v>-2110</v>
      </c>
      <c r="UE10" s="37">
        <f t="shared" ref="UE10:UE38" si="228">UC10</f>
        <v>-2110</v>
      </c>
      <c r="UF10" s="141">
        <f>IFERROR(VLOOKUP($D10,'Adient Assende (Belgium) WK.17'!$B:TB,UG$1,0),0)</f>
        <v>130</v>
      </c>
      <c r="UG10" s="140">
        <f>IFERROR(VLOOKUP($D10,'Adient Arendal (Malzia) WK.12'!$B:TC,UG$1,0),0)</f>
        <v>0</v>
      </c>
      <c r="UH10" s="140">
        <f>IFERROR(VLOOKUP($D10,'Adient Taizhou (China) WK.16'!$B:TF,UG$1,0),0)</f>
        <v>0</v>
      </c>
      <c r="UI10" s="128">
        <v>0</v>
      </c>
      <c r="UJ10" s="30">
        <v>0</v>
      </c>
      <c r="UK10" s="100">
        <f>((UE10-(UF10+UG10+UH10)+UJ10))</f>
        <v>-2240</v>
      </c>
      <c r="UM10" s="37">
        <f t="shared" ref="UM10:UM38" si="229">UK10</f>
        <v>-2240</v>
      </c>
      <c r="UN10" s="141">
        <f>IFERROR(VLOOKUP($D10,'Adient Assende (Belgium) WK.17'!$B:TJ,UO$1,0),0)</f>
        <v>120</v>
      </c>
      <c r="UO10" s="140">
        <f>IFERROR(VLOOKUP($D10,'Adient Arendal (Malzia) WK.12'!$B:TK,UO$1,0),0)</f>
        <v>0</v>
      </c>
      <c r="UP10" s="140">
        <f>IFERROR(VLOOKUP($D10,'Adient Taizhou (China) WK.16'!$B:TN,UO$1,0),0)</f>
        <v>0</v>
      </c>
      <c r="UQ10" s="128">
        <v>0</v>
      </c>
      <c r="UR10" s="30">
        <v>0</v>
      </c>
      <c r="US10" s="100">
        <f>((UM10-(UN10+UO10+UP10)+UR10))</f>
        <v>-2360</v>
      </c>
      <c r="UU10" s="37">
        <f t="shared" ref="UU10:UU38" si="230">US10</f>
        <v>-2360</v>
      </c>
      <c r="UV10" s="141">
        <f>IFERROR(VLOOKUP($D10,'Adient Assende (Belgium) WK.17'!$B:TR,UW$1,0),0)</f>
        <v>160</v>
      </c>
      <c r="UW10" s="140">
        <f>IFERROR(VLOOKUP($D10,'Adient Arendal (Malzia) WK.12'!$B:TS,UW$1,0),0)</f>
        <v>0</v>
      </c>
      <c r="UX10" s="140">
        <f>IFERROR(VLOOKUP($D10,'Adient Taizhou (China) WK.16'!$B:TV,UW$1,0),0)</f>
        <v>0</v>
      </c>
      <c r="UY10" s="128">
        <v>0</v>
      </c>
      <c r="UZ10" s="30">
        <v>0</v>
      </c>
      <c r="VA10" s="100">
        <f>((UU10-(UV10+UW10+UX10)+UZ10))</f>
        <v>-2520</v>
      </c>
      <c r="VC10" s="37">
        <f t="shared" ref="VC10:VC38" si="231">VA10</f>
        <v>-2520</v>
      </c>
      <c r="VD10" s="141">
        <f>IFERROR(VLOOKUP($D10,'Adient Assende (Belgium) WK.17'!$B:TZ,VE$1,0),0)</f>
        <v>160</v>
      </c>
      <c r="VE10" s="140">
        <f>IFERROR(VLOOKUP($D10,'Adient Arendal (Malzia) WK.12'!$B:UA,VE$1,0),0)</f>
        <v>0</v>
      </c>
      <c r="VF10" s="140">
        <f>IFERROR(VLOOKUP($D10,'Adient Taizhou (China) WK.16'!$B:UD,VE$1,0),0)</f>
        <v>0</v>
      </c>
      <c r="VG10" s="128">
        <v>0</v>
      </c>
      <c r="VH10" s="30">
        <v>0</v>
      </c>
      <c r="VI10" s="100">
        <f>((VC10-(VD10+VE10+VF10)+VH10))</f>
        <v>-2680</v>
      </c>
      <c r="VK10" s="37">
        <f t="shared" ref="VK10:VK38" si="232">VI10</f>
        <v>-2680</v>
      </c>
      <c r="VL10" s="141">
        <f>IFERROR(VLOOKUP($D10,'Adient Assende (Belgium) WK.17'!$B:UH,VM$1,0),0)</f>
        <v>0</v>
      </c>
      <c r="VM10" s="140">
        <f>IFERROR(VLOOKUP($D10,'Adient Arendal (Malzia) WK.12'!$B:UI,VM$1,0),0)</f>
        <v>0</v>
      </c>
      <c r="VN10" s="140">
        <f>IFERROR(VLOOKUP($D10,'Adient Taizhou (China) WK.16'!$B:UL,VM$1,0),0)</f>
        <v>0</v>
      </c>
      <c r="VO10" s="128">
        <v>0</v>
      </c>
      <c r="VP10" s="30">
        <v>0</v>
      </c>
      <c r="VQ10" s="100">
        <f>((VK10-(VL10+VM10+VN10)+VP10))</f>
        <v>-2680</v>
      </c>
    </row>
    <row r="11" spans="1:589" x14ac:dyDescent="0.25">
      <c r="A11" s="10" t="s">
        <v>18</v>
      </c>
      <c r="B11" s="11" t="s">
        <v>19</v>
      </c>
      <c r="C11" s="87">
        <v>32248363</v>
      </c>
      <c r="D11" s="81">
        <v>4172755</v>
      </c>
      <c r="E11" s="11">
        <v>40</v>
      </c>
      <c r="F11" s="12"/>
      <c r="H11" s="122">
        <v>1640</v>
      </c>
      <c r="I11" s="125">
        <f>IFERROR(VLOOKUP($D11,'Adient Assende (Belgium) WK.17'!$B:C,J$1,0),0)</f>
        <v>0</v>
      </c>
      <c r="J11" s="55">
        <f>IFERROR(VLOOKUP($D11,'Adient Arendal (Malzia) WK.12'!$B:C,J$1,0),0)</f>
        <v>0</v>
      </c>
      <c r="K11" s="55">
        <f>IFERROR(VLOOKUP($D11,'Adient Taizhou (China) WK.16'!$B:C,J$1,0),0)</f>
        <v>0</v>
      </c>
      <c r="L11" s="128">
        <v>480</v>
      </c>
      <c r="M11" s="32">
        <v>0</v>
      </c>
      <c r="N11" s="106">
        <f t="shared" ref="N11:N79" si="233">((H11-(L11+J11+K11))+M11)</f>
        <v>1160</v>
      </c>
      <c r="P11" s="37">
        <f t="shared" ref="P11:P79" si="234">N11</f>
        <v>1160</v>
      </c>
      <c r="Q11" s="125">
        <f>IFERROR(VLOOKUP($D11,'Adient Assende (Belgium) WK.17'!$B:K,R$1,0),0)</f>
        <v>480</v>
      </c>
      <c r="R11" s="55">
        <f>IFERROR(VLOOKUP($D11,'Adient Arendal (Malzia) WK.12'!$B:K,R$1,0),0)</f>
        <v>0</v>
      </c>
      <c r="S11" s="55">
        <f>IFERROR(VLOOKUP($D11,'Adient Taizhou (China) WK.16'!$B:K,R$1,0),0)</f>
        <v>0</v>
      </c>
      <c r="T11" s="41">
        <v>160</v>
      </c>
      <c r="U11" s="32">
        <v>0</v>
      </c>
      <c r="V11" s="106">
        <f t="shared" ref="V11:V79" si="235">((P11-(T11+R11+S11))+U11)</f>
        <v>1000</v>
      </c>
      <c r="X11" s="37">
        <f t="shared" ref="X11:X79" si="236">V11</f>
        <v>1000</v>
      </c>
      <c r="Y11" s="125">
        <f>IFERROR(VLOOKUP($D11,'Adient Assende (Belgium) WK.17'!$B:S,Z$1,0),0)</f>
        <v>160</v>
      </c>
      <c r="Z11" s="55">
        <f>IFERROR(VLOOKUP($D11,'Adient Arendal (Malzia) WK.12'!$B:S,Z$1,0),0)</f>
        <v>0</v>
      </c>
      <c r="AA11" s="55">
        <f>IFERROR(VLOOKUP($D11,'Adient Taizhou (China) WK.16'!$B:S,Z$1,0),0)</f>
        <v>0</v>
      </c>
      <c r="AB11" s="41">
        <v>0</v>
      </c>
      <c r="AC11" s="32">
        <v>0</v>
      </c>
      <c r="AD11" s="106">
        <f t="shared" ref="AD11:AD79" si="237">((X11-(AB11+Z11+AA11))+AC11)</f>
        <v>1000</v>
      </c>
      <c r="AF11" s="37">
        <f t="shared" ref="AF11:AF79" si="238">AD11</f>
        <v>1000</v>
      </c>
      <c r="AG11" s="125">
        <f>IFERROR(VLOOKUP($D11,'Adient Assende (Belgium) WK.17'!$B:AA,AH$1,0),0)</f>
        <v>0</v>
      </c>
      <c r="AH11" s="55">
        <f>IFERROR(VLOOKUP($D11,'Adient Arendal (Malzia) WK.12'!$B:AA,AH$1,0),0)</f>
        <v>0</v>
      </c>
      <c r="AI11" s="55">
        <f>IFERROR(VLOOKUP($D11,'Adient Taizhou (China) WK.16'!$B:AA,AH$1,0),0)</f>
        <v>0</v>
      </c>
      <c r="AJ11" s="41">
        <v>160</v>
      </c>
      <c r="AK11" s="32">
        <v>0</v>
      </c>
      <c r="AL11" s="106">
        <f t="shared" ref="AL11:AL79" si="239">((AF11-(AJ11+AH11+AI11))+AK11)</f>
        <v>840</v>
      </c>
      <c r="AN11" s="37">
        <f t="shared" si="164"/>
        <v>840</v>
      </c>
      <c r="AO11" s="125">
        <f>IFERROR(VLOOKUP($D11,'Adient Assende (Belgium) WK.17'!$B:AI,AP$1,0),0)</f>
        <v>160</v>
      </c>
      <c r="AP11" s="55">
        <f>IFERROR(VLOOKUP($D11,'Adient Arendal (Malzia) WK.12'!$B:AI,AP$1,0),0)</f>
        <v>0</v>
      </c>
      <c r="AQ11" s="55">
        <f>IFERROR(VLOOKUP($D11,'Adient Taizhou (China) WK.16'!$B:AI,AP$1,0),0)</f>
        <v>0</v>
      </c>
      <c r="AR11" s="60">
        <v>0</v>
      </c>
      <c r="AS11" s="41">
        <v>320</v>
      </c>
      <c r="AT11" s="32">
        <v>0</v>
      </c>
      <c r="AU11" s="106">
        <f t="shared" ref="AU11:AU79" si="240">((AN11-(AS11+AP11+AQ11))+AT11)+AR11</f>
        <v>520</v>
      </c>
      <c r="AW11" s="37">
        <f t="shared" si="165"/>
        <v>520</v>
      </c>
      <c r="AX11" s="125">
        <f>IFERROR(VLOOKUP($D11,'Adient Assende (Belgium) WK.17'!$B:AR,AY$1,0),0)</f>
        <v>320</v>
      </c>
      <c r="AY11" s="55">
        <f>IFERROR(VLOOKUP($D11,'Adient Arendal (Malzia) WK.12'!$B:AR,AY$1,0),0)</f>
        <v>0</v>
      </c>
      <c r="AZ11" s="55">
        <f>IFERROR(VLOOKUP($D11,'Adient Taizhou (China) WK.16'!$B:AU,AY$1,0),0)</f>
        <v>0</v>
      </c>
      <c r="BA11" s="41">
        <v>160</v>
      </c>
      <c r="BB11" s="32">
        <v>0</v>
      </c>
      <c r="BC11" s="106">
        <f t="shared" ref="BC11:BC79" si="241">((AW11-(BA11+AY11+AZ11))+BB11)</f>
        <v>360</v>
      </c>
      <c r="BE11" s="37">
        <f t="shared" si="166"/>
        <v>360</v>
      </c>
      <c r="BF11" s="125">
        <f>IFERROR(VLOOKUP($D11,'Adient Assende (Belgium) WK.17'!$B:AX,BG$1,0),0)</f>
        <v>160</v>
      </c>
      <c r="BG11" s="55">
        <f>IFERROR(VLOOKUP($D11,'Adient Arendal (Malzia) WK.12'!$B:AZ,BG$1,0),0)</f>
        <v>0</v>
      </c>
      <c r="BH11" s="55">
        <f>IFERROR(VLOOKUP($D11,'Adient Taizhou (China) WK.16'!$B:BB,BG$1,0),0)</f>
        <v>0</v>
      </c>
      <c r="BI11" s="60">
        <v>0</v>
      </c>
      <c r="BJ11" s="60">
        <v>0</v>
      </c>
      <c r="BK11" s="41">
        <v>160</v>
      </c>
      <c r="BL11" s="32">
        <v>0</v>
      </c>
      <c r="BM11" s="106">
        <f t="shared" ref="BM11:BM79" si="242">((BE11-(BK11+BG11+BH11))+BL11)+BI11+BJ11</f>
        <v>200</v>
      </c>
      <c r="BN11" s="8"/>
      <c r="BO11" s="37">
        <f t="shared" si="167"/>
        <v>200</v>
      </c>
      <c r="BP11" s="125">
        <f>IFERROR(VLOOKUP($D11,'Adient Assende (Belgium) WK.17'!$B:BH,BQ$1,0),0)</f>
        <v>160</v>
      </c>
      <c r="BQ11" s="55">
        <f>IFERROR(VLOOKUP($D11,'Adient Arendal (Malzia) WK.12'!$B:BI,BQ$1,0),0)</f>
        <v>0</v>
      </c>
      <c r="BR11" s="55">
        <f>IFERROR(VLOOKUP($D11,'Adient Taizhou (China) WK.16'!$B:BL,BQ$1,0),0)</f>
        <v>0</v>
      </c>
      <c r="BS11" s="60">
        <v>0</v>
      </c>
      <c r="BT11" s="60">
        <v>400</v>
      </c>
      <c r="BU11" s="60">
        <v>0</v>
      </c>
      <c r="BV11" s="41">
        <v>160</v>
      </c>
      <c r="BW11" s="32">
        <v>0</v>
      </c>
      <c r="BX11" s="130">
        <f t="shared" ref="BX11:BX79" si="243">((BO11-(BV11+BQ11+BR11))+BW11)+BS11+BT11+BU11</f>
        <v>440</v>
      </c>
      <c r="BY11" s="8"/>
      <c r="BZ11" s="37">
        <f t="shared" si="168"/>
        <v>440</v>
      </c>
      <c r="CA11" s="125">
        <f>IFERROR(VLOOKUP($D11,'Adient Assende (Belgium) WK.17'!$B:BS,CB$1,0),0)</f>
        <v>160</v>
      </c>
      <c r="CB11" s="55">
        <f>IFERROR(VLOOKUP($D11,'Adient Arendal (Malzia) WK.12'!$B:BT,CB$1,0),0)</f>
        <v>0</v>
      </c>
      <c r="CC11" s="55">
        <f>IFERROR(VLOOKUP($D11,'Adient Taizhou (China) WK.16'!$B:BW,CB$1,0),0)</f>
        <v>0</v>
      </c>
      <c r="CD11" s="60">
        <v>0</v>
      </c>
      <c r="CE11" s="60">
        <v>0</v>
      </c>
      <c r="CF11" s="41">
        <v>160</v>
      </c>
      <c r="CG11" s="32">
        <v>0</v>
      </c>
      <c r="CH11" s="106">
        <f t="shared" ref="CH11:CH79" si="244">((BZ11-(CF11+CB11+CC11))+CG11)+CD11+CE11</f>
        <v>280</v>
      </c>
      <c r="CI11" s="8"/>
      <c r="CJ11" s="37">
        <f t="shared" si="169"/>
        <v>280</v>
      </c>
      <c r="CK11" s="125">
        <f>IFERROR(VLOOKUP($D11,'Adient Assende (Belgium) WK.17'!$B:CC,CL$1,0),0)</f>
        <v>160</v>
      </c>
      <c r="CL11" s="55">
        <f>IFERROR(VLOOKUP($D11,'Adient Arendal (Malzia) WK.12'!$B:CD,CL$1,0),0)</f>
        <v>0</v>
      </c>
      <c r="CM11" s="55">
        <f>IFERROR(VLOOKUP($D11,'Adient Taizhou (China) WK.16'!$B:CG,CL$1,0),0)</f>
        <v>0</v>
      </c>
      <c r="CN11" s="60">
        <v>240</v>
      </c>
      <c r="CO11" s="149">
        <v>0</v>
      </c>
      <c r="CP11" s="32">
        <v>0</v>
      </c>
      <c r="CQ11" s="130">
        <f t="shared" ref="CQ11:CQ79" si="245">((CJ11-(CO11+CL11+CM11))+CP11)+CN11</f>
        <v>520</v>
      </c>
      <c r="CR11" s="8"/>
      <c r="CS11" s="122">
        <f t="shared" si="170"/>
        <v>520</v>
      </c>
      <c r="CT11" s="154">
        <f>IFERROR(VLOOKUP($D11,'Adient Assende (Belgium) WK.17'!$B:CL,CU$1,0),0)</f>
        <v>0</v>
      </c>
      <c r="CU11" s="55">
        <f>IFERROR(VLOOKUP($D11,'Adient Arendal (Malzia) WK.12'!$B:CM,CU$1,0),0)</f>
        <v>0</v>
      </c>
      <c r="CV11" s="55">
        <f>IFERROR(VLOOKUP($D11,'Adient Taizhou (China) WK.16'!$B:CP,CU$1,0),0)</f>
        <v>0</v>
      </c>
      <c r="CW11" s="60">
        <v>0</v>
      </c>
      <c r="CX11" s="60">
        <v>0</v>
      </c>
      <c r="CY11" s="128">
        <v>160</v>
      </c>
      <c r="CZ11" s="32">
        <v>0</v>
      </c>
      <c r="DA11" s="130">
        <f t="shared" ref="DA11:DA79" si="246">((CS11-(CY11+CU11+CV11))+CZ11)+CW11+CX11</f>
        <v>360</v>
      </c>
      <c r="DB11" s="8"/>
      <c r="DC11" s="37">
        <f t="shared" si="171"/>
        <v>360</v>
      </c>
      <c r="DD11" s="125">
        <f>IFERROR(VLOOKUP($D11,'Adient Assende (Belgium) WK.17'!$B:CS,DE$1,0),0)</f>
        <v>160</v>
      </c>
      <c r="DE11" s="55">
        <f>IFERROR(VLOOKUP($D11,'Adient Arendal (Malzia) WK.12'!$B:CU,DE$1,0),0)</f>
        <v>0</v>
      </c>
      <c r="DF11" s="55">
        <f>IFERROR(VLOOKUP($D11,'Adient Taizhou (China) WK.16'!$B:CX,DE$1,0),0)</f>
        <v>0</v>
      </c>
      <c r="DG11" s="60">
        <v>360</v>
      </c>
      <c r="DH11" s="128">
        <v>160</v>
      </c>
      <c r="DI11" s="32">
        <v>0</v>
      </c>
      <c r="DJ11" s="130">
        <f t="shared" ref="DJ11:DJ79" si="247">((DC11-(DH11+DE11+DF11))+DI11)+DG11</f>
        <v>560</v>
      </c>
      <c r="DL11" s="37">
        <f t="shared" si="172"/>
        <v>560</v>
      </c>
      <c r="DM11" s="125">
        <f>IFERROR(VLOOKUP($D11,'Adient Assende (Belgium) WK.17'!$B:DB,DN$1,0),0)</f>
        <v>160</v>
      </c>
      <c r="DN11" s="55">
        <f>IFERROR(VLOOKUP($D11,'Adient Arendal (Malzia) WK.12'!$B:DC,DN$1,0),0)</f>
        <v>0</v>
      </c>
      <c r="DO11" s="55">
        <f>IFERROR(VLOOKUP($D11,'Adient Taizhou (China) WK.16'!$B:DF,DN$1,0),0)</f>
        <v>0</v>
      </c>
      <c r="DP11" s="128">
        <v>160</v>
      </c>
      <c r="DQ11" s="32">
        <v>0</v>
      </c>
      <c r="DR11" s="130">
        <f t="shared" si="173"/>
        <v>400</v>
      </c>
      <c r="DS11" s="8"/>
      <c r="DT11" s="37">
        <f t="shared" si="174"/>
        <v>400</v>
      </c>
      <c r="DU11" s="125">
        <f>IFERROR(VLOOKUP($D11,'Adient Assende (Belgium) WK.17'!$B:DJ,DV$1,0),0)</f>
        <v>160</v>
      </c>
      <c r="DV11" s="55">
        <f>IFERROR(VLOOKUP($D11,'Adient Arendal (Malzia) WK.12'!$B:DK,DV$1,0),0)</f>
        <v>0</v>
      </c>
      <c r="DW11" s="55">
        <f>IFERROR(VLOOKUP($D11,'Adient Taizhou (China) WK.16'!$B:DN,DV$1,0),0)</f>
        <v>0</v>
      </c>
      <c r="DX11" s="60">
        <v>360</v>
      </c>
      <c r="DY11" s="60">
        <v>320</v>
      </c>
      <c r="DZ11" s="128">
        <v>160</v>
      </c>
      <c r="EA11" s="32">
        <v>0</v>
      </c>
      <c r="EB11" s="130">
        <f t="shared" ref="EB11:EB79" si="248">((DT11-(DV11+DW11+DZ11)+EA11))+DX11+DY11</f>
        <v>920</v>
      </c>
      <c r="EC11" s="8"/>
      <c r="ED11" s="37">
        <f t="shared" si="175"/>
        <v>920</v>
      </c>
      <c r="EE11" s="125">
        <f>IFERROR(VLOOKUP($D11,'Adient Assende (Belgium) WK.17'!$B:DR,EF$1,0),0)</f>
        <v>160</v>
      </c>
      <c r="EF11" s="55">
        <f>IFERROR(VLOOKUP($D11,'Adient Arendal (Malzia) WK.12'!$B:DS,EF$1,0),0)</f>
        <v>0</v>
      </c>
      <c r="EG11" s="55">
        <f>IFERROR(VLOOKUP($D11,'Adient Taizhou (China) WK.16'!$B:DV,EF$1,0),0)</f>
        <v>0</v>
      </c>
      <c r="EH11" s="60">
        <v>120</v>
      </c>
      <c r="EI11" s="128">
        <v>160</v>
      </c>
      <c r="EJ11" s="32">
        <v>0</v>
      </c>
      <c r="EK11" s="130">
        <f t="shared" ref="EK11:EK79" si="249">((ED11-(EF11+EG11+EI11)+EJ11))+EH11</f>
        <v>880</v>
      </c>
      <c r="EM11" s="37">
        <f t="shared" si="176"/>
        <v>880</v>
      </c>
      <c r="EN11" s="125">
        <f>IFERROR(VLOOKUP($D11,'Adient Assende (Belgium) WK.17'!$B:DZ,EO$1,0),0)</f>
        <v>160</v>
      </c>
      <c r="EO11" s="55">
        <f>IFERROR(VLOOKUP($D11,'Adient Arendal (Malzia) WK.12'!$B:EA,EO$1,0),0)</f>
        <v>0</v>
      </c>
      <c r="EP11" s="55">
        <f>IFERROR(VLOOKUP($D11,'Adient Taizhou (China) WK.16'!$B:ED,EO$1,0),0)</f>
        <v>0</v>
      </c>
      <c r="EQ11" s="128">
        <v>0</v>
      </c>
      <c r="ER11" s="32">
        <v>0</v>
      </c>
      <c r="ES11" s="130">
        <f t="shared" ref="ES11:ES79" si="250">((EM11-(EO11+EP11+EQ11)+ER11))</f>
        <v>880</v>
      </c>
      <c r="EU11" s="37">
        <f t="shared" si="177"/>
        <v>880</v>
      </c>
      <c r="EV11" s="125">
        <f>IFERROR(VLOOKUP($D11,'Adient Assende (Belgium) WK.17'!$B:EH,EW$1,0),0)</f>
        <v>0</v>
      </c>
      <c r="EW11" s="55">
        <f>IFERROR(VLOOKUP($D11,'Adient Arendal (Malzia) WK.12'!$B:EI,EW$1,0),0)</f>
        <v>0</v>
      </c>
      <c r="EX11" s="55">
        <f>IFERROR(VLOOKUP($D11,'Adient Taizhou (China) WK.16'!$B:EL,EW$1,0),0)</f>
        <v>0</v>
      </c>
      <c r="EY11" s="128">
        <v>0</v>
      </c>
      <c r="EZ11" s="32">
        <v>0</v>
      </c>
      <c r="FA11" s="130">
        <f t="shared" ref="FA11:FA79" si="251">((EU11-(EW11+EX11+EY11)+EZ11))</f>
        <v>880</v>
      </c>
      <c r="FC11" s="37">
        <f t="shared" si="178"/>
        <v>880</v>
      </c>
      <c r="FD11" s="154">
        <f>IFERROR(VLOOKUP($D11,'Adient Assende (Belgium) WK.17'!$B:EP,FE$1,0),0)</f>
        <v>0</v>
      </c>
      <c r="FE11" s="154">
        <f>IFERROR(VLOOKUP($D11,'Adient Arendal (Malzia) WK.12'!$B:EQ,FE$1,0),0)</f>
        <v>0</v>
      </c>
      <c r="FF11" s="154">
        <f>IFERROR(VLOOKUP($D11,'Adient Taizhou (China) WK.16'!$B:ET,FE$1,0),0)</f>
        <v>0</v>
      </c>
      <c r="FG11" s="128">
        <v>0</v>
      </c>
      <c r="FH11" s="32">
        <v>0</v>
      </c>
      <c r="FI11" s="130">
        <f t="shared" ref="FI11:FI79" si="252">((FC11-(FE11+FF11+FG11)+FH11))</f>
        <v>880</v>
      </c>
      <c r="FK11" s="37">
        <f t="shared" si="179"/>
        <v>880</v>
      </c>
      <c r="FL11" s="125">
        <f>IFERROR(VLOOKUP($D11,'Adient Assende (Belgium) WK.17'!$B:EX,FM$1,0),0)</f>
        <v>0</v>
      </c>
      <c r="FM11" s="55">
        <f>IFERROR(VLOOKUP($D11,'Adient Arendal (Malzia) WK.12'!$B:EY,FM$1,0),0)</f>
        <v>0</v>
      </c>
      <c r="FN11" s="55">
        <f>IFERROR(VLOOKUP($D11,'Adient Taizhou (China) WK.16'!$B:FB,FM$1,0),0)</f>
        <v>0</v>
      </c>
      <c r="FO11" s="128">
        <v>160</v>
      </c>
      <c r="FP11" s="32">
        <v>0</v>
      </c>
      <c r="FQ11" s="130">
        <f t="shared" ref="FQ11:FQ79" si="253">((FK11-(FM11+FN11+FO11)+FP11))</f>
        <v>720</v>
      </c>
      <c r="FR11" s="8"/>
      <c r="FS11" s="37">
        <f t="shared" si="180"/>
        <v>720</v>
      </c>
      <c r="FT11" s="125">
        <f>IFERROR(VLOOKUP($D11,'Adient Assende (Belgium) WK.17'!$B:FF,FU$1,0),0)</f>
        <v>160</v>
      </c>
      <c r="FU11" s="55">
        <f>IFERROR(VLOOKUP($D11,'Adient Arendal (Malzia) WK.12'!$B:FG,FU$1,0),0)</f>
        <v>0</v>
      </c>
      <c r="FV11" s="55">
        <f>IFERROR(VLOOKUP($D11,'Adient Taizhou (China) WK.16'!$B:FJ,FU$1,0),0)</f>
        <v>0</v>
      </c>
      <c r="FW11" s="60">
        <v>200</v>
      </c>
      <c r="FX11" s="60">
        <v>0</v>
      </c>
      <c r="FY11" s="60">
        <v>200</v>
      </c>
      <c r="FZ11" s="60">
        <v>320</v>
      </c>
      <c r="GA11" s="60">
        <v>0</v>
      </c>
      <c r="GB11" s="128">
        <v>160</v>
      </c>
      <c r="GC11" s="32">
        <v>0</v>
      </c>
      <c r="GD11" s="130">
        <f t="shared" ref="GD11:GD79" si="254">((FS11-(FU11+FV11+GB11)+GC11))+FW11+FX11+FY11+FZ11+GA11</f>
        <v>1280</v>
      </c>
      <c r="GF11" s="37">
        <f t="shared" si="181"/>
        <v>1280</v>
      </c>
      <c r="GG11" s="125">
        <f>IFERROR(VLOOKUP($D11,'Adient Assende (Belgium) WK.17'!$B:FN,GH$1,0),0)</f>
        <v>160</v>
      </c>
      <c r="GH11" s="55">
        <f>IFERROR(VLOOKUP($D11,'Adient Arendal (Malzia) WK.12'!$B:FO,GH$1,0),0)</f>
        <v>0</v>
      </c>
      <c r="GI11" s="55">
        <f>IFERROR(VLOOKUP($D11,'Adient Taizhou (China) WK.16'!$B:FR,GH$1,0),0)</f>
        <v>0</v>
      </c>
      <c r="GJ11" s="60">
        <v>0</v>
      </c>
      <c r="GK11" s="128">
        <v>0</v>
      </c>
      <c r="GL11" s="32">
        <v>0</v>
      </c>
      <c r="GM11" s="130">
        <f t="shared" ref="GM11:GM79" si="255">((GF11-(GH11+GI11+GK11)+GL11))+GJ11</f>
        <v>1280</v>
      </c>
      <c r="GO11" s="37">
        <f t="shared" si="182"/>
        <v>1280</v>
      </c>
      <c r="GP11" s="125">
        <f>IFERROR(VLOOKUP($D11,'Adient Assende (Belgium) WK.17'!$B:FV,GQ$1,0),0)</f>
        <v>0</v>
      </c>
      <c r="GQ11" s="55">
        <f>IFERROR(VLOOKUP($D11,'Adient Arendal (Malzia) WK.12'!$B:FW,GQ$1,0),0)</f>
        <v>0</v>
      </c>
      <c r="GR11" s="55">
        <f>IFERROR(VLOOKUP($D11,'Adient Taizhou (China) WK.16'!$B:FZ,GQ$1,0),0)</f>
        <v>0</v>
      </c>
      <c r="GS11" s="60">
        <v>0</v>
      </c>
      <c r="GT11" s="128">
        <v>0</v>
      </c>
      <c r="GU11" s="32">
        <v>0</v>
      </c>
      <c r="GV11" s="130">
        <f t="shared" ref="GV11:GV79" si="256">((GO11-(GQ11+GR11+GT11)+GU11))+GS11</f>
        <v>1280</v>
      </c>
      <c r="GW11" s="8"/>
      <c r="GX11" s="37">
        <f t="shared" si="183"/>
        <v>1280</v>
      </c>
      <c r="GY11" s="125">
        <f>IFERROR(VLOOKUP($D11,'Adient Assende (Belgium) WK.17'!$B:GD,GZ$1,0),0)</f>
        <v>0</v>
      </c>
      <c r="GZ11" s="55">
        <f>IFERROR(VLOOKUP($D11,'Adient Arendal (Malzia) WK.12'!$B:GE,GZ$1,0),0)</f>
        <v>0</v>
      </c>
      <c r="HA11" s="55">
        <f>IFERROR(VLOOKUP($D11,'Adient Taizhou (China) WK.16'!$B:GH,GZ$1,0),0)</f>
        <v>0</v>
      </c>
      <c r="HB11" s="60">
        <v>0</v>
      </c>
      <c r="HC11" s="128">
        <v>160</v>
      </c>
      <c r="HD11" s="32">
        <v>0</v>
      </c>
      <c r="HE11" s="130">
        <f t="shared" ref="HE11:HE79" si="257">((GX11-(GZ11+HA11+HC11)+HD11))+HB11</f>
        <v>1120</v>
      </c>
      <c r="HF11" s="8"/>
      <c r="HG11" s="37">
        <f t="shared" si="184"/>
        <v>1120</v>
      </c>
      <c r="HH11" s="125">
        <f>IFERROR(VLOOKUP($D11,'Adient Assende (Belgium) WK.17'!$B:GL,HI$1,0),0)</f>
        <v>160</v>
      </c>
      <c r="HI11" s="55">
        <f>IFERROR(VLOOKUP($D11,'Adient Arendal (Malzia) WK.12'!$B:GM,HI$1,0),0)</f>
        <v>0</v>
      </c>
      <c r="HJ11" s="55">
        <f>IFERROR(VLOOKUP($D11,'Adient Taizhou (China) WK.16'!$B:GP,HI$1,0),0)</f>
        <v>0</v>
      </c>
      <c r="HK11" s="60">
        <v>0</v>
      </c>
      <c r="HL11" s="128">
        <v>160</v>
      </c>
      <c r="HM11" s="32">
        <v>0</v>
      </c>
      <c r="HN11" s="130">
        <f t="shared" ref="HN11:HN79" si="258">((HG11-(HI11+HJ11+HL11)+HM11))+HK11</f>
        <v>960</v>
      </c>
      <c r="HO11" s="8"/>
      <c r="HP11" s="37">
        <f t="shared" si="185"/>
        <v>960</v>
      </c>
      <c r="HQ11" s="125">
        <f>IFERROR(VLOOKUP($D11,'Adient Assende (Belgium) WK.17'!$B:GT,HR$1,0),0)</f>
        <v>160</v>
      </c>
      <c r="HR11" s="55">
        <f>IFERROR(VLOOKUP($D11,'Adient Arendal (Malzia) WK.12'!$B:GU,HR$1,0),0)</f>
        <v>0</v>
      </c>
      <c r="HS11" s="55">
        <f>IFERROR(VLOOKUP($D11,'Adient Taizhou (China) WK.16'!$B:GX,HR$1,0),0)</f>
        <v>0</v>
      </c>
      <c r="HT11" s="60">
        <v>0</v>
      </c>
      <c r="HU11" s="128">
        <v>0</v>
      </c>
      <c r="HV11" s="32">
        <v>0</v>
      </c>
      <c r="HW11" s="130">
        <f t="shared" ref="HW11:HW79" si="259">((HP11-(HR11+HS11+HU11)+HV11))+HT11</f>
        <v>960</v>
      </c>
      <c r="HX11" s="8"/>
      <c r="HY11" s="37">
        <f t="shared" si="186"/>
        <v>960</v>
      </c>
      <c r="HZ11" s="125">
        <f>IFERROR(VLOOKUP($D11,'Adient Assende (Belgium) WK.17'!$B:HB,IA$1,0),0)</f>
        <v>0</v>
      </c>
      <c r="IA11" s="55">
        <f>IFERROR(VLOOKUP($D11,'Adient Arendal (Malzia) WK.12'!$B:HC,IA$1,0),0)</f>
        <v>0</v>
      </c>
      <c r="IB11" s="55">
        <f>IFERROR(VLOOKUP($D11,'Adient Taizhou (China) WK.16'!$B:HF,IA$1,0),0)</f>
        <v>0</v>
      </c>
      <c r="IC11" s="60">
        <v>0</v>
      </c>
      <c r="ID11" s="128">
        <v>160</v>
      </c>
      <c r="IE11" s="32">
        <v>0</v>
      </c>
      <c r="IF11" s="130">
        <f t="shared" ref="IF11:IF79" si="260">((HY11-(IA11+IB11+ID11)+IE11))+IC11</f>
        <v>800</v>
      </c>
      <c r="IG11" s="8"/>
      <c r="IH11" s="37">
        <f t="shared" si="187"/>
        <v>800</v>
      </c>
      <c r="II11" s="125">
        <f>IFERROR(VLOOKUP($D11,'Adient Assende (Belgium) WK.17'!$B:HJ,IJ$1,0),0)</f>
        <v>160</v>
      </c>
      <c r="IJ11" s="55">
        <f>IFERROR(VLOOKUP($D11,'Adient Arendal (Malzia) WK.12'!$B:HK,IJ$1,0),0)</f>
        <v>0</v>
      </c>
      <c r="IK11" s="55">
        <f>IFERROR(VLOOKUP($D11,'Adient Taizhou (China) WK.16'!$B:HN,IJ$1,0),0)</f>
        <v>0</v>
      </c>
      <c r="IL11" s="128">
        <v>320</v>
      </c>
      <c r="IM11" s="32">
        <v>0</v>
      </c>
      <c r="IN11" s="130">
        <f t="shared" si="188"/>
        <v>480</v>
      </c>
      <c r="IO11" s="8"/>
      <c r="IP11" s="37">
        <f t="shared" si="189"/>
        <v>480</v>
      </c>
      <c r="IQ11" s="125">
        <f>IFERROR(VLOOKUP($D11,'Adient Assende (Belgium) WK.17'!$B:HR,IR$1,0),0)</f>
        <v>320</v>
      </c>
      <c r="IR11" s="55">
        <f>IFERROR(VLOOKUP($D11,'Adient Arendal (Malzia) WK.12'!$B:HS,IR$1,0),0)</f>
        <v>0</v>
      </c>
      <c r="IS11" s="55">
        <f>IFERROR(VLOOKUP($D11,'Adient Taizhou (China) WK.16'!$B:HV,IR$1,0),0)</f>
        <v>0</v>
      </c>
      <c r="IT11" s="60">
        <v>0</v>
      </c>
      <c r="IU11" s="128">
        <v>160</v>
      </c>
      <c r="IV11" s="32">
        <v>0</v>
      </c>
      <c r="IW11" s="130">
        <f t="shared" ref="IW11:IW79" si="261">((IP11-(IR11+IS11+IU11)+IV11))+IT11</f>
        <v>320</v>
      </c>
      <c r="IX11" s="8"/>
      <c r="IY11" s="37">
        <f t="shared" si="190"/>
        <v>320</v>
      </c>
      <c r="IZ11" s="125">
        <f>IFERROR(VLOOKUP($D11,'Adient Assende (Belgium) WK.17'!$B:HZ,JA$1,0),0)</f>
        <v>160</v>
      </c>
      <c r="JA11" s="55">
        <f>IFERROR(VLOOKUP($D11,'Adient Arendal (Malzia) WK.12'!$B:IA,JA$1,0),0)</f>
        <v>0</v>
      </c>
      <c r="JB11" s="55">
        <f>IFERROR(VLOOKUP($D11,'Adient Taizhou (China) WK.16'!$B:ID,JA$1,0),0)</f>
        <v>0</v>
      </c>
      <c r="JC11" s="128">
        <v>0</v>
      </c>
      <c r="JD11" s="32">
        <v>0</v>
      </c>
      <c r="JE11" s="130">
        <f t="shared" si="191"/>
        <v>320</v>
      </c>
      <c r="JF11" s="8"/>
      <c r="JG11" s="37">
        <f t="shared" si="192"/>
        <v>320</v>
      </c>
      <c r="JH11" s="125">
        <f>IFERROR(VLOOKUP($D11,'Adient Assende (Belgium) WK.17'!$B:IH,JI$1,0),0)</f>
        <v>0</v>
      </c>
      <c r="JI11" s="55">
        <f>IFERROR(VLOOKUP($D11,'Adient Arendal (Malzia) WK.12'!$B:II,JI$1,0),0)</f>
        <v>0</v>
      </c>
      <c r="JJ11" s="55">
        <f>IFERROR(VLOOKUP($D11,'Adient Taizhou (China) WK.16'!$B:IL,JI$1,0),0)</f>
        <v>0</v>
      </c>
      <c r="JK11" s="60">
        <v>160</v>
      </c>
      <c r="JL11" s="128">
        <v>160</v>
      </c>
      <c r="JM11" s="32">
        <v>0</v>
      </c>
      <c r="JN11" s="130">
        <f t="shared" ref="JN11:JN79" si="262">((JG11-(JI11+JJ11+JL11)+JM11))+JK11</f>
        <v>320</v>
      </c>
      <c r="JO11" s="8"/>
      <c r="JP11" s="37">
        <f t="shared" si="193"/>
        <v>320</v>
      </c>
      <c r="JQ11" s="125">
        <f>IFERROR(VLOOKUP($D11,'Adient Assende (Belgium) WK.17'!$B:IP,JR$1,0),0)</f>
        <v>160</v>
      </c>
      <c r="JR11" s="55">
        <f>IFERROR(VLOOKUP($D11,'Adient Arendal (Malzia) WK.12'!$B:IQ,JR$1,0),0)</f>
        <v>0</v>
      </c>
      <c r="JS11" s="55">
        <f>IFERROR(VLOOKUP($D11,'Adient Taizhou (China) WK.16'!$B:IT,JR$1,0),0)</f>
        <v>0</v>
      </c>
      <c r="JT11" s="128">
        <v>0</v>
      </c>
      <c r="JU11" s="32">
        <v>0</v>
      </c>
      <c r="JV11" s="130">
        <f t="shared" si="194"/>
        <v>320</v>
      </c>
      <c r="JW11" s="8"/>
      <c r="JX11" s="37">
        <f t="shared" si="195"/>
        <v>320</v>
      </c>
      <c r="JY11" s="154">
        <f>IFERROR(VLOOKUP($D11,'Adient Assende (Belgium) WK.17'!$B:IX,JZ$1,0),0)</f>
        <v>0</v>
      </c>
      <c r="JZ11" s="55">
        <f>IFERROR(VLOOKUP($D11,'Adient Arendal (Malzia) WK.12'!$B:IY,JZ$1,0),0)</f>
        <v>0</v>
      </c>
      <c r="KA11" s="55">
        <f>IFERROR(VLOOKUP($D11,'Adient Taizhou (China) WK.16'!$B:JB,JZ$1,0),0)</f>
        <v>0</v>
      </c>
      <c r="KB11" s="128">
        <v>0</v>
      </c>
      <c r="KC11" s="32">
        <v>0</v>
      </c>
      <c r="KD11" s="130">
        <f t="shared" ref="KD11:KD74" si="263">((JX11-(JZ11+KA11+KB11)+KC11))</f>
        <v>320</v>
      </c>
      <c r="KE11" s="8"/>
      <c r="KF11" s="37">
        <f t="shared" si="196"/>
        <v>320</v>
      </c>
      <c r="KG11" s="125">
        <f>IFERROR(VLOOKUP($D11,'Adient Assende (Belgium) WK.17'!$B:JF,KH$1,0),0)</f>
        <v>0</v>
      </c>
      <c r="KH11" s="55">
        <f>IFERROR(VLOOKUP($D11,'Adient Arendal (Malzia) WK.12'!$B:JG,KH$1,0),0)</f>
        <v>0</v>
      </c>
      <c r="KI11" s="55">
        <f>IFERROR(VLOOKUP($D11,'Adient Taizhou (China) WK.16'!$B:JJ,KH$1,0),0)</f>
        <v>0</v>
      </c>
      <c r="KJ11" s="60">
        <v>80</v>
      </c>
      <c r="KK11" s="128">
        <v>160</v>
      </c>
      <c r="KL11" s="32">
        <v>0</v>
      </c>
      <c r="KM11" s="130">
        <f t="shared" ref="KM11:KM74" si="264">((KF11-(KH11+KI11+KK11)+KL11))+KJ11</f>
        <v>240</v>
      </c>
      <c r="KN11" s="8"/>
      <c r="KO11" s="37">
        <f t="shared" si="197"/>
        <v>240</v>
      </c>
      <c r="KP11" s="141">
        <f>IFERROR(VLOOKUP($D11,'Adient Assende (Belgium) WK.17'!$B:JN,KQ$1,0),0)</f>
        <v>160</v>
      </c>
      <c r="KQ11" s="140">
        <f>IFERROR(VLOOKUP($D11,'Adient Arendal (Malzia) WK.12'!$B:JO,KQ$1,0),0)</f>
        <v>0</v>
      </c>
      <c r="KR11" s="140">
        <f>IFERROR(VLOOKUP($D11,'Adient Taizhou (China) WK.16'!$B:JR,KQ$1,0),0)</f>
        <v>0</v>
      </c>
      <c r="KS11" s="60">
        <v>160</v>
      </c>
      <c r="KT11" s="128">
        <v>0</v>
      </c>
      <c r="KU11" s="32">
        <v>0</v>
      </c>
      <c r="KV11" s="130">
        <f t="shared" ref="KV11:KV74" si="265">((KO11-(KQ11+KR11+KT11)+KU11))+KS11</f>
        <v>400</v>
      </c>
      <c r="KX11" s="37">
        <f t="shared" si="198"/>
        <v>400</v>
      </c>
      <c r="KY11" s="141">
        <f>IFERROR(VLOOKUP($D11,'Adient Assende (Belgium) WK.17'!$B:JV,KZ$1,0),0)</f>
        <v>0</v>
      </c>
      <c r="KZ11" s="140">
        <f>IFERROR(VLOOKUP($D11,'Adient Arendal (Malzia) WK.12'!$B:JW,KZ$1,0),0)</f>
        <v>0</v>
      </c>
      <c r="LA11" s="140">
        <f>IFERROR(VLOOKUP($D11,'Adient Taizhou (China) WK.16'!$B:JZ,KZ$1,0),0)</f>
        <v>0</v>
      </c>
      <c r="LB11" s="128">
        <v>0</v>
      </c>
      <c r="LC11" s="32">
        <v>0</v>
      </c>
      <c r="LD11" s="130">
        <f t="shared" ref="LD11:LD38" si="266">((KX11-(KZ11+LA11+LB11)+LC11))</f>
        <v>400</v>
      </c>
      <c r="LF11" s="37">
        <f t="shared" si="199"/>
        <v>400</v>
      </c>
      <c r="LG11" s="141">
        <f>IFERROR(VLOOKUP($D11,'Adient Assende (Belgium) WK.17'!$B:KD,LH$1,0),0)</f>
        <v>160</v>
      </c>
      <c r="LH11" s="140">
        <f>IFERROR(VLOOKUP($D11,'Adient Arendal (Malzia) WK.12'!$B:KE,LH$1,0),0)</f>
        <v>0</v>
      </c>
      <c r="LI11" s="140">
        <f>IFERROR(VLOOKUP($D11,'Adient Taizhou (China) WK.16'!$B:KH,LH$1,0),0)</f>
        <v>0</v>
      </c>
      <c r="LJ11" s="60">
        <v>0</v>
      </c>
      <c r="LK11" s="128">
        <v>0</v>
      </c>
      <c r="LL11" s="32">
        <v>0</v>
      </c>
      <c r="LM11" s="100">
        <f t="shared" ref="LM11:LM74" si="267">((LF11-(LG11+LH11+LI11)+LL11))+LJ11</f>
        <v>240</v>
      </c>
      <c r="LO11" s="37">
        <f t="shared" si="200"/>
        <v>240</v>
      </c>
      <c r="LP11" s="141">
        <f>IFERROR(VLOOKUP($D11,'Adient Assende (Belgium) WK.17'!$B:KL,LQ$1,0),0)</f>
        <v>0</v>
      </c>
      <c r="LQ11" s="140">
        <f>IFERROR(VLOOKUP($D11,'Adient Arendal (Malzia) WK.12'!$B:KM,LQ$1,0),0)</f>
        <v>0</v>
      </c>
      <c r="LR11" s="140">
        <f>IFERROR(VLOOKUP($D11,'Adient Taizhou (China) WK.16'!$B:KP,LQ$1,0),0)</f>
        <v>0</v>
      </c>
      <c r="LS11" s="128">
        <v>0</v>
      </c>
      <c r="LT11" s="32">
        <v>0</v>
      </c>
      <c r="LU11" s="100">
        <f t="shared" ref="LU11:LU38" si="268">((LO11-(LP11+LQ11+LR11)+LT11))</f>
        <v>240</v>
      </c>
      <c r="LW11" s="37">
        <f t="shared" si="201"/>
        <v>240</v>
      </c>
      <c r="LX11" s="141">
        <f>IFERROR(VLOOKUP($D11,'Adient Assende (Belgium) WK.17'!$B:KT,LY$1,0),0)</f>
        <v>160</v>
      </c>
      <c r="LY11" s="140">
        <f>IFERROR(VLOOKUP($D11,'Adient Arendal (Malzia) WK.12'!$B:KU,LY$1,0),0)</f>
        <v>0</v>
      </c>
      <c r="LZ11" s="140">
        <f>IFERROR(VLOOKUP($D11,'Adient Taizhou (China) WK.16'!$B:KX,LY$1,0),0)</f>
        <v>0</v>
      </c>
      <c r="MA11" s="128">
        <v>0</v>
      </c>
      <c r="MB11" s="32">
        <v>0</v>
      </c>
      <c r="MC11" s="100">
        <f t="shared" ref="MC11:MC38" si="269">((LW11-(LX11+LY11+LZ11)+MB11))</f>
        <v>80</v>
      </c>
      <c r="ME11" s="37">
        <f t="shared" si="202"/>
        <v>80</v>
      </c>
      <c r="MF11" s="154">
        <f>IFERROR(VLOOKUP($D11,'Adient Assende (Belgium) WK.17'!$B:LB,MG$1,0),0)</f>
        <v>0</v>
      </c>
      <c r="MG11" s="140">
        <f>IFERROR(VLOOKUP($D11,'Adient Arendal (Malzia) WK.12'!$B:LC,MG$1,0),0)</f>
        <v>0</v>
      </c>
      <c r="MH11" s="140">
        <f>IFERROR(VLOOKUP($D11,'Adient Taizhou (China) WK.16'!$B:LF,MG$1,0),0)</f>
        <v>0</v>
      </c>
      <c r="MI11" s="128">
        <v>0</v>
      </c>
      <c r="MJ11" s="32">
        <v>0</v>
      </c>
      <c r="MK11" s="100">
        <f t="shared" ref="MK11:MK38" si="270">((ME11-(MF11+MG11+MH11)+MJ11))</f>
        <v>80</v>
      </c>
      <c r="MM11" s="37">
        <f t="shared" si="203"/>
        <v>80</v>
      </c>
      <c r="MN11" s="141">
        <f>IFERROR(VLOOKUP($D11,'Adient Assende (Belgium) WK.17'!$B:LJ,MO$1,0),0)</f>
        <v>0</v>
      </c>
      <c r="MO11" s="140">
        <f>IFERROR(VLOOKUP($D11,'Adient Arendal (Malzia) WK.12'!$B:LK,MO$1,0),0)</f>
        <v>0</v>
      </c>
      <c r="MP11" s="140">
        <f>IFERROR(VLOOKUP($D11,'Adient Taizhou (China) WK.16'!$B:LN,MO$1,0),0)</f>
        <v>0</v>
      </c>
      <c r="MQ11" s="128">
        <v>0</v>
      </c>
      <c r="MR11" s="32">
        <v>0</v>
      </c>
      <c r="MS11" s="100">
        <f t="shared" ref="MS11:MS38" si="271">((MM11-(MN11+MO11+MP11)+MR11))</f>
        <v>80</v>
      </c>
      <c r="MU11" s="37">
        <f t="shared" si="204"/>
        <v>80</v>
      </c>
      <c r="MV11" s="141">
        <f>IFERROR(VLOOKUP($D11,'Adient Assende (Belgium) WK.17'!$B:LR,MW$1,0),0)</f>
        <v>160</v>
      </c>
      <c r="MW11" s="140">
        <f>IFERROR(VLOOKUP($D11,'Adient Arendal (Malzia) WK.12'!$B:LS,MW$1,0),0)</f>
        <v>0</v>
      </c>
      <c r="MX11" s="140">
        <f>IFERROR(VLOOKUP($D11,'Adient Taizhou (China) WK.16'!$B:LV,MW$1,0),0)</f>
        <v>0</v>
      </c>
      <c r="MY11" s="128">
        <v>0</v>
      </c>
      <c r="MZ11" s="32">
        <v>0</v>
      </c>
      <c r="NA11" s="100">
        <f t="shared" ref="NA11:NA38" si="272">((MU11-(MV11+MW11+MX11)+MZ11))</f>
        <v>-80</v>
      </c>
      <c r="NC11" s="37">
        <f t="shared" si="205"/>
        <v>-80</v>
      </c>
      <c r="ND11" s="141">
        <f>IFERROR(VLOOKUP($D11,'Adient Assende (Belgium) WK.17'!$B:LZ,NE$1,0),0)</f>
        <v>160</v>
      </c>
      <c r="NE11" s="140">
        <f>IFERROR(VLOOKUP($D11,'Adient Arendal (Malzia) WK.12'!$B:MA,NE$1,0),0)</f>
        <v>0</v>
      </c>
      <c r="NF11" s="140">
        <f>IFERROR(VLOOKUP($D11,'Adient Taizhou (China) WK.16'!$B:MD,NE$1,0),0)</f>
        <v>0</v>
      </c>
      <c r="NG11" s="128">
        <v>0</v>
      </c>
      <c r="NH11" s="32">
        <v>0</v>
      </c>
      <c r="NI11" s="100">
        <f t="shared" ref="NI11:NI38" si="273">((NC11-(ND11+NE11+NF11)+NH11))</f>
        <v>-240</v>
      </c>
      <c r="NK11" s="37">
        <f t="shared" si="206"/>
        <v>-240</v>
      </c>
      <c r="NL11" s="141">
        <f>IFERROR(VLOOKUP($D11,'Adient Assende (Belgium) WK.17'!$B:MH,NM$1,0),0)</f>
        <v>0</v>
      </c>
      <c r="NM11" s="140">
        <f>IFERROR(VLOOKUP($D11,'Adient Arendal (Malzia) WK.12'!$B:MI,NM$1,0),0)</f>
        <v>0</v>
      </c>
      <c r="NN11" s="140">
        <f>IFERROR(VLOOKUP($D11,'Adient Taizhou (China) WK.16'!$B:ML,NM$1,0),0)</f>
        <v>0</v>
      </c>
      <c r="NO11" s="128">
        <v>0</v>
      </c>
      <c r="NP11" s="32">
        <v>0</v>
      </c>
      <c r="NQ11" s="100">
        <f t="shared" ref="NQ11:NQ38" si="274">((NK11-(NL11+NM11+NN11)+NP11))</f>
        <v>-240</v>
      </c>
      <c r="NS11" s="37">
        <f t="shared" si="207"/>
        <v>-240</v>
      </c>
      <c r="NT11" s="141">
        <f>IFERROR(VLOOKUP($D11,'Adient Assende (Belgium) WK.17'!$B:MP,NU$1,0),0)</f>
        <v>160</v>
      </c>
      <c r="NU11" s="140">
        <f>IFERROR(VLOOKUP($D11,'Adient Arendal (Malzia) WK.12'!$B:MQ,NU$1,0),0)</f>
        <v>0</v>
      </c>
      <c r="NV11" s="140">
        <f>IFERROR(VLOOKUP($D11,'Adient Taizhou (China) WK.16'!$B:MT,NU$1,0),0)</f>
        <v>0</v>
      </c>
      <c r="NW11" s="128">
        <v>0</v>
      </c>
      <c r="NX11" s="32">
        <v>0</v>
      </c>
      <c r="NY11" s="100">
        <f t="shared" ref="NY11:NY38" si="275">((NS11-(NT11+NU11+NV11)+NX11))</f>
        <v>-400</v>
      </c>
      <c r="OA11" s="37">
        <f t="shared" si="208"/>
        <v>-400</v>
      </c>
      <c r="OB11" s="141">
        <f>IFERROR(VLOOKUP($D11,'Adient Assende (Belgium) WK.17'!$B:MX,OC$1,0),0)</f>
        <v>0</v>
      </c>
      <c r="OC11" s="140">
        <f>IFERROR(VLOOKUP($D11,'Adient Arendal (Malzia) WK.12'!$B:MY,OC$1,0),0)</f>
        <v>0</v>
      </c>
      <c r="OD11" s="140">
        <f>IFERROR(VLOOKUP($D11,'Adient Taizhou (China) WK.16'!$B:NB,OC$1,0),0)</f>
        <v>0</v>
      </c>
      <c r="OE11" s="128">
        <v>0</v>
      </c>
      <c r="OF11" s="32">
        <v>0</v>
      </c>
      <c r="OG11" s="100">
        <f t="shared" ref="OG11:OG38" si="276">((OA11-(OB11+OC11+OD11)+OF11))</f>
        <v>-400</v>
      </c>
      <c r="OI11" s="37">
        <f t="shared" si="209"/>
        <v>-400</v>
      </c>
      <c r="OJ11" s="141">
        <f>IFERROR(VLOOKUP($D11,'Adient Assende (Belgium) WK.17'!$B:NF,OK$1,0),0)</f>
        <v>160</v>
      </c>
      <c r="OK11" s="140">
        <f>IFERROR(VLOOKUP($D11,'Adient Arendal (Malzia) WK.12'!$B:NG,OK$1,0),0)</f>
        <v>0</v>
      </c>
      <c r="OL11" s="140">
        <f>IFERROR(VLOOKUP($D11,'Adient Taizhou (China) WK.16'!$B:NJ,OK$1,0),0)</f>
        <v>0</v>
      </c>
      <c r="OM11" s="128">
        <v>0</v>
      </c>
      <c r="ON11" s="32">
        <v>0</v>
      </c>
      <c r="OO11" s="100">
        <f t="shared" ref="OO11:OO38" si="277">((OI11-(OJ11+OK11+OL11)+ON11))</f>
        <v>-560</v>
      </c>
      <c r="OQ11" s="37">
        <f t="shared" si="210"/>
        <v>-560</v>
      </c>
      <c r="OR11" s="141">
        <f>IFERROR(VLOOKUP($D11,'Adient Assende (Belgium) WK.17'!$B:NN,OS$1,0),0)</f>
        <v>0</v>
      </c>
      <c r="OS11" s="140">
        <f>IFERROR(VLOOKUP($D11,'Adient Arendal (Malzia) WK.12'!$B:NO,OS$1,0),0)</f>
        <v>0</v>
      </c>
      <c r="OT11" s="140">
        <f>IFERROR(VLOOKUP($D11,'Adient Taizhou (China) WK.16'!$B:NR,OS$1,0),0)</f>
        <v>0</v>
      </c>
      <c r="OU11" s="128">
        <v>0</v>
      </c>
      <c r="OV11" s="32">
        <v>0</v>
      </c>
      <c r="OW11" s="100">
        <f t="shared" ref="OW11:OW38" si="278">((OQ11-(OR11+OS11+OT11)+OV11))</f>
        <v>-560</v>
      </c>
      <c r="OY11" s="37">
        <f t="shared" si="211"/>
        <v>-560</v>
      </c>
      <c r="OZ11" s="141">
        <f>IFERROR(VLOOKUP($D11,'Adient Assende (Belgium) WK.17'!$B:NV,PA$1,0),0)</f>
        <v>0</v>
      </c>
      <c r="PA11" s="140">
        <f>IFERROR(VLOOKUP($D11,'Adient Arendal (Malzia) WK.12'!$B:NW,PA$1,0),0)</f>
        <v>0</v>
      </c>
      <c r="PB11" s="140">
        <f>IFERROR(VLOOKUP($D11,'Adient Taizhou (China) WK.16'!$B:NZ,PA$1,0),0)</f>
        <v>0</v>
      </c>
      <c r="PC11" s="128">
        <v>0</v>
      </c>
      <c r="PD11" s="32">
        <v>0</v>
      </c>
      <c r="PE11" s="100">
        <f t="shared" ref="PE11:PE38" si="279">((OY11-(OZ11+PA11+PB11)+PD11))</f>
        <v>-560</v>
      </c>
      <c r="PG11" s="37">
        <f t="shared" si="212"/>
        <v>-560</v>
      </c>
      <c r="PH11" s="141">
        <f>IFERROR(VLOOKUP($D11,'Adient Assende (Belgium) WK.17'!$B:OD,PI$1,0),0)</f>
        <v>0</v>
      </c>
      <c r="PI11" s="140">
        <f>IFERROR(VLOOKUP($D11,'Adient Arendal (Malzia) WK.12'!$B:OE,PI$1,0),0)</f>
        <v>0</v>
      </c>
      <c r="PJ11" s="140">
        <f>IFERROR(VLOOKUP($D11,'Adient Taizhou (China) WK.16'!$B:OH,PI$1,0),0)</f>
        <v>0</v>
      </c>
      <c r="PK11" s="128">
        <v>0</v>
      </c>
      <c r="PL11" s="32">
        <v>0</v>
      </c>
      <c r="PM11" s="100">
        <f t="shared" ref="PM11:PM38" si="280">((PG11-(PH11+PI11+PJ11)+PL11))</f>
        <v>-560</v>
      </c>
      <c r="PO11" s="37">
        <f t="shared" si="213"/>
        <v>-560</v>
      </c>
      <c r="PP11" s="141">
        <f>IFERROR(VLOOKUP($D11,'Adient Assende (Belgium) WK.17'!$B:OL,PQ$1,0),0)</f>
        <v>0</v>
      </c>
      <c r="PQ11" s="140">
        <f>IFERROR(VLOOKUP($D11,'Adient Arendal (Malzia) WK.12'!$B:OM,PQ$1,0),0)</f>
        <v>0</v>
      </c>
      <c r="PR11" s="140">
        <f>IFERROR(VLOOKUP($D11,'Adient Taizhou (China) WK.16'!$B:OP,PQ$1,0),0)</f>
        <v>0</v>
      </c>
      <c r="PS11" s="128">
        <v>0</v>
      </c>
      <c r="PT11" s="32">
        <v>0</v>
      </c>
      <c r="PU11" s="100">
        <f t="shared" ref="PU11:PU38" si="281">((PO11-(PP11+PQ11+PR11)+PT11))</f>
        <v>-560</v>
      </c>
      <c r="PW11" s="37">
        <f t="shared" si="214"/>
        <v>-560</v>
      </c>
      <c r="PX11" s="141">
        <f>IFERROR(VLOOKUP($D11,'Adient Assende (Belgium) WK.17'!$B:OT,PY$1,0),0)</f>
        <v>160</v>
      </c>
      <c r="PY11" s="140">
        <f>IFERROR(VLOOKUP($D11,'Adient Arendal (Malzia) WK.12'!$B:OU,PY$1,0),0)</f>
        <v>0</v>
      </c>
      <c r="PZ11" s="140">
        <f>IFERROR(VLOOKUP($D11,'Adient Taizhou (China) WK.16'!$B:OX,PY$1,0),0)</f>
        <v>0</v>
      </c>
      <c r="QA11" s="128">
        <v>0</v>
      </c>
      <c r="QB11" s="32">
        <v>0</v>
      </c>
      <c r="QC11" s="100">
        <f t="shared" ref="QC11:QC38" si="282">((PW11-(PX11+PY11+PZ11)+QB11))</f>
        <v>-720</v>
      </c>
      <c r="QE11" s="37">
        <f t="shared" si="215"/>
        <v>-720</v>
      </c>
      <c r="QF11" s="141">
        <f>IFERROR(VLOOKUP($D11,'Adient Assende (Belgium) WK.17'!$B:PB,QG$1,0),0)</f>
        <v>0</v>
      </c>
      <c r="QG11" s="140">
        <f>IFERROR(VLOOKUP($D11,'Adient Arendal (Malzia) WK.12'!$B:PC,QG$1,0),0)</f>
        <v>0</v>
      </c>
      <c r="QH11" s="140">
        <f>IFERROR(VLOOKUP($D11,'Adient Taizhou (China) WK.16'!$B:PF,QG$1,0),0)</f>
        <v>0</v>
      </c>
      <c r="QI11" s="128">
        <v>0</v>
      </c>
      <c r="QJ11" s="32">
        <v>0</v>
      </c>
      <c r="QK11" s="100">
        <f t="shared" ref="QK11:QK38" si="283">((QE11-(QF11+QG11+QH11)+QJ11))</f>
        <v>-720</v>
      </c>
      <c r="QM11" s="37">
        <f t="shared" si="216"/>
        <v>-720</v>
      </c>
      <c r="QN11" s="141">
        <f>IFERROR(VLOOKUP($D11,'Adient Assende (Belgium) WK.17'!$B:PJ,QO$1,0),0)</f>
        <v>160</v>
      </c>
      <c r="QO11" s="140">
        <f>IFERROR(VLOOKUP($D11,'Adient Arendal (Malzia) WK.12'!$B:PK,QO$1,0),0)</f>
        <v>0</v>
      </c>
      <c r="QP11" s="140">
        <f>IFERROR(VLOOKUP($D11,'Adient Taizhou (China) WK.16'!$B:PN,QO$1,0),0)</f>
        <v>0</v>
      </c>
      <c r="QQ11" s="128">
        <v>0</v>
      </c>
      <c r="QR11" s="32">
        <v>0</v>
      </c>
      <c r="QS11" s="100">
        <f t="shared" ref="QS11:QS38" si="284">((QM11-(QN11+QO11+QP11)+QR11))</f>
        <v>-880</v>
      </c>
      <c r="QU11" s="37">
        <f t="shared" si="217"/>
        <v>-880</v>
      </c>
      <c r="QV11" s="141">
        <f>IFERROR(VLOOKUP($D11,'Adient Assende (Belgium) WK.17'!$B:PR,QW$1,0),0)</f>
        <v>80</v>
      </c>
      <c r="QW11" s="140">
        <f>IFERROR(VLOOKUP($D11,'Adient Arendal (Malzia) WK.12'!$B:PS,QW$1,0),0)</f>
        <v>0</v>
      </c>
      <c r="QX11" s="140">
        <f>IFERROR(VLOOKUP($D11,'Adient Taizhou (China) WK.16'!$B:PV,QW$1,0),0)</f>
        <v>0</v>
      </c>
      <c r="QY11" s="128">
        <v>0</v>
      </c>
      <c r="QZ11" s="32">
        <v>0</v>
      </c>
      <c r="RA11" s="100">
        <f t="shared" ref="RA11:RA38" si="285">((QU11-(QV11+QW11+QX11)+QZ11))</f>
        <v>-960</v>
      </c>
      <c r="RC11" s="37">
        <f t="shared" si="218"/>
        <v>-960</v>
      </c>
      <c r="RD11" s="141">
        <f>IFERROR(VLOOKUP($D11,'Adient Assende (Belgium) WK.17'!$B:PZ,RE$1,0),0)</f>
        <v>80</v>
      </c>
      <c r="RE11" s="140">
        <f>IFERROR(VLOOKUP($D11,'Adient Arendal (Malzia) WK.12'!$B:QA,RE$1,0),0)</f>
        <v>0</v>
      </c>
      <c r="RF11" s="140">
        <f>IFERROR(VLOOKUP($D11,'Adient Taizhou (China) WK.16'!$B:QD,RE$1,0),0)</f>
        <v>0</v>
      </c>
      <c r="RG11" s="128">
        <v>0</v>
      </c>
      <c r="RH11" s="32">
        <v>0</v>
      </c>
      <c r="RI11" s="100">
        <f t="shared" ref="RI11:RI38" si="286">((RC11-(RD11+RE11+RF11)+RH11))</f>
        <v>-1040</v>
      </c>
      <c r="RK11" s="37">
        <f t="shared" si="219"/>
        <v>-1040</v>
      </c>
      <c r="RL11" s="141">
        <f>IFERROR(VLOOKUP($D11,'Adient Assende (Belgium) WK.17'!$B:QH,RM$1,0),0)</f>
        <v>80</v>
      </c>
      <c r="RM11" s="140">
        <f>IFERROR(VLOOKUP($D11,'Adient Arendal (Malzia) WK.12'!$B:QI,RM$1,0),0)</f>
        <v>0</v>
      </c>
      <c r="RN11" s="140">
        <f>IFERROR(VLOOKUP($D11,'Adient Taizhou (China) WK.16'!$B:QL,RM$1,0),0)</f>
        <v>0</v>
      </c>
      <c r="RO11" s="128">
        <v>0</v>
      </c>
      <c r="RP11" s="32">
        <v>0</v>
      </c>
      <c r="RQ11" s="100">
        <f t="shared" ref="RQ11:RQ38" si="287">((RK11-(RL11+RM11+RN11)+RP11))</f>
        <v>-1120</v>
      </c>
      <c r="RS11" s="37">
        <f t="shared" si="220"/>
        <v>-1120</v>
      </c>
      <c r="RT11" s="141">
        <f>IFERROR(VLOOKUP($D11,'Adient Assende (Belgium) WK.17'!$B:QP,RU$1,0),0)</f>
        <v>80</v>
      </c>
      <c r="RU11" s="140">
        <f>IFERROR(VLOOKUP($D11,'Adient Arendal (Malzia) WK.12'!$B:QQ,RU$1,0),0)</f>
        <v>0</v>
      </c>
      <c r="RV11" s="140">
        <f>IFERROR(VLOOKUP($D11,'Adient Taizhou (China) WK.16'!$B:QT,RU$1,0),0)</f>
        <v>0</v>
      </c>
      <c r="RW11" s="128">
        <v>0</v>
      </c>
      <c r="RX11" s="32">
        <v>0</v>
      </c>
      <c r="RY11" s="100">
        <f t="shared" ref="RY11:RY38" si="288">((RS11-(RT11+RU11+RV11)+RX11))</f>
        <v>-1200</v>
      </c>
      <c r="SA11" s="37">
        <f t="shared" si="221"/>
        <v>-1200</v>
      </c>
      <c r="SB11" s="141">
        <f>IFERROR(VLOOKUP($D11,'Adient Assende (Belgium) WK.17'!$B:QX,SC$1,0),0)</f>
        <v>40</v>
      </c>
      <c r="SC11" s="140">
        <f>IFERROR(VLOOKUP($D11,'Adient Arendal (Malzia) WK.12'!$B:QY,SC$1,0),0)</f>
        <v>0</v>
      </c>
      <c r="SD11" s="140">
        <f>IFERROR(VLOOKUP($D11,'Adient Taizhou (China) WK.16'!$B:RB,SC$1,0),0)</f>
        <v>0</v>
      </c>
      <c r="SE11" s="128">
        <v>0</v>
      </c>
      <c r="SF11" s="32">
        <v>0</v>
      </c>
      <c r="SG11" s="100">
        <f t="shared" ref="SG11:SG38" si="289">((SA11-(SB11+SC11+SD11)+SF11))</f>
        <v>-1240</v>
      </c>
      <c r="SI11" s="37">
        <f t="shared" si="222"/>
        <v>-1240</v>
      </c>
      <c r="SJ11" s="141">
        <f>IFERROR(VLOOKUP($D11,'Adient Assende (Belgium) WK.17'!$B:RF,SK$1,0),0)</f>
        <v>40</v>
      </c>
      <c r="SK11" s="140">
        <f>IFERROR(VLOOKUP($D11,'Adient Arendal (Malzia) WK.12'!$B:RG,SK$1,0),0)</f>
        <v>0</v>
      </c>
      <c r="SL11" s="140">
        <f>IFERROR(VLOOKUP($D11,'Adient Taizhou (China) WK.16'!$B:RJ,SK$1,0),0)</f>
        <v>0</v>
      </c>
      <c r="SM11" s="128">
        <v>0</v>
      </c>
      <c r="SN11" s="32">
        <v>0</v>
      </c>
      <c r="SO11" s="100">
        <f t="shared" ref="SO11:SO38" si="290">((SI11-(SJ11+SK11+SL11)+SN11))</f>
        <v>-1280</v>
      </c>
      <c r="SQ11" s="37">
        <f t="shared" si="223"/>
        <v>-1280</v>
      </c>
      <c r="SR11" s="141">
        <f>IFERROR(VLOOKUP($D11,'Adient Assende (Belgium) WK.17'!$B:RN,SS$1,0),0)</f>
        <v>40</v>
      </c>
      <c r="SS11" s="140">
        <f>IFERROR(VLOOKUP($D11,'Adient Arendal (Malzia) WK.12'!$B:RO,SS$1,0),0)</f>
        <v>0</v>
      </c>
      <c r="ST11" s="140">
        <f>IFERROR(VLOOKUP($D11,'Adient Taizhou (China) WK.16'!$B:RR,SS$1,0),0)</f>
        <v>0</v>
      </c>
      <c r="SU11" s="128">
        <v>0</v>
      </c>
      <c r="SV11" s="32">
        <v>0</v>
      </c>
      <c r="SW11" s="100">
        <f t="shared" ref="SW11:SW38" si="291">((SQ11-(SR11+SS11+ST11)+SV11))</f>
        <v>-1320</v>
      </c>
      <c r="SY11" s="37">
        <f t="shared" si="224"/>
        <v>-1320</v>
      </c>
      <c r="SZ11" s="141">
        <f>IFERROR(VLOOKUP($D11,'Adient Assende (Belgium) WK.17'!$B:RV,TA$1,0),0)</f>
        <v>40</v>
      </c>
      <c r="TA11" s="140">
        <f>IFERROR(VLOOKUP($D11,'Adient Arendal (Malzia) WK.12'!$B:RW,TA$1,0),0)</f>
        <v>0</v>
      </c>
      <c r="TB11" s="140">
        <f>IFERROR(VLOOKUP($D11,'Adient Taizhou (China) WK.16'!$B:RZ,TA$1,0),0)</f>
        <v>0</v>
      </c>
      <c r="TC11" s="128">
        <v>0</v>
      </c>
      <c r="TD11" s="32">
        <v>0</v>
      </c>
      <c r="TE11" s="100">
        <f t="shared" ref="TE11:TE38" si="292">((SY11-(SZ11+TA11+TB11)+TD11))</f>
        <v>-1360</v>
      </c>
      <c r="TG11" s="37">
        <f t="shared" si="225"/>
        <v>-1360</v>
      </c>
      <c r="TH11" s="141">
        <f>IFERROR(VLOOKUP($D11,'Adient Assende (Belgium) WK.17'!$B:SD,TI$1,0),0)</f>
        <v>70</v>
      </c>
      <c r="TI11" s="140">
        <f>IFERROR(VLOOKUP($D11,'Adient Arendal (Malzia) WK.12'!$B:SE,TI$1,0),0)</f>
        <v>0</v>
      </c>
      <c r="TJ11" s="140">
        <f>IFERROR(VLOOKUP($D11,'Adient Taizhou (China) WK.16'!$B:SH,TI$1,0),0)</f>
        <v>0</v>
      </c>
      <c r="TK11" s="128">
        <v>0</v>
      </c>
      <c r="TL11" s="32">
        <v>0</v>
      </c>
      <c r="TM11" s="100">
        <f t="shared" ref="TM11:TM38" si="293">((TG11-(TH11+TI11+TJ11)+TL11))</f>
        <v>-1430</v>
      </c>
      <c r="TO11" s="37">
        <f t="shared" si="226"/>
        <v>-1430</v>
      </c>
      <c r="TP11" s="141">
        <f>IFERROR(VLOOKUP($D11,'Adient Assende (Belgium) WK.17'!$B:SL,TQ$1,0),0)</f>
        <v>70</v>
      </c>
      <c r="TQ11" s="140">
        <f>IFERROR(VLOOKUP($D11,'Adient Arendal (Malzia) WK.12'!$B:SM,TQ$1,0),0)</f>
        <v>0</v>
      </c>
      <c r="TR11" s="140">
        <f>IFERROR(VLOOKUP($D11,'Adient Taizhou (China) WK.16'!$B:SP,TQ$1,0),0)</f>
        <v>0</v>
      </c>
      <c r="TS11" s="128">
        <v>0</v>
      </c>
      <c r="TT11" s="32">
        <v>0</v>
      </c>
      <c r="TU11" s="100">
        <f t="shared" ref="TU11:TU38" si="294">((TO11-(TP11+TQ11+TR11)+TT11))</f>
        <v>-1500</v>
      </c>
      <c r="TW11" s="37">
        <f t="shared" si="227"/>
        <v>-1500</v>
      </c>
      <c r="TX11" s="141">
        <f>IFERROR(VLOOKUP($D11,'Adient Assende (Belgium) WK.17'!$B:ST,TY$1,0),0)</f>
        <v>70</v>
      </c>
      <c r="TY11" s="140">
        <f>IFERROR(VLOOKUP($D11,'Adient Arendal (Malzia) WK.12'!$B:SU,TY$1,0),0)</f>
        <v>0</v>
      </c>
      <c r="TZ11" s="140">
        <f>IFERROR(VLOOKUP($D11,'Adient Taizhou (China) WK.16'!$B:SX,TY$1,0),0)</f>
        <v>0</v>
      </c>
      <c r="UA11" s="128">
        <v>0</v>
      </c>
      <c r="UB11" s="32">
        <v>0</v>
      </c>
      <c r="UC11" s="100">
        <f t="shared" ref="UC11:UC38" si="295">((TW11-(TX11+TY11+TZ11)+UB11))</f>
        <v>-1570</v>
      </c>
      <c r="UE11" s="37">
        <f t="shared" si="228"/>
        <v>-1570</v>
      </c>
      <c r="UF11" s="141">
        <f>IFERROR(VLOOKUP($D11,'Adient Assende (Belgium) WK.17'!$B:TB,UG$1,0),0)</f>
        <v>70</v>
      </c>
      <c r="UG11" s="140">
        <f>IFERROR(VLOOKUP($D11,'Adient Arendal (Malzia) WK.12'!$B:TC,UG$1,0),0)</f>
        <v>0</v>
      </c>
      <c r="UH11" s="140">
        <f>IFERROR(VLOOKUP($D11,'Adient Taizhou (China) WK.16'!$B:TF,UG$1,0),0)</f>
        <v>0</v>
      </c>
      <c r="UI11" s="128">
        <v>0</v>
      </c>
      <c r="UJ11" s="32">
        <v>0</v>
      </c>
      <c r="UK11" s="100">
        <f t="shared" ref="UK11:UK38" si="296">((UE11-(UF11+UG11+UH11)+UJ11))</f>
        <v>-1640</v>
      </c>
      <c r="UM11" s="37">
        <f t="shared" si="229"/>
        <v>-1640</v>
      </c>
      <c r="UN11" s="141">
        <f>IFERROR(VLOOKUP($D11,'Adient Assende (Belgium) WK.17'!$B:TJ,UO$1,0),0)</f>
        <v>40</v>
      </c>
      <c r="UO11" s="140">
        <f>IFERROR(VLOOKUP($D11,'Adient Arendal (Malzia) WK.12'!$B:TK,UO$1,0),0)</f>
        <v>0</v>
      </c>
      <c r="UP11" s="140">
        <f>IFERROR(VLOOKUP($D11,'Adient Taizhou (China) WK.16'!$B:TN,UO$1,0),0)</f>
        <v>0</v>
      </c>
      <c r="UQ11" s="128">
        <v>0</v>
      </c>
      <c r="UR11" s="32">
        <v>0</v>
      </c>
      <c r="US11" s="100">
        <f t="shared" ref="US11:US38" si="297">((UM11-(UN11+UO11+UP11)+UR11))</f>
        <v>-1680</v>
      </c>
      <c r="UU11" s="37">
        <f t="shared" si="230"/>
        <v>-1680</v>
      </c>
      <c r="UV11" s="141">
        <f>IFERROR(VLOOKUP($D11,'Adient Assende (Belgium) WK.17'!$B:TR,UW$1,0),0)</f>
        <v>80</v>
      </c>
      <c r="UW11" s="140">
        <f>IFERROR(VLOOKUP($D11,'Adient Arendal (Malzia) WK.12'!$B:TS,UW$1,0),0)</f>
        <v>0</v>
      </c>
      <c r="UX11" s="140">
        <f>IFERROR(VLOOKUP($D11,'Adient Taizhou (China) WK.16'!$B:TV,UW$1,0),0)</f>
        <v>0</v>
      </c>
      <c r="UY11" s="128">
        <v>0</v>
      </c>
      <c r="UZ11" s="32">
        <v>0</v>
      </c>
      <c r="VA11" s="100">
        <f t="shared" ref="VA11:VA38" si="298">((UU11-(UV11+UW11+UX11)+UZ11))</f>
        <v>-1760</v>
      </c>
      <c r="VC11" s="37">
        <f t="shared" si="231"/>
        <v>-1760</v>
      </c>
      <c r="VD11" s="141">
        <f>IFERROR(VLOOKUP($D11,'Adient Assende (Belgium) WK.17'!$B:TZ,VE$1,0),0)</f>
        <v>80</v>
      </c>
      <c r="VE11" s="140">
        <f>IFERROR(VLOOKUP($D11,'Adient Arendal (Malzia) WK.12'!$B:UA,VE$1,0),0)</f>
        <v>0</v>
      </c>
      <c r="VF11" s="140">
        <f>IFERROR(VLOOKUP($D11,'Adient Taizhou (China) WK.16'!$B:UD,VE$1,0),0)</f>
        <v>0</v>
      </c>
      <c r="VG11" s="128">
        <v>0</v>
      </c>
      <c r="VH11" s="32">
        <v>0</v>
      </c>
      <c r="VI11" s="100">
        <f t="shared" ref="VI11:VI38" si="299">((VC11-(VD11+VE11+VF11)+VH11))</f>
        <v>-1840</v>
      </c>
      <c r="VK11" s="37">
        <f t="shared" si="232"/>
        <v>-1840</v>
      </c>
      <c r="VL11" s="141">
        <f>IFERROR(VLOOKUP($D11,'Adient Assende (Belgium) WK.17'!$B:UH,VM$1,0),0)</f>
        <v>0</v>
      </c>
      <c r="VM11" s="140">
        <f>IFERROR(VLOOKUP($D11,'Adient Arendal (Malzia) WK.12'!$B:UI,VM$1,0),0)</f>
        <v>0</v>
      </c>
      <c r="VN11" s="140">
        <f>IFERROR(VLOOKUP($D11,'Adient Taizhou (China) WK.16'!$B:UL,VM$1,0),0)</f>
        <v>0</v>
      </c>
      <c r="VO11" s="128">
        <v>0</v>
      </c>
      <c r="VP11" s="32">
        <v>0</v>
      </c>
      <c r="VQ11" s="100">
        <f t="shared" ref="VQ11:VQ38" si="300">((VK11-(VL11+VM11+VN11)+VP11))</f>
        <v>-1840</v>
      </c>
    </row>
    <row r="12" spans="1:589" x14ac:dyDescent="0.25">
      <c r="A12" s="10" t="s">
        <v>18</v>
      </c>
      <c r="B12" s="11" t="s">
        <v>19</v>
      </c>
      <c r="C12" s="87">
        <v>32272858</v>
      </c>
      <c r="D12" s="81">
        <v>5080299</v>
      </c>
      <c r="E12" s="11">
        <v>40</v>
      </c>
      <c r="F12" s="12"/>
      <c r="H12" s="122">
        <v>160</v>
      </c>
      <c r="I12" s="125">
        <f>IFERROR(VLOOKUP($D12,'Adient Assende (Belgium) WK.17'!$B:C,J$1,0),0)</f>
        <v>0</v>
      </c>
      <c r="J12" s="55">
        <f>IFERROR(VLOOKUP($D12,'Adient Arendal (Malzia) WK.12'!$B:C,J$1,0),0)</f>
        <v>0</v>
      </c>
      <c r="K12" s="55">
        <f>IFERROR(VLOOKUP($D12,'Adient Taizhou (China) WK.16'!$B:C,J$1,0),0)</f>
        <v>0</v>
      </c>
      <c r="L12" s="128">
        <v>0</v>
      </c>
      <c r="M12" s="32">
        <v>0</v>
      </c>
      <c r="N12" s="106">
        <f t="shared" si="233"/>
        <v>160</v>
      </c>
      <c r="P12" s="37">
        <f t="shared" si="234"/>
        <v>160</v>
      </c>
      <c r="Q12" s="125">
        <f>IFERROR(VLOOKUP($D12,'Adient Assende (Belgium) WK.17'!$B:K,R$1,0),0)</f>
        <v>0</v>
      </c>
      <c r="R12" s="55">
        <f>IFERROR(VLOOKUP($D12,'Adient Arendal (Malzia) WK.12'!$B:K,R$1,0),0)</f>
        <v>0</v>
      </c>
      <c r="S12" s="55">
        <f>IFERROR(VLOOKUP($D12,'Adient Taizhou (China) WK.16'!$B:K,R$1,0),0)</f>
        <v>0</v>
      </c>
      <c r="T12" s="41">
        <v>0</v>
      </c>
      <c r="U12" s="32">
        <v>0</v>
      </c>
      <c r="V12" s="106">
        <f t="shared" si="235"/>
        <v>160</v>
      </c>
      <c r="X12" s="37">
        <f t="shared" si="236"/>
        <v>160</v>
      </c>
      <c r="Y12" s="125">
        <f>IFERROR(VLOOKUP($D12,'Adient Assende (Belgium) WK.17'!$B:S,Z$1,0),0)</f>
        <v>0</v>
      </c>
      <c r="Z12" s="55">
        <f>IFERROR(VLOOKUP($D12,'Adient Arendal (Malzia) WK.12'!$B:S,Z$1,0),0)</f>
        <v>0</v>
      </c>
      <c r="AA12" s="55">
        <f>IFERROR(VLOOKUP($D12,'Adient Taizhou (China) WK.16'!$B:S,Z$1,0),0)</f>
        <v>0</v>
      </c>
      <c r="AB12" s="41">
        <v>0</v>
      </c>
      <c r="AC12" s="32">
        <v>0</v>
      </c>
      <c r="AD12" s="106">
        <f t="shared" si="237"/>
        <v>160</v>
      </c>
      <c r="AF12" s="37">
        <f t="shared" si="238"/>
        <v>160</v>
      </c>
      <c r="AG12" s="125">
        <f>IFERROR(VLOOKUP($D12,'Adient Assende (Belgium) WK.17'!$B:AA,AH$1,0),0)</f>
        <v>0</v>
      </c>
      <c r="AH12" s="55">
        <f>IFERROR(VLOOKUP($D12,'Adient Arendal (Malzia) WK.12'!$B:AA,AH$1,0),0)</f>
        <v>0</v>
      </c>
      <c r="AI12" s="55">
        <f>IFERROR(VLOOKUP($D12,'Adient Taizhou (China) WK.16'!$B:AA,AH$1,0),0)</f>
        <v>0</v>
      </c>
      <c r="AJ12" s="41">
        <v>0</v>
      </c>
      <c r="AK12" s="32">
        <v>0</v>
      </c>
      <c r="AL12" s="106">
        <f t="shared" si="239"/>
        <v>160</v>
      </c>
      <c r="AN12" s="37">
        <f t="shared" si="164"/>
        <v>160</v>
      </c>
      <c r="AO12" s="125">
        <f>IFERROR(VLOOKUP($D12,'Adient Assende (Belgium) WK.17'!$B:AI,AP$1,0),0)</f>
        <v>0</v>
      </c>
      <c r="AP12" s="55">
        <f>IFERROR(VLOOKUP($D12,'Adient Arendal (Malzia) WK.12'!$B:AI,AP$1,0),0)</f>
        <v>0</v>
      </c>
      <c r="AQ12" s="55">
        <f>IFERROR(VLOOKUP($D12,'Adient Taizhou (China) WK.16'!$B:AI,AP$1,0),0)</f>
        <v>0</v>
      </c>
      <c r="AR12" s="60">
        <v>0</v>
      </c>
      <c r="AS12" s="41">
        <v>0</v>
      </c>
      <c r="AT12" s="32">
        <v>0</v>
      </c>
      <c r="AU12" s="106">
        <f t="shared" si="240"/>
        <v>160</v>
      </c>
      <c r="AW12" s="37">
        <f t="shared" si="165"/>
        <v>160</v>
      </c>
      <c r="AX12" s="125">
        <f>IFERROR(VLOOKUP($D12,'Adient Assende (Belgium) WK.17'!$B:AR,AY$1,0),0)</f>
        <v>0</v>
      </c>
      <c r="AY12" s="55">
        <f>IFERROR(VLOOKUP($D12,'Adient Arendal (Malzia) WK.12'!$B:AR,AY$1,0),0)</f>
        <v>0</v>
      </c>
      <c r="AZ12" s="55">
        <f>IFERROR(VLOOKUP($D12,'Adient Taizhou (China) WK.16'!$B:AU,AY$1,0),0)</f>
        <v>0</v>
      </c>
      <c r="BA12" s="41">
        <v>0</v>
      </c>
      <c r="BB12" s="32">
        <v>0</v>
      </c>
      <c r="BC12" s="106">
        <f t="shared" si="241"/>
        <v>160</v>
      </c>
      <c r="BE12" s="37">
        <f t="shared" si="166"/>
        <v>160</v>
      </c>
      <c r="BF12" s="125">
        <f>IFERROR(VLOOKUP($D12,'Adient Assende (Belgium) WK.17'!$B:AX,BG$1,0),0)</f>
        <v>0</v>
      </c>
      <c r="BG12" s="55">
        <f>IFERROR(VLOOKUP($D12,'Adient Arendal (Malzia) WK.12'!$B:AZ,BG$1,0),0)</f>
        <v>0</v>
      </c>
      <c r="BH12" s="55">
        <f>IFERROR(VLOOKUP($D12,'Adient Taizhou (China) WK.16'!$B:BB,BG$1,0),0)</f>
        <v>0</v>
      </c>
      <c r="BI12" s="60">
        <v>0</v>
      </c>
      <c r="BJ12" s="60">
        <v>0</v>
      </c>
      <c r="BK12" s="41">
        <v>0</v>
      </c>
      <c r="BL12" s="32">
        <v>0</v>
      </c>
      <c r="BM12" s="106">
        <f t="shared" si="242"/>
        <v>160</v>
      </c>
      <c r="BN12" s="8"/>
      <c r="BO12" s="37">
        <f t="shared" si="167"/>
        <v>160</v>
      </c>
      <c r="BP12" s="125">
        <f>IFERROR(VLOOKUP($D12,'Adient Assende (Belgium) WK.17'!$B:BH,BQ$1,0),0)</f>
        <v>0</v>
      </c>
      <c r="BQ12" s="55">
        <f>IFERROR(VLOOKUP($D12,'Adient Arendal (Malzia) WK.12'!$B:BI,BQ$1,0),0)</f>
        <v>0</v>
      </c>
      <c r="BR12" s="55">
        <f>IFERROR(VLOOKUP($D12,'Adient Taizhou (China) WK.16'!$B:BL,BQ$1,0),0)</f>
        <v>0</v>
      </c>
      <c r="BS12" s="60">
        <v>0</v>
      </c>
      <c r="BT12" s="60">
        <v>0</v>
      </c>
      <c r="BU12" s="60">
        <v>0</v>
      </c>
      <c r="BV12" s="41">
        <v>0</v>
      </c>
      <c r="BW12" s="32">
        <v>0</v>
      </c>
      <c r="BX12" s="106">
        <f t="shared" si="243"/>
        <v>160</v>
      </c>
      <c r="BY12" s="8"/>
      <c r="BZ12" s="37">
        <f t="shared" si="168"/>
        <v>160</v>
      </c>
      <c r="CA12" s="125">
        <f>IFERROR(VLOOKUP($D12,'Adient Assende (Belgium) WK.17'!$B:BS,CB$1,0),0)</f>
        <v>0</v>
      </c>
      <c r="CB12" s="55">
        <f>IFERROR(VLOOKUP($D12,'Adient Arendal (Malzia) WK.12'!$B:BT,CB$1,0),0)</f>
        <v>0</v>
      </c>
      <c r="CC12" s="55">
        <f>IFERROR(VLOOKUP($D12,'Adient Taizhou (China) WK.16'!$B:BW,CB$1,0),0)</f>
        <v>0</v>
      </c>
      <c r="CD12" s="60">
        <v>0</v>
      </c>
      <c r="CE12" s="60">
        <v>0</v>
      </c>
      <c r="CF12" s="41">
        <v>0</v>
      </c>
      <c r="CG12" s="32">
        <v>0</v>
      </c>
      <c r="CH12" s="106">
        <f t="shared" si="244"/>
        <v>160</v>
      </c>
      <c r="CI12" s="8"/>
      <c r="CJ12" s="37">
        <f t="shared" si="169"/>
        <v>160</v>
      </c>
      <c r="CK12" s="125">
        <f>IFERROR(VLOOKUP($D12,'Adient Assende (Belgium) WK.17'!$B:CC,CL$1,0),0)</f>
        <v>0</v>
      </c>
      <c r="CL12" s="55">
        <f>IFERROR(VLOOKUP($D12,'Adient Arendal (Malzia) WK.12'!$B:CD,CL$1,0),0)</f>
        <v>0</v>
      </c>
      <c r="CM12" s="55">
        <f>IFERROR(VLOOKUP($D12,'Adient Taizhou (China) WK.16'!$B:CG,CL$1,0),0)</f>
        <v>0</v>
      </c>
      <c r="CN12" s="60">
        <v>0</v>
      </c>
      <c r="CO12" s="149">
        <v>0</v>
      </c>
      <c r="CP12" s="32">
        <v>0</v>
      </c>
      <c r="CQ12" s="106">
        <f t="shared" si="245"/>
        <v>160</v>
      </c>
      <c r="CR12" s="8"/>
      <c r="CS12" s="122">
        <f t="shared" si="170"/>
        <v>160</v>
      </c>
      <c r="CT12" s="154">
        <f>IFERROR(VLOOKUP($D12,'Adient Assende (Belgium) WK.17'!$B:CL,CU$1,0),0)</f>
        <v>0</v>
      </c>
      <c r="CU12" s="55">
        <f>IFERROR(VLOOKUP($D12,'Adient Arendal (Malzia) WK.12'!$B:CM,CU$1,0),0)</f>
        <v>0</v>
      </c>
      <c r="CV12" s="55">
        <f>IFERROR(VLOOKUP($D12,'Adient Taizhou (China) WK.16'!$B:CP,CU$1,0),0)</f>
        <v>0</v>
      </c>
      <c r="CW12" s="60">
        <v>0</v>
      </c>
      <c r="CX12" s="60">
        <v>0</v>
      </c>
      <c r="CY12" s="128">
        <v>0</v>
      </c>
      <c r="CZ12" s="32">
        <v>0</v>
      </c>
      <c r="DA12" s="106">
        <f t="shared" si="246"/>
        <v>160</v>
      </c>
      <c r="DB12" s="8"/>
      <c r="DC12" s="37">
        <f t="shared" si="171"/>
        <v>160</v>
      </c>
      <c r="DD12" s="125">
        <f>IFERROR(VLOOKUP($D12,'Adient Assende (Belgium) WK.17'!$B:CS,DE$1,0),0)</f>
        <v>0</v>
      </c>
      <c r="DE12" s="55">
        <f>IFERROR(VLOOKUP($D12,'Adient Arendal (Malzia) WK.12'!$B:CU,DE$1,0),0)</f>
        <v>0</v>
      </c>
      <c r="DF12" s="55">
        <f>IFERROR(VLOOKUP($D12,'Adient Taizhou (China) WK.16'!$B:CX,DE$1,0),0)</f>
        <v>0</v>
      </c>
      <c r="DG12" s="60">
        <v>80</v>
      </c>
      <c r="DH12" s="128">
        <v>0</v>
      </c>
      <c r="DI12" s="32">
        <v>0</v>
      </c>
      <c r="DJ12" s="106">
        <f t="shared" si="247"/>
        <v>240</v>
      </c>
      <c r="DL12" s="37">
        <f t="shared" si="172"/>
        <v>240</v>
      </c>
      <c r="DM12" s="125">
        <f>IFERROR(VLOOKUP($D12,'Adient Assende (Belgium) WK.17'!$B:DB,DN$1,0),0)</f>
        <v>0</v>
      </c>
      <c r="DN12" s="55">
        <f>IFERROR(VLOOKUP($D12,'Adient Arendal (Malzia) WK.12'!$B:DC,DN$1,0),0)</f>
        <v>0</v>
      </c>
      <c r="DO12" s="55">
        <f>IFERROR(VLOOKUP($D12,'Adient Taizhou (China) WK.16'!$B:DF,DN$1,0),0)</f>
        <v>0</v>
      </c>
      <c r="DP12" s="128">
        <v>0</v>
      </c>
      <c r="DQ12" s="32">
        <v>0</v>
      </c>
      <c r="DR12" s="106">
        <f t="shared" si="173"/>
        <v>240</v>
      </c>
      <c r="DS12" s="8"/>
      <c r="DT12" s="37">
        <f t="shared" si="174"/>
        <v>240</v>
      </c>
      <c r="DU12" s="125">
        <f>IFERROR(VLOOKUP($D12,'Adient Assende (Belgium) WK.17'!$B:DJ,DV$1,0),0)</f>
        <v>0</v>
      </c>
      <c r="DV12" s="55">
        <f>IFERROR(VLOOKUP($D12,'Adient Arendal (Malzia) WK.12'!$B:DK,DV$1,0),0)</f>
        <v>0</v>
      </c>
      <c r="DW12" s="55">
        <f>IFERROR(VLOOKUP($D12,'Adient Taizhou (China) WK.16'!$B:DN,DV$1,0),0)</f>
        <v>0</v>
      </c>
      <c r="DX12" s="60">
        <v>40</v>
      </c>
      <c r="DY12" s="60">
        <v>0</v>
      </c>
      <c r="DZ12" s="128">
        <v>0</v>
      </c>
      <c r="EA12" s="32">
        <v>0</v>
      </c>
      <c r="EB12" s="106">
        <f t="shared" si="248"/>
        <v>280</v>
      </c>
      <c r="EC12" s="8"/>
      <c r="ED12" s="37">
        <f t="shared" si="175"/>
        <v>280</v>
      </c>
      <c r="EE12" s="125">
        <f>IFERROR(VLOOKUP($D12,'Adient Assende (Belgium) WK.17'!$B:DR,EF$1,0),0)</f>
        <v>0</v>
      </c>
      <c r="EF12" s="55">
        <f>IFERROR(VLOOKUP($D12,'Adient Arendal (Malzia) WK.12'!$B:DS,EF$1,0),0)</f>
        <v>0</v>
      </c>
      <c r="EG12" s="55">
        <f>IFERROR(VLOOKUP($D12,'Adient Taizhou (China) WK.16'!$B:DV,EF$1,0),0)</f>
        <v>0</v>
      </c>
      <c r="EH12" s="60">
        <v>0</v>
      </c>
      <c r="EI12" s="128">
        <v>160</v>
      </c>
      <c r="EJ12" s="32">
        <v>0</v>
      </c>
      <c r="EK12" s="106">
        <f t="shared" si="249"/>
        <v>120</v>
      </c>
      <c r="EM12" s="37">
        <f t="shared" si="176"/>
        <v>120</v>
      </c>
      <c r="EN12" s="125">
        <f>IFERROR(VLOOKUP($D12,'Adient Assende (Belgium) WK.17'!$B:DZ,EO$1,0),0)</f>
        <v>160</v>
      </c>
      <c r="EO12" s="55">
        <f>IFERROR(VLOOKUP($D12,'Adient Arendal (Malzia) WK.12'!$B:EA,EO$1,0),0)</f>
        <v>0</v>
      </c>
      <c r="EP12" s="55">
        <f>IFERROR(VLOOKUP($D12,'Adient Taizhou (China) WK.16'!$B:ED,EO$1,0),0)</f>
        <v>0</v>
      </c>
      <c r="EQ12" s="128">
        <v>0</v>
      </c>
      <c r="ER12" s="32">
        <v>0</v>
      </c>
      <c r="ES12" s="106">
        <f t="shared" si="250"/>
        <v>120</v>
      </c>
      <c r="EU12" s="37">
        <f t="shared" si="177"/>
        <v>120</v>
      </c>
      <c r="EV12" s="125">
        <f>IFERROR(VLOOKUP($D12,'Adient Assende (Belgium) WK.17'!$B:EH,EW$1,0),0)</f>
        <v>0</v>
      </c>
      <c r="EW12" s="55">
        <f>IFERROR(VLOOKUP($D12,'Adient Arendal (Malzia) WK.12'!$B:EI,EW$1,0),0)</f>
        <v>0</v>
      </c>
      <c r="EX12" s="55">
        <f>IFERROR(VLOOKUP($D12,'Adient Taizhou (China) WK.16'!$B:EL,EW$1,0),0)</f>
        <v>0</v>
      </c>
      <c r="EY12" s="128">
        <v>0</v>
      </c>
      <c r="EZ12" s="32">
        <v>0</v>
      </c>
      <c r="FA12" s="106">
        <f t="shared" si="251"/>
        <v>120</v>
      </c>
      <c r="FC12" s="37">
        <f t="shared" si="178"/>
        <v>120</v>
      </c>
      <c r="FD12" s="154">
        <f>IFERROR(VLOOKUP($D12,'Adient Assende (Belgium) WK.17'!$B:EP,FE$1,0),0)</f>
        <v>0</v>
      </c>
      <c r="FE12" s="154">
        <f>IFERROR(VLOOKUP($D12,'Adient Arendal (Malzia) WK.12'!$B:EQ,FE$1,0),0)</f>
        <v>0</v>
      </c>
      <c r="FF12" s="154">
        <f>IFERROR(VLOOKUP($D12,'Adient Taizhou (China) WK.16'!$B:ET,FE$1,0),0)</f>
        <v>0</v>
      </c>
      <c r="FG12" s="128">
        <v>0</v>
      </c>
      <c r="FH12" s="32">
        <v>0</v>
      </c>
      <c r="FI12" s="106">
        <f t="shared" si="252"/>
        <v>120</v>
      </c>
      <c r="FK12" s="37">
        <f t="shared" si="179"/>
        <v>120</v>
      </c>
      <c r="FL12" s="125">
        <f>IFERROR(VLOOKUP($D12,'Adient Assende (Belgium) WK.17'!$B:EX,FM$1,0),0)</f>
        <v>0</v>
      </c>
      <c r="FM12" s="55">
        <f>IFERROR(VLOOKUP($D12,'Adient Arendal (Malzia) WK.12'!$B:EY,FM$1,0),0)</f>
        <v>0</v>
      </c>
      <c r="FN12" s="55">
        <f>IFERROR(VLOOKUP($D12,'Adient Taizhou (China) WK.16'!$B:FB,FM$1,0),0)</f>
        <v>0</v>
      </c>
      <c r="FO12" s="128">
        <v>0</v>
      </c>
      <c r="FP12" s="32">
        <v>0</v>
      </c>
      <c r="FQ12" s="106">
        <f t="shared" si="253"/>
        <v>120</v>
      </c>
      <c r="FR12" s="8"/>
      <c r="FS12" s="37">
        <f t="shared" si="180"/>
        <v>120</v>
      </c>
      <c r="FT12" s="125">
        <f>IFERROR(VLOOKUP($D12,'Adient Assende (Belgium) WK.17'!$B:FF,FU$1,0),0)</f>
        <v>0</v>
      </c>
      <c r="FU12" s="55">
        <f>IFERROR(VLOOKUP($D12,'Adient Arendal (Malzia) WK.12'!$B:FG,FU$1,0),0)</f>
        <v>0</v>
      </c>
      <c r="FV12" s="55">
        <f>IFERROR(VLOOKUP($D12,'Adient Taizhou (China) WK.16'!$B:FJ,FU$1,0),0)</f>
        <v>0</v>
      </c>
      <c r="FW12" s="60">
        <v>0</v>
      </c>
      <c r="FX12" s="60">
        <v>0</v>
      </c>
      <c r="FY12" s="60">
        <v>0</v>
      </c>
      <c r="FZ12" s="60">
        <v>0</v>
      </c>
      <c r="GA12" s="60">
        <v>0</v>
      </c>
      <c r="GB12" s="128">
        <v>0</v>
      </c>
      <c r="GC12" s="32">
        <v>0</v>
      </c>
      <c r="GD12" s="106">
        <f t="shared" si="254"/>
        <v>120</v>
      </c>
      <c r="GF12" s="37">
        <f t="shared" si="181"/>
        <v>120</v>
      </c>
      <c r="GG12" s="125">
        <f>IFERROR(VLOOKUP($D12,'Adient Assende (Belgium) WK.17'!$B:FN,GH$1,0),0)</f>
        <v>0</v>
      </c>
      <c r="GH12" s="55">
        <f>IFERROR(VLOOKUP($D12,'Adient Arendal (Malzia) WK.12'!$B:FO,GH$1,0),0)</f>
        <v>0</v>
      </c>
      <c r="GI12" s="55">
        <f>IFERROR(VLOOKUP($D12,'Adient Taizhou (China) WK.16'!$B:FR,GH$1,0),0)</f>
        <v>0</v>
      </c>
      <c r="GJ12" s="60">
        <v>0</v>
      </c>
      <c r="GK12" s="128">
        <v>0</v>
      </c>
      <c r="GL12" s="32">
        <v>0</v>
      </c>
      <c r="GM12" s="106">
        <f t="shared" si="255"/>
        <v>120</v>
      </c>
      <c r="GO12" s="37">
        <f t="shared" si="182"/>
        <v>120</v>
      </c>
      <c r="GP12" s="125">
        <f>IFERROR(VLOOKUP($D12,'Adient Assende (Belgium) WK.17'!$B:FV,GQ$1,0),0)</f>
        <v>0</v>
      </c>
      <c r="GQ12" s="55">
        <f>IFERROR(VLOOKUP($D12,'Adient Arendal (Malzia) WK.12'!$B:FW,GQ$1,0),0)</f>
        <v>0</v>
      </c>
      <c r="GR12" s="55">
        <f>IFERROR(VLOOKUP($D12,'Adient Taizhou (China) WK.16'!$B:FZ,GQ$1,0),0)</f>
        <v>0</v>
      </c>
      <c r="GS12" s="60">
        <v>0</v>
      </c>
      <c r="GT12" s="128">
        <v>0</v>
      </c>
      <c r="GU12" s="32">
        <v>0</v>
      </c>
      <c r="GV12" s="106">
        <f t="shared" si="256"/>
        <v>120</v>
      </c>
      <c r="GW12" s="8"/>
      <c r="GX12" s="37">
        <f t="shared" si="183"/>
        <v>120</v>
      </c>
      <c r="GY12" s="125">
        <f>IFERROR(VLOOKUP($D12,'Adient Assende (Belgium) WK.17'!$B:GD,GZ$1,0),0)</f>
        <v>0</v>
      </c>
      <c r="GZ12" s="55">
        <f>IFERROR(VLOOKUP($D12,'Adient Arendal (Malzia) WK.12'!$B:GE,GZ$1,0),0)</f>
        <v>0</v>
      </c>
      <c r="HA12" s="55">
        <f>IFERROR(VLOOKUP($D12,'Adient Taizhou (China) WK.16'!$B:GH,GZ$1,0),0)</f>
        <v>0</v>
      </c>
      <c r="HB12" s="60">
        <v>0</v>
      </c>
      <c r="HC12" s="128">
        <v>0</v>
      </c>
      <c r="HD12" s="32">
        <v>0</v>
      </c>
      <c r="HE12" s="106">
        <f t="shared" si="257"/>
        <v>120</v>
      </c>
      <c r="HF12" s="8"/>
      <c r="HG12" s="37">
        <f t="shared" si="184"/>
        <v>120</v>
      </c>
      <c r="HH12" s="125">
        <f>IFERROR(VLOOKUP($D12,'Adient Assende (Belgium) WK.17'!$B:GL,HI$1,0),0)</f>
        <v>0</v>
      </c>
      <c r="HI12" s="55">
        <f>IFERROR(VLOOKUP($D12,'Adient Arendal (Malzia) WK.12'!$B:GM,HI$1,0),0)</f>
        <v>0</v>
      </c>
      <c r="HJ12" s="55">
        <f>IFERROR(VLOOKUP($D12,'Adient Taizhou (China) WK.16'!$B:GP,HI$1,0),0)</f>
        <v>0</v>
      </c>
      <c r="HK12" s="60">
        <v>0</v>
      </c>
      <c r="HL12" s="128">
        <v>0</v>
      </c>
      <c r="HM12" s="32">
        <v>0</v>
      </c>
      <c r="HN12" s="106">
        <f t="shared" si="258"/>
        <v>120</v>
      </c>
      <c r="HO12" s="8"/>
      <c r="HP12" s="37">
        <f t="shared" si="185"/>
        <v>120</v>
      </c>
      <c r="HQ12" s="125">
        <f>IFERROR(VLOOKUP($D12,'Adient Assende (Belgium) WK.17'!$B:GT,HR$1,0),0)</f>
        <v>0</v>
      </c>
      <c r="HR12" s="55">
        <f>IFERROR(VLOOKUP($D12,'Adient Arendal (Malzia) WK.12'!$B:GU,HR$1,0),0)</f>
        <v>0</v>
      </c>
      <c r="HS12" s="55">
        <f>IFERROR(VLOOKUP($D12,'Adient Taizhou (China) WK.16'!$B:GX,HR$1,0),0)</f>
        <v>0</v>
      </c>
      <c r="HT12" s="60">
        <v>0</v>
      </c>
      <c r="HU12" s="128">
        <v>0</v>
      </c>
      <c r="HV12" s="32">
        <v>0</v>
      </c>
      <c r="HW12" s="106">
        <f t="shared" si="259"/>
        <v>120</v>
      </c>
      <c r="HX12" s="8"/>
      <c r="HY12" s="37">
        <f t="shared" si="186"/>
        <v>120</v>
      </c>
      <c r="HZ12" s="125">
        <f>IFERROR(VLOOKUP($D12,'Adient Assende (Belgium) WK.17'!$B:HB,IA$1,0),0)</f>
        <v>0</v>
      </c>
      <c r="IA12" s="55">
        <f>IFERROR(VLOOKUP($D12,'Adient Arendal (Malzia) WK.12'!$B:HC,IA$1,0),0)</f>
        <v>0</v>
      </c>
      <c r="IB12" s="55">
        <f>IFERROR(VLOOKUP($D12,'Adient Taizhou (China) WK.16'!$B:HF,IA$1,0),0)</f>
        <v>0</v>
      </c>
      <c r="IC12" s="60">
        <v>0</v>
      </c>
      <c r="ID12" s="128">
        <v>0</v>
      </c>
      <c r="IE12" s="32">
        <v>0</v>
      </c>
      <c r="IF12" s="106">
        <f t="shared" si="260"/>
        <v>120</v>
      </c>
      <c r="IG12" s="8"/>
      <c r="IH12" s="37">
        <f t="shared" si="187"/>
        <v>120</v>
      </c>
      <c r="II12" s="125">
        <f>IFERROR(VLOOKUP($D12,'Adient Assende (Belgium) WK.17'!$B:HJ,IJ$1,0),0)</f>
        <v>0</v>
      </c>
      <c r="IJ12" s="55">
        <f>IFERROR(VLOOKUP($D12,'Adient Arendal (Malzia) WK.12'!$B:HK,IJ$1,0),0)</f>
        <v>0</v>
      </c>
      <c r="IK12" s="55">
        <f>IFERROR(VLOOKUP($D12,'Adient Taizhou (China) WK.16'!$B:HN,IJ$1,0),0)</f>
        <v>0</v>
      </c>
      <c r="IL12" s="128">
        <v>0</v>
      </c>
      <c r="IM12" s="32">
        <v>0</v>
      </c>
      <c r="IN12" s="106">
        <f t="shared" si="188"/>
        <v>120</v>
      </c>
      <c r="IO12" s="8"/>
      <c r="IP12" s="37">
        <f t="shared" si="189"/>
        <v>120</v>
      </c>
      <c r="IQ12" s="125">
        <f>IFERROR(VLOOKUP($D12,'Adient Assende (Belgium) WK.17'!$B:HR,IR$1,0),0)</f>
        <v>0</v>
      </c>
      <c r="IR12" s="55">
        <f>IFERROR(VLOOKUP($D12,'Adient Arendal (Malzia) WK.12'!$B:HS,IR$1,0),0)</f>
        <v>0</v>
      </c>
      <c r="IS12" s="55">
        <f>IFERROR(VLOOKUP($D12,'Adient Taizhou (China) WK.16'!$B:HV,IR$1,0),0)</f>
        <v>0</v>
      </c>
      <c r="IT12" s="60">
        <v>0</v>
      </c>
      <c r="IU12" s="128">
        <v>0</v>
      </c>
      <c r="IV12" s="32">
        <v>0</v>
      </c>
      <c r="IW12" s="106">
        <f t="shared" si="261"/>
        <v>120</v>
      </c>
      <c r="IX12" s="8"/>
      <c r="IY12" s="37">
        <f t="shared" si="190"/>
        <v>120</v>
      </c>
      <c r="IZ12" s="125">
        <f>IFERROR(VLOOKUP($D12,'Adient Assende (Belgium) WK.17'!$B:HZ,JA$1,0),0)</f>
        <v>0</v>
      </c>
      <c r="JA12" s="55">
        <f>IFERROR(VLOOKUP($D12,'Adient Arendal (Malzia) WK.12'!$B:IA,JA$1,0),0)</f>
        <v>0</v>
      </c>
      <c r="JB12" s="55">
        <f>IFERROR(VLOOKUP($D12,'Adient Taizhou (China) WK.16'!$B:ID,JA$1,0),0)</f>
        <v>0</v>
      </c>
      <c r="JC12" s="128">
        <v>0</v>
      </c>
      <c r="JD12" s="32">
        <v>0</v>
      </c>
      <c r="JE12" s="106">
        <f t="shared" si="191"/>
        <v>120</v>
      </c>
      <c r="JF12" s="8"/>
      <c r="JG12" s="37">
        <f t="shared" si="192"/>
        <v>120</v>
      </c>
      <c r="JH12" s="125">
        <f>IFERROR(VLOOKUP($D12,'Adient Assende (Belgium) WK.17'!$B:IH,JI$1,0),0)</f>
        <v>0</v>
      </c>
      <c r="JI12" s="55">
        <f>IFERROR(VLOOKUP($D12,'Adient Arendal (Malzia) WK.12'!$B:II,JI$1,0),0)</f>
        <v>0</v>
      </c>
      <c r="JJ12" s="55">
        <f>IFERROR(VLOOKUP($D12,'Adient Taizhou (China) WK.16'!$B:IL,JI$1,0),0)</f>
        <v>0</v>
      </c>
      <c r="JK12" s="60">
        <v>40</v>
      </c>
      <c r="JL12" s="128">
        <v>0</v>
      </c>
      <c r="JM12" s="32">
        <v>0</v>
      </c>
      <c r="JN12" s="106">
        <f t="shared" si="262"/>
        <v>160</v>
      </c>
      <c r="JO12" s="8"/>
      <c r="JP12" s="37">
        <f t="shared" si="193"/>
        <v>160</v>
      </c>
      <c r="JQ12" s="125">
        <f>IFERROR(VLOOKUP($D12,'Adient Assende (Belgium) WK.17'!$B:IP,JR$1,0),0)</f>
        <v>0</v>
      </c>
      <c r="JR12" s="55">
        <f>IFERROR(VLOOKUP($D12,'Adient Arendal (Malzia) WK.12'!$B:IQ,JR$1,0),0)</f>
        <v>0</v>
      </c>
      <c r="JS12" s="55">
        <f>IFERROR(VLOOKUP($D12,'Adient Taizhou (China) WK.16'!$B:IT,JR$1,0),0)</f>
        <v>0</v>
      </c>
      <c r="JT12" s="128">
        <v>0</v>
      </c>
      <c r="JU12" s="32">
        <v>0</v>
      </c>
      <c r="JV12" s="106">
        <f t="shared" si="194"/>
        <v>160</v>
      </c>
      <c r="JW12" s="8"/>
      <c r="JX12" s="37">
        <f t="shared" si="195"/>
        <v>160</v>
      </c>
      <c r="JY12" s="154">
        <f>IFERROR(VLOOKUP($D12,'Adient Assende (Belgium) WK.17'!$B:IX,JZ$1,0),0)</f>
        <v>0</v>
      </c>
      <c r="JZ12" s="55">
        <f>IFERROR(VLOOKUP($D12,'Adient Arendal (Malzia) WK.12'!$B:IY,JZ$1,0),0)</f>
        <v>0</v>
      </c>
      <c r="KA12" s="55">
        <f>IFERROR(VLOOKUP($D12,'Adient Taizhou (China) WK.16'!$B:JB,JZ$1,0),0)</f>
        <v>0</v>
      </c>
      <c r="KB12" s="128">
        <v>160</v>
      </c>
      <c r="KC12" s="32">
        <v>0</v>
      </c>
      <c r="KD12" s="106">
        <f t="shared" si="263"/>
        <v>0</v>
      </c>
      <c r="KE12" s="8"/>
      <c r="KF12" s="37">
        <f t="shared" si="196"/>
        <v>0</v>
      </c>
      <c r="KG12" s="125">
        <f>IFERROR(VLOOKUP($D12,'Adient Assende (Belgium) WK.17'!$B:JF,KH$1,0),0)</f>
        <v>160</v>
      </c>
      <c r="KH12" s="55">
        <f>IFERROR(VLOOKUP($D12,'Adient Arendal (Malzia) WK.12'!$B:JG,KH$1,0),0)</f>
        <v>0</v>
      </c>
      <c r="KI12" s="55">
        <f>IFERROR(VLOOKUP($D12,'Adient Taizhou (China) WK.16'!$B:JJ,KH$1,0),0)</f>
        <v>0</v>
      </c>
      <c r="KJ12" s="60">
        <v>0</v>
      </c>
      <c r="KK12" s="128">
        <v>0</v>
      </c>
      <c r="KL12" s="32">
        <v>0</v>
      </c>
      <c r="KM12" s="106">
        <f t="shared" si="264"/>
        <v>0</v>
      </c>
      <c r="KN12" s="8"/>
      <c r="KO12" s="37">
        <f t="shared" si="197"/>
        <v>0</v>
      </c>
      <c r="KP12" s="141">
        <f>IFERROR(VLOOKUP($D12,'Adient Assende (Belgium) WK.17'!$B:JN,KQ$1,0),0)</f>
        <v>0</v>
      </c>
      <c r="KQ12" s="140">
        <f>IFERROR(VLOOKUP($D12,'Adient Arendal (Malzia) WK.12'!$B:JO,KQ$1,0),0)</f>
        <v>0</v>
      </c>
      <c r="KR12" s="140">
        <f>IFERROR(VLOOKUP($D12,'Adient Taizhou (China) WK.16'!$B:JR,KQ$1,0),0)</f>
        <v>0</v>
      </c>
      <c r="KS12" s="60">
        <v>0</v>
      </c>
      <c r="KT12" s="128">
        <v>0</v>
      </c>
      <c r="KU12" s="32">
        <v>0</v>
      </c>
      <c r="KV12" s="106">
        <f t="shared" si="265"/>
        <v>0</v>
      </c>
      <c r="KX12" s="37">
        <f t="shared" si="198"/>
        <v>0</v>
      </c>
      <c r="KY12" s="141">
        <f>IFERROR(VLOOKUP($D12,'Adient Assende (Belgium) WK.17'!$B:JV,KZ$1,0),0)</f>
        <v>0</v>
      </c>
      <c r="KZ12" s="140">
        <f>IFERROR(VLOOKUP($D12,'Adient Arendal (Malzia) WK.12'!$B:JW,KZ$1,0),0)</f>
        <v>0</v>
      </c>
      <c r="LA12" s="140">
        <f>IFERROR(VLOOKUP($D12,'Adient Taizhou (China) WK.16'!$B:JZ,KZ$1,0),0)</f>
        <v>0</v>
      </c>
      <c r="LB12" s="128">
        <v>0</v>
      </c>
      <c r="LC12" s="32">
        <v>0</v>
      </c>
      <c r="LD12" s="106">
        <f t="shared" si="266"/>
        <v>0</v>
      </c>
      <c r="LF12" s="37">
        <f t="shared" si="199"/>
        <v>0</v>
      </c>
      <c r="LG12" s="141">
        <f>IFERROR(VLOOKUP($D12,'Adient Assende (Belgium) WK.17'!$B:KD,LH$1,0),0)</f>
        <v>0</v>
      </c>
      <c r="LH12" s="140">
        <f>IFERROR(VLOOKUP($D12,'Adient Arendal (Malzia) WK.12'!$B:KE,LH$1,0),0)</f>
        <v>0</v>
      </c>
      <c r="LI12" s="140">
        <f>IFERROR(VLOOKUP($D12,'Adient Taizhou (China) WK.16'!$B:KH,LH$1,0),0)</f>
        <v>0</v>
      </c>
      <c r="LJ12" s="60">
        <v>0</v>
      </c>
      <c r="LK12" s="128">
        <v>0</v>
      </c>
      <c r="LL12" s="32">
        <v>0</v>
      </c>
      <c r="LM12" s="100">
        <f t="shared" si="267"/>
        <v>0</v>
      </c>
      <c r="LO12" s="37">
        <f t="shared" si="200"/>
        <v>0</v>
      </c>
      <c r="LP12" s="141">
        <f>IFERROR(VLOOKUP($D12,'Adient Assende (Belgium) WK.17'!$B:KL,LQ$1,0),0)</f>
        <v>0</v>
      </c>
      <c r="LQ12" s="140">
        <f>IFERROR(VLOOKUP($D12,'Adient Arendal (Malzia) WK.12'!$B:KM,LQ$1,0),0)</f>
        <v>0</v>
      </c>
      <c r="LR12" s="140">
        <f>IFERROR(VLOOKUP($D12,'Adient Taizhou (China) WK.16'!$B:KP,LQ$1,0),0)</f>
        <v>0</v>
      </c>
      <c r="LS12" s="128">
        <v>0</v>
      </c>
      <c r="LT12" s="32">
        <v>0</v>
      </c>
      <c r="LU12" s="100">
        <f t="shared" si="268"/>
        <v>0</v>
      </c>
      <c r="LW12" s="37">
        <f t="shared" si="201"/>
        <v>0</v>
      </c>
      <c r="LX12" s="141">
        <f>IFERROR(VLOOKUP($D12,'Adient Assende (Belgium) WK.17'!$B:KT,LY$1,0),0)</f>
        <v>0</v>
      </c>
      <c r="LY12" s="140">
        <f>IFERROR(VLOOKUP($D12,'Adient Arendal (Malzia) WK.12'!$B:KU,LY$1,0),0)</f>
        <v>0</v>
      </c>
      <c r="LZ12" s="140">
        <f>IFERROR(VLOOKUP($D12,'Adient Taizhou (China) WK.16'!$B:KX,LY$1,0),0)</f>
        <v>0</v>
      </c>
      <c r="MA12" s="128">
        <v>0</v>
      </c>
      <c r="MB12" s="32">
        <v>0</v>
      </c>
      <c r="MC12" s="100">
        <f t="shared" si="269"/>
        <v>0</v>
      </c>
      <c r="ME12" s="37">
        <f t="shared" si="202"/>
        <v>0</v>
      </c>
      <c r="MF12" s="154">
        <f>IFERROR(VLOOKUP($D12,'Adient Assende (Belgium) WK.17'!$B:LB,MG$1,0),0)</f>
        <v>0</v>
      </c>
      <c r="MG12" s="140">
        <f>IFERROR(VLOOKUP($D12,'Adient Arendal (Malzia) WK.12'!$B:LC,MG$1,0),0)</f>
        <v>0</v>
      </c>
      <c r="MH12" s="140">
        <f>IFERROR(VLOOKUP($D12,'Adient Taizhou (China) WK.16'!$B:LF,MG$1,0),0)</f>
        <v>0</v>
      </c>
      <c r="MI12" s="128">
        <v>0</v>
      </c>
      <c r="MJ12" s="32">
        <v>0</v>
      </c>
      <c r="MK12" s="100">
        <f t="shared" si="270"/>
        <v>0</v>
      </c>
      <c r="MM12" s="37">
        <f t="shared" si="203"/>
        <v>0</v>
      </c>
      <c r="MN12" s="141">
        <f>IFERROR(VLOOKUP($D12,'Adient Assende (Belgium) WK.17'!$B:LJ,MO$1,0),0)</f>
        <v>0</v>
      </c>
      <c r="MO12" s="140">
        <f>IFERROR(VLOOKUP($D12,'Adient Arendal (Malzia) WK.12'!$B:LK,MO$1,0),0)</f>
        <v>0</v>
      </c>
      <c r="MP12" s="140">
        <f>IFERROR(VLOOKUP($D12,'Adient Taizhou (China) WK.16'!$B:LN,MO$1,0),0)</f>
        <v>0</v>
      </c>
      <c r="MQ12" s="128">
        <v>0</v>
      </c>
      <c r="MR12" s="32">
        <v>0</v>
      </c>
      <c r="MS12" s="100">
        <f t="shared" si="271"/>
        <v>0</v>
      </c>
      <c r="MU12" s="37">
        <f t="shared" si="204"/>
        <v>0</v>
      </c>
      <c r="MV12" s="141">
        <f>IFERROR(VLOOKUP($D12,'Adient Assende (Belgium) WK.17'!$B:LR,MW$1,0),0)</f>
        <v>0</v>
      </c>
      <c r="MW12" s="140">
        <f>IFERROR(VLOOKUP($D12,'Adient Arendal (Malzia) WK.12'!$B:LS,MW$1,0),0)</f>
        <v>0</v>
      </c>
      <c r="MX12" s="140">
        <f>IFERROR(VLOOKUP($D12,'Adient Taizhou (China) WK.16'!$B:LV,MW$1,0),0)</f>
        <v>0</v>
      </c>
      <c r="MY12" s="128">
        <v>0</v>
      </c>
      <c r="MZ12" s="32">
        <v>0</v>
      </c>
      <c r="NA12" s="100">
        <f t="shared" si="272"/>
        <v>0</v>
      </c>
      <c r="NC12" s="37">
        <f t="shared" si="205"/>
        <v>0</v>
      </c>
      <c r="ND12" s="141">
        <f>IFERROR(VLOOKUP($D12,'Adient Assende (Belgium) WK.17'!$B:LZ,NE$1,0),0)</f>
        <v>0</v>
      </c>
      <c r="NE12" s="140">
        <f>IFERROR(VLOOKUP($D12,'Adient Arendal (Malzia) WK.12'!$B:MA,NE$1,0),0)</f>
        <v>0</v>
      </c>
      <c r="NF12" s="140">
        <f>IFERROR(VLOOKUP($D12,'Adient Taizhou (China) WK.16'!$B:MD,NE$1,0),0)</f>
        <v>0</v>
      </c>
      <c r="NG12" s="128">
        <v>0</v>
      </c>
      <c r="NH12" s="32">
        <v>0</v>
      </c>
      <c r="NI12" s="100">
        <f t="shared" si="273"/>
        <v>0</v>
      </c>
      <c r="NK12" s="37">
        <f t="shared" si="206"/>
        <v>0</v>
      </c>
      <c r="NL12" s="141">
        <f>IFERROR(VLOOKUP($D12,'Adient Assende (Belgium) WK.17'!$B:MH,NM$1,0),0)</f>
        <v>0</v>
      </c>
      <c r="NM12" s="140">
        <f>IFERROR(VLOOKUP($D12,'Adient Arendal (Malzia) WK.12'!$B:MI,NM$1,0),0)</f>
        <v>0</v>
      </c>
      <c r="NN12" s="140">
        <f>IFERROR(VLOOKUP($D12,'Adient Taizhou (China) WK.16'!$B:ML,NM$1,0),0)</f>
        <v>0</v>
      </c>
      <c r="NO12" s="128">
        <v>0</v>
      </c>
      <c r="NP12" s="32">
        <v>0</v>
      </c>
      <c r="NQ12" s="100">
        <f t="shared" si="274"/>
        <v>0</v>
      </c>
      <c r="NS12" s="37">
        <f t="shared" si="207"/>
        <v>0</v>
      </c>
      <c r="NT12" s="141">
        <f>IFERROR(VLOOKUP($D12,'Adient Assende (Belgium) WK.17'!$B:MP,NU$1,0),0)</f>
        <v>0</v>
      </c>
      <c r="NU12" s="140">
        <f>IFERROR(VLOOKUP($D12,'Adient Arendal (Malzia) WK.12'!$B:MQ,NU$1,0),0)</f>
        <v>0</v>
      </c>
      <c r="NV12" s="140">
        <f>IFERROR(VLOOKUP($D12,'Adient Taizhou (China) WK.16'!$B:MT,NU$1,0),0)</f>
        <v>0</v>
      </c>
      <c r="NW12" s="128">
        <v>0</v>
      </c>
      <c r="NX12" s="32">
        <v>0</v>
      </c>
      <c r="NY12" s="100">
        <f t="shared" si="275"/>
        <v>0</v>
      </c>
      <c r="OA12" s="37">
        <f t="shared" si="208"/>
        <v>0</v>
      </c>
      <c r="OB12" s="141">
        <f>IFERROR(VLOOKUP($D12,'Adient Assende (Belgium) WK.17'!$B:MX,OC$1,0),0)</f>
        <v>0</v>
      </c>
      <c r="OC12" s="140">
        <f>IFERROR(VLOOKUP($D12,'Adient Arendal (Malzia) WK.12'!$B:MY,OC$1,0),0)</f>
        <v>0</v>
      </c>
      <c r="OD12" s="140">
        <f>IFERROR(VLOOKUP($D12,'Adient Taizhou (China) WK.16'!$B:NB,OC$1,0),0)</f>
        <v>0</v>
      </c>
      <c r="OE12" s="128">
        <v>0</v>
      </c>
      <c r="OF12" s="32">
        <v>0</v>
      </c>
      <c r="OG12" s="100">
        <f t="shared" si="276"/>
        <v>0</v>
      </c>
      <c r="OI12" s="37">
        <f t="shared" si="209"/>
        <v>0</v>
      </c>
      <c r="OJ12" s="141">
        <f>IFERROR(VLOOKUP($D12,'Adient Assende (Belgium) WK.17'!$B:NF,OK$1,0),0)</f>
        <v>0</v>
      </c>
      <c r="OK12" s="140">
        <f>IFERROR(VLOOKUP($D12,'Adient Arendal (Malzia) WK.12'!$B:NG,OK$1,0),0)</f>
        <v>0</v>
      </c>
      <c r="OL12" s="140">
        <f>IFERROR(VLOOKUP($D12,'Adient Taizhou (China) WK.16'!$B:NJ,OK$1,0),0)</f>
        <v>0</v>
      </c>
      <c r="OM12" s="128">
        <v>0</v>
      </c>
      <c r="ON12" s="32">
        <v>0</v>
      </c>
      <c r="OO12" s="100">
        <f t="shared" si="277"/>
        <v>0</v>
      </c>
      <c r="OQ12" s="37">
        <f t="shared" si="210"/>
        <v>0</v>
      </c>
      <c r="OR12" s="141">
        <f>IFERROR(VLOOKUP($D12,'Adient Assende (Belgium) WK.17'!$B:NN,OS$1,0),0)</f>
        <v>0</v>
      </c>
      <c r="OS12" s="140">
        <f>IFERROR(VLOOKUP($D12,'Adient Arendal (Malzia) WK.12'!$B:NO,OS$1,0),0)</f>
        <v>0</v>
      </c>
      <c r="OT12" s="140">
        <f>IFERROR(VLOOKUP($D12,'Adient Taizhou (China) WK.16'!$B:NR,OS$1,0),0)</f>
        <v>0</v>
      </c>
      <c r="OU12" s="128">
        <v>0</v>
      </c>
      <c r="OV12" s="32">
        <v>0</v>
      </c>
      <c r="OW12" s="100">
        <f t="shared" si="278"/>
        <v>0</v>
      </c>
      <c r="OY12" s="37">
        <f t="shared" si="211"/>
        <v>0</v>
      </c>
      <c r="OZ12" s="141">
        <f>IFERROR(VLOOKUP($D12,'Adient Assende (Belgium) WK.17'!$B:NV,PA$1,0),0)</f>
        <v>0</v>
      </c>
      <c r="PA12" s="140">
        <f>IFERROR(VLOOKUP($D12,'Adient Arendal (Malzia) WK.12'!$B:NW,PA$1,0),0)</f>
        <v>0</v>
      </c>
      <c r="PB12" s="140">
        <f>IFERROR(VLOOKUP($D12,'Adient Taizhou (China) WK.16'!$B:NZ,PA$1,0),0)</f>
        <v>0</v>
      </c>
      <c r="PC12" s="128">
        <v>0</v>
      </c>
      <c r="PD12" s="32">
        <v>0</v>
      </c>
      <c r="PE12" s="100">
        <f t="shared" si="279"/>
        <v>0</v>
      </c>
      <c r="PG12" s="37">
        <f t="shared" si="212"/>
        <v>0</v>
      </c>
      <c r="PH12" s="141">
        <f>IFERROR(VLOOKUP($D12,'Adient Assende (Belgium) WK.17'!$B:OD,PI$1,0),0)</f>
        <v>0</v>
      </c>
      <c r="PI12" s="140">
        <f>IFERROR(VLOOKUP($D12,'Adient Arendal (Malzia) WK.12'!$B:OE,PI$1,0),0)</f>
        <v>0</v>
      </c>
      <c r="PJ12" s="140">
        <f>IFERROR(VLOOKUP($D12,'Adient Taizhou (China) WK.16'!$B:OH,PI$1,0),0)</f>
        <v>0</v>
      </c>
      <c r="PK12" s="128">
        <v>0</v>
      </c>
      <c r="PL12" s="32">
        <v>0</v>
      </c>
      <c r="PM12" s="100">
        <f t="shared" si="280"/>
        <v>0</v>
      </c>
      <c r="PO12" s="37">
        <f t="shared" si="213"/>
        <v>0</v>
      </c>
      <c r="PP12" s="141">
        <f>IFERROR(VLOOKUP($D12,'Adient Assende (Belgium) WK.17'!$B:OL,PQ$1,0),0)</f>
        <v>0</v>
      </c>
      <c r="PQ12" s="140">
        <f>IFERROR(VLOOKUP($D12,'Adient Arendal (Malzia) WK.12'!$B:OM,PQ$1,0),0)</f>
        <v>0</v>
      </c>
      <c r="PR12" s="140">
        <f>IFERROR(VLOOKUP($D12,'Adient Taizhou (China) WK.16'!$B:OP,PQ$1,0),0)</f>
        <v>0</v>
      </c>
      <c r="PS12" s="128">
        <v>0</v>
      </c>
      <c r="PT12" s="32">
        <v>0</v>
      </c>
      <c r="PU12" s="100">
        <f t="shared" si="281"/>
        <v>0</v>
      </c>
      <c r="PW12" s="37">
        <f t="shared" si="214"/>
        <v>0</v>
      </c>
      <c r="PX12" s="141">
        <f>IFERROR(VLOOKUP($D12,'Adient Assende (Belgium) WK.17'!$B:OT,PY$1,0),0)</f>
        <v>0</v>
      </c>
      <c r="PY12" s="140">
        <f>IFERROR(VLOOKUP($D12,'Adient Arendal (Malzia) WK.12'!$B:OU,PY$1,0),0)</f>
        <v>0</v>
      </c>
      <c r="PZ12" s="140">
        <f>IFERROR(VLOOKUP($D12,'Adient Taizhou (China) WK.16'!$B:OX,PY$1,0),0)</f>
        <v>0</v>
      </c>
      <c r="QA12" s="128">
        <v>0</v>
      </c>
      <c r="QB12" s="32">
        <v>0</v>
      </c>
      <c r="QC12" s="100">
        <f t="shared" si="282"/>
        <v>0</v>
      </c>
      <c r="QE12" s="37">
        <f t="shared" si="215"/>
        <v>0</v>
      </c>
      <c r="QF12" s="141">
        <f>IFERROR(VLOOKUP($D12,'Adient Assende (Belgium) WK.17'!$B:PB,QG$1,0),0)</f>
        <v>0</v>
      </c>
      <c r="QG12" s="140">
        <f>IFERROR(VLOOKUP($D12,'Adient Arendal (Malzia) WK.12'!$B:PC,QG$1,0),0)</f>
        <v>0</v>
      </c>
      <c r="QH12" s="140">
        <f>IFERROR(VLOOKUP($D12,'Adient Taizhou (China) WK.16'!$B:PF,QG$1,0),0)</f>
        <v>0</v>
      </c>
      <c r="QI12" s="128">
        <v>0</v>
      </c>
      <c r="QJ12" s="32">
        <v>0</v>
      </c>
      <c r="QK12" s="100">
        <f t="shared" si="283"/>
        <v>0</v>
      </c>
      <c r="QM12" s="37">
        <f t="shared" si="216"/>
        <v>0</v>
      </c>
      <c r="QN12" s="141">
        <f>IFERROR(VLOOKUP($D12,'Adient Assende (Belgium) WK.17'!$B:PJ,QO$1,0),0)</f>
        <v>0</v>
      </c>
      <c r="QO12" s="140">
        <f>IFERROR(VLOOKUP($D12,'Adient Arendal (Malzia) WK.12'!$B:PK,QO$1,0),0)</f>
        <v>0</v>
      </c>
      <c r="QP12" s="140">
        <f>IFERROR(VLOOKUP($D12,'Adient Taizhou (China) WK.16'!$B:PN,QO$1,0),0)</f>
        <v>0</v>
      </c>
      <c r="QQ12" s="128">
        <v>0</v>
      </c>
      <c r="QR12" s="32">
        <v>0</v>
      </c>
      <c r="QS12" s="100">
        <f t="shared" si="284"/>
        <v>0</v>
      </c>
      <c r="QU12" s="37">
        <f t="shared" si="217"/>
        <v>0</v>
      </c>
      <c r="QV12" s="141">
        <f>IFERROR(VLOOKUP($D12,'Adient Assende (Belgium) WK.17'!$B:PR,QW$1,0),0)</f>
        <v>40</v>
      </c>
      <c r="QW12" s="140">
        <f>IFERROR(VLOOKUP($D12,'Adient Arendal (Malzia) WK.12'!$B:PS,QW$1,0),0)</f>
        <v>0</v>
      </c>
      <c r="QX12" s="140">
        <f>IFERROR(VLOOKUP($D12,'Adient Taizhou (China) WK.16'!$B:PV,QW$1,0),0)</f>
        <v>0</v>
      </c>
      <c r="QY12" s="128">
        <v>0</v>
      </c>
      <c r="QZ12" s="32">
        <v>0</v>
      </c>
      <c r="RA12" s="100">
        <f t="shared" si="285"/>
        <v>-40</v>
      </c>
      <c r="RC12" s="37">
        <f t="shared" si="218"/>
        <v>-40</v>
      </c>
      <c r="RD12" s="141">
        <f>IFERROR(VLOOKUP($D12,'Adient Assende (Belgium) WK.17'!$B:PZ,RE$1,0),0)</f>
        <v>40</v>
      </c>
      <c r="RE12" s="140">
        <f>IFERROR(VLOOKUP($D12,'Adient Arendal (Malzia) WK.12'!$B:QA,RE$1,0),0)</f>
        <v>0</v>
      </c>
      <c r="RF12" s="140">
        <f>IFERROR(VLOOKUP($D12,'Adient Taizhou (China) WK.16'!$B:QD,RE$1,0),0)</f>
        <v>0</v>
      </c>
      <c r="RG12" s="128">
        <v>0</v>
      </c>
      <c r="RH12" s="32">
        <v>0</v>
      </c>
      <c r="RI12" s="100">
        <f t="shared" si="286"/>
        <v>-80</v>
      </c>
      <c r="RK12" s="37">
        <f t="shared" si="219"/>
        <v>-80</v>
      </c>
      <c r="RL12" s="141">
        <f>IFERROR(VLOOKUP($D12,'Adient Assende (Belgium) WK.17'!$B:QH,RM$1,0),0)</f>
        <v>40</v>
      </c>
      <c r="RM12" s="140">
        <f>IFERROR(VLOOKUP($D12,'Adient Arendal (Malzia) WK.12'!$B:QI,RM$1,0),0)</f>
        <v>0</v>
      </c>
      <c r="RN12" s="140">
        <f>IFERROR(VLOOKUP($D12,'Adient Taizhou (China) WK.16'!$B:QL,RM$1,0),0)</f>
        <v>0</v>
      </c>
      <c r="RO12" s="128">
        <v>0</v>
      </c>
      <c r="RP12" s="32">
        <v>0</v>
      </c>
      <c r="RQ12" s="100">
        <f t="shared" si="287"/>
        <v>-120</v>
      </c>
      <c r="RS12" s="37">
        <f t="shared" si="220"/>
        <v>-120</v>
      </c>
      <c r="RT12" s="141">
        <f>IFERROR(VLOOKUP($D12,'Adient Assende (Belgium) WK.17'!$B:QP,RU$1,0),0)</f>
        <v>40</v>
      </c>
      <c r="RU12" s="140">
        <f>IFERROR(VLOOKUP($D12,'Adient Arendal (Malzia) WK.12'!$B:QQ,RU$1,0),0)</f>
        <v>0</v>
      </c>
      <c r="RV12" s="140">
        <f>IFERROR(VLOOKUP($D12,'Adient Taizhou (China) WK.16'!$B:QT,RU$1,0),0)</f>
        <v>0</v>
      </c>
      <c r="RW12" s="128">
        <v>0</v>
      </c>
      <c r="RX12" s="32">
        <v>0</v>
      </c>
      <c r="RY12" s="100">
        <f t="shared" si="288"/>
        <v>-160</v>
      </c>
      <c r="SA12" s="37">
        <f t="shared" si="221"/>
        <v>-160</v>
      </c>
      <c r="SB12" s="141">
        <f>IFERROR(VLOOKUP($D12,'Adient Assende (Belgium) WK.17'!$B:QX,SC$1,0),0)</f>
        <v>0</v>
      </c>
      <c r="SC12" s="140">
        <f>IFERROR(VLOOKUP($D12,'Adient Arendal (Malzia) WK.12'!$B:QY,SC$1,0),0)</f>
        <v>0</v>
      </c>
      <c r="SD12" s="140">
        <f>IFERROR(VLOOKUP($D12,'Adient Taizhou (China) WK.16'!$B:RB,SC$1,0),0)</f>
        <v>0</v>
      </c>
      <c r="SE12" s="128">
        <v>0</v>
      </c>
      <c r="SF12" s="32">
        <v>0</v>
      </c>
      <c r="SG12" s="100">
        <f t="shared" si="289"/>
        <v>-160</v>
      </c>
      <c r="SI12" s="37">
        <f t="shared" si="222"/>
        <v>-160</v>
      </c>
      <c r="SJ12" s="141">
        <f>IFERROR(VLOOKUP($D12,'Adient Assende (Belgium) WK.17'!$B:RF,SK$1,0),0)</f>
        <v>0</v>
      </c>
      <c r="SK12" s="140">
        <f>IFERROR(VLOOKUP($D12,'Adient Arendal (Malzia) WK.12'!$B:RG,SK$1,0),0)</f>
        <v>0</v>
      </c>
      <c r="SL12" s="140">
        <f>IFERROR(VLOOKUP($D12,'Adient Taizhou (China) WK.16'!$B:RJ,SK$1,0),0)</f>
        <v>0</v>
      </c>
      <c r="SM12" s="128">
        <v>0</v>
      </c>
      <c r="SN12" s="32">
        <v>0</v>
      </c>
      <c r="SO12" s="100">
        <f t="shared" si="290"/>
        <v>-160</v>
      </c>
      <c r="SQ12" s="37">
        <f t="shared" si="223"/>
        <v>-160</v>
      </c>
      <c r="SR12" s="141">
        <f>IFERROR(VLOOKUP($D12,'Adient Assende (Belgium) WK.17'!$B:RN,SS$1,0),0)</f>
        <v>0</v>
      </c>
      <c r="SS12" s="140">
        <f>IFERROR(VLOOKUP($D12,'Adient Arendal (Malzia) WK.12'!$B:RO,SS$1,0),0)</f>
        <v>0</v>
      </c>
      <c r="ST12" s="140">
        <f>IFERROR(VLOOKUP($D12,'Adient Taizhou (China) WK.16'!$B:RR,SS$1,0),0)</f>
        <v>0</v>
      </c>
      <c r="SU12" s="128">
        <v>0</v>
      </c>
      <c r="SV12" s="32">
        <v>0</v>
      </c>
      <c r="SW12" s="100">
        <f t="shared" si="291"/>
        <v>-160</v>
      </c>
      <c r="SY12" s="37">
        <f t="shared" si="224"/>
        <v>-160</v>
      </c>
      <c r="SZ12" s="141">
        <f>IFERROR(VLOOKUP($D12,'Adient Assende (Belgium) WK.17'!$B:RV,TA$1,0),0)</f>
        <v>0</v>
      </c>
      <c r="TA12" s="140">
        <f>IFERROR(VLOOKUP($D12,'Adient Arendal (Malzia) WK.12'!$B:RW,TA$1,0),0)</f>
        <v>0</v>
      </c>
      <c r="TB12" s="140">
        <f>IFERROR(VLOOKUP($D12,'Adient Taizhou (China) WK.16'!$B:RZ,TA$1,0),0)</f>
        <v>0</v>
      </c>
      <c r="TC12" s="128">
        <v>0</v>
      </c>
      <c r="TD12" s="32">
        <v>0</v>
      </c>
      <c r="TE12" s="100">
        <f t="shared" si="292"/>
        <v>-160</v>
      </c>
      <c r="TG12" s="37">
        <f t="shared" si="225"/>
        <v>-160</v>
      </c>
      <c r="TH12" s="141">
        <f>IFERROR(VLOOKUP($D12,'Adient Assende (Belgium) WK.17'!$B:SD,TI$1,0),0)</f>
        <v>0</v>
      </c>
      <c r="TI12" s="140">
        <f>IFERROR(VLOOKUP($D12,'Adient Arendal (Malzia) WK.12'!$B:SE,TI$1,0),0)</f>
        <v>0</v>
      </c>
      <c r="TJ12" s="140">
        <f>IFERROR(VLOOKUP($D12,'Adient Taizhou (China) WK.16'!$B:SH,TI$1,0),0)</f>
        <v>0</v>
      </c>
      <c r="TK12" s="128">
        <v>0</v>
      </c>
      <c r="TL12" s="32">
        <v>0</v>
      </c>
      <c r="TM12" s="100">
        <f t="shared" si="293"/>
        <v>-160</v>
      </c>
      <c r="TO12" s="37">
        <f t="shared" si="226"/>
        <v>-160</v>
      </c>
      <c r="TP12" s="141">
        <f>IFERROR(VLOOKUP($D12,'Adient Assende (Belgium) WK.17'!$B:SL,TQ$1,0),0)</f>
        <v>0</v>
      </c>
      <c r="TQ12" s="140">
        <f>IFERROR(VLOOKUP($D12,'Adient Arendal (Malzia) WK.12'!$B:SM,TQ$1,0),0)</f>
        <v>0</v>
      </c>
      <c r="TR12" s="140">
        <f>IFERROR(VLOOKUP($D12,'Adient Taizhou (China) WK.16'!$B:SP,TQ$1,0),0)</f>
        <v>0</v>
      </c>
      <c r="TS12" s="128">
        <v>0</v>
      </c>
      <c r="TT12" s="32">
        <v>0</v>
      </c>
      <c r="TU12" s="100">
        <f t="shared" si="294"/>
        <v>-160</v>
      </c>
      <c r="TW12" s="37">
        <f t="shared" si="227"/>
        <v>-160</v>
      </c>
      <c r="TX12" s="141">
        <f>IFERROR(VLOOKUP($D12,'Adient Assende (Belgium) WK.17'!$B:ST,TY$1,0),0)</f>
        <v>0</v>
      </c>
      <c r="TY12" s="140">
        <f>IFERROR(VLOOKUP($D12,'Adient Arendal (Malzia) WK.12'!$B:SU,TY$1,0),0)</f>
        <v>0</v>
      </c>
      <c r="TZ12" s="140">
        <f>IFERROR(VLOOKUP($D12,'Adient Taizhou (China) WK.16'!$B:SX,TY$1,0),0)</f>
        <v>0</v>
      </c>
      <c r="UA12" s="128">
        <v>0</v>
      </c>
      <c r="UB12" s="32">
        <v>0</v>
      </c>
      <c r="UC12" s="100">
        <f t="shared" si="295"/>
        <v>-160</v>
      </c>
      <c r="UE12" s="37">
        <f t="shared" si="228"/>
        <v>-160</v>
      </c>
      <c r="UF12" s="141">
        <f>IFERROR(VLOOKUP($D12,'Adient Assende (Belgium) WK.17'!$B:TB,UG$1,0),0)</f>
        <v>0</v>
      </c>
      <c r="UG12" s="140">
        <f>IFERROR(VLOOKUP($D12,'Adient Arendal (Malzia) WK.12'!$B:TC,UG$1,0),0)</f>
        <v>0</v>
      </c>
      <c r="UH12" s="140">
        <f>IFERROR(VLOOKUP($D12,'Adient Taizhou (China) WK.16'!$B:TF,UG$1,0),0)</f>
        <v>0</v>
      </c>
      <c r="UI12" s="128">
        <v>0</v>
      </c>
      <c r="UJ12" s="32">
        <v>0</v>
      </c>
      <c r="UK12" s="100">
        <f t="shared" si="296"/>
        <v>-160</v>
      </c>
      <c r="UM12" s="37">
        <f t="shared" si="229"/>
        <v>-160</v>
      </c>
      <c r="UN12" s="141">
        <f>IFERROR(VLOOKUP($D12,'Adient Assende (Belgium) WK.17'!$B:TJ,UO$1,0),0)</f>
        <v>0</v>
      </c>
      <c r="UO12" s="140">
        <f>IFERROR(VLOOKUP($D12,'Adient Arendal (Malzia) WK.12'!$B:TK,UO$1,0),0)</f>
        <v>0</v>
      </c>
      <c r="UP12" s="140">
        <f>IFERROR(VLOOKUP($D12,'Adient Taizhou (China) WK.16'!$B:TN,UO$1,0),0)</f>
        <v>0</v>
      </c>
      <c r="UQ12" s="128">
        <v>0</v>
      </c>
      <c r="UR12" s="32">
        <v>0</v>
      </c>
      <c r="US12" s="100">
        <f t="shared" si="297"/>
        <v>-160</v>
      </c>
      <c r="UU12" s="37">
        <f t="shared" si="230"/>
        <v>-160</v>
      </c>
      <c r="UV12" s="141">
        <f>IFERROR(VLOOKUP($D12,'Adient Assende (Belgium) WK.17'!$B:TR,UW$1,0),0)</f>
        <v>0</v>
      </c>
      <c r="UW12" s="140">
        <f>IFERROR(VLOOKUP($D12,'Adient Arendal (Malzia) WK.12'!$B:TS,UW$1,0),0)</f>
        <v>0</v>
      </c>
      <c r="UX12" s="140">
        <f>IFERROR(VLOOKUP($D12,'Adient Taizhou (China) WK.16'!$B:TV,UW$1,0),0)</f>
        <v>0</v>
      </c>
      <c r="UY12" s="128">
        <v>0</v>
      </c>
      <c r="UZ12" s="32">
        <v>0</v>
      </c>
      <c r="VA12" s="100">
        <f t="shared" si="298"/>
        <v>-160</v>
      </c>
      <c r="VC12" s="37">
        <f t="shared" si="231"/>
        <v>-160</v>
      </c>
      <c r="VD12" s="141">
        <f>IFERROR(VLOOKUP($D12,'Adient Assende (Belgium) WK.17'!$B:TZ,VE$1,0),0)</f>
        <v>0</v>
      </c>
      <c r="VE12" s="140">
        <f>IFERROR(VLOOKUP($D12,'Adient Arendal (Malzia) WK.12'!$B:UA,VE$1,0),0)</f>
        <v>0</v>
      </c>
      <c r="VF12" s="140">
        <f>IFERROR(VLOOKUP($D12,'Adient Taizhou (China) WK.16'!$B:UD,VE$1,0),0)</f>
        <v>0</v>
      </c>
      <c r="VG12" s="128">
        <v>0</v>
      </c>
      <c r="VH12" s="32">
        <v>0</v>
      </c>
      <c r="VI12" s="100">
        <f t="shared" si="299"/>
        <v>-160</v>
      </c>
      <c r="VK12" s="37">
        <f t="shared" si="232"/>
        <v>-160</v>
      </c>
      <c r="VL12" s="141">
        <f>IFERROR(VLOOKUP($D12,'Adient Assende (Belgium) WK.17'!$B:UH,VM$1,0),0)</f>
        <v>0</v>
      </c>
      <c r="VM12" s="140">
        <f>IFERROR(VLOOKUP($D12,'Adient Arendal (Malzia) WK.12'!$B:UI,VM$1,0),0)</f>
        <v>0</v>
      </c>
      <c r="VN12" s="140">
        <f>IFERROR(VLOOKUP($D12,'Adient Taizhou (China) WK.16'!$B:UL,VM$1,0),0)</f>
        <v>0</v>
      </c>
      <c r="VO12" s="128">
        <v>0</v>
      </c>
      <c r="VP12" s="32">
        <v>0</v>
      </c>
      <c r="VQ12" s="100">
        <f t="shared" si="300"/>
        <v>-160</v>
      </c>
    </row>
    <row r="13" spans="1:589" x14ac:dyDescent="0.25">
      <c r="A13" s="10" t="s">
        <v>18</v>
      </c>
      <c r="B13" s="11" t="s">
        <v>19</v>
      </c>
      <c r="C13" s="87">
        <v>32288786</v>
      </c>
      <c r="D13" s="81">
        <v>5073059</v>
      </c>
      <c r="E13" s="11">
        <v>40</v>
      </c>
      <c r="F13" s="12"/>
      <c r="H13" s="122">
        <v>320</v>
      </c>
      <c r="I13" s="125">
        <f>IFERROR(VLOOKUP($D13,'Adient Assende (Belgium) WK.17'!$B:C,J$1,0),0)</f>
        <v>160</v>
      </c>
      <c r="J13" s="55">
        <f>IFERROR(VLOOKUP($D13,'Adient Arendal (Malzia) WK.12'!$B:C,J$1,0),0)</f>
        <v>0</v>
      </c>
      <c r="K13" s="55">
        <f>IFERROR(VLOOKUP($D13,'Adient Taizhou (China) WK.16'!$B:C,J$1,0),0)</f>
        <v>0</v>
      </c>
      <c r="L13" s="128">
        <v>0</v>
      </c>
      <c r="M13" s="32">
        <v>0</v>
      </c>
      <c r="N13" s="106">
        <f t="shared" si="233"/>
        <v>320</v>
      </c>
      <c r="P13" s="37">
        <f t="shared" si="234"/>
        <v>320</v>
      </c>
      <c r="Q13" s="125">
        <f>IFERROR(VLOOKUP($D13,'Adient Assende (Belgium) WK.17'!$B:K,R$1,0),0)</f>
        <v>0</v>
      </c>
      <c r="R13" s="55">
        <f>IFERROR(VLOOKUP($D13,'Adient Arendal (Malzia) WK.12'!$B:K,R$1,0),0)</f>
        <v>0</v>
      </c>
      <c r="S13" s="55">
        <f>IFERROR(VLOOKUP($D13,'Adient Taizhou (China) WK.16'!$B:K,R$1,0),0)</f>
        <v>0</v>
      </c>
      <c r="T13" s="41">
        <v>0</v>
      </c>
      <c r="U13" s="32">
        <v>0</v>
      </c>
      <c r="V13" s="106">
        <f t="shared" si="235"/>
        <v>320</v>
      </c>
      <c r="X13" s="37">
        <f t="shared" si="236"/>
        <v>320</v>
      </c>
      <c r="Y13" s="125">
        <f>IFERROR(VLOOKUP($D13,'Adient Assende (Belgium) WK.17'!$B:S,Z$1,0),0)</f>
        <v>0</v>
      </c>
      <c r="Z13" s="55">
        <f>IFERROR(VLOOKUP($D13,'Adient Arendal (Malzia) WK.12'!$B:S,Z$1,0),0)</f>
        <v>0</v>
      </c>
      <c r="AA13" s="55">
        <f>IFERROR(VLOOKUP($D13,'Adient Taizhou (China) WK.16'!$B:S,Z$1,0),0)</f>
        <v>0</v>
      </c>
      <c r="AB13" s="41">
        <v>0</v>
      </c>
      <c r="AC13" s="32">
        <v>0</v>
      </c>
      <c r="AD13" s="106">
        <f t="shared" si="237"/>
        <v>320</v>
      </c>
      <c r="AF13" s="37">
        <f t="shared" si="238"/>
        <v>320</v>
      </c>
      <c r="AG13" s="125">
        <f>IFERROR(VLOOKUP($D13,'Adient Assende (Belgium) WK.17'!$B:AA,AH$1,0),0)</f>
        <v>0</v>
      </c>
      <c r="AH13" s="55">
        <f>IFERROR(VLOOKUP($D13,'Adient Arendal (Malzia) WK.12'!$B:AA,AH$1,0),0)</f>
        <v>0</v>
      </c>
      <c r="AI13" s="55">
        <f>IFERROR(VLOOKUP($D13,'Adient Taizhou (China) WK.16'!$B:AA,AH$1,0),0)</f>
        <v>0</v>
      </c>
      <c r="AJ13" s="41">
        <v>0</v>
      </c>
      <c r="AK13" s="32">
        <v>0</v>
      </c>
      <c r="AL13" s="106">
        <f t="shared" si="239"/>
        <v>320</v>
      </c>
      <c r="AN13" s="37">
        <f t="shared" si="164"/>
        <v>320</v>
      </c>
      <c r="AO13" s="125">
        <f>IFERROR(VLOOKUP($D13,'Adient Assende (Belgium) WK.17'!$B:AI,AP$1,0),0)</f>
        <v>0</v>
      </c>
      <c r="AP13" s="55">
        <f>IFERROR(VLOOKUP($D13,'Adient Arendal (Malzia) WK.12'!$B:AI,AP$1,0),0)</f>
        <v>0</v>
      </c>
      <c r="AQ13" s="55">
        <f>IFERROR(VLOOKUP($D13,'Adient Taizhou (China) WK.16'!$B:AI,AP$1,0),0)</f>
        <v>0</v>
      </c>
      <c r="AR13" s="60">
        <v>0</v>
      </c>
      <c r="AS13" s="41">
        <v>160</v>
      </c>
      <c r="AT13" s="32">
        <v>0</v>
      </c>
      <c r="AU13" s="106">
        <f t="shared" si="240"/>
        <v>160</v>
      </c>
      <c r="AW13" s="37">
        <f t="shared" si="165"/>
        <v>160</v>
      </c>
      <c r="AX13" s="125">
        <f>IFERROR(VLOOKUP($D13,'Adient Assende (Belgium) WK.17'!$B:AR,AY$1,0),0)</f>
        <v>160</v>
      </c>
      <c r="AY13" s="55">
        <f>IFERROR(VLOOKUP($D13,'Adient Arendal (Malzia) WK.12'!$B:AR,AY$1,0),0)</f>
        <v>0</v>
      </c>
      <c r="AZ13" s="55">
        <f>IFERROR(VLOOKUP($D13,'Adient Taizhou (China) WK.16'!$B:AU,AY$1,0),0)</f>
        <v>0</v>
      </c>
      <c r="BA13" s="41">
        <v>0</v>
      </c>
      <c r="BB13" s="32">
        <v>0</v>
      </c>
      <c r="BC13" s="106">
        <f t="shared" si="241"/>
        <v>160</v>
      </c>
      <c r="BE13" s="37">
        <f t="shared" si="166"/>
        <v>160</v>
      </c>
      <c r="BF13" s="125">
        <f>IFERROR(VLOOKUP($D13,'Adient Assende (Belgium) WK.17'!$B:AX,BG$1,0),0)</f>
        <v>0</v>
      </c>
      <c r="BG13" s="55">
        <f>IFERROR(VLOOKUP($D13,'Adient Arendal (Malzia) WK.12'!$B:AZ,BG$1,0),0)</f>
        <v>0</v>
      </c>
      <c r="BH13" s="55">
        <f>IFERROR(VLOOKUP($D13,'Adient Taizhou (China) WK.16'!$B:BB,BG$1,0),0)</f>
        <v>0</v>
      </c>
      <c r="BI13" s="60">
        <v>0</v>
      </c>
      <c r="BJ13" s="60">
        <v>0</v>
      </c>
      <c r="BK13" s="41">
        <v>0</v>
      </c>
      <c r="BL13" s="32">
        <v>0</v>
      </c>
      <c r="BM13" s="106">
        <f t="shared" si="242"/>
        <v>160</v>
      </c>
      <c r="BN13" s="8"/>
      <c r="BO13" s="37">
        <f t="shared" si="167"/>
        <v>160</v>
      </c>
      <c r="BP13" s="125">
        <f>IFERROR(VLOOKUP($D13,'Adient Assende (Belgium) WK.17'!$B:BH,BQ$1,0),0)</f>
        <v>0</v>
      </c>
      <c r="BQ13" s="55">
        <f>IFERROR(VLOOKUP($D13,'Adient Arendal (Malzia) WK.12'!$B:BI,BQ$1,0),0)</f>
        <v>0</v>
      </c>
      <c r="BR13" s="55">
        <f>IFERROR(VLOOKUP($D13,'Adient Taizhou (China) WK.16'!$B:BL,BQ$1,0),0)</f>
        <v>0</v>
      </c>
      <c r="BS13" s="60">
        <v>0</v>
      </c>
      <c r="BT13" s="60">
        <v>240</v>
      </c>
      <c r="BU13" s="60">
        <v>0</v>
      </c>
      <c r="BV13" s="41">
        <v>160</v>
      </c>
      <c r="BW13" s="32">
        <v>0</v>
      </c>
      <c r="BX13" s="106">
        <f t="shared" si="243"/>
        <v>240</v>
      </c>
      <c r="BY13" s="8"/>
      <c r="BZ13" s="37">
        <f t="shared" si="168"/>
        <v>240</v>
      </c>
      <c r="CA13" s="125">
        <f>IFERROR(VLOOKUP($D13,'Adient Assende (Belgium) WK.17'!$B:BS,CB$1,0),0)</f>
        <v>160</v>
      </c>
      <c r="CB13" s="55">
        <f>IFERROR(VLOOKUP($D13,'Adient Arendal (Malzia) WK.12'!$B:BT,CB$1,0),0)</f>
        <v>0</v>
      </c>
      <c r="CC13" s="55">
        <f>IFERROR(VLOOKUP($D13,'Adient Taizhou (China) WK.16'!$B:BW,CB$1,0),0)</f>
        <v>0</v>
      </c>
      <c r="CD13" s="60">
        <v>0</v>
      </c>
      <c r="CE13" s="60">
        <v>0</v>
      </c>
      <c r="CF13" s="41">
        <v>160</v>
      </c>
      <c r="CG13" s="32">
        <v>0</v>
      </c>
      <c r="CH13" s="106">
        <f t="shared" si="244"/>
        <v>80</v>
      </c>
      <c r="CI13" s="8"/>
      <c r="CJ13" s="37">
        <f t="shared" si="169"/>
        <v>80</v>
      </c>
      <c r="CK13" s="125">
        <f>IFERROR(VLOOKUP($D13,'Adient Assende (Belgium) WK.17'!$B:CC,CL$1,0),0)</f>
        <v>160</v>
      </c>
      <c r="CL13" s="55">
        <f>IFERROR(VLOOKUP($D13,'Adient Arendal (Malzia) WK.12'!$B:CD,CL$1,0),0)</f>
        <v>0</v>
      </c>
      <c r="CM13" s="55">
        <f>IFERROR(VLOOKUP($D13,'Adient Taizhou (China) WK.16'!$B:CG,CL$1,0),0)</f>
        <v>0</v>
      </c>
      <c r="CN13" s="60">
        <v>200</v>
      </c>
      <c r="CO13" s="149">
        <v>0</v>
      </c>
      <c r="CP13" s="32">
        <v>0</v>
      </c>
      <c r="CQ13" s="106">
        <f t="shared" si="245"/>
        <v>280</v>
      </c>
      <c r="CR13" s="8"/>
      <c r="CS13" s="122">
        <f t="shared" si="170"/>
        <v>280</v>
      </c>
      <c r="CT13" s="154">
        <f>IFERROR(VLOOKUP($D13,'Adient Assende (Belgium) WK.17'!$B:CL,CU$1,0),0)</f>
        <v>0</v>
      </c>
      <c r="CU13" s="55">
        <f>IFERROR(VLOOKUP($D13,'Adient Arendal (Malzia) WK.12'!$B:CM,CU$1,0),0)</f>
        <v>0</v>
      </c>
      <c r="CV13" s="55">
        <f>IFERROR(VLOOKUP($D13,'Adient Taizhou (China) WK.16'!$B:CP,CU$1,0),0)</f>
        <v>0</v>
      </c>
      <c r="CW13" s="60">
        <v>0</v>
      </c>
      <c r="CX13" s="60">
        <v>0</v>
      </c>
      <c r="CY13" s="128">
        <v>0</v>
      </c>
      <c r="CZ13" s="32">
        <v>0</v>
      </c>
      <c r="DA13" s="106">
        <f t="shared" si="246"/>
        <v>280</v>
      </c>
      <c r="DB13" s="8"/>
      <c r="DC13" s="37">
        <f t="shared" si="171"/>
        <v>280</v>
      </c>
      <c r="DD13" s="125">
        <f>IFERROR(VLOOKUP($D13,'Adient Assende (Belgium) WK.17'!$B:CS,DE$1,0),0)</f>
        <v>0</v>
      </c>
      <c r="DE13" s="55">
        <f>IFERROR(VLOOKUP($D13,'Adient Arendal (Malzia) WK.12'!$B:CU,DE$1,0),0)</f>
        <v>0</v>
      </c>
      <c r="DF13" s="55">
        <f>IFERROR(VLOOKUP($D13,'Adient Taizhou (China) WK.16'!$B:CX,DE$1,0),0)</f>
        <v>0</v>
      </c>
      <c r="DG13" s="60">
        <v>0</v>
      </c>
      <c r="DH13" s="128">
        <v>0</v>
      </c>
      <c r="DI13" s="32">
        <v>0</v>
      </c>
      <c r="DJ13" s="106">
        <f t="shared" si="247"/>
        <v>280</v>
      </c>
      <c r="DL13" s="37">
        <f t="shared" si="172"/>
        <v>280</v>
      </c>
      <c r="DM13" s="125">
        <f>IFERROR(VLOOKUP($D13,'Adient Assende (Belgium) WK.17'!$B:DB,DN$1,0),0)</f>
        <v>0</v>
      </c>
      <c r="DN13" s="55">
        <f>IFERROR(VLOOKUP($D13,'Adient Arendal (Malzia) WK.12'!$B:DC,DN$1,0),0)</f>
        <v>0</v>
      </c>
      <c r="DO13" s="55">
        <f>IFERROR(VLOOKUP($D13,'Adient Taizhou (China) WK.16'!$B:DF,DN$1,0),0)</f>
        <v>0</v>
      </c>
      <c r="DP13" s="128">
        <v>0</v>
      </c>
      <c r="DQ13" s="32">
        <v>0</v>
      </c>
      <c r="DR13" s="106">
        <f t="shared" si="173"/>
        <v>280</v>
      </c>
      <c r="DS13" s="8"/>
      <c r="DT13" s="37">
        <f t="shared" si="174"/>
        <v>280</v>
      </c>
      <c r="DU13" s="125">
        <f>IFERROR(VLOOKUP($D13,'Adient Assende (Belgium) WK.17'!$B:DJ,DV$1,0),0)</f>
        <v>0</v>
      </c>
      <c r="DV13" s="55">
        <f>IFERROR(VLOOKUP($D13,'Adient Arendal (Malzia) WK.12'!$B:DK,DV$1,0),0)</f>
        <v>0</v>
      </c>
      <c r="DW13" s="55">
        <f>IFERROR(VLOOKUP($D13,'Adient Taizhou (China) WK.16'!$B:DN,DV$1,0),0)</f>
        <v>0</v>
      </c>
      <c r="DX13" s="60">
        <v>160</v>
      </c>
      <c r="DY13" s="60">
        <v>0</v>
      </c>
      <c r="DZ13" s="128">
        <v>160</v>
      </c>
      <c r="EA13" s="32">
        <v>0</v>
      </c>
      <c r="EB13" s="106">
        <f t="shared" si="248"/>
        <v>280</v>
      </c>
      <c r="EC13" s="8"/>
      <c r="ED13" s="37">
        <f t="shared" si="175"/>
        <v>280</v>
      </c>
      <c r="EE13" s="125">
        <f>IFERROR(VLOOKUP($D13,'Adient Assende (Belgium) WK.17'!$B:DR,EF$1,0),0)</f>
        <v>160</v>
      </c>
      <c r="EF13" s="55">
        <f>IFERROR(VLOOKUP($D13,'Adient Arendal (Malzia) WK.12'!$B:DS,EF$1,0),0)</f>
        <v>0</v>
      </c>
      <c r="EG13" s="55">
        <f>IFERROR(VLOOKUP($D13,'Adient Taizhou (China) WK.16'!$B:DV,EF$1,0),0)</f>
        <v>0</v>
      </c>
      <c r="EH13" s="60">
        <v>0</v>
      </c>
      <c r="EI13" s="128">
        <v>0</v>
      </c>
      <c r="EJ13" s="32">
        <v>0</v>
      </c>
      <c r="EK13" s="106">
        <f t="shared" si="249"/>
        <v>280</v>
      </c>
      <c r="EM13" s="37">
        <f t="shared" si="176"/>
        <v>280</v>
      </c>
      <c r="EN13" s="125">
        <f>IFERROR(VLOOKUP($D13,'Adient Assende (Belgium) WK.17'!$B:DZ,EO$1,0),0)</f>
        <v>0</v>
      </c>
      <c r="EO13" s="55">
        <f>IFERROR(VLOOKUP($D13,'Adient Arendal (Malzia) WK.12'!$B:EA,EO$1,0),0)</f>
        <v>0</v>
      </c>
      <c r="EP13" s="55">
        <f>IFERROR(VLOOKUP($D13,'Adient Taizhou (China) WK.16'!$B:ED,EO$1,0),0)</f>
        <v>0</v>
      </c>
      <c r="EQ13" s="128">
        <v>0</v>
      </c>
      <c r="ER13" s="32">
        <v>0</v>
      </c>
      <c r="ES13" s="106">
        <f t="shared" si="250"/>
        <v>280</v>
      </c>
      <c r="EU13" s="37">
        <f t="shared" si="177"/>
        <v>280</v>
      </c>
      <c r="EV13" s="125">
        <f>IFERROR(VLOOKUP($D13,'Adient Assende (Belgium) WK.17'!$B:EH,EW$1,0),0)</f>
        <v>0</v>
      </c>
      <c r="EW13" s="55">
        <f>IFERROR(VLOOKUP($D13,'Adient Arendal (Malzia) WK.12'!$B:EI,EW$1,0),0)</f>
        <v>0</v>
      </c>
      <c r="EX13" s="55">
        <f>IFERROR(VLOOKUP($D13,'Adient Taizhou (China) WK.16'!$B:EL,EW$1,0),0)</f>
        <v>0</v>
      </c>
      <c r="EY13" s="128">
        <v>0</v>
      </c>
      <c r="EZ13" s="32">
        <v>0</v>
      </c>
      <c r="FA13" s="106">
        <f t="shared" si="251"/>
        <v>280</v>
      </c>
      <c r="FC13" s="37">
        <f t="shared" si="178"/>
        <v>280</v>
      </c>
      <c r="FD13" s="154">
        <f>IFERROR(VLOOKUP($D13,'Adient Assende (Belgium) WK.17'!$B:EP,FE$1,0),0)</f>
        <v>0</v>
      </c>
      <c r="FE13" s="154">
        <f>IFERROR(VLOOKUP($D13,'Adient Arendal (Malzia) WK.12'!$B:EQ,FE$1,0),0)</f>
        <v>0</v>
      </c>
      <c r="FF13" s="154">
        <f>IFERROR(VLOOKUP($D13,'Adient Taizhou (China) WK.16'!$B:ET,FE$1,0),0)</f>
        <v>0</v>
      </c>
      <c r="FG13" s="128">
        <v>0</v>
      </c>
      <c r="FH13" s="32">
        <v>0</v>
      </c>
      <c r="FI13" s="106">
        <f t="shared" si="252"/>
        <v>280</v>
      </c>
      <c r="FK13" s="37">
        <f t="shared" si="179"/>
        <v>280</v>
      </c>
      <c r="FL13" s="125">
        <f>IFERROR(VLOOKUP($D13,'Adient Assende (Belgium) WK.17'!$B:EX,FM$1,0),0)</f>
        <v>0</v>
      </c>
      <c r="FM13" s="55">
        <f>IFERROR(VLOOKUP($D13,'Adient Arendal (Malzia) WK.12'!$B:EY,FM$1,0),0)</f>
        <v>0</v>
      </c>
      <c r="FN13" s="55">
        <f>IFERROR(VLOOKUP($D13,'Adient Taizhou (China) WK.16'!$B:FB,FM$1,0),0)</f>
        <v>0</v>
      </c>
      <c r="FO13" s="128">
        <v>0</v>
      </c>
      <c r="FP13" s="32">
        <v>0</v>
      </c>
      <c r="FQ13" s="106">
        <f t="shared" si="253"/>
        <v>280</v>
      </c>
      <c r="FR13" s="8"/>
      <c r="FS13" s="37">
        <f t="shared" si="180"/>
        <v>280</v>
      </c>
      <c r="FT13" s="125">
        <f>IFERROR(VLOOKUP($D13,'Adient Assende (Belgium) WK.17'!$B:FF,FU$1,0),0)</f>
        <v>0</v>
      </c>
      <c r="FU13" s="55">
        <f>IFERROR(VLOOKUP($D13,'Adient Arendal (Malzia) WK.12'!$B:FG,FU$1,0),0)</f>
        <v>0</v>
      </c>
      <c r="FV13" s="55">
        <f>IFERROR(VLOOKUP($D13,'Adient Taizhou (China) WK.16'!$B:FJ,FU$1,0),0)</f>
        <v>0</v>
      </c>
      <c r="FW13" s="60">
        <v>0</v>
      </c>
      <c r="FX13" s="60">
        <v>0</v>
      </c>
      <c r="FY13" s="60">
        <v>0</v>
      </c>
      <c r="FZ13" s="60">
        <v>0</v>
      </c>
      <c r="GA13" s="60">
        <v>120</v>
      </c>
      <c r="GB13" s="128">
        <v>160</v>
      </c>
      <c r="GC13" s="32">
        <v>0</v>
      </c>
      <c r="GD13" s="106">
        <f t="shared" si="254"/>
        <v>240</v>
      </c>
      <c r="GF13" s="37">
        <f t="shared" si="181"/>
        <v>240</v>
      </c>
      <c r="GG13" s="125">
        <f>IFERROR(VLOOKUP($D13,'Adient Assende (Belgium) WK.17'!$B:FN,GH$1,0),0)</f>
        <v>160</v>
      </c>
      <c r="GH13" s="55">
        <f>IFERROR(VLOOKUP($D13,'Adient Arendal (Malzia) WK.12'!$B:FO,GH$1,0),0)</f>
        <v>0</v>
      </c>
      <c r="GI13" s="55">
        <f>IFERROR(VLOOKUP($D13,'Adient Taizhou (China) WK.16'!$B:FR,GH$1,0),0)</f>
        <v>0</v>
      </c>
      <c r="GJ13" s="60">
        <v>0</v>
      </c>
      <c r="GK13" s="128">
        <v>0</v>
      </c>
      <c r="GL13" s="32">
        <v>0</v>
      </c>
      <c r="GM13" s="106">
        <f t="shared" si="255"/>
        <v>240</v>
      </c>
      <c r="GO13" s="37">
        <f t="shared" si="182"/>
        <v>240</v>
      </c>
      <c r="GP13" s="125">
        <f>IFERROR(VLOOKUP($D13,'Adient Assende (Belgium) WK.17'!$B:FV,GQ$1,0),0)</f>
        <v>0</v>
      </c>
      <c r="GQ13" s="55">
        <f>IFERROR(VLOOKUP($D13,'Adient Arendal (Malzia) WK.12'!$B:FW,GQ$1,0),0)</f>
        <v>0</v>
      </c>
      <c r="GR13" s="55">
        <f>IFERROR(VLOOKUP($D13,'Adient Taizhou (China) WK.16'!$B:FZ,GQ$1,0),0)</f>
        <v>0</v>
      </c>
      <c r="GS13" s="60">
        <v>40</v>
      </c>
      <c r="GT13" s="128">
        <v>0</v>
      </c>
      <c r="GU13" s="32">
        <v>0</v>
      </c>
      <c r="GV13" s="106">
        <f t="shared" si="256"/>
        <v>280</v>
      </c>
      <c r="GW13" s="8"/>
      <c r="GX13" s="37">
        <f t="shared" si="183"/>
        <v>280</v>
      </c>
      <c r="GY13" s="125">
        <f>IFERROR(VLOOKUP($D13,'Adient Assende (Belgium) WK.17'!$B:GD,GZ$1,0),0)</f>
        <v>0</v>
      </c>
      <c r="GZ13" s="55">
        <f>IFERROR(VLOOKUP($D13,'Adient Arendal (Malzia) WK.12'!$B:GE,GZ$1,0),0)</f>
        <v>0</v>
      </c>
      <c r="HA13" s="55">
        <f>IFERROR(VLOOKUP($D13,'Adient Taizhou (China) WK.16'!$B:GH,GZ$1,0),0)</f>
        <v>0</v>
      </c>
      <c r="HB13" s="60">
        <v>160</v>
      </c>
      <c r="HC13" s="128">
        <v>0</v>
      </c>
      <c r="HD13" s="32">
        <v>0</v>
      </c>
      <c r="HE13" s="106">
        <f t="shared" si="257"/>
        <v>440</v>
      </c>
      <c r="HF13" s="8"/>
      <c r="HG13" s="37">
        <f t="shared" si="184"/>
        <v>440</v>
      </c>
      <c r="HH13" s="125">
        <f>IFERROR(VLOOKUP($D13,'Adient Assende (Belgium) WK.17'!$B:GL,HI$1,0),0)</f>
        <v>0</v>
      </c>
      <c r="HI13" s="55">
        <f>IFERROR(VLOOKUP($D13,'Adient Arendal (Malzia) WK.12'!$B:GM,HI$1,0),0)</f>
        <v>0</v>
      </c>
      <c r="HJ13" s="55">
        <f>IFERROR(VLOOKUP($D13,'Adient Taizhou (China) WK.16'!$B:GP,HI$1,0),0)</f>
        <v>0</v>
      </c>
      <c r="HK13" s="60">
        <v>0</v>
      </c>
      <c r="HL13" s="128">
        <v>0</v>
      </c>
      <c r="HM13" s="32">
        <v>0</v>
      </c>
      <c r="HN13" s="106">
        <f t="shared" si="258"/>
        <v>440</v>
      </c>
      <c r="HO13" s="8"/>
      <c r="HP13" s="37">
        <f t="shared" si="185"/>
        <v>440</v>
      </c>
      <c r="HQ13" s="125">
        <f>IFERROR(VLOOKUP($D13,'Adient Assende (Belgium) WK.17'!$B:GT,HR$1,0),0)</f>
        <v>0</v>
      </c>
      <c r="HR13" s="55">
        <f>IFERROR(VLOOKUP($D13,'Adient Arendal (Malzia) WK.12'!$B:GU,HR$1,0),0)</f>
        <v>0</v>
      </c>
      <c r="HS13" s="55">
        <f>IFERROR(VLOOKUP($D13,'Adient Taizhou (China) WK.16'!$B:GX,HR$1,0),0)</f>
        <v>0</v>
      </c>
      <c r="HT13" s="60">
        <v>0</v>
      </c>
      <c r="HU13" s="128">
        <v>0</v>
      </c>
      <c r="HV13" s="32">
        <v>0</v>
      </c>
      <c r="HW13" s="106">
        <f t="shared" si="259"/>
        <v>440</v>
      </c>
      <c r="HX13" s="8"/>
      <c r="HY13" s="37">
        <f t="shared" si="186"/>
        <v>440</v>
      </c>
      <c r="HZ13" s="125">
        <f>IFERROR(VLOOKUP($D13,'Adient Assende (Belgium) WK.17'!$B:HB,IA$1,0),0)</f>
        <v>0</v>
      </c>
      <c r="IA13" s="55">
        <f>IFERROR(VLOOKUP($D13,'Adient Arendal (Malzia) WK.12'!$B:HC,IA$1,0),0)</f>
        <v>0</v>
      </c>
      <c r="IB13" s="55">
        <f>IFERROR(VLOOKUP($D13,'Adient Taizhou (China) WK.16'!$B:HF,IA$1,0),0)</f>
        <v>0</v>
      </c>
      <c r="IC13" s="60">
        <v>0</v>
      </c>
      <c r="ID13" s="128">
        <v>160</v>
      </c>
      <c r="IE13" s="32">
        <v>0</v>
      </c>
      <c r="IF13" s="106">
        <f t="shared" si="260"/>
        <v>280</v>
      </c>
      <c r="IG13" s="8"/>
      <c r="IH13" s="37">
        <f t="shared" si="187"/>
        <v>280</v>
      </c>
      <c r="II13" s="125">
        <f>IFERROR(VLOOKUP($D13,'Adient Assende (Belgium) WK.17'!$B:HJ,IJ$1,0),0)</f>
        <v>160</v>
      </c>
      <c r="IJ13" s="55">
        <f>IFERROR(VLOOKUP($D13,'Adient Arendal (Malzia) WK.12'!$B:HK,IJ$1,0),0)</f>
        <v>0</v>
      </c>
      <c r="IK13" s="55">
        <f>IFERROR(VLOOKUP($D13,'Adient Taizhou (China) WK.16'!$B:HN,IJ$1,0),0)</f>
        <v>0</v>
      </c>
      <c r="IL13" s="128">
        <v>0</v>
      </c>
      <c r="IM13" s="32">
        <v>0</v>
      </c>
      <c r="IN13" s="106">
        <f t="shared" si="188"/>
        <v>280</v>
      </c>
      <c r="IO13" s="8"/>
      <c r="IP13" s="37">
        <f t="shared" si="189"/>
        <v>280</v>
      </c>
      <c r="IQ13" s="125">
        <f>IFERROR(VLOOKUP($D13,'Adient Assende (Belgium) WK.17'!$B:HR,IR$1,0),0)</f>
        <v>0</v>
      </c>
      <c r="IR13" s="55">
        <f>IFERROR(VLOOKUP($D13,'Adient Arendal (Malzia) WK.12'!$B:HS,IR$1,0),0)</f>
        <v>0</v>
      </c>
      <c r="IS13" s="55">
        <f>IFERROR(VLOOKUP($D13,'Adient Taizhou (China) WK.16'!$B:HV,IR$1,0),0)</f>
        <v>0</v>
      </c>
      <c r="IT13" s="60">
        <v>0</v>
      </c>
      <c r="IU13" s="128">
        <v>0</v>
      </c>
      <c r="IV13" s="32">
        <v>0</v>
      </c>
      <c r="IW13" s="106">
        <f t="shared" si="261"/>
        <v>280</v>
      </c>
      <c r="IX13" s="8"/>
      <c r="IY13" s="37">
        <f t="shared" si="190"/>
        <v>280</v>
      </c>
      <c r="IZ13" s="125">
        <f>IFERROR(VLOOKUP($D13,'Adient Assende (Belgium) WK.17'!$B:HZ,JA$1,0),0)</f>
        <v>0</v>
      </c>
      <c r="JA13" s="55">
        <f>IFERROR(VLOOKUP($D13,'Adient Arendal (Malzia) WK.12'!$B:IA,JA$1,0),0)</f>
        <v>0</v>
      </c>
      <c r="JB13" s="55">
        <f>IFERROR(VLOOKUP($D13,'Adient Taizhou (China) WK.16'!$B:ID,JA$1,0),0)</f>
        <v>0</v>
      </c>
      <c r="JC13" s="128">
        <v>0</v>
      </c>
      <c r="JD13" s="32">
        <v>0</v>
      </c>
      <c r="JE13" s="106">
        <f t="shared" si="191"/>
        <v>280</v>
      </c>
      <c r="JF13" s="8"/>
      <c r="JG13" s="37">
        <f t="shared" si="192"/>
        <v>280</v>
      </c>
      <c r="JH13" s="125">
        <f>IFERROR(VLOOKUP($D13,'Adient Assende (Belgium) WK.17'!$B:IH,JI$1,0),0)</f>
        <v>0</v>
      </c>
      <c r="JI13" s="55">
        <f>IFERROR(VLOOKUP($D13,'Adient Arendal (Malzia) WK.12'!$B:II,JI$1,0),0)</f>
        <v>0</v>
      </c>
      <c r="JJ13" s="55">
        <f>IFERROR(VLOOKUP($D13,'Adient Taizhou (China) WK.16'!$B:IL,JI$1,0),0)</f>
        <v>0</v>
      </c>
      <c r="JK13" s="60">
        <v>0</v>
      </c>
      <c r="JL13" s="128">
        <v>160</v>
      </c>
      <c r="JM13" s="32">
        <v>0</v>
      </c>
      <c r="JN13" s="106">
        <f t="shared" si="262"/>
        <v>120</v>
      </c>
      <c r="JO13" s="8"/>
      <c r="JP13" s="37">
        <f t="shared" si="193"/>
        <v>120</v>
      </c>
      <c r="JQ13" s="125">
        <f>IFERROR(VLOOKUP($D13,'Adient Assende (Belgium) WK.17'!$B:IP,JR$1,0),0)</f>
        <v>160</v>
      </c>
      <c r="JR13" s="55">
        <f>IFERROR(VLOOKUP($D13,'Adient Arendal (Malzia) WK.12'!$B:IQ,JR$1,0),0)</f>
        <v>0</v>
      </c>
      <c r="JS13" s="55">
        <f>IFERROR(VLOOKUP($D13,'Adient Taizhou (China) WK.16'!$B:IT,JR$1,0),0)</f>
        <v>0</v>
      </c>
      <c r="JT13" s="128">
        <v>0</v>
      </c>
      <c r="JU13" s="32">
        <v>0</v>
      </c>
      <c r="JV13" s="106">
        <f t="shared" si="194"/>
        <v>120</v>
      </c>
      <c r="JW13" s="8"/>
      <c r="JX13" s="37">
        <f t="shared" si="195"/>
        <v>120</v>
      </c>
      <c r="JY13" s="154">
        <f>IFERROR(VLOOKUP($D13,'Adient Assende (Belgium) WK.17'!$B:IX,JZ$1,0),0)</f>
        <v>0</v>
      </c>
      <c r="JZ13" s="55">
        <f>IFERROR(VLOOKUP($D13,'Adient Arendal (Malzia) WK.12'!$B:IY,JZ$1,0),0)</f>
        <v>0</v>
      </c>
      <c r="KA13" s="55">
        <f>IFERROR(VLOOKUP($D13,'Adient Taizhou (China) WK.16'!$B:JB,JZ$1,0),0)</f>
        <v>0</v>
      </c>
      <c r="KB13" s="128">
        <v>0</v>
      </c>
      <c r="KC13" s="32">
        <v>0</v>
      </c>
      <c r="KD13" s="106">
        <f t="shared" si="263"/>
        <v>120</v>
      </c>
      <c r="KE13" s="8"/>
      <c r="KF13" s="37">
        <f t="shared" si="196"/>
        <v>120</v>
      </c>
      <c r="KG13" s="125">
        <f>IFERROR(VLOOKUP($D13,'Adient Assende (Belgium) WK.17'!$B:JF,KH$1,0),0)</f>
        <v>0</v>
      </c>
      <c r="KH13" s="55">
        <f>IFERROR(VLOOKUP($D13,'Adient Arendal (Malzia) WK.12'!$B:JG,KH$1,0),0)</f>
        <v>0</v>
      </c>
      <c r="KI13" s="55">
        <f>IFERROR(VLOOKUP($D13,'Adient Taizhou (China) WK.16'!$B:JJ,KH$1,0),0)</f>
        <v>0</v>
      </c>
      <c r="KJ13" s="60">
        <v>0</v>
      </c>
      <c r="KK13" s="128">
        <v>0</v>
      </c>
      <c r="KL13" s="32">
        <v>0</v>
      </c>
      <c r="KM13" s="106">
        <f t="shared" si="264"/>
        <v>120</v>
      </c>
      <c r="KN13" s="8"/>
      <c r="KO13" s="37">
        <f t="shared" si="197"/>
        <v>120</v>
      </c>
      <c r="KP13" s="141">
        <f>IFERROR(VLOOKUP($D13,'Adient Assende (Belgium) WK.17'!$B:JN,KQ$1,0),0)</f>
        <v>0</v>
      </c>
      <c r="KQ13" s="140">
        <f>IFERROR(VLOOKUP($D13,'Adient Arendal (Malzia) WK.12'!$B:JO,KQ$1,0),0)</f>
        <v>0</v>
      </c>
      <c r="KR13" s="140">
        <f>IFERROR(VLOOKUP($D13,'Adient Taizhou (China) WK.16'!$B:JR,KQ$1,0),0)</f>
        <v>0</v>
      </c>
      <c r="KS13" s="60">
        <v>160</v>
      </c>
      <c r="KT13" s="128">
        <v>0</v>
      </c>
      <c r="KU13" s="32">
        <v>0</v>
      </c>
      <c r="KV13" s="106">
        <f t="shared" si="265"/>
        <v>280</v>
      </c>
      <c r="KX13" s="37">
        <f t="shared" si="198"/>
        <v>280</v>
      </c>
      <c r="KY13" s="141">
        <f>IFERROR(VLOOKUP($D13,'Adient Assende (Belgium) WK.17'!$B:JV,KZ$1,0),0)</f>
        <v>0</v>
      </c>
      <c r="KZ13" s="140">
        <f>IFERROR(VLOOKUP($D13,'Adient Arendal (Malzia) WK.12'!$B:JW,KZ$1,0),0)</f>
        <v>0</v>
      </c>
      <c r="LA13" s="140">
        <f>IFERROR(VLOOKUP($D13,'Adient Taizhou (China) WK.16'!$B:JZ,KZ$1,0),0)</f>
        <v>0</v>
      </c>
      <c r="LB13" s="128">
        <v>0</v>
      </c>
      <c r="LC13" s="32">
        <v>0</v>
      </c>
      <c r="LD13" s="106">
        <f t="shared" si="266"/>
        <v>280</v>
      </c>
      <c r="LF13" s="37">
        <f t="shared" si="199"/>
        <v>280</v>
      </c>
      <c r="LG13" s="141">
        <f>IFERROR(VLOOKUP($D13,'Adient Assende (Belgium) WK.17'!$B:KD,LH$1,0),0)</f>
        <v>0</v>
      </c>
      <c r="LH13" s="140">
        <f>IFERROR(VLOOKUP($D13,'Adient Arendal (Malzia) WK.12'!$B:KE,LH$1,0),0)</f>
        <v>0</v>
      </c>
      <c r="LI13" s="140">
        <f>IFERROR(VLOOKUP($D13,'Adient Taizhou (China) WK.16'!$B:KH,LH$1,0),0)</f>
        <v>0</v>
      </c>
      <c r="LJ13" s="60">
        <v>0</v>
      </c>
      <c r="LK13" s="128">
        <v>0</v>
      </c>
      <c r="LL13" s="32">
        <v>0</v>
      </c>
      <c r="LM13" s="100">
        <f t="shared" si="267"/>
        <v>280</v>
      </c>
      <c r="LO13" s="37">
        <f t="shared" si="200"/>
        <v>280</v>
      </c>
      <c r="LP13" s="141">
        <f>IFERROR(VLOOKUP($D13,'Adient Assende (Belgium) WK.17'!$B:KL,LQ$1,0),0)</f>
        <v>0</v>
      </c>
      <c r="LQ13" s="140">
        <f>IFERROR(VLOOKUP($D13,'Adient Arendal (Malzia) WK.12'!$B:KM,LQ$1,0),0)</f>
        <v>0</v>
      </c>
      <c r="LR13" s="140">
        <f>IFERROR(VLOOKUP($D13,'Adient Taizhou (China) WK.16'!$B:KP,LQ$1,0),0)</f>
        <v>0</v>
      </c>
      <c r="LS13" s="128">
        <v>0</v>
      </c>
      <c r="LT13" s="32">
        <v>0</v>
      </c>
      <c r="LU13" s="100">
        <f t="shared" si="268"/>
        <v>280</v>
      </c>
      <c r="LW13" s="37">
        <f t="shared" si="201"/>
        <v>280</v>
      </c>
      <c r="LX13" s="141">
        <f>IFERROR(VLOOKUP($D13,'Adient Assende (Belgium) WK.17'!$B:KT,LY$1,0),0)</f>
        <v>160</v>
      </c>
      <c r="LY13" s="140">
        <f>IFERROR(VLOOKUP($D13,'Adient Arendal (Malzia) WK.12'!$B:KU,LY$1,0),0)</f>
        <v>0</v>
      </c>
      <c r="LZ13" s="140">
        <f>IFERROR(VLOOKUP($D13,'Adient Taizhou (China) WK.16'!$B:KX,LY$1,0),0)</f>
        <v>0</v>
      </c>
      <c r="MA13" s="128">
        <v>0</v>
      </c>
      <c r="MB13" s="32">
        <v>0</v>
      </c>
      <c r="MC13" s="100">
        <f t="shared" si="269"/>
        <v>120</v>
      </c>
      <c r="ME13" s="37">
        <f t="shared" si="202"/>
        <v>120</v>
      </c>
      <c r="MF13" s="154">
        <f>IFERROR(VLOOKUP($D13,'Adient Assende (Belgium) WK.17'!$B:LB,MG$1,0),0)</f>
        <v>0</v>
      </c>
      <c r="MG13" s="140">
        <f>IFERROR(VLOOKUP($D13,'Adient Arendal (Malzia) WK.12'!$B:LC,MG$1,0),0)</f>
        <v>0</v>
      </c>
      <c r="MH13" s="140">
        <f>IFERROR(VLOOKUP($D13,'Adient Taizhou (China) WK.16'!$B:LF,MG$1,0),0)</f>
        <v>0</v>
      </c>
      <c r="MI13" s="128">
        <v>0</v>
      </c>
      <c r="MJ13" s="32">
        <v>0</v>
      </c>
      <c r="MK13" s="100">
        <f t="shared" si="270"/>
        <v>120</v>
      </c>
      <c r="MM13" s="37">
        <f t="shared" si="203"/>
        <v>120</v>
      </c>
      <c r="MN13" s="141">
        <f>IFERROR(VLOOKUP($D13,'Adient Assende (Belgium) WK.17'!$B:LJ,MO$1,0),0)</f>
        <v>0</v>
      </c>
      <c r="MO13" s="140">
        <f>IFERROR(VLOOKUP($D13,'Adient Arendal (Malzia) WK.12'!$B:LK,MO$1,0),0)</f>
        <v>0</v>
      </c>
      <c r="MP13" s="140">
        <f>IFERROR(VLOOKUP($D13,'Adient Taizhou (China) WK.16'!$B:LN,MO$1,0),0)</f>
        <v>0</v>
      </c>
      <c r="MQ13" s="128">
        <v>0</v>
      </c>
      <c r="MR13" s="32">
        <v>0</v>
      </c>
      <c r="MS13" s="100">
        <f t="shared" si="271"/>
        <v>120</v>
      </c>
      <c r="MU13" s="37">
        <f t="shared" si="204"/>
        <v>120</v>
      </c>
      <c r="MV13" s="141">
        <f>IFERROR(VLOOKUP($D13,'Adient Assende (Belgium) WK.17'!$B:LR,MW$1,0),0)</f>
        <v>0</v>
      </c>
      <c r="MW13" s="140">
        <f>IFERROR(VLOOKUP($D13,'Adient Arendal (Malzia) WK.12'!$B:LS,MW$1,0),0)</f>
        <v>0</v>
      </c>
      <c r="MX13" s="140">
        <f>IFERROR(VLOOKUP($D13,'Adient Taizhou (China) WK.16'!$B:LV,MW$1,0),0)</f>
        <v>0</v>
      </c>
      <c r="MY13" s="128">
        <v>0</v>
      </c>
      <c r="MZ13" s="32">
        <v>0</v>
      </c>
      <c r="NA13" s="100">
        <f t="shared" si="272"/>
        <v>120</v>
      </c>
      <c r="NC13" s="37">
        <f t="shared" si="205"/>
        <v>120</v>
      </c>
      <c r="ND13" s="141">
        <f>IFERROR(VLOOKUP($D13,'Adient Assende (Belgium) WK.17'!$B:LZ,NE$1,0),0)</f>
        <v>160</v>
      </c>
      <c r="NE13" s="140">
        <f>IFERROR(VLOOKUP($D13,'Adient Arendal (Malzia) WK.12'!$B:MA,NE$1,0),0)</f>
        <v>0</v>
      </c>
      <c r="NF13" s="140">
        <f>IFERROR(VLOOKUP($D13,'Adient Taizhou (China) WK.16'!$B:MD,NE$1,0),0)</f>
        <v>0</v>
      </c>
      <c r="NG13" s="128">
        <v>0</v>
      </c>
      <c r="NH13" s="32">
        <v>0</v>
      </c>
      <c r="NI13" s="100">
        <f t="shared" si="273"/>
        <v>-40</v>
      </c>
      <c r="NK13" s="37">
        <f t="shared" si="206"/>
        <v>-40</v>
      </c>
      <c r="NL13" s="141">
        <f>IFERROR(VLOOKUP($D13,'Adient Assende (Belgium) WK.17'!$B:MH,NM$1,0),0)</f>
        <v>0</v>
      </c>
      <c r="NM13" s="140">
        <f>IFERROR(VLOOKUP($D13,'Adient Arendal (Malzia) WK.12'!$B:MI,NM$1,0),0)</f>
        <v>0</v>
      </c>
      <c r="NN13" s="140">
        <f>IFERROR(VLOOKUP($D13,'Adient Taizhou (China) WK.16'!$B:ML,NM$1,0),0)</f>
        <v>0</v>
      </c>
      <c r="NO13" s="128">
        <v>0</v>
      </c>
      <c r="NP13" s="32">
        <v>0</v>
      </c>
      <c r="NQ13" s="100">
        <f t="shared" si="274"/>
        <v>-40</v>
      </c>
      <c r="NS13" s="37">
        <f t="shared" si="207"/>
        <v>-40</v>
      </c>
      <c r="NT13" s="141">
        <f>IFERROR(VLOOKUP($D13,'Adient Assende (Belgium) WK.17'!$B:MP,NU$1,0),0)</f>
        <v>0</v>
      </c>
      <c r="NU13" s="140">
        <f>IFERROR(VLOOKUP($D13,'Adient Arendal (Malzia) WK.12'!$B:MQ,NU$1,0),0)</f>
        <v>0</v>
      </c>
      <c r="NV13" s="140">
        <f>IFERROR(VLOOKUP($D13,'Adient Taizhou (China) WK.16'!$B:MT,NU$1,0),0)</f>
        <v>0</v>
      </c>
      <c r="NW13" s="128">
        <v>0</v>
      </c>
      <c r="NX13" s="32">
        <v>0</v>
      </c>
      <c r="NY13" s="100">
        <f t="shared" si="275"/>
        <v>-40</v>
      </c>
      <c r="OA13" s="37">
        <f t="shared" si="208"/>
        <v>-40</v>
      </c>
      <c r="OB13" s="141">
        <f>IFERROR(VLOOKUP($D13,'Adient Assende (Belgium) WK.17'!$B:MX,OC$1,0),0)</f>
        <v>160</v>
      </c>
      <c r="OC13" s="140">
        <f>IFERROR(VLOOKUP($D13,'Adient Arendal (Malzia) WK.12'!$B:MY,OC$1,0),0)</f>
        <v>0</v>
      </c>
      <c r="OD13" s="140">
        <f>IFERROR(VLOOKUP($D13,'Adient Taizhou (China) WK.16'!$B:NB,OC$1,0),0)</f>
        <v>0</v>
      </c>
      <c r="OE13" s="128">
        <v>0</v>
      </c>
      <c r="OF13" s="32">
        <v>0</v>
      </c>
      <c r="OG13" s="100">
        <f t="shared" si="276"/>
        <v>-200</v>
      </c>
      <c r="OI13" s="37">
        <f t="shared" si="209"/>
        <v>-200</v>
      </c>
      <c r="OJ13" s="141">
        <f>IFERROR(VLOOKUP($D13,'Adient Assende (Belgium) WK.17'!$B:NF,OK$1,0),0)</f>
        <v>0</v>
      </c>
      <c r="OK13" s="140">
        <f>IFERROR(VLOOKUP($D13,'Adient Arendal (Malzia) WK.12'!$B:NG,OK$1,0),0)</f>
        <v>0</v>
      </c>
      <c r="OL13" s="140">
        <f>IFERROR(VLOOKUP($D13,'Adient Taizhou (China) WK.16'!$B:NJ,OK$1,0),0)</f>
        <v>0</v>
      </c>
      <c r="OM13" s="128">
        <v>0</v>
      </c>
      <c r="ON13" s="32">
        <v>0</v>
      </c>
      <c r="OO13" s="100">
        <f t="shared" si="277"/>
        <v>-200</v>
      </c>
      <c r="OQ13" s="37">
        <f t="shared" si="210"/>
        <v>-200</v>
      </c>
      <c r="OR13" s="141">
        <f>IFERROR(VLOOKUP($D13,'Adient Assende (Belgium) WK.17'!$B:NN,OS$1,0),0)</f>
        <v>0</v>
      </c>
      <c r="OS13" s="140">
        <f>IFERROR(VLOOKUP($D13,'Adient Arendal (Malzia) WK.12'!$B:NO,OS$1,0),0)</f>
        <v>0</v>
      </c>
      <c r="OT13" s="140">
        <f>IFERROR(VLOOKUP($D13,'Adient Taizhou (China) WK.16'!$B:NR,OS$1,0),0)</f>
        <v>0</v>
      </c>
      <c r="OU13" s="128">
        <v>0</v>
      </c>
      <c r="OV13" s="32">
        <v>0</v>
      </c>
      <c r="OW13" s="100">
        <f t="shared" si="278"/>
        <v>-200</v>
      </c>
      <c r="OY13" s="37">
        <f t="shared" si="211"/>
        <v>-200</v>
      </c>
      <c r="OZ13" s="141">
        <f>IFERROR(VLOOKUP($D13,'Adient Assende (Belgium) WK.17'!$B:NV,PA$1,0),0)</f>
        <v>0</v>
      </c>
      <c r="PA13" s="140">
        <f>IFERROR(VLOOKUP($D13,'Adient Arendal (Malzia) WK.12'!$B:NW,PA$1,0),0)</f>
        <v>0</v>
      </c>
      <c r="PB13" s="140">
        <f>IFERROR(VLOOKUP($D13,'Adient Taizhou (China) WK.16'!$B:NZ,PA$1,0),0)</f>
        <v>0</v>
      </c>
      <c r="PC13" s="128">
        <v>0</v>
      </c>
      <c r="PD13" s="32">
        <v>0</v>
      </c>
      <c r="PE13" s="100">
        <f t="shared" si="279"/>
        <v>-200</v>
      </c>
      <c r="PG13" s="37">
        <f t="shared" si="212"/>
        <v>-200</v>
      </c>
      <c r="PH13" s="141">
        <f>IFERROR(VLOOKUP($D13,'Adient Assende (Belgium) WK.17'!$B:OD,PI$1,0),0)</f>
        <v>0</v>
      </c>
      <c r="PI13" s="140">
        <f>IFERROR(VLOOKUP($D13,'Adient Arendal (Malzia) WK.12'!$B:OE,PI$1,0),0)</f>
        <v>0</v>
      </c>
      <c r="PJ13" s="140">
        <f>IFERROR(VLOOKUP($D13,'Adient Taizhou (China) WK.16'!$B:OH,PI$1,0),0)</f>
        <v>0</v>
      </c>
      <c r="PK13" s="128">
        <v>0</v>
      </c>
      <c r="PL13" s="32">
        <v>0</v>
      </c>
      <c r="PM13" s="100">
        <f t="shared" si="280"/>
        <v>-200</v>
      </c>
      <c r="PO13" s="37">
        <f t="shared" si="213"/>
        <v>-200</v>
      </c>
      <c r="PP13" s="141">
        <f>IFERROR(VLOOKUP($D13,'Adient Assende (Belgium) WK.17'!$B:OL,PQ$1,0),0)</f>
        <v>0</v>
      </c>
      <c r="PQ13" s="140">
        <f>IFERROR(VLOOKUP($D13,'Adient Arendal (Malzia) WK.12'!$B:OM,PQ$1,0),0)</f>
        <v>0</v>
      </c>
      <c r="PR13" s="140">
        <f>IFERROR(VLOOKUP($D13,'Adient Taizhou (China) WK.16'!$B:OP,PQ$1,0),0)</f>
        <v>0</v>
      </c>
      <c r="PS13" s="128">
        <v>0</v>
      </c>
      <c r="PT13" s="32">
        <v>0</v>
      </c>
      <c r="PU13" s="100">
        <f t="shared" si="281"/>
        <v>-200</v>
      </c>
      <c r="PW13" s="37">
        <f t="shared" si="214"/>
        <v>-200</v>
      </c>
      <c r="PX13" s="141">
        <f>IFERROR(VLOOKUP($D13,'Adient Assende (Belgium) WK.17'!$B:OT,PY$1,0),0)</f>
        <v>0</v>
      </c>
      <c r="PY13" s="140">
        <f>IFERROR(VLOOKUP($D13,'Adient Arendal (Malzia) WK.12'!$B:OU,PY$1,0),0)</f>
        <v>0</v>
      </c>
      <c r="PZ13" s="140">
        <f>IFERROR(VLOOKUP($D13,'Adient Taizhou (China) WK.16'!$B:OX,PY$1,0),0)</f>
        <v>0</v>
      </c>
      <c r="QA13" s="128">
        <v>0</v>
      </c>
      <c r="QB13" s="32">
        <v>0</v>
      </c>
      <c r="QC13" s="100">
        <f t="shared" si="282"/>
        <v>-200</v>
      </c>
      <c r="QE13" s="37">
        <f t="shared" si="215"/>
        <v>-200</v>
      </c>
      <c r="QF13" s="141">
        <f>IFERROR(VLOOKUP($D13,'Adient Assende (Belgium) WK.17'!$B:PB,QG$1,0),0)</f>
        <v>160</v>
      </c>
      <c r="QG13" s="140">
        <f>IFERROR(VLOOKUP($D13,'Adient Arendal (Malzia) WK.12'!$B:PC,QG$1,0),0)</f>
        <v>0</v>
      </c>
      <c r="QH13" s="140">
        <f>IFERROR(VLOOKUP($D13,'Adient Taizhou (China) WK.16'!$B:PF,QG$1,0),0)</f>
        <v>0</v>
      </c>
      <c r="QI13" s="128">
        <v>0</v>
      </c>
      <c r="QJ13" s="32">
        <v>0</v>
      </c>
      <c r="QK13" s="100">
        <f t="shared" si="283"/>
        <v>-360</v>
      </c>
      <c r="QM13" s="37">
        <f t="shared" si="216"/>
        <v>-360</v>
      </c>
      <c r="QN13" s="141">
        <f>IFERROR(VLOOKUP($D13,'Adient Assende (Belgium) WK.17'!$B:PJ,QO$1,0),0)</f>
        <v>0</v>
      </c>
      <c r="QO13" s="140">
        <f>IFERROR(VLOOKUP($D13,'Adient Arendal (Malzia) WK.12'!$B:PK,QO$1,0),0)</f>
        <v>0</v>
      </c>
      <c r="QP13" s="140">
        <f>IFERROR(VLOOKUP($D13,'Adient Taizhou (China) WK.16'!$B:PN,QO$1,0),0)</f>
        <v>0</v>
      </c>
      <c r="QQ13" s="128">
        <v>0</v>
      </c>
      <c r="QR13" s="32">
        <v>0</v>
      </c>
      <c r="QS13" s="100">
        <f t="shared" si="284"/>
        <v>-360</v>
      </c>
      <c r="QU13" s="37">
        <f t="shared" si="217"/>
        <v>-360</v>
      </c>
      <c r="QV13" s="141">
        <f>IFERROR(VLOOKUP($D13,'Adient Assende (Belgium) WK.17'!$B:PR,QW$1,0),0)</f>
        <v>40</v>
      </c>
      <c r="QW13" s="140">
        <f>IFERROR(VLOOKUP($D13,'Adient Arendal (Malzia) WK.12'!$B:PS,QW$1,0),0)</f>
        <v>0</v>
      </c>
      <c r="QX13" s="140">
        <f>IFERROR(VLOOKUP($D13,'Adient Taizhou (China) WK.16'!$B:PV,QW$1,0),0)</f>
        <v>0</v>
      </c>
      <c r="QY13" s="128">
        <v>0</v>
      </c>
      <c r="QZ13" s="32">
        <v>0</v>
      </c>
      <c r="RA13" s="100">
        <f t="shared" si="285"/>
        <v>-400</v>
      </c>
      <c r="RC13" s="37">
        <f t="shared" si="218"/>
        <v>-400</v>
      </c>
      <c r="RD13" s="141">
        <f>IFERROR(VLOOKUP($D13,'Adient Assende (Belgium) WK.17'!$B:PZ,RE$1,0),0)</f>
        <v>40</v>
      </c>
      <c r="RE13" s="140">
        <f>IFERROR(VLOOKUP($D13,'Adient Arendal (Malzia) WK.12'!$B:QA,RE$1,0),0)</f>
        <v>0</v>
      </c>
      <c r="RF13" s="140">
        <f>IFERROR(VLOOKUP($D13,'Adient Taizhou (China) WK.16'!$B:QD,RE$1,0),0)</f>
        <v>0</v>
      </c>
      <c r="RG13" s="128">
        <v>0</v>
      </c>
      <c r="RH13" s="32">
        <v>0</v>
      </c>
      <c r="RI13" s="100">
        <f t="shared" si="286"/>
        <v>-440</v>
      </c>
      <c r="RK13" s="37">
        <f t="shared" si="219"/>
        <v>-440</v>
      </c>
      <c r="RL13" s="141">
        <f>IFERROR(VLOOKUP($D13,'Adient Assende (Belgium) WK.17'!$B:QH,RM$1,0),0)</f>
        <v>40</v>
      </c>
      <c r="RM13" s="140">
        <f>IFERROR(VLOOKUP($D13,'Adient Arendal (Malzia) WK.12'!$B:QI,RM$1,0),0)</f>
        <v>0</v>
      </c>
      <c r="RN13" s="140">
        <f>IFERROR(VLOOKUP($D13,'Adient Taizhou (China) WK.16'!$B:QL,RM$1,0),0)</f>
        <v>0</v>
      </c>
      <c r="RO13" s="128">
        <v>0</v>
      </c>
      <c r="RP13" s="32">
        <v>0</v>
      </c>
      <c r="RQ13" s="100">
        <f t="shared" si="287"/>
        <v>-480</v>
      </c>
      <c r="RS13" s="37">
        <f t="shared" si="220"/>
        <v>-480</v>
      </c>
      <c r="RT13" s="141">
        <f>IFERROR(VLOOKUP($D13,'Adient Assende (Belgium) WK.17'!$B:QP,RU$1,0),0)</f>
        <v>40</v>
      </c>
      <c r="RU13" s="140">
        <f>IFERROR(VLOOKUP($D13,'Adient Arendal (Malzia) WK.12'!$B:QQ,RU$1,0),0)</f>
        <v>0</v>
      </c>
      <c r="RV13" s="140">
        <f>IFERROR(VLOOKUP($D13,'Adient Taizhou (China) WK.16'!$B:QT,RU$1,0),0)</f>
        <v>0</v>
      </c>
      <c r="RW13" s="128">
        <v>0</v>
      </c>
      <c r="RX13" s="32">
        <v>0</v>
      </c>
      <c r="RY13" s="100">
        <f t="shared" si="288"/>
        <v>-520</v>
      </c>
      <c r="SA13" s="37">
        <f t="shared" si="221"/>
        <v>-520</v>
      </c>
      <c r="SB13" s="141">
        <f>IFERROR(VLOOKUP($D13,'Adient Assende (Belgium) WK.17'!$B:QX,SC$1,0),0)</f>
        <v>40</v>
      </c>
      <c r="SC13" s="140">
        <f>IFERROR(VLOOKUP($D13,'Adient Arendal (Malzia) WK.12'!$B:QY,SC$1,0),0)</f>
        <v>0</v>
      </c>
      <c r="SD13" s="140">
        <f>IFERROR(VLOOKUP($D13,'Adient Taizhou (China) WK.16'!$B:RB,SC$1,0),0)</f>
        <v>0</v>
      </c>
      <c r="SE13" s="128">
        <v>0</v>
      </c>
      <c r="SF13" s="32">
        <v>0</v>
      </c>
      <c r="SG13" s="100">
        <f t="shared" si="289"/>
        <v>-560</v>
      </c>
      <c r="SI13" s="37">
        <f t="shared" si="222"/>
        <v>-560</v>
      </c>
      <c r="SJ13" s="141">
        <f>IFERROR(VLOOKUP($D13,'Adient Assende (Belgium) WK.17'!$B:RF,SK$1,0),0)</f>
        <v>40</v>
      </c>
      <c r="SK13" s="140">
        <f>IFERROR(VLOOKUP($D13,'Adient Arendal (Malzia) WK.12'!$B:RG,SK$1,0),0)</f>
        <v>0</v>
      </c>
      <c r="SL13" s="140">
        <f>IFERROR(VLOOKUP($D13,'Adient Taizhou (China) WK.16'!$B:RJ,SK$1,0),0)</f>
        <v>0</v>
      </c>
      <c r="SM13" s="128">
        <v>0</v>
      </c>
      <c r="SN13" s="32">
        <v>0</v>
      </c>
      <c r="SO13" s="100">
        <f t="shared" si="290"/>
        <v>-600</v>
      </c>
      <c r="SQ13" s="37">
        <f t="shared" si="223"/>
        <v>-600</v>
      </c>
      <c r="SR13" s="141">
        <f>IFERROR(VLOOKUP($D13,'Adient Assende (Belgium) WK.17'!$B:RN,SS$1,0),0)</f>
        <v>40</v>
      </c>
      <c r="SS13" s="140">
        <f>IFERROR(VLOOKUP($D13,'Adient Arendal (Malzia) WK.12'!$B:RO,SS$1,0),0)</f>
        <v>0</v>
      </c>
      <c r="ST13" s="140">
        <f>IFERROR(VLOOKUP($D13,'Adient Taizhou (China) WK.16'!$B:RR,SS$1,0),0)</f>
        <v>0</v>
      </c>
      <c r="SU13" s="128">
        <v>0</v>
      </c>
      <c r="SV13" s="32">
        <v>0</v>
      </c>
      <c r="SW13" s="100">
        <f t="shared" si="291"/>
        <v>-640</v>
      </c>
      <c r="SY13" s="37">
        <f t="shared" si="224"/>
        <v>-640</v>
      </c>
      <c r="SZ13" s="141">
        <f>IFERROR(VLOOKUP($D13,'Adient Assende (Belgium) WK.17'!$B:RV,TA$1,0),0)</f>
        <v>40</v>
      </c>
      <c r="TA13" s="140">
        <f>IFERROR(VLOOKUP($D13,'Adient Arendal (Malzia) WK.12'!$B:RW,TA$1,0),0)</f>
        <v>0</v>
      </c>
      <c r="TB13" s="140">
        <f>IFERROR(VLOOKUP($D13,'Adient Taizhou (China) WK.16'!$B:RZ,TA$1,0),0)</f>
        <v>0</v>
      </c>
      <c r="TC13" s="128">
        <v>0</v>
      </c>
      <c r="TD13" s="32">
        <v>0</v>
      </c>
      <c r="TE13" s="100">
        <f t="shared" si="292"/>
        <v>-680</v>
      </c>
      <c r="TG13" s="37">
        <f t="shared" si="225"/>
        <v>-680</v>
      </c>
      <c r="TH13" s="141">
        <f>IFERROR(VLOOKUP($D13,'Adient Assende (Belgium) WK.17'!$B:SD,TI$1,0),0)</f>
        <v>0</v>
      </c>
      <c r="TI13" s="140">
        <f>IFERROR(VLOOKUP($D13,'Adient Arendal (Malzia) WK.12'!$B:SE,TI$1,0),0)</f>
        <v>0</v>
      </c>
      <c r="TJ13" s="140">
        <f>IFERROR(VLOOKUP($D13,'Adient Taizhou (China) WK.16'!$B:SH,TI$1,0),0)</f>
        <v>0</v>
      </c>
      <c r="TK13" s="128">
        <v>0</v>
      </c>
      <c r="TL13" s="32">
        <v>0</v>
      </c>
      <c r="TM13" s="100">
        <f t="shared" si="293"/>
        <v>-680</v>
      </c>
      <c r="TO13" s="37">
        <f t="shared" si="226"/>
        <v>-680</v>
      </c>
      <c r="TP13" s="141">
        <f>IFERROR(VLOOKUP($D13,'Adient Assende (Belgium) WK.17'!$B:SL,TQ$1,0),0)</f>
        <v>0</v>
      </c>
      <c r="TQ13" s="140">
        <f>IFERROR(VLOOKUP($D13,'Adient Arendal (Malzia) WK.12'!$B:SM,TQ$1,0),0)</f>
        <v>0</v>
      </c>
      <c r="TR13" s="140">
        <f>IFERROR(VLOOKUP($D13,'Adient Taizhou (China) WK.16'!$B:SP,TQ$1,0),0)</f>
        <v>0</v>
      </c>
      <c r="TS13" s="128">
        <v>0</v>
      </c>
      <c r="TT13" s="32">
        <v>0</v>
      </c>
      <c r="TU13" s="100">
        <f t="shared" si="294"/>
        <v>-680</v>
      </c>
      <c r="TW13" s="37">
        <f t="shared" si="227"/>
        <v>-680</v>
      </c>
      <c r="TX13" s="141">
        <f>IFERROR(VLOOKUP($D13,'Adient Assende (Belgium) WK.17'!$B:ST,TY$1,0),0)</f>
        <v>0</v>
      </c>
      <c r="TY13" s="140">
        <f>IFERROR(VLOOKUP($D13,'Adient Arendal (Malzia) WK.12'!$B:SU,TY$1,0),0)</f>
        <v>0</v>
      </c>
      <c r="TZ13" s="140">
        <f>IFERROR(VLOOKUP($D13,'Adient Taizhou (China) WK.16'!$B:SX,TY$1,0),0)</f>
        <v>0</v>
      </c>
      <c r="UA13" s="128">
        <v>0</v>
      </c>
      <c r="UB13" s="32">
        <v>0</v>
      </c>
      <c r="UC13" s="100">
        <f t="shared" si="295"/>
        <v>-680</v>
      </c>
      <c r="UE13" s="37">
        <f t="shared" si="228"/>
        <v>-680</v>
      </c>
      <c r="UF13" s="141">
        <f>IFERROR(VLOOKUP($D13,'Adient Assende (Belgium) WK.17'!$B:TB,UG$1,0),0)</f>
        <v>0</v>
      </c>
      <c r="UG13" s="140">
        <f>IFERROR(VLOOKUP($D13,'Adient Arendal (Malzia) WK.12'!$B:TC,UG$1,0),0)</f>
        <v>0</v>
      </c>
      <c r="UH13" s="140">
        <f>IFERROR(VLOOKUP($D13,'Adient Taizhou (China) WK.16'!$B:TF,UG$1,0),0)</f>
        <v>0</v>
      </c>
      <c r="UI13" s="128">
        <v>0</v>
      </c>
      <c r="UJ13" s="32">
        <v>0</v>
      </c>
      <c r="UK13" s="100">
        <f t="shared" si="296"/>
        <v>-680</v>
      </c>
      <c r="UM13" s="37">
        <f t="shared" si="229"/>
        <v>-680</v>
      </c>
      <c r="UN13" s="141">
        <f>IFERROR(VLOOKUP($D13,'Adient Assende (Belgium) WK.17'!$B:TJ,UO$1,0),0)</f>
        <v>0</v>
      </c>
      <c r="UO13" s="140">
        <f>IFERROR(VLOOKUP($D13,'Adient Arendal (Malzia) WK.12'!$B:TK,UO$1,0),0)</f>
        <v>0</v>
      </c>
      <c r="UP13" s="140">
        <f>IFERROR(VLOOKUP($D13,'Adient Taizhou (China) WK.16'!$B:TN,UO$1,0),0)</f>
        <v>0</v>
      </c>
      <c r="UQ13" s="128">
        <v>0</v>
      </c>
      <c r="UR13" s="32">
        <v>0</v>
      </c>
      <c r="US13" s="100">
        <f t="shared" si="297"/>
        <v>-680</v>
      </c>
      <c r="UU13" s="37">
        <f t="shared" si="230"/>
        <v>-680</v>
      </c>
      <c r="UV13" s="141">
        <f>IFERROR(VLOOKUP($D13,'Adient Assende (Belgium) WK.17'!$B:TR,UW$1,0),0)</f>
        <v>80</v>
      </c>
      <c r="UW13" s="140">
        <f>IFERROR(VLOOKUP($D13,'Adient Arendal (Malzia) WK.12'!$B:TS,UW$1,0),0)</f>
        <v>0</v>
      </c>
      <c r="UX13" s="140">
        <f>IFERROR(VLOOKUP($D13,'Adient Taizhou (China) WK.16'!$B:TV,UW$1,0),0)</f>
        <v>0</v>
      </c>
      <c r="UY13" s="128">
        <v>0</v>
      </c>
      <c r="UZ13" s="32">
        <v>0</v>
      </c>
      <c r="VA13" s="100">
        <f t="shared" si="298"/>
        <v>-760</v>
      </c>
      <c r="VC13" s="37">
        <f t="shared" si="231"/>
        <v>-760</v>
      </c>
      <c r="VD13" s="141">
        <f>IFERROR(VLOOKUP($D13,'Adient Assende (Belgium) WK.17'!$B:TZ,VE$1,0),0)</f>
        <v>80</v>
      </c>
      <c r="VE13" s="140">
        <f>IFERROR(VLOOKUP($D13,'Adient Arendal (Malzia) WK.12'!$B:UA,VE$1,0),0)</f>
        <v>0</v>
      </c>
      <c r="VF13" s="140">
        <f>IFERROR(VLOOKUP($D13,'Adient Taizhou (China) WK.16'!$B:UD,VE$1,0),0)</f>
        <v>0</v>
      </c>
      <c r="VG13" s="128">
        <v>0</v>
      </c>
      <c r="VH13" s="32">
        <v>0</v>
      </c>
      <c r="VI13" s="100">
        <f t="shared" si="299"/>
        <v>-840</v>
      </c>
      <c r="VK13" s="37">
        <f t="shared" si="232"/>
        <v>-840</v>
      </c>
      <c r="VL13" s="141">
        <f>IFERROR(VLOOKUP($D13,'Adient Assende (Belgium) WK.17'!$B:UH,VM$1,0),0)</f>
        <v>0</v>
      </c>
      <c r="VM13" s="140">
        <f>IFERROR(VLOOKUP($D13,'Adient Arendal (Malzia) WK.12'!$B:UI,VM$1,0),0)</f>
        <v>0</v>
      </c>
      <c r="VN13" s="140">
        <f>IFERROR(VLOOKUP($D13,'Adient Taizhou (China) WK.16'!$B:UL,VM$1,0),0)</f>
        <v>0</v>
      </c>
      <c r="VO13" s="128">
        <v>0</v>
      </c>
      <c r="VP13" s="32">
        <v>0</v>
      </c>
      <c r="VQ13" s="100">
        <f t="shared" si="300"/>
        <v>-840</v>
      </c>
    </row>
    <row r="14" spans="1:589" x14ac:dyDescent="0.25">
      <c r="A14" s="10" t="s">
        <v>18</v>
      </c>
      <c r="B14" s="11" t="s">
        <v>19</v>
      </c>
      <c r="C14" s="87">
        <v>32288788</v>
      </c>
      <c r="D14" s="81">
        <v>5073061</v>
      </c>
      <c r="E14" s="11">
        <v>40</v>
      </c>
      <c r="F14" s="12"/>
      <c r="H14" s="122">
        <v>0</v>
      </c>
      <c r="I14" s="125">
        <f>IFERROR(VLOOKUP($D14,'Adient Assende (Belgium) WK.17'!$B:C,J$1,0),0)</f>
        <v>0</v>
      </c>
      <c r="J14" s="55">
        <f>IFERROR(VLOOKUP($D14,'Adient Arendal (Malzia) WK.12'!$B:C,J$1,0),0)</f>
        <v>0</v>
      </c>
      <c r="K14" s="55">
        <f>IFERROR(VLOOKUP($D14,'Adient Taizhou (China) WK.16'!$B:C,J$1,0),0)</f>
        <v>0</v>
      </c>
      <c r="L14" s="128">
        <v>0</v>
      </c>
      <c r="M14" s="32">
        <v>0</v>
      </c>
      <c r="N14" s="106">
        <f t="shared" si="233"/>
        <v>0</v>
      </c>
      <c r="P14" s="37">
        <f t="shared" si="234"/>
        <v>0</v>
      </c>
      <c r="Q14" s="125">
        <f>IFERROR(VLOOKUP($D14,'Adient Assende (Belgium) WK.17'!$B:K,R$1,0),0)</f>
        <v>0</v>
      </c>
      <c r="R14" s="55">
        <f>IFERROR(VLOOKUP($D14,'Adient Arendal (Malzia) WK.12'!$B:K,R$1,0),0)</f>
        <v>0</v>
      </c>
      <c r="S14" s="55">
        <f>IFERROR(VLOOKUP($D14,'Adient Taizhou (China) WK.16'!$B:K,R$1,0),0)</f>
        <v>0</v>
      </c>
      <c r="T14" s="41">
        <v>0</v>
      </c>
      <c r="U14" s="32">
        <v>0</v>
      </c>
      <c r="V14" s="106">
        <f t="shared" si="235"/>
        <v>0</v>
      </c>
      <c r="X14" s="37">
        <f t="shared" si="236"/>
        <v>0</v>
      </c>
      <c r="Y14" s="125">
        <f>IFERROR(VLOOKUP($D14,'Adient Assende (Belgium) WK.17'!$B:S,Z$1,0),0)</f>
        <v>0</v>
      </c>
      <c r="Z14" s="55">
        <f>IFERROR(VLOOKUP($D14,'Adient Arendal (Malzia) WK.12'!$B:S,Z$1,0),0)</f>
        <v>0</v>
      </c>
      <c r="AA14" s="55">
        <f>IFERROR(VLOOKUP($D14,'Adient Taizhou (China) WK.16'!$B:S,Z$1,0),0)</f>
        <v>0</v>
      </c>
      <c r="AB14" s="41">
        <v>0</v>
      </c>
      <c r="AC14" s="32">
        <v>0</v>
      </c>
      <c r="AD14" s="106">
        <f t="shared" si="237"/>
        <v>0</v>
      </c>
      <c r="AF14" s="37">
        <f t="shared" si="238"/>
        <v>0</v>
      </c>
      <c r="AG14" s="125">
        <f>IFERROR(VLOOKUP($D14,'Adient Assende (Belgium) WK.17'!$B:AA,AH$1,0),0)</f>
        <v>0</v>
      </c>
      <c r="AH14" s="55">
        <f>IFERROR(VLOOKUP($D14,'Adient Arendal (Malzia) WK.12'!$B:AA,AH$1,0),0)</f>
        <v>0</v>
      </c>
      <c r="AI14" s="55">
        <f>IFERROR(VLOOKUP($D14,'Adient Taizhou (China) WK.16'!$B:AA,AH$1,0),0)</f>
        <v>0</v>
      </c>
      <c r="AJ14" s="41">
        <v>0</v>
      </c>
      <c r="AK14" s="32">
        <v>0</v>
      </c>
      <c r="AL14" s="106">
        <f t="shared" si="239"/>
        <v>0</v>
      </c>
      <c r="AN14" s="37">
        <f t="shared" si="164"/>
        <v>0</v>
      </c>
      <c r="AO14" s="125">
        <f>IFERROR(VLOOKUP($D14,'Adient Assende (Belgium) WK.17'!$B:AI,AP$1,0),0)</f>
        <v>0</v>
      </c>
      <c r="AP14" s="55">
        <f>IFERROR(VLOOKUP($D14,'Adient Arendal (Malzia) WK.12'!$B:AI,AP$1,0),0)</f>
        <v>0</v>
      </c>
      <c r="AQ14" s="55">
        <f>IFERROR(VLOOKUP($D14,'Adient Taizhou (China) WK.16'!$B:AI,AP$1,0),0)</f>
        <v>0</v>
      </c>
      <c r="AR14" s="60">
        <v>0</v>
      </c>
      <c r="AS14" s="41">
        <v>0</v>
      </c>
      <c r="AT14" s="32">
        <v>0</v>
      </c>
      <c r="AU14" s="106">
        <f t="shared" si="240"/>
        <v>0</v>
      </c>
      <c r="AW14" s="37">
        <f t="shared" si="165"/>
        <v>0</v>
      </c>
      <c r="AX14" s="125">
        <f>IFERROR(VLOOKUP($D14,'Adient Assende (Belgium) WK.17'!$B:AR,AY$1,0),0)</f>
        <v>0</v>
      </c>
      <c r="AY14" s="55">
        <f>IFERROR(VLOOKUP($D14,'Adient Arendal (Malzia) WK.12'!$B:AR,AY$1,0),0)</f>
        <v>0</v>
      </c>
      <c r="AZ14" s="55">
        <f>IFERROR(VLOOKUP($D14,'Adient Taizhou (China) WK.16'!$B:AU,AY$1,0),0)</f>
        <v>0</v>
      </c>
      <c r="BA14" s="41">
        <v>0</v>
      </c>
      <c r="BB14" s="32">
        <v>0</v>
      </c>
      <c r="BC14" s="106">
        <f t="shared" si="241"/>
        <v>0</v>
      </c>
      <c r="BE14" s="37">
        <f t="shared" si="166"/>
        <v>0</v>
      </c>
      <c r="BF14" s="125">
        <f>IFERROR(VLOOKUP($D14,'Adient Assende (Belgium) WK.17'!$B:AX,BG$1,0),0)</f>
        <v>0</v>
      </c>
      <c r="BG14" s="55">
        <f>IFERROR(VLOOKUP($D14,'Adient Arendal (Malzia) WK.12'!$B:AZ,BG$1,0),0)</f>
        <v>0</v>
      </c>
      <c r="BH14" s="55">
        <f>IFERROR(VLOOKUP($D14,'Adient Taizhou (China) WK.16'!$B:BB,BG$1,0),0)</f>
        <v>0</v>
      </c>
      <c r="BI14" s="60">
        <v>0</v>
      </c>
      <c r="BJ14" s="60">
        <v>160</v>
      </c>
      <c r="BK14" s="41">
        <v>0</v>
      </c>
      <c r="BL14" s="32">
        <v>0</v>
      </c>
      <c r="BM14" s="106">
        <f t="shared" si="242"/>
        <v>160</v>
      </c>
      <c r="BN14" s="8"/>
      <c r="BO14" s="37">
        <f t="shared" si="167"/>
        <v>160</v>
      </c>
      <c r="BP14" s="125">
        <f>IFERROR(VLOOKUP($D14,'Adient Assende (Belgium) WK.17'!$B:BH,BQ$1,0),0)</f>
        <v>0</v>
      </c>
      <c r="BQ14" s="55">
        <f>IFERROR(VLOOKUP($D14,'Adient Arendal (Malzia) WK.12'!$B:BI,BQ$1,0),0)</f>
        <v>0</v>
      </c>
      <c r="BR14" s="55">
        <f>IFERROR(VLOOKUP($D14,'Adient Taizhou (China) WK.16'!$B:BL,BQ$1,0),0)</f>
        <v>0</v>
      </c>
      <c r="BS14" s="60">
        <v>40</v>
      </c>
      <c r="BT14" s="60">
        <v>0</v>
      </c>
      <c r="BU14" s="60">
        <v>0</v>
      </c>
      <c r="BV14" s="41">
        <v>160</v>
      </c>
      <c r="BW14" s="32">
        <v>0</v>
      </c>
      <c r="BX14" s="106">
        <f t="shared" si="243"/>
        <v>40</v>
      </c>
      <c r="BY14" s="8"/>
      <c r="BZ14" s="37">
        <f t="shared" si="168"/>
        <v>40</v>
      </c>
      <c r="CA14" s="125">
        <f>IFERROR(VLOOKUP($D14,'Adient Assende (Belgium) WK.17'!$B:BS,CB$1,0),0)</f>
        <v>160</v>
      </c>
      <c r="CB14" s="55">
        <f>IFERROR(VLOOKUP($D14,'Adient Arendal (Malzia) WK.12'!$B:BT,CB$1,0),0)</f>
        <v>0</v>
      </c>
      <c r="CC14" s="55">
        <f>IFERROR(VLOOKUP($D14,'Adient Taizhou (China) WK.16'!$B:BW,CB$1,0),0)</f>
        <v>0</v>
      </c>
      <c r="CD14" s="60">
        <v>0</v>
      </c>
      <c r="CE14" s="60">
        <v>0</v>
      </c>
      <c r="CF14" s="41">
        <v>0</v>
      </c>
      <c r="CG14" s="32">
        <v>0</v>
      </c>
      <c r="CH14" s="106">
        <f t="shared" si="244"/>
        <v>40</v>
      </c>
      <c r="CI14" s="8"/>
      <c r="CJ14" s="37">
        <f t="shared" si="169"/>
        <v>40</v>
      </c>
      <c r="CK14" s="125">
        <f>IFERROR(VLOOKUP($D14,'Adient Assende (Belgium) WK.17'!$B:CC,CL$1,0),0)</f>
        <v>0</v>
      </c>
      <c r="CL14" s="55">
        <f>IFERROR(VLOOKUP($D14,'Adient Arendal (Malzia) WK.12'!$B:CD,CL$1,0),0)</f>
        <v>0</v>
      </c>
      <c r="CM14" s="55">
        <f>IFERROR(VLOOKUP($D14,'Adient Taizhou (China) WK.16'!$B:CG,CL$1,0),0)</f>
        <v>0</v>
      </c>
      <c r="CN14" s="60">
        <v>80</v>
      </c>
      <c r="CO14" s="149">
        <v>0</v>
      </c>
      <c r="CP14" s="32">
        <v>0</v>
      </c>
      <c r="CQ14" s="106">
        <f t="shared" si="245"/>
        <v>120</v>
      </c>
      <c r="CR14" s="8"/>
      <c r="CS14" s="122">
        <f t="shared" si="170"/>
        <v>120</v>
      </c>
      <c r="CT14" s="154">
        <f>IFERROR(VLOOKUP($D14,'Adient Assende (Belgium) WK.17'!$B:CL,CU$1,0),0)</f>
        <v>0</v>
      </c>
      <c r="CU14" s="55">
        <f>IFERROR(VLOOKUP($D14,'Adient Arendal (Malzia) WK.12'!$B:CM,CU$1,0),0)</f>
        <v>0</v>
      </c>
      <c r="CV14" s="55">
        <f>IFERROR(VLOOKUP($D14,'Adient Taizhou (China) WK.16'!$B:CP,CU$1,0),0)</f>
        <v>0</v>
      </c>
      <c r="CW14" s="60">
        <v>0</v>
      </c>
      <c r="CX14" s="60">
        <v>0</v>
      </c>
      <c r="CY14" s="128">
        <v>0</v>
      </c>
      <c r="CZ14" s="32">
        <v>0</v>
      </c>
      <c r="DA14" s="106">
        <f t="shared" si="246"/>
        <v>120</v>
      </c>
      <c r="DB14" s="8"/>
      <c r="DC14" s="37">
        <f t="shared" si="171"/>
        <v>120</v>
      </c>
      <c r="DD14" s="125">
        <f>IFERROR(VLOOKUP($D14,'Adient Assende (Belgium) WK.17'!$B:CS,DE$1,0),0)</f>
        <v>0</v>
      </c>
      <c r="DE14" s="55">
        <f>IFERROR(VLOOKUP($D14,'Adient Arendal (Malzia) WK.12'!$B:CU,DE$1,0),0)</f>
        <v>0</v>
      </c>
      <c r="DF14" s="55">
        <f>IFERROR(VLOOKUP($D14,'Adient Taizhou (China) WK.16'!$B:CX,DE$1,0),0)</f>
        <v>0</v>
      </c>
      <c r="DG14" s="60">
        <v>0</v>
      </c>
      <c r="DH14" s="128">
        <v>0</v>
      </c>
      <c r="DI14" s="32">
        <v>0</v>
      </c>
      <c r="DJ14" s="106">
        <f t="shared" si="247"/>
        <v>120</v>
      </c>
      <c r="DL14" s="37">
        <f t="shared" si="172"/>
        <v>120</v>
      </c>
      <c r="DM14" s="125">
        <f>IFERROR(VLOOKUP($D14,'Adient Assende (Belgium) WK.17'!$B:DB,DN$1,0),0)</f>
        <v>0</v>
      </c>
      <c r="DN14" s="55">
        <f>IFERROR(VLOOKUP($D14,'Adient Arendal (Malzia) WK.12'!$B:DC,DN$1,0),0)</f>
        <v>0</v>
      </c>
      <c r="DO14" s="55">
        <f>IFERROR(VLOOKUP($D14,'Adient Taizhou (China) WK.16'!$B:DF,DN$1,0),0)</f>
        <v>0</v>
      </c>
      <c r="DP14" s="128">
        <v>0</v>
      </c>
      <c r="DQ14" s="32">
        <v>0</v>
      </c>
      <c r="DR14" s="106">
        <f t="shared" si="173"/>
        <v>120</v>
      </c>
      <c r="DS14" s="8"/>
      <c r="DT14" s="37">
        <f t="shared" si="174"/>
        <v>120</v>
      </c>
      <c r="DU14" s="125">
        <f>IFERROR(VLOOKUP($D14,'Adient Assende (Belgium) WK.17'!$B:DJ,DV$1,0),0)</f>
        <v>0</v>
      </c>
      <c r="DV14" s="55">
        <f>IFERROR(VLOOKUP($D14,'Adient Arendal (Malzia) WK.12'!$B:DK,DV$1,0),0)</f>
        <v>0</v>
      </c>
      <c r="DW14" s="55">
        <f>IFERROR(VLOOKUP($D14,'Adient Taizhou (China) WK.16'!$B:DN,DV$1,0),0)</f>
        <v>0</v>
      </c>
      <c r="DX14" s="60">
        <v>0</v>
      </c>
      <c r="DY14" s="60">
        <v>0</v>
      </c>
      <c r="DZ14" s="128">
        <v>0</v>
      </c>
      <c r="EA14" s="32">
        <v>0</v>
      </c>
      <c r="EB14" s="106">
        <f t="shared" si="248"/>
        <v>120</v>
      </c>
      <c r="EC14" s="8"/>
      <c r="ED14" s="37">
        <f t="shared" si="175"/>
        <v>120</v>
      </c>
      <c r="EE14" s="125">
        <f>IFERROR(VLOOKUP($D14,'Adient Assende (Belgium) WK.17'!$B:DR,EF$1,0),0)</f>
        <v>0</v>
      </c>
      <c r="EF14" s="55">
        <f>IFERROR(VLOOKUP($D14,'Adient Arendal (Malzia) WK.12'!$B:DS,EF$1,0),0)</f>
        <v>0</v>
      </c>
      <c r="EG14" s="55">
        <f>IFERROR(VLOOKUP($D14,'Adient Taizhou (China) WK.16'!$B:DV,EF$1,0),0)</f>
        <v>0</v>
      </c>
      <c r="EH14" s="60">
        <v>0</v>
      </c>
      <c r="EI14" s="128">
        <v>0</v>
      </c>
      <c r="EJ14" s="32">
        <v>0</v>
      </c>
      <c r="EK14" s="106">
        <f t="shared" si="249"/>
        <v>120</v>
      </c>
      <c r="EM14" s="37">
        <f t="shared" si="176"/>
        <v>120</v>
      </c>
      <c r="EN14" s="125">
        <f>IFERROR(VLOOKUP($D14,'Adient Assende (Belgium) WK.17'!$B:DZ,EO$1,0),0)</f>
        <v>0</v>
      </c>
      <c r="EO14" s="55">
        <f>IFERROR(VLOOKUP($D14,'Adient Arendal (Malzia) WK.12'!$B:EA,EO$1,0),0)</f>
        <v>0</v>
      </c>
      <c r="EP14" s="55">
        <f>IFERROR(VLOOKUP($D14,'Adient Taizhou (China) WK.16'!$B:ED,EO$1,0),0)</f>
        <v>0</v>
      </c>
      <c r="EQ14" s="128">
        <v>0</v>
      </c>
      <c r="ER14" s="32">
        <v>0</v>
      </c>
      <c r="ES14" s="106">
        <f t="shared" si="250"/>
        <v>120</v>
      </c>
      <c r="EU14" s="37">
        <f t="shared" si="177"/>
        <v>120</v>
      </c>
      <c r="EV14" s="125">
        <f>IFERROR(VLOOKUP($D14,'Adient Assende (Belgium) WK.17'!$B:EH,EW$1,0),0)</f>
        <v>0</v>
      </c>
      <c r="EW14" s="55">
        <f>IFERROR(VLOOKUP($D14,'Adient Arendal (Malzia) WK.12'!$B:EI,EW$1,0),0)</f>
        <v>0</v>
      </c>
      <c r="EX14" s="55">
        <f>IFERROR(VLOOKUP($D14,'Adient Taizhou (China) WK.16'!$B:EL,EW$1,0),0)</f>
        <v>0</v>
      </c>
      <c r="EY14" s="128">
        <v>0</v>
      </c>
      <c r="EZ14" s="32">
        <v>0</v>
      </c>
      <c r="FA14" s="106">
        <f t="shared" si="251"/>
        <v>120</v>
      </c>
      <c r="FC14" s="37">
        <f t="shared" si="178"/>
        <v>120</v>
      </c>
      <c r="FD14" s="154">
        <f>IFERROR(VLOOKUP($D14,'Adient Assende (Belgium) WK.17'!$B:EP,FE$1,0),0)</f>
        <v>0</v>
      </c>
      <c r="FE14" s="154">
        <f>IFERROR(VLOOKUP($D14,'Adient Arendal (Malzia) WK.12'!$B:EQ,FE$1,0),0)</f>
        <v>0</v>
      </c>
      <c r="FF14" s="154">
        <f>IFERROR(VLOOKUP($D14,'Adient Taizhou (China) WK.16'!$B:ET,FE$1,0),0)</f>
        <v>0</v>
      </c>
      <c r="FG14" s="128">
        <v>0</v>
      </c>
      <c r="FH14" s="32">
        <v>0</v>
      </c>
      <c r="FI14" s="106">
        <f t="shared" si="252"/>
        <v>120</v>
      </c>
      <c r="FK14" s="37">
        <f t="shared" si="179"/>
        <v>120</v>
      </c>
      <c r="FL14" s="125">
        <f>IFERROR(VLOOKUP($D14,'Adient Assende (Belgium) WK.17'!$B:EX,FM$1,0),0)</f>
        <v>0</v>
      </c>
      <c r="FM14" s="55">
        <f>IFERROR(VLOOKUP($D14,'Adient Arendal (Malzia) WK.12'!$B:EY,FM$1,0),0)</f>
        <v>0</v>
      </c>
      <c r="FN14" s="55">
        <f>IFERROR(VLOOKUP($D14,'Adient Taizhou (China) WK.16'!$B:FB,FM$1,0),0)</f>
        <v>0</v>
      </c>
      <c r="FO14" s="128">
        <v>0</v>
      </c>
      <c r="FP14" s="32">
        <v>0</v>
      </c>
      <c r="FQ14" s="106">
        <f t="shared" si="253"/>
        <v>120</v>
      </c>
      <c r="FR14" s="8"/>
      <c r="FS14" s="37">
        <f t="shared" si="180"/>
        <v>120</v>
      </c>
      <c r="FT14" s="125">
        <f>IFERROR(VLOOKUP($D14,'Adient Assende (Belgium) WK.17'!$B:FF,FU$1,0),0)</f>
        <v>0</v>
      </c>
      <c r="FU14" s="55">
        <f>IFERROR(VLOOKUP($D14,'Adient Arendal (Malzia) WK.12'!$B:FG,FU$1,0),0)</f>
        <v>0</v>
      </c>
      <c r="FV14" s="55">
        <f>IFERROR(VLOOKUP($D14,'Adient Taizhou (China) WK.16'!$B:FJ,FU$1,0),0)</f>
        <v>0</v>
      </c>
      <c r="FW14" s="60">
        <v>0</v>
      </c>
      <c r="FX14" s="60">
        <v>0</v>
      </c>
      <c r="FY14" s="60">
        <v>0</v>
      </c>
      <c r="FZ14" s="60">
        <v>0</v>
      </c>
      <c r="GA14" s="60">
        <v>0</v>
      </c>
      <c r="GB14" s="128">
        <v>0</v>
      </c>
      <c r="GC14" s="32">
        <v>0</v>
      </c>
      <c r="GD14" s="106">
        <f t="shared" si="254"/>
        <v>120</v>
      </c>
      <c r="GF14" s="37">
        <f t="shared" si="181"/>
        <v>120</v>
      </c>
      <c r="GG14" s="125">
        <f>IFERROR(VLOOKUP($D14,'Adient Assende (Belgium) WK.17'!$B:FN,GH$1,0),0)</f>
        <v>0</v>
      </c>
      <c r="GH14" s="55">
        <f>IFERROR(VLOOKUP($D14,'Adient Arendal (Malzia) WK.12'!$B:FO,GH$1,0),0)</f>
        <v>0</v>
      </c>
      <c r="GI14" s="55">
        <f>IFERROR(VLOOKUP($D14,'Adient Taizhou (China) WK.16'!$B:FR,GH$1,0),0)</f>
        <v>0</v>
      </c>
      <c r="GJ14" s="60">
        <v>0</v>
      </c>
      <c r="GK14" s="128">
        <v>0</v>
      </c>
      <c r="GL14" s="32">
        <v>0</v>
      </c>
      <c r="GM14" s="106">
        <f t="shared" si="255"/>
        <v>120</v>
      </c>
      <c r="GO14" s="37">
        <f t="shared" si="182"/>
        <v>120</v>
      </c>
      <c r="GP14" s="125">
        <f>IFERROR(VLOOKUP($D14,'Adient Assende (Belgium) WK.17'!$B:FV,GQ$1,0),0)</f>
        <v>0</v>
      </c>
      <c r="GQ14" s="55">
        <f>IFERROR(VLOOKUP($D14,'Adient Arendal (Malzia) WK.12'!$B:FW,GQ$1,0),0)</f>
        <v>0</v>
      </c>
      <c r="GR14" s="55">
        <f>IFERROR(VLOOKUP($D14,'Adient Taizhou (China) WK.16'!$B:FZ,GQ$1,0),0)</f>
        <v>0</v>
      </c>
      <c r="GS14" s="60">
        <v>0</v>
      </c>
      <c r="GT14" s="128">
        <v>0</v>
      </c>
      <c r="GU14" s="32">
        <v>0</v>
      </c>
      <c r="GV14" s="106">
        <f t="shared" si="256"/>
        <v>120</v>
      </c>
      <c r="GW14" s="8"/>
      <c r="GX14" s="37">
        <f t="shared" si="183"/>
        <v>120</v>
      </c>
      <c r="GY14" s="125">
        <f>IFERROR(VLOOKUP($D14,'Adient Assende (Belgium) WK.17'!$B:GD,GZ$1,0),0)</f>
        <v>0</v>
      </c>
      <c r="GZ14" s="55">
        <f>IFERROR(VLOOKUP($D14,'Adient Arendal (Malzia) WK.12'!$B:GE,GZ$1,0),0)</f>
        <v>0</v>
      </c>
      <c r="HA14" s="55">
        <f>IFERROR(VLOOKUP($D14,'Adient Taizhou (China) WK.16'!$B:GH,GZ$1,0),0)</f>
        <v>0</v>
      </c>
      <c r="HB14" s="60">
        <v>0</v>
      </c>
      <c r="HC14" s="128">
        <v>0</v>
      </c>
      <c r="HD14" s="32">
        <v>0</v>
      </c>
      <c r="HE14" s="106">
        <f t="shared" si="257"/>
        <v>120</v>
      </c>
      <c r="HF14" s="8"/>
      <c r="HG14" s="37">
        <f t="shared" si="184"/>
        <v>120</v>
      </c>
      <c r="HH14" s="125">
        <f>IFERROR(VLOOKUP($D14,'Adient Assende (Belgium) WK.17'!$B:GL,HI$1,0),0)</f>
        <v>0</v>
      </c>
      <c r="HI14" s="55">
        <f>IFERROR(VLOOKUP($D14,'Adient Arendal (Malzia) WK.12'!$B:GM,HI$1,0),0)</f>
        <v>0</v>
      </c>
      <c r="HJ14" s="55">
        <f>IFERROR(VLOOKUP($D14,'Adient Taizhou (China) WK.16'!$B:GP,HI$1,0),0)</f>
        <v>0</v>
      </c>
      <c r="HK14" s="60">
        <v>0</v>
      </c>
      <c r="HL14" s="128">
        <v>0</v>
      </c>
      <c r="HM14" s="32">
        <v>0</v>
      </c>
      <c r="HN14" s="106">
        <f t="shared" si="258"/>
        <v>120</v>
      </c>
      <c r="HO14" s="8"/>
      <c r="HP14" s="37">
        <f t="shared" si="185"/>
        <v>120</v>
      </c>
      <c r="HQ14" s="125">
        <f>IFERROR(VLOOKUP($D14,'Adient Assende (Belgium) WK.17'!$B:GT,HR$1,0),0)</f>
        <v>0</v>
      </c>
      <c r="HR14" s="55">
        <f>IFERROR(VLOOKUP($D14,'Adient Arendal (Malzia) WK.12'!$B:GU,HR$1,0),0)</f>
        <v>0</v>
      </c>
      <c r="HS14" s="55">
        <f>IFERROR(VLOOKUP($D14,'Adient Taizhou (China) WK.16'!$B:GX,HR$1,0),0)</f>
        <v>0</v>
      </c>
      <c r="HT14" s="60">
        <v>0</v>
      </c>
      <c r="HU14" s="128">
        <v>0</v>
      </c>
      <c r="HV14" s="32">
        <v>0</v>
      </c>
      <c r="HW14" s="106">
        <f t="shared" si="259"/>
        <v>120</v>
      </c>
      <c r="HX14" s="8"/>
      <c r="HY14" s="37">
        <f t="shared" si="186"/>
        <v>120</v>
      </c>
      <c r="HZ14" s="125">
        <f>IFERROR(VLOOKUP($D14,'Adient Assende (Belgium) WK.17'!$B:HB,IA$1,0),0)</f>
        <v>0</v>
      </c>
      <c r="IA14" s="55">
        <f>IFERROR(VLOOKUP($D14,'Adient Arendal (Malzia) WK.12'!$B:HC,IA$1,0),0)</f>
        <v>0</v>
      </c>
      <c r="IB14" s="55">
        <f>IFERROR(VLOOKUP($D14,'Adient Taizhou (China) WK.16'!$B:HF,IA$1,0),0)</f>
        <v>0</v>
      </c>
      <c r="IC14" s="60">
        <v>0</v>
      </c>
      <c r="ID14" s="128">
        <v>0</v>
      </c>
      <c r="IE14" s="32">
        <v>0</v>
      </c>
      <c r="IF14" s="106">
        <f t="shared" si="260"/>
        <v>120</v>
      </c>
      <c r="IG14" s="8"/>
      <c r="IH14" s="37">
        <f t="shared" si="187"/>
        <v>120</v>
      </c>
      <c r="II14" s="125">
        <f>IFERROR(VLOOKUP($D14,'Adient Assende (Belgium) WK.17'!$B:HJ,IJ$1,0),0)</f>
        <v>0</v>
      </c>
      <c r="IJ14" s="55">
        <f>IFERROR(VLOOKUP($D14,'Adient Arendal (Malzia) WK.12'!$B:HK,IJ$1,0),0)</f>
        <v>0</v>
      </c>
      <c r="IK14" s="55">
        <f>IFERROR(VLOOKUP($D14,'Adient Taizhou (China) WK.16'!$B:HN,IJ$1,0),0)</f>
        <v>0</v>
      </c>
      <c r="IL14" s="128">
        <v>0</v>
      </c>
      <c r="IM14" s="32">
        <v>0</v>
      </c>
      <c r="IN14" s="106">
        <f t="shared" si="188"/>
        <v>120</v>
      </c>
      <c r="IO14" s="8"/>
      <c r="IP14" s="37">
        <f t="shared" si="189"/>
        <v>120</v>
      </c>
      <c r="IQ14" s="125">
        <f>IFERROR(VLOOKUP($D14,'Adient Assende (Belgium) WK.17'!$B:HR,IR$1,0),0)</f>
        <v>0</v>
      </c>
      <c r="IR14" s="55">
        <f>IFERROR(VLOOKUP($D14,'Adient Arendal (Malzia) WK.12'!$B:HS,IR$1,0),0)</f>
        <v>0</v>
      </c>
      <c r="IS14" s="55">
        <f>IFERROR(VLOOKUP($D14,'Adient Taizhou (China) WK.16'!$B:HV,IR$1,0),0)</f>
        <v>0</v>
      </c>
      <c r="IT14" s="60">
        <v>0</v>
      </c>
      <c r="IU14" s="128">
        <v>0</v>
      </c>
      <c r="IV14" s="32">
        <v>0</v>
      </c>
      <c r="IW14" s="106">
        <f t="shared" si="261"/>
        <v>120</v>
      </c>
      <c r="IX14" s="8"/>
      <c r="IY14" s="37">
        <f t="shared" si="190"/>
        <v>120</v>
      </c>
      <c r="IZ14" s="125">
        <f>IFERROR(VLOOKUP($D14,'Adient Assende (Belgium) WK.17'!$B:HZ,JA$1,0),0)</f>
        <v>0</v>
      </c>
      <c r="JA14" s="55">
        <f>IFERROR(VLOOKUP($D14,'Adient Arendal (Malzia) WK.12'!$B:IA,JA$1,0),0)</f>
        <v>0</v>
      </c>
      <c r="JB14" s="55">
        <f>IFERROR(VLOOKUP($D14,'Adient Taizhou (China) WK.16'!$B:ID,JA$1,0),0)</f>
        <v>0</v>
      </c>
      <c r="JC14" s="128">
        <v>0</v>
      </c>
      <c r="JD14" s="32">
        <v>0</v>
      </c>
      <c r="JE14" s="106">
        <f t="shared" si="191"/>
        <v>120</v>
      </c>
      <c r="JF14" s="8"/>
      <c r="JG14" s="37">
        <f t="shared" si="192"/>
        <v>120</v>
      </c>
      <c r="JH14" s="125">
        <f>IFERROR(VLOOKUP($D14,'Adient Assende (Belgium) WK.17'!$B:IH,JI$1,0),0)</f>
        <v>0</v>
      </c>
      <c r="JI14" s="55">
        <f>IFERROR(VLOOKUP($D14,'Adient Arendal (Malzia) WK.12'!$B:II,JI$1,0),0)</f>
        <v>0</v>
      </c>
      <c r="JJ14" s="55">
        <f>IFERROR(VLOOKUP($D14,'Adient Taizhou (China) WK.16'!$B:IL,JI$1,0),0)</f>
        <v>0</v>
      </c>
      <c r="JK14" s="60">
        <v>0</v>
      </c>
      <c r="JL14" s="128">
        <v>0</v>
      </c>
      <c r="JM14" s="32">
        <v>0</v>
      </c>
      <c r="JN14" s="106">
        <f t="shared" si="262"/>
        <v>120</v>
      </c>
      <c r="JO14" s="8"/>
      <c r="JP14" s="37">
        <f t="shared" si="193"/>
        <v>120</v>
      </c>
      <c r="JQ14" s="125">
        <f>IFERROR(VLOOKUP($D14,'Adient Assende (Belgium) WK.17'!$B:IP,JR$1,0),0)</f>
        <v>0</v>
      </c>
      <c r="JR14" s="55">
        <f>IFERROR(VLOOKUP($D14,'Adient Arendal (Malzia) WK.12'!$B:IQ,JR$1,0),0)</f>
        <v>0</v>
      </c>
      <c r="JS14" s="55">
        <f>IFERROR(VLOOKUP($D14,'Adient Taizhou (China) WK.16'!$B:IT,JR$1,0),0)</f>
        <v>0</v>
      </c>
      <c r="JT14" s="128">
        <v>0</v>
      </c>
      <c r="JU14" s="32">
        <v>0</v>
      </c>
      <c r="JV14" s="106">
        <f t="shared" si="194"/>
        <v>120</v>
      </c>
      <c r="JW14" s="8"/>
      <c r="JX14" s="37">
        <f t="shared" si="195"/>
        <v>120</v>
      </c>
      <c r="JY14" s="154">
        <f>IFERROR(VLOOKUP($D14,'Adient Assende (Belgium) WK.17'!$B:IX,JZ$1,0),0)</f>
        <v>0</v>
      </c>
      <c r="JZ14" s="55">
        <f>IFERROR(VLOOKUP($D14,'Adient Arendal (Malzia) WK.12'!$B:IY,JZ$1,0),0)</f>
        <v>0</v>
      </c>
      <c r="KA14" s="55">
        <f>IFERROR(VLOOKUP($D14,'Adient Taizhou (China) WK.16'!$B:JB,JZ$1,0),0)</f>
        <v>0</v>
      </c>
      <c r="KB14" s="128">
        <v>0</v>
      </c>
      <c r="KC14" s="32">
        <v>0</v>
      </c>
      <c r="KD14" s="106">
        <f t="shared" si="263"/>
        <v>120</v>
      </c>
      <c r="KE14" s="8"/>
      <c r="KF14" s="37">
        <f t="shared" si="196"/>
        <v>120</v>
      </c>
      <c r="KG14" s="125">
        <f>IFERROR(VLOOKUP($D14,'Adient Assende (Belgium) WK.17'!$B:JF,KH$1,0),0)</f>
        <v>0</v>
      </c>
      <c r="KH14" s="55">
        <f>IFERROR(VLOOKUP($D14,'Adient Arendal (Malzia) WK.12'!$B:JG,KH$1,0),0)</f>
        <v>0</v>
      </c>
      <c r="KI14" s="55">
        <f>IFERROR(VLOOKUP($D14,'Adient Taizhou (China) WK.16'!$B:JJ,KH$1,0),0)</f>
        <v>0</v>
      </c>
      <c r="KJ14" s="60">
        <v>0</v>
      </c>
      <c r="KK14" s="128">
        <v>0</v>
      </c>
      <c r="KL14" s="32">
        <v>0</v>
      </c>
      <c r="KM14" s="106">
        <f t="shared" si="264"/>
        <v>120</v>
      </c>
      <c r="KN14" s="8"/>
      <c r="KO14" s="37">
        <f t="shared" si="197"/>
        <v>120</v>
      </c>
      <c r="KP14" s="141">
        <f>IFERROR(VLOOKUP($D14,'Adient Assende (Belgium) WK.17'!$B:JN,KQ$1,0),0)</f>
        <v>0</v>
      </c>
      <c r="KQ14" s="140">
        <f>IFERROR(VLOOKUP($D14,'Adient Arendal (Malzia) WK.12'!$B:JO,KQ$1,0),0)</f>
        <v>0</v>
      </c>
      <c r="KR14" s="140">
        <f>IFERROR(VLOOKUP($D14,'Adient Taizhou (China) WK.16'!$B:JR,KQ$1,0),0)</f>
        <v>0</v>
      </c>
      <c r="KS14" s="60">
        <v>0</v>
      </c>
      <c r="KT14" s="128">
        <v>0</v>
      </c>
      <c r="KU14" s="32">
        <v>0</v>
      </c>
      <c r="KV14" s="106">
        <f t="shared" si="265"/>
        <v>120</v>
      </c>
      <c r="KX14" s="37">
        <f t="shared" si="198"/>
        <v>120</v>
      </c>
      <c r="KY14" s="141">
        <f>IFERROR(VLOOKUP($D14,'Adient Assende (Belgium) WK.17'!$B:JV,KZ$1,0),0)</f>
        <v>0</v>
      </c>
      <c r="KZ14" s="140">
        <f>IFERROR(VLOOKUP($D14,'Adient Arendal (Malzia) WK.12'!$B:JW,KZ$1,0),0)</f>
        <v>0</v>
      </c>
      <c r="LA14" s="140">
        <f>IFERROR(VLOOKUP($D14,'Adient Taizhou (China) WK.16'!$B:JZ,KZ$1,0),0)</f>
        <v>0</v>
      </c>
      <c r="LB14" s="128">
        <v>0</v>
      </c>
      <c r="LC14" s="32">
        <v>0</v>
      </c>
      <c r="LD14" s="106">
        <f t="shared" si="266"/>
        <v>120</v>
      </c>
      <c r="LF14" s="37">
        <f t="shared" si="199"/>
        <v>120</v>
      </c>
      <c r="LG14" s="141">
        <f>IFERROR(VLOOKUP($D14,'Adient Assende (Belgium) WK.17'!$B:KD,LH$1,0),0)</f>
        <v>0</v>
      </c>
      <c r="LH14" s="140">
        <f>IFERROR(VLOOKUP($D14,'Adient Arendal (Malzia) WK.12'!$B:KE,LH$1,0),0)</f>
        <v>0</v>
      </c>
      <c r="LI14" s="140">
        <f>IFERROR(VLOOKUP($D14,'Adient Taizhou (China) WK.16'!$B:KH,LH$1,0),0)</f>
        <v>0</v>
      </c>
      <c r="LJ14" s="60">
        <v>0</v>
      </c>
      <c r="LK14" s="128">
        <v>0</v>
      </c>
      <c r="LL14" s="32">
        <v>0</v>
      </c>
      <c r="LM14" s="100">
        <f t="shared" si="267"/>
        <v>120</v>
      </c>
      <c r="LO14" s="37">
        <f t="shared" si="200"/>
        <v>120</v>
      </c>
      <c r="LP14" s="141">
        <f>IFERROR(VLOOKUP($D14,'Adient Assende (Belgium) WK.17'!$B:KL,LQ$1,0),0)</f>
        <v>0</v>
      </c>
      <c r="LQ14" s="140">
        <f>IFERROR(VLOOKUP($D14,'Adient Arendal (Malzia) WK.12'!$B:KM,LQ$1,0),0)</f>
        <v>0</v>
      </c>
      <c r="LR14" s="140">
        <f>IFERROR(VLOOKUP($D14,'Adient Taizhou (China) WK.16'!$B:KP,LQ$1,0),0)</f>
        <v>0</v>
      </c>
      <c r="LS14" s="128">
        <v>0</v>
      </c>
      <c r="LT14" s="32">
        <v>0</v>
      </c>
      <c r="LU14" s="100">
        <f t="shared" si="268"/>
        <v>120</v>
      </c>
      <c r="LW14" s="37">
        <f t="shared" si="201"/>
        <v>120</v>
      </c>
      <c r="LX14" s="141">
        <f>IFERROR(VLOOKUP($D14,'Adient Assende (Belgium) WK.17'!$B:KT,LY$1,0),0)</f>
        <v>0</v>
      </c>
      <c r="LY14" s="140">
        <f>IFERROR(VLOOKUP($D14,'Adient Arendal (Malzia) WK.12'!$B:KU,LY$1,0),0)</f>
        <v>0</v>
      </c>
      <c r="LZ14" s="140">
        <f>IFERROR(VLOOKUP($D14,'Adient Taizhou (China) WK.16'!$B:KX,LY$1,0),0)</f>
        <v>0</v>
      </c>
      <c r="MA14" s="128">
        <v>0</v>
      </c>
      <c r="MB14" s="32">
        <v>0</v>
      </c>
      <c r="MC14" s="100">
        <f t="shared" si="269"/>
        <v>120</v>
      </c>
      <c r="ME14" s="37">
        <f t="shared" si="202"/>
        <v>120</v>
      </c>
      <c r="MF14" s="154">
        <f>IFERROR(VLOOKUP($D14,'Adient Assende (Belgium) WK.17'!$B:LB,MG$1,0),0)</f>
        <v>0</v>
      </c>
      <c r="MG14" s="140">
        <f>IFERROR(VLOOKUP($D14,'Adient Arendal (Malzia) WK.12'!$B:LC,MG$1,0),0)</f>
        <v>0</v>
      </c>
      <c r="MH14" s="140">
        <f>IFERROR(VLOOKUP($D14,'Adient Taizhou (China) WK.16'!$B:LF,MG$1,0),0)</f>
        <v>0</v>
      </c>
      <c r="MI14" s="128">
        <v>0</v>
      </c>
      <c r="MJ14" s="32">
        <v>0</v>
      </c>
      <c r="MK14" s="100">
        <f t="shared" si="270"/>
        <v>120</v>
      </c>
      <c r="MM14" s="37">
        <f t="shared" si="203"/>
        <v>120</v>
      </c>
      <c r="MN14" s="141">
        <f>IFERROR(VLOOKUP($D14,'Adient Assende (Belgium) WK.17'!$B:LJ,MO$1,0),0)</f>
        <v>0</v>
      </c>
      <c r="MO14" s="140">
        <f>IFERROR(VLOOKUP($D14,'Adient Arendal (Malzia) WK.12'!$B:LK,MO$1,0),0)</f>
        <v>0</v>
      </c>
      <c r="MP14" s="140">
        <f>IFERROR(VLOOKUP($D14,'Adient Taizhou (China) WK.16'!$B:LN,MO$1,0),0)</f>
        <v>0</v>
      </c>
      <c r="MQ14" s="128">
        <v>0</v>
      </c>
      <c r="MR14" s="32">
        <v>0</v>
      </c>
      <c r="MS14" s="100">
        <f t="shared" si="271"/>
        <v>120</v>
      </c>
      <c r="MU14" s="37">
        <f t="shared" si="204"/>
        <v>120</v>
      </c>
      <c r="MV14" s="141">
        <f>IFERROR(VLOOKUP($D14,'Adient Assende (Belgium) WK.17'!$B:LR,MW$1,0),0)</f>
        <v>0</v>
      </c>
      <c r="MW14" s="140">
        <f>IFERROR(VLOOKUP($D14,'Adient Arendal (Malzia) WK.12'!$B:LS,MW$1,0),0)</f>
        <v>0</v>
      </c>
      <c r="MX14" s="140">
        <f>IFERROR(VLOOKUP($D14,'Adient Taizhou (China) WK.16'!$B:LV,MW$1,0),0)</f>
        <v>0</v>
      </c>
      <c r="MY14" s="128">
        <v>0</v>
      </c>
      <c r="MZ14" s="32">
        <v>0</v>
      </c>
      <c r="NA14" s="100">
        <f t="shared" si="272"/>
        <v>120</v>
      </c>
      <c r="NC14" s="37">
        <f t="shared" si="205"/>
        <v>120</v>
      </c>
      <c r="ND14" s="141">
        <f>IFERROR(VLOOKUP($D14,'Adient Assende (Belgium) WK.17'!$B:LZ,NE$1,0),0)</f>
        <v>0</v>
      </c>
      <c r="NE14" s="140">
        <f>IFERROR(VLOOKUP($D14,'Adient Arendal (Malzia) WK.12'!$B:MA,NE$1,0),0)</f>
        <v>0</v>
      </c>
      <c r="NF14" s="140">
        <f>IFERROR(VLOOKUP($D14,'Adient Taizhou (China) WK.16'!$B:MD,NE$1,0),0)</f>
        <v>0</v>
      </c>
      <c r="NG14" s="128">
        <v>0</v>
      </c>
      <c r="NH14" s="32">
        <v>0</v>
      </c>
      <c r="NI14" s="100">
        <f t="shared" si="273"/>
        <v>120</v>
      </c>
      <c r="NK14" s="37">
        <f t="shared" si="206"/>
        <v>120</v>
      </c>
      <c r="NL14" s="141">
        <f>IFERROR(VLOOKUP($D14,'Adient Assende (Belgium) WK.17'!$B:MH,NM$1,0),0)</f>
        <v>0</v>
      </c>
      <c r="NM14" s="140">
        <f>IFERROR(VLOOKUP($D14,'Adient Arendal (Malzia) WK.12'!$B:MI,NM$1,0),0)</f>
        <v>0</v>
      </c>
      <c r="NN14" s="140">
        <f>IFERROR(VLOOKUP($D14,'Adient Taizhou (China) WK.16'!$B:ML,NM$1,0),0)</f>
        <v>0</v>
      </c>
      <c r="NO14" s="128">
        <v>0</v>
      </c>
      <c r="NP14" s="32">
        <v>0</v>
      </c>
      <c r="NQ14" s="100">
        <f t="shared" si="274"/>
        <v>120</v>
      </c>
      <c r="NS14" s="37">
        <f t="shared" si="207"/>
        <v>120</v>
      </c>
      <c r="NT14" s="141">
        <f>IFERROR(VLOOKUP($D14,'Adient Assende (Belgium) WK.17'!$B:MP,NU$1,0),0)</f>
        <v>0</v>
      </c>
      <c r="NU14" s="140">
        <f>IFERROR(VLOOKUP($D14,'Adient Arendal (Malzia) WK.12'!$B:MQ,NU$1,0),0)</f>
        <v>0</v>
      </c>
      <c r="NV14" s="140">
        <f>IFERROR(VLOOKUP($D14,'Adient Taizhou (China) WK.16'!$B:MT,NU$1,0),0)</f>
        <v>0</v>
      </c>
      <c r="NW14" s="128">
        <v>0</v>
      </c>
      <c r="NX14" s="32">
        <v>0</v>
      </c>
      <c r="NY14" s="100">
        <f t="shared" si="275"/>
        <v>120</v>
      </c>
      <c r="OA14" s="37">
        <f t="shared" si="208"/>
        <v>120</v>
      </c>
      <c r="OB14" s="141">
        <f>IFERROR(VLOOKUP($D14,'Adient Assende (Belgium) WK.17'!$B:MX,OC$1,0),0)</f>
        <v>0</v>
      </c>
      <c r="OC14" s="140">
        <f>IFERROR(VLOOKUP($D14,'Adient Arendal (Malzia) WK.12'!$B:MY,OC$1,0),0)</f>
        <v>0</v>
      </c>
      <c r="OD14" s="140">
        <f>IFERROR(VLOOKUP($D14,'Adient Taizhou (China) WK.16'!$B:NB,OC$1,0),0)</f>
        <v>0</v>
      </c>
      <c r="OE14" s="128">
        <v>0</v>
      </c>
      <c r="OF14" s="32">
        <v>0</v>
      </c>
      <c r="OG14" s="100">
        <f t="shared" si="276"/>
        <v>120</v>
      </c>
      <c r="OI14" s="37">
        <f t="shared" si="209"/>
        <v>120</v>
      </c>
      <c r="OJ14" s="141">
        <f>IFERROR(VLOOKUP($D14,'Adient Assende (Belgium) WK.17'!$B:NF,OK$1,0),0)</f>
        <v>0</v>
      </c>
      <c r="OK14" s="140">
        <f>IFERROR(VLOOKUP($D14,'Adient Arendal (Malzia) WK.12'!$B:NG,OK$1,0),0)</f>
        <v>0</v>
      </c>
      <c r="OL14" s="140">
        <f>IFERROR(VLOOKUP($D14,'Adient Taizhou (China) WK.16'!$B:NJ,OK$1,0),0)</f>
        <v>0</v>
      </c>
      <c r="OM14" s="128">
        <v>0</v>
      </c>
      <c r="ON14" s="32">
        <v>0</v>
      </c>
      <c r="OO14" s="100">
        <f t="shared" si="277"/>
        <v>120</v>
      </c>
      <c r="OQ14" s="37">
        <f t="shared" si="210"/>
        <v>120</v>
      </c>
      <c r="OR14" s="141">
        <f>IFERROR(VLOOKUP($D14,'Adient Assende (Belgium) WK.17'!$B:NN,OS$1,0),0)</f>
        <v>0</v>
      </c>
      <c r="OS14" s="140">
        <f>IFERROR(VLOOKUP($D14,'Adient Arendal (Malzia) WK.12'!$B:NO,OS$1,0),0)</f>
        <v>0</v>
      </c>
      <c r="OT14" s="140">
        <f>IFERROR(VLOOKUP($D14,'Adient Taizhou (China) WK.16'!$B:NR,OS$1,0),0)</f>
        <v>0</v>
      </c>
      <c r="OU14" s="128">
        <v>0</v>
      </c>
      <c r="OV14" s="32">
        <v>0</v>
      </c>
      <c r="OW14" s="100">
        <f t="shared" si="278"/>
        <v>120</v>
      </c>
      <c r="OY14" s="37">
        <f t="shared" si="211"/>
        <v>120</v>
      </c>
      <c r="OZ14" s="141">
        <f>IFERROR(VLOOKUP($D14,'Adient Assende (Belgium) WK.17'!$B:NV,PA$1,0),0)</f>
        <v>0</v>
      </c>
      <c r="PA14" s="140">
        <f>IFERROR(VLOOKUP($D14,'Adient Arendal (Malzia) WK.12'!$B:NW,PA$1,0),0)</f>
        <v>0</v>
      </c>
      <c r="PB14" s="140">
        <f>IFERROR(VLOOKUP($D14,'Adient Taizhou (China) WK.16'!$B:NZ,PA$1,0),0)</f>
        <v>0</v>
      </c>
      <c r="PC14" s="128">
        <v>0</v>
      </c>
      <c r="PD14" s="32">
        <v>0</v>
      </c>
      <c r="PE14" s="100">
        <f t="shared" si="279"/>
        <v>120</v>
      </c>
      <c r="PG14" s="37">
        <f t="shared" si="212"/>
        <v>120</v>
      </c>
      <c r="PH14" s="141">
        <f>IFERROR(VLOOKUP($D14,'Adient Assende (Belgium) WK.17'!$B:OD,PI$1,0),0)</f>
        <v>0</v>
      </c>
      <c r="PI14" s="140">
        <f>IFERROR(VLOOKUP($D14,'Adient Arendal (Malzia) WK.12'!$B:OE,PI$1,0),0)</f>
        <v>0</v>
      </c>
      <c r="PJ14" s="140">
        <f>IFERROR(VLOOKUP($D14,'Adient Taizhou (China) WK.16'!$B:OH,PI$1,0),0)</f>
        <v>0</v>
      </c>
      <c r="PK14" s="128">
        <v>0</v>
      </c>
      <c r="PL14" s="32">
        <v>0</v>
      </c>
      <c r="PM14" s="100">
        <f t="shared" si="280"/>
        <v>120</v>
      </c>
      <c r="PO14" s="37">
        <f t="shared" si="213"/>
        <v>120</v>
      </c>
      <c r="PP14" s="141">
        <f>IFERROR(VLOOKUP($D14,'Adient Assende (Belgium) WK.17'!$B:OL,PQ$1,0),0)</f>
        <v>0</v>
      </c>
      <c r="PQ14" s="140">
        <f>IFERROR(VLOOKUP($D14,'Adient Arendal (Malzia) WK.12'!$B:OM,PQ$1,0),0)</f>
        <v>0</v>
      </c>
      <c r="PR14" s="140">
        <f>IFERROR(VLOOKUP($D14,'Adient Taizhou (China) WK.16'!$B:OP,PQ$1,0),0)</f>
        <v>0</v>
      </c>
      <c r="PS14" s="128">
        <v>0</v>
      </c>
      <c r="PT14" s="32">
        <v>0</v>
      </c>
      <c r="PU14" s="100">
        <f t="shared" si="281"/>
        <v>120</v>
      </c>
      <c r="PW14" s="37">
        <f t="shared" si="214"/>
        <v>120</v>
      </c>
      <c r="PX14" s="141">
        <f>IFERROR(VLOOKUP($D14,'Adient Assende (Belgium) WK.17'!$B:OT,PY$1,0),0)</f>
        <v>0</v>
      </c>
      <c r="PY14" s="140">
        <f>IFERROR(VLOOKUP($D14,'Adient Arendal (Malzia) WK.12'!$B:OU,PY$1,0),0)</f>
        <v>0</v>
      </c>
      <c r="PZ14" s="140">
        <f>IFERROR(VLOOKUP($D14,'Adient Taizhou (China) WK.16'!$B:OX,PY$1,0),0)</f>
        <v>0</v>
      </c>
      <c r="QA14" s="128">
        <v>0</v>
      </c>
      <c r="QB14" s="32">
        <v>0</v>
      </c>
      <c r="QC14" s="100">
        <f t="shared" si="282"/>
        <v>120</v>
      </c>
      <c r="QE14" s="37">
        <f t="shared" si="215"/>
        <v>120</v>
      </c>
      <c r="QF14" s="141">
        <f>IFERROR(VLOOKUP($D14,'Adient Assende (Belgium) WK.17'!$B:PB,QG$1,0),0)</f>
        <v>160</v>
      </c>
      <c r="QG14" s="140">
        <f>IFERROR(VLOOKUP($D14,'Adient Arendal (Malzia) WK.12'!$B:PC,QG$1,0),0)</f>
        <v>0</v>
      </c>
      <c r="QH14" s="140">
        <f>IFERROR(VLOOKUP($D14,'Adient Taizhou (China) WK.16'!$B:PF,QG$1,0),0)</f>
        <v>0</v>
      </c>
      <c r="QI14" s="128">
        <v>0</v>
      </c>
      <c r="QJ14" s="32">
        <v>0</v>
      </c>
      <c r="QK14" s="100">
        <f t="shared" si="283"/>
        <v>-40</v>
      </c>
      <c r="QM14" s="37">
        <f t="shared" si="216"/>
        <v>-40</v>
      </c>
      <c r="QN14" s="141">
        <f>IFERROR(VLOOKUP($D14,'Adient Assende (Belgium) WK.17'!$B:PJ,QO$1,0),0)</f>
        <v>0</v>
      </c>
      <c r="QO14" s="140">
        <f>IFERROR(VLOOKUP($D14,'Adient Arendal (Malzia) WK.12'!$B:PK,QO$1,0),0)</f>
        <v>0</v>
      </c>
      <c r="QP14" s="140">
        <f>IFERROR(VLOOKUP($D14,'Adient Taizhou (China) WK.16'!$B:PN,QO$1,0),0)</f>
        <v>0</v>
      </c>
      <c r="QQ14" s="128">
        <v>0</v>
      </c>
      <c r="QR14" s="32">
        <v>0</v>
      </c>
      <c r="QS14" s="100">
        <f t="shared" si="284"/>
        <v>-40</v>
      </c>
      <c r="QU14" s="37">
        <f t="shared" si="217"/>
        <v>-40</v>
      </c>
      <c r="QV14" s="141">
        <f>IFERROR(VLOOKUP($D14,'Adient Assende (Belgium) WK.17'!$B:PR,QW$1,0),0)</f>
        <v>0</v>
      </c>
      <c r="QW14" s="140">
        <f>IFERROR(VLOOKUP($D14,'Adient Arendal (Malzia) WK.12'!$B:PS,QW$1,0),0)</f>
        <v>0</v>
      </c>
      <c r="QX14" s="140">
        <f>IFERROR(VLOOKUP($D14,'Adient Taizhou (China) WK.16'!$B:PV,QW$1,0),0)</f>
        <v>0</v>
      </c>
      <c r="QY14" s="128">
        <v>0</v>
      </c>
      <c r="QZ14" s="32">
        <v>0</v>
      </c>
      <c r="RA14" s="100">
        <f t="shared" si="285"/>
        <v>-40</v>
      </c>
      <c r="RC14" s="37">
        <f t="shared" si="218"/>
        <v>-40</v>
      </c>
      <c r="RD14" s="141">
        <f>IFERROR(VLOOKUP($D14,'Adient Assende (Belgium) WK.17'!$B:PZ,RE$1,0),0)</f>
        <v>0</v>
      </c>
      <c r="RE14" s="140">
        <f>IFERROR(VLOOKUP($D14,'Adient Arendal (Malzia) WK.12'!$B:QA,RE$1,0),0)</f>
        <v>0</v>
      </c>
      <c r="RF14" s="140">
        <f>IFERROR(VLOOKUP($D14,'Adient Taizhou (China) WK.16'!$B:QD,RE$1,0),0)</f>
        <v>0</v>
      </c>
      <c r="RG14" s="128">
        <v>0</v>
      </c>
      <c r="RH14" s="32">
        <v>0</v>
      </c>
      <c r="RI14" s="100">
        <f t="shared" si="286"/>
        <v>-40</v>
      </c>
      <c r="RK14" s="37">
        <f t="shared" si="219"/>
        <v>-40</v>
      </c>
      <c r="RL14" s="141">
        <f>IFERROR(VLOOKUP($D14,'Adient Assende (Belgium) WK.17'!$B:QH,RM$1,0),0)</f>
        <v>0</v>
      </c>
      <c r="RM14" s="140">
        <f>IFERROR(VLOOKUP($D14,'Adient Arendal (Malzia) WK.12'!$B:QI,RM$1,0),0)</f>
        <v>0</v>
      </c>
      <c r="RN14" s="140">
        <f>IFERROR(VLOOKUP($D14,'Adient Taizhou (China) WK.16'!$B:QL,RM$1,0),0)</f>
        <v>0</v>
      </c>
      <c r="RO14" s="128">
        <v>0</v>
      </c>
      <c r="RP14" s="32">
        <v>0</v>
      </c>
      <c r="RQ14" s="100">
        <f t="shared" si="287"/>
        <v>-40</v>
      </c>
      <c r="RS14" s="37">
        <f t="shared" si="220"/>
        <v>-40</v>
      </c>
      <c r="RT14" s="141">
        <f>IFERROR(VLOOKUP($D14,'Adient Assende (Belgium) WK.17'!$B:QP,RU$1,0),0)</f>
        <v>0</v>
      </c>
      <c r="RU14" s="140">
        <f>IFERROR(VLOOKUP($D14,'Adient Arendal (Malzia) WK.12'!$B:QQ,RU$1,0),0)</f>
        <v>0</v>
      </c>
      <c r="RV14" s="140">
        <f>IFERROR(VLOOKUP($D14,'Adient Taizhou (China) WK.16'!$B:QT,RU$1,0),0)</f>
        <v>0</v>
      </c>
      <c r="RW14" s="128">
        <v>0</v>
      </c>
      <c r="RX14" s="32">
        <v>0</v>
      </c>
      <c r="RY14" s="100">
        <f t="shared" si="288"/>
        <v>-40</v>
      </c>
      <c r="SA14" s="37">
        <f t="shared" si="221"/>
        <v>-40</v>
      </c>
      <c r="SB14" s="141">
        <f>IFERROR(VLOOKUP($D14,'Adient Assende (Belgium) WK.17'!$B:QX,SC$1,0),0)</f>
        <v>0</v>
      </c>
      <c r="SC14" s="140">
        <f>IFERROR(VLOOKUP($D14,'Adient Arendal (Malzia) WK.12'!$B:QY,SC$1,0),0)</f>
        <v>0</v>
      </c>
      <c r="SD14" s="140">
        <f>IFERROR(VLOOKUP($D14,'Adient Taizhou (China) WK.16'!$B:RB,SC$1,0),0)</f>
        <v>0</v>
      </c>
      <c r="SE14" s="128">
        <v>0</v>
      </c>
      <c r="SF14" s="32">
        <v>0</v>
      </c>
      <c r="SG14" s="100">
        <f t="shared" si="289"/>
        <v>-40</v>
      </c>
      <c r="SI14" s="37">
        <f t="shared" si="222"/>
        <v>-40</v>
      </c>
      <c r="SJ14" s="141">
        <f>IFERROR(VLOOKUP($D14,'Adient Assende (Belgium) WK.17'!$B:RF,SK$1,0),0)</f>
        <v>0</v>
      </c>
      <c r="SK14" s="140">
        <f>IFERROR(VLOOKUP($D14,'Adient Arendal (Malzia) WK.12'!$B:RG,SK$1,0),0)</f>
        <v>0</v>
      </c>
      <c r="SL14" s="140">
        <f>IFERROR(VLOOKUP($D14,'Adient Taizhou (China) WK.16'!$B:RJ,SK$1,0),0)</f>
        <v>0</v>
      </c>
      <c r="SM14" s="128">
        <v>0</v>
      </c>
      <c r="SN14" s="32">
        <v>0</v>
      </c>
      <c r="SO14" s="100">
        <f t="shared" si="290"/>
        <v>-40</v>
      </c>
      <c r="SQ14" s="37">
        <f t="shared" si="223"/>
        <v>-40</v>
      </c>
      <c r="SR14" s="141">
        <f>IFERROR(VLOOKUP($D14,'Adient Assende (Belgium) WK.17'!$B:RN,SS$1,0),0)</f>
        <v>0</v>
      </c>
      <c r="SS14" s="140">
        <f>IFERROR(VLOOKUP($D14,'Adient Arendal (Malzia) WK.12'!$B:RO,SS$1,0),0)</f>
        <v>0</v>
      </c>
      <c r="ST14" s="140">
        <f>IFERROR(VLOOKUP($D14,'Adient Taizhou (China) WK.16'!$B:RR,SS$1,0),0)</f>
        <v>0</v>
      </c>
      <c r="SU14" s="128">
        <v>0</v>
      </c>
      <c r="SV14" s="32">
        <v>0</v>
      </c>
      <c r="SW14" s="100">
        <f t="shared" si="291"/>
        <v>-40</v>
      </c>
      <c r="SY14" s="37">
        <f t="shared" si="224"/>
        <v>-40</v>
      </c>
      <c r="SZ14" s="141">
        <f>IFERROR(VLOOKUP($D14,'Adient Assende (Belgium) WK.17'!$B:RV,TA$1,0),0)</f>
        <v>0</v>
      </c>
      <c r="TA14" s="140">
        <f>IFERROR(VLOOKUP($D14,'Adient Arendal (Malzia) WK.12'!$B:RW,TA$1,0),0)</f>
        <v>0</v>
      </c>
      <c r="TB14" s="140">
        <f>IFERROR(VLOOKUP($D14,'Adient Taizhou (China) WK.16'!$B:RZ,TA$1,0),0)</f>
        <v>0</v>
      </c>
      <c r="TC14" s="128">
        <v>0</v>
      </c>
      <c r="TD14" s="32">
        <v>0</v>
      </c>
      <c r="TE14" s="100">
        <f t="shared" si="292"/>
        <v>-40</v>
      </c>
      <c r="TG14" s="37">
        <f t="shared" si="225"/>
        <v>-40</v>
      </c>
      <c r="TH14" s="141">
        <f>IFERROR(VLOOKUP($D14,'Adient Assende (Belgium) WK.17'!$B:SD,TI$1,0),0)</f>
        <v>0</v>
      </c>
      <c r="TI14" s="140">
        <f>IFERROR(VLOOKUP($D14,'Adient Arendal (Malzia) WK.12'!$B:SE,TI$1,0),0)</f>
        <v>0</v>
      </c>
      <c r="TJ14" s="140">
        <f>IFERROR(VLOOKUP($D14,'Adient Taizhou (China) WK.16'!$B:SH,TI$1,0),0)</f>
        <v>0</v>
      </c>
      <c r="TK14" s="128">
        <v>0</v>
      </c>
      <c r="TL14" s="32">
        <v>0</v>
      </c>
      <c r="TM14" s="100">
        <f t="shared" si="293"/>
        <v>-40</v>
      </c>
      <c r="TO14" s="37">
        <f t="shared" si="226"/>
        <v>-40</v>
      </c>
      <c r="TP14" s="141">
        <f>IFERROR(VLOOKUP($D14,'Adient Assende (Belgium) WK.17'!$B:SL,TQ$1,0),0)</f>
        <v>0</v>
      </c>
      <c r="TQ14" s="140">
        <f>IFERROR(VLOOKUP($D14,'Adient Arendal (Malzia) WK.12'!$B:SM,TQ$1,0),0)</f>
        <v>0</v>
      </c>
      <c r="TR14" s="140">
        <f>IFERROR(VLOOKUP($D14,'Adient Taizhou (China) WK.16'!$B:SP,TQ$1,0),0)</f>
        <v>0</v>
      </c>
      <c r="TS14" s="128">
        <v>0</v>
      </c>
      <c r="TT14" s="32">
        <v>0</v>
      </c>
      <c r="TU14" s="100">
        <f t="shared" si="294"/>
        <v>-40</v>
      </c>
      <c r="TW14" s="37">
        <f t="shared" si="227"/>
        <v>-40</v>
      </c>
      <c r="TX14" s="141">
        <f>IFERROR(VLOOKUP($D14,'Adient Assende (Belgium) WK.17'!$B:ST,TY$1,0),0)</f>
        <v>0</v>
      </c>
      <c r="TY14" s="140">
        <f>IFERROR(VLOOKUP($D14,'Adient Arendal (Malzia) WK.12'!$B:SU,TY$1,0),0)</f>
        <v>0</v>
      </c>
      <c r="TZ14" s="140">
        <f>IFERROR(VLOOKUP($D14,'Adient Taizhou (China) WK.16'!$B:SX,TY$1,0),0)</f>
        <v>0</v>
      </c>
      <c r="UA14" s="128">
        <v>0</v>
      </c>
      <c r="UB14" s="32">
        <v>0</v>
      </c>
      <c r="UC14" s="100">
        <f t="shared" si="295"/>
        <v>-40</v>
      </c>
      <c r="UE14" s="37">
        <f t="shared" si="228"/>
        <v>-40</v>
      </c>
      <c r="UF14" s="141">
        <f>IFERROR(VLOOKUP($D14,'Adient Assende (Belgium) WK.17'!$B:TB,UG$1,0),0)</f>
        <v>0</v>
      </c>
      <c r="UG14" s="140">
        <f>IFERROR(VLOOKUP($D14,'Adient Arendal (Malzia) WK.12'!$B:TC,UG$1,0),0)</f>
        <v>0</v>
      </c>
      <c r="UH14" s="140">
        <f>IFERROR(VLOOKUP($D14,'Adient Taizhou (China) WK.16'!$B:TF,UG$1,0),0)</f>
        <v>0</v>
      </c>
      <c r="UI14" s="128">
        <v>0</v>
      </c>
      <c r="UJ14" s="32">
        <v>0</v>
      </c>
      <c r="UK14" s="100">
        <f t="shared" si="296"/>
        <v>-40</v>
      </c>
      <c r="UM14" s="37">
        <f t="shared" si="229"/>
        <v>-40</v>
      </c>
      <c r="UN14" s="141">
        <f>IFERROR(VLOOKUP($D14,'Adient Assende (Belgium) WK.17'!$B:TJ,UO$1,0),0)</f>
        <v>0</v>
      </c>
      <c r="UO14" s="140">
        <f>IFERROR(VLOOKUP($D14,'Adient Arendal (Malzia) WK.12'!$B:TK,UO$1,0),0)</f>
        <v>0</v>
      </c>
      <c r="UP14" s="140">
        <f>IFERROR(VLOOKUP($D14,'Adient Taizhou (China) WK.16'!$B:TN,UO$1,0),0)</f>
        <v>0</v>
      </c>
      <c r="UQ14" s="128">
        <v>0</v>
      </c>
      <c r="UR14" s="32">
        <v>0</v>
      </c>
      <c r="US14" s="100">
        <f t="shared" si="297"/>
        <v>-40</v>
      </c>
      <c r="UU14" s="37">
        <f t="shared" si="230"/>
        <v>-40</v>
      </c>
      <c r="UV14" s="141">
        <f>IFERROR(VLOOKUP($D14,'Adient Assende (Belgium) WK.17'!$B:TR,UW$1,0),0)</f>
        <v>0</v>
      </c>
      <c r="UW14" s="140">
        <f>IFERROR(VLOOKUP($D14,'Adient Arendal (Malzia) WK.12'!$B:TS,UW$1,0),0)</f>
        <v>0</v>
      </c>
      <c r="UX14" s="140">
        <f>IFERROR(VLOOKUP($D14,'Adient Taizhou (China) WK.16'!$B:TV,UW$1,0),0)</f>
        <v>0</v>
      </c>
      <c r="UY14" s="128">
        <v>0</v>
      </c>
      <c r="UZ14" s="32">
        <v>0</v>
      </c>
      <c r="VA14" s="100">
        <f t="shared" si="298"/>
        <v>-40</v>
      </c>
      <c r="VC14" s="37">
        <f t="shared" si="231"/>
        <v>-40</v>
      </c>
      <c r="VD14" s="141">
        <f>IFERROR(VLOOKUP($D14,'Adient Assende (Belgium) WK.17'!$B:TZ,VE$1,0),0)</f>
        <v>0</v>
      </c>
      <c r="VE14" s="140">
        <f>IFERROR(VLOOKUP($D14,'Adient Arendal (Malzia) WK.12'!$B:UA,VE$1,0),0)</f>
        <v>0</v>
      </c>
      <c r="VF14" s="140">
        <f>IFERROR(VLOOKUP($D14,'Adient Taizhou (China) WK.16'!$B:UD,VE$1,0),0)</f>
        <v>0</v>
      </c>
      <c r="VG14" s="128">
        <v>0</v>
      </c>
      <c r="VH14" s="32">
        <v>0</v>
      </c>
      <c r="VI14" s="100">
        <f t="shared" si="299"/>
        <v>-40</v>
      </c>
      <c r="VK14" s="37">
        <f t="shared" si="232"/>
        <v>-40</v>
      </c>
      <c r="VL14" s="141">
        <f>IFERROR(VLOOKUP($D14,'Adient Assende (Belgium) WK.17'!$B:UH,VM$1,0),0)</f>
        <v>0</v>
      </c>
      <c r="VM14" s="140">
        <f>IFERROR(VLOOKUP($D14,'Adient Arendal (Malzia) WK.12'!$B:UI,VM$1,0),0)</f>
        <v>0</v>
      </c>
      <c r="VN14" s="140">
        <f>IFERROR(VLOOKUP($D14,'Adient Taizhou (China) WK.16'!$B:UL,VM$1,0),0)</f>
        <v>0</v>
      </c>
      <c r="VO14" s="128">
        <v>0</v>
      </c>
      <c r="VP14" s="32">
        <v>0</v>
      </c>
      <c r="VQ14" s="100">
        <f t="shared" si="300"/>
        <v>-40</v>
      </c>
    </row>
    <row r="15" spans="1:589" x14ac:dyDescent="0.25">
      <c r="A15" s="10" t="s">
        <v>18</v>
      </c>
      <c r="B15" s="11" t="s">
        <v>19</v>
      </c>
      <c r="C15" s="87">
        <v>32248170</v>
      </c>
      <c r="D15" s="81">
        <v>4172749</v>
      </c>
      <c r="E15" s="11">
        <v>25</v>
      </c>
      <c r="F15" s="12"/>
      <c r="H15" s="122">
        <v>1300</v>
      </c>
      <c r="I15" s="125">
        <f>IFERROR(VLOOKUP($D15,'Adient Assende (Belgium) WK.17'!$B:C,J$1,0),0)</f>
        <v>100</v>
      </c>
      <c r="J15" s="55">
        <f>IFERROR(VLOOKUP($D15,'Adient Arendal (Malzia) WK.12'!$B:C,J$1,0),0)</f>
        <v>0</v>
      </c>
      <c r="K15" s="55">
        <f>IFERROR(VLOOKUP($D15,'Adient Taizhou (China) WK.16'!$B:C,J$1,0),0)</f>
        <v>0</v>
      </c>
      <c r="L15" s="128">
        <v>200</v>
      </c>
      <c r="M15" s="32">
        <v>0</v>
      </c>
      <c r="N15" s="106">
        <f t="shared" si="233"/>
        <v>1100</v>
      </c>
      <c r="P15" s="37">
        <f t="shared" si="234"/>
        <v>1100</v>
      </c>
      <c r="Q15" s="125">
        <f>IFERROR(VLOOKUP($D15,'Adient Assende (Belgium) WK.17'!$B:K,R$1,0),0)</f>
        <v>200</v>
      </c>
      <c r="R15" s="55">
        <f>IFERROR(VLOOKUP($D15,'Adient Arendal (Malzia) WK.12'!$B:K,R$1,0),0)</f>
        <v>0</v>
      </c>
      <c r="S15" s="55">
        <f>IFERROR(VLOOKUP($D15,'Adient Taizhou (China) WK.16'!$B:K,R$1,0),0)</f>
        <v>0</v>
      </c>
      <c r="T15" s="41">
        <v>100</v>
      </c>
      <c r="U15" s="32">
        <v>0</v>
      </c>
      <c r="V15" s="106">
        <f t="shared" si="235"/>
        <v>1000</v>
      </c>
      <c r="X15" s="37">
        <f t="shared" si="236"/>
        <v>1000</v>
      </c>
      <c r="Y15" s="125">
        <f>IFERROR(VLOOKUP($D15,'Adient Assende (Belgium) WK.17'!$B:S,Z$1,0),0)</f>
        <v>100</v>
      </c>
      <c r="Z15" s="55">
        <f>IFERROR(VLOOKUP($D15,'Adient Arendal (Malzia) WK.12'!$B:S,Z$1,0),0)</f>
        <v>0</v>
      </c>
      <c r="AA15" s="55">
        <f>IFERROR(VLOOKUP($D15,'Adient Taizhou (China) WK.16'!$B:S,Z$1,0),0)</f>
        <v>0</v>
      </c>
      <c r="AB15" s="41">
        <v>100</v>
      </c>
      <c r="AC15" s="32">
        <v>0</v>
      </c>
      <c r="AD15" s="106">
        <f t="shared" si="237"/>
        <v>900</v>
      </c>
      <c r="AF15" s="37">
        <f t="shared" si="238"/>
        <v>900</v>
      </c>
      <c r="AG15" s="125">
        <f>IFERROR(VLOOKUP($D15,'Adient Assende (Belgium) WK.17'!$B:AA,AH$1,0),0)</f>
        <v>100</v>
      </c>
      <c r="AH15" s="55">
        <f>IFERROR(VLOOKUP($D15,'Adient Arendal (Malzia) WK.12'!$B:AA,AH$1,0),0)</f>
        <v>0</v>
      </c>
      <c r="AI15" s="55">
        <f>IFERROR(VLOOKUP($D15,'Adient Taizhou (China) WK.16'!$B:AA,AH$1,0),0)</f>
        <v>0</v>
      </c>
      <c r="AJ15" s="41">
        <v>200</v>
      </c>
      <c r="AK15" s="32">
        <v>0</v>
      </c>
      <c r="AL15" s="106">
        <f t="shared" si="239"/>
        <v>700</v>
      </c>
      <c r="AN15" s="37">
        <f t="shared" si="164"/>
        <v>700</v>
      </c>
      <c r="AO15" s="125">
        <f>IFERROR(VLOOKUP($D15,'Adient Assende (Belgium) WK.17'!$B:AI,AP$1,0),0)</f>
        <v>200</v>
      </c>
      <c r="AP15" s="55">
        <f>IFERROR(VLOOKUP($D15,'Adient Arendal (Malzia) WK.12'!$B:AI,AP$1,0),0)</f>
        <v>0</v>
      </c>
      <c r="AQ15" s="55">
        <f>IFERROR(VLOOKUP($D15,'Adient Taizhou (China) WK.16'!$B:AI,AP$1,0),0)</f>
        <v>0</v>
      </c>
      <c r="AR15" s="60">
        <v>0</v>
      </c>
      <c r="AS15" s="41">
        <v>100</v>
      </c>
      <c r="AT15" s="32">
        <v>0</v>
      </c>
      <c r="AU15" s="106">
        <f t="shared" si="240"/>
        <v>600</v>
      </c>
      <c r="AW15" s="37">
        <f t="shared" si="165"/>
        <v>600</v>
      </c>
      <c r="AX15" s="125">
        <f>IFERROR(VLOOKUP($D15,'Adient Assende (Belgium) WK.17'!$B:AR,AY$1,0),0)</f>
        <v>100</v>
      </c>
      <c r="AY15" s="55">
        <f>IFERROR(VLOOKUP($D15,'Adient Arendal (Malzia) WK.12'!$B:AR,AY$1,0),0)</f>
        <v>0</v>
      </c>
      <c r="AZ15" s="55">
        <f>IFERROR(VLOOKUP($D15,'Adient Taizhou (China) WK.16'!$B:AU,AY$1,0),0)</f>
        <v>0</v>
      </c>
      <c r="BA15" s="41">
        <v>0</v>
      </c>
      <c r="BB15" s="32">
        <v>0</v>
      </c>
      <c r="BC15" s="106">
        <f t="shared" si="241"/>
        <v>600</v>
      </c>
      <c r="BE15" s="37">
        <f t="shared" si="166"/>
        <v>600</v>
      </c>
      <c r="BF15" s="125">
        <f>IFERROR(VLOOKUP($D15,'Adient Assende (Belgium) WK.17'!$B:AX,BG$1,0),0)</f>
        <v>0</v>
      </c>
      <c r="BG15" s="55">
        <f>IFERROR(VLOOKUP($D15,'Adient Arendal (Malzia) WK.12'!$B:AZ,BG$1,0),0)</f>
        <v>0</v>
      </c>
      <c r="BH15" s="55">
        <f>IFERROR(VLOOKUP($D15,'Adient Taizhou (China) WK.16'!$B:BB,BG$1,0),0)</f>
        <v>0</v>
      </c>
      <c r="BI15" s="60">
        <v>0</v>
      </c>
      <c r="BJ15" s="60">
        <v>0</v>
      </c>
      <c r="BK15" s="41">
        <v>100</v>
      </c>
      <c r="BL15" s="32">
        <v>0</v>
      </c>
      <c r="BM15" s="106">
        <f t="shared" si="242"/>
        <v>500</v>
      </c>
      <c r="BN15" s="8"/>
      <c r="BO15" s="37">
        <f t="shared" si="167"/>
        <v>500</v>
      </c>
      <c r="BP15" s="125">
        <f>IFERROR(VLOOKUP($D15,'Adient Assende (Belgium) WK.17'!$B:BH,BQ$1,0),0)</f>
        <v>100</v>
      </c>
      <c r="BQ15" s="55">
        <f>IFERROR(VLOOKUP($D15,'Adient Arendal (Malzia) WK.12'!$B:BI,BQ$1,0),0)</f>
        <v>0</v>
      </c>
      <c r="BR15" s="55">
        <f>IFERROR(VLOOKUP($D15,'Adient Taizhou (China) WK.16'!$B:BL,BQ$1,0),0)</f>
        <v>0</v>
      </c>
      <c r="BS15" s="60">
        <v>25</v>
      </c>
      <c r="BT15" s="60">
        <v>175</v>
      </c>
      <c r="BU15" s="60">
        <v>0</v>
      </c>
      <c r="BV15" s="41">
        <v>200</v>
      </c>
      <c r="BW15" s="32">
        <v>0</v>
      </c>
      <c r="BX15" s="106">
        <f t="shared" si="243"/>
        <v>500</v>
      </c>
      <c r="BY15" s="8"/>
      <c r="BZ15" s="37">
        <f t="shared" si="168"/>
        <v>500</v>
      </c>
      <c r="CA15" s="125">
        <f>IFERROR(VLOOKUP($D15,'Adient Assende (Belgium) WK.17'!$B:BS,CB$1,0),0)</f>
        <v>200</v>
      </c>
      <c r="CB15" s="55">
        <f>IFERROR(VLOOKUP($D15,'Adient Arendal (Malzia) WK.12'!$B:BT,CB$1,0),0)</f>
        <v>0</v>
      </c>
      <c r="CC15" s="55">
        <f>IFERROR(VLOOKUP($D15,'Adient Taizhou (China) WK.16'!$B:BW,CB$1,0),0)</f>
        <v>0</v>
      </c>
      <c r="CD15" s="60">
        <v>0</v>
      </c>
      <c r="CE15" s="60">
        <v>0</v>
      </c>
      <c r="CF15" s="41">
        <v>100</v>
      </c>
      <c r="CG15" s="32">
        <v>0</v>
      </c>
      <c r="CH15" s="106">
        <f t="shared" si="244"/>
        <v>400</v>
      </c>
      <c r="CI15" s="8"/>
      <c r="CJ15" s="37">
        <f t="shared" si="169"/>
        <v>400</v>
      </c>
      <c r="CK15" s="125">
        <f>IFERROR(VLOOKUP($D15,'Adient Assende (Belgium) WK.17'!$B:CC,CL$1,0),0)</f>
        <v>100</v>
      </c>
      <c r="CL15" s="55">
        <f>IFERROR(VLOOKUP($D15,'Adient Arendal (Malzia) WK.12'!$B:CD,CL$1,0),0)</f>
        <v>0</v>
      </c>
      <c r="CM15" s="55">
        <f>IFERROR(VLOOKUP($D15,'Adient Taizhou (China) WK.16'!$B:CG,CL$1,0),0)</f>
        <v>0</v>
      </c>
      <c r="CN15" s="60">
        <v>200</v>
      </c>
      <c r="CO15" s="149">
        <v>0</v>
      </c>
      <c r="CP15" s="32">
        <v>0</v>
      </c>
      <c r="CQ15" s="106">
        <f t="shared" si="245"/>
        <v>600</v>
      </c>
      <c r="CR15" s="8"/>
      <c r="CS15" s="122">
        <f t="shared" si="170"/>
        <v>600</v>
      </c>
      <c r="CT15" s="154">
        <f>IFERROR(VLOOKUP($D15,'Adient Assende (Belgium) WK.17'!$B:CL,CU$1,0),0)</f>
        <v>0</v>
      </c>
      <c r="CU15" s="55">
        <f>IFERROR(VLOOKUP($D15,'Adient Arendal (Malzia) WK.12'!$B:CM,CU$1,0),0)</f>
        <v>0</v>
      </c>
      <c r="CV15" s="55">
        <f>IFERROR(VLOOKUP($D15,'Adient Taizhou (China) WK.16'!$B:CP,CU$1,0),0)</f>
        <v>0</v>
      </c>
      <c r="CW15" s="60">
        <v>0</v>
      </c>
      <c r="CX15" s="60">
        <v>125</v>
      </c>
      <c r="CY15" s="128">
        <v>100</v>
      </c>
      <c r="CZ15" s="32">
        <v>0</v>
      </c>
      <c r="DA15" s="106">
        <f t="shared" si="246"/>
        <v>625</v>
      </c>
      <c r="DB15" s="8"/>
      <c r="DC15" s="37">
        <f t="shared" si="171"/>
        <v>625</v>
      </c>
      <c r="DD15" s="125">
        <f>IFERROR(VLOOKUP($D15,'Adient Assende (Belgium) WK.17'!$B:CS,DE$1,0),0)</f>
        <v>100</v>
      </c>
      <c r="DE15" s="55">
        <f>IFERROR(VLOOKUP($D15,'Adient Arendal (Malzia) WK.12'!$B:CU,DE$1,0),0)</f>
        <v>0</v>
      </c>
      <c r="DF15" s="55">
        <f>IFERROR(VLOOKUP($D15,'Adient Taizhou (China) WK.16'!$B:CX,DE$1,0),0)</f>
        <v>0</v>
      </c>
      <c r="DG15" s="60">
        <v>200</v>
      </c>
      <c r="DH15" s="128">
        <v>100</v>
      </c>
      <c r="DI15" s="32">
        <v>0</v>
      </c>
      <c r="DJ15" s="106">
        <f t="shared" si="247"/>
        <v>725</v>
      </c>
      <c r="DL15" s="37">
        <f t="shared" si="172"/>
        <v>725</v>
      </c>
      <c r="DM15" s="125">
        <f>IFERROR(VLOOKUP($D15,'Adient Assende (Belgium) WK.17'!$B:DB,DN$1,0),0)</f>
        <v>100</v>
      </c>
      <c r="DN15" s="55">
        <f>IFERROR(VLOOKUP($D15,'Adient Arendal (Malzia) WK.12'!$B:DC,DN$1,0),0)</f>
        <v>0</v>
      </c>
      <c r="DO15" s="55">
        <f>IFERROR(VLOOKUP($D15,'Adient Taizhou (China) WK.16'!$B:DF,DN$1,0),0)</f>
        <v>0</v>
      </c>
      <c r="DP15" s="128">
        <v>100</v>
      </c>
      <c r="DQ15" s="32">
        <v>0</v>
      </c>
      <c r="DR15" s="106">
        <f t="shared" si="173"/>
        <v>625</v>
      </c>
      <c r="DS15" s="8"/>
      <c r="DT15" s="37">
        <f t="shared" si="174"/>
        <v>625</v>
      </c>
      <c r="DU15" s="125">
        <f>IFERROR(VLOOKUP($D15,'Adient Assende (Belgium) WK.17'!$B:DJ,DV$1,0),0)</f>
        <v>100</v>
      </c>
      <c r="DV15" s="55">
        <f>IFERROR(VLOOKUP($D15,'Adient Arendal (Malzia) WK.12'!$B:DK,DV$1,0),0)</f>
        <v>0</v>
      </c>
      <c r="DW15" s="55">
        <f>IFERROR(VLOOKUP($D15,'Adient Taizhou (China) WK.16'!$B:DN,DV$1,0),0)</f>
        <v>0</v>
      </c>
      <c r="DX15" s="60">
        <v>0</v>
      </c>
      <c r="DY15" s="60">
        <v>0</v>
      </c>
      <c r="DZ15" s="128">
        <v>100</v>
      </c>
      <c r="EA15" s="32">
        <v>0</v>
      </c>
      <c r="EB15" s="106">
        <f t="shared" si="248"/>
        <v>525</v>
      </c>
      <c r="EC15" s="8"/>
      <c r="ED15" s="37">
        <f t="shared" si="175"/>
        <v>525</v>
      </c>
      <c r="EE15" s="125">
        <f>IFERROR(VLOOKUP($D15,'Adient Assende (Belgium) WK.17'!$B:DR,EF$1,0),0)</f>
        <v>100</v>
      </c>
      <c r="EF15" s="55">
        <f>IFERROR(VLOOKUP($D15,'Adient Arendal (Malzia) WK.12'!$B:DS,EF$1,0),0)</f>
        <v>0</v>
      </c>
      <c r="EG15" s="55">
        <f>IFERROR(VLOOKUP($D15,'Adient Taizhou (China) WK.16'!$B:DV,EF$1,0),0)</f>
        <v>0</v>
      </c>
      <c r="EH15" s="60">
        <v>300</v>
      </c>
      <c r="EI15" s="128">
        <v>200</v>
      </c>
      <c r="EJ15" s="32">
        <v>0</v>
      </c>
      <c r="EK15" s="106">
        <f t="shared" si="249"/>
        <v>625</v>
      </c>
      <c r="EM15" s="37">
        <f t="shared" si="176"/>
        <v>625</v>
      </c>
      <c r="EN15" s="125">
        <f>IFERROR(VLOOKUP($D15,'Adient Assende (Belgium) WK.17'!$B:DZ,EO$1,0),0)</f>
        <v>200</v>
      </c>
      <c r="EO15" s="55">
        <f>IFERROR(VLOOKUP($D15,'Adient Arendal (Malzia) WK.12'!$B:EA,EO$1,0),0)</f>
        <v>0</v>
      </c>
      <c r="EP15" s="55">
        <f>IFERROR(VLOOKUP($D15,'Adient Taizhou (China) WK.16'!$B:ED,EO$1,0),0)</f>
        <v>0</v>
      </c>
      <c r="EQ15" s="128">
        <v>0</v>
      </c>
      <c r="ER15" s="32">
        <v>0</v>
      </c>
      <c r="ES15" s="106">
        <f t="shared" si="250"/>
        <v>625</v>
      </c>
      <c r="EU15" s="37">
        <f t="shared" si="177"/>
        <v>625</v>
      </c>
      <c r="EV15" s="125">
        <f>IFERROR(VLOOKUP($D15,'Adient Assende (Belgium) WK.17'!$B:EH,EW$1,0),0)</f>
        <v>0</v>
      </c>
      <c r="EW15" s="55">
        <f>IFERROR(VLOOKUP($D15,'Adient Arendal (Malzia) WK.12'!$B:EI,EW$1,0),0)</f>
        <v>0</v>
      </c>
      <c r="EX15" s="55">
        <f>IFERROR(VLOOKUP($D15,'Adient Taizhou (China) WK.16'!$B:EL,EW$1,0),0)</f>
        <v>0</v>
      </c>
      <c r="EY15" s="128">
        <v>0</v>
      </c>
      <c r="EZ15" s="32">
        <v>0</v>
      </c>
      <c r="FA15" s="106">
        <f t="shared" si="251"/>
        <v>625</v>
      </c>
      <c r="FC15" s="37">
        <f t="shared" si="178"/>
        <v>625</v>
      </c>
      <c r="FD15" s="154">
        <f>IFERROR(VLOOKUP($D15,'Adient Assende (Belgium) WK.17'!$B:EP,FE$1,0),0)</f>
        <v>0</v>
      </c>
      <c r="FE15" s="154">
        <f>IFERROR(VLOOKUP($D15,'Adient Arendal (Malzia) WK.12'!$B:EQ,FE$1,0),0)</f>
        <v>0</v>
      </c>
      <c r="FF15" s="154">
        <f>IFERROR(VLOOKUP($D15,'Adient Taizhou (China) WK.16'!$B:ET,FE$1,0),0)</f>
        <v>0</v>
      </c>
      <c r="FG15" s="128">
        <v>0</v>
      </c>
      <c r="FH15" s="32">
        <v>0</v>
      </c>
      <c r="FI15" s="106">
        <f t="shared" si="252"/>
        <v>625</v>
      </c>
      <c r="FK15" s="37">
        <f t="shared" si="179"/>
        <v>625</v>
      </c>
      <c r="FL15" s="125">
        <f>IFERROR(VLOOKUP($D15,'Adient Assende (Belgium) WK.17'!$B:EX,FM$1,0),0)</f>
        <v>0</v>
      </c>
      <c r="FM15" s="55">
        <f>IFERROR(VLOOKUP($D15,'Adient Arendal (Malzia) WK.12'!$B:EY,FM$1,0),0)</f>
        <v>0</v>
      </c>
      <c r="FN15" s="55">
        <f>IFERROR(VLOOKUP($D15,'Adient Taizhou (China) WK.16'!$B:FB,FM$1,0),0)</f>
        <v>0</v>
      </c>
      <c r="FO15" s="128">
        <v>100</v>
      </c>
      <c r="FP15" s="32">
        <v>0</v>
      </c>
      <c r="FQ15" s="106">
        <f t="shared" si="253"/>
        <v>525</v>
      </c>
      <c r="FR15" s="8"/>
      <c r="FS15" s="37">
        <f t="shared" si="180"/>
        <v>525</v>
      </c>
      <c r="FT15" s="125">
        <f>IFERROR(VLOOKUP($D15,'Adient Assende (Belgium) WK.17'!$B:FF,FU$1,0),0)</f>
        <v>100</v>
      </c>
      <c r="FU15" s="55">
        <f>IFERROR(VLOOKUP($D15,'Adient Arendal (Malzia) WK.12'!$B:FG,FU$1,0),0)</f>
        <v>0</v>
      </c>
      <c r="FV15" s="55">
        <f>IFERROR(VLOOKUP($D15,'Adient Taizhou (China) WK.16'!$B:FJ,FU$1,0),0)</f>
        <v>0</v>
      </c>
      <c r="FW15" s="60">
        <v>0</v>
      </c>
      <c r="FX15" s="60">
        <v>0</v>
      </c>
      <c r="FY15" s="60">
        <v>175</v>
      </c>
      <c r="FZ15" s="60">
        <v>225</v>
      </c>
      <c r="GA15" s="60">
        <v>0</v>
      </c>
      <c r="GB15" s="128">
        <v>100</v>
      </c>
      <c r="GC15" s="32">
        <v>0</v>
      </c>
      <c r="GD15" s="106">
        <f t="shared" si="254"/>
        <v>825</v>
      </c>
      <c r="GF15" s="37">
        <f t="shared" si="181"/>
        <v>825</v>
      </c>
      <c r="GG15" s="125">
        <f>IFERROR(VLOOKUP($D15,'Adient Assende (Belgium) WK.17'!$B:FN,GH$1,0),0)</f>
        <v>100</v>
      </c>
      <c r="GH15" s="55">
        <f>IFERROR(VLOOKUP($D15,'Adient Arendal (Malzia) WK.12'!$B:FO,GH$1,0),0)</f>
        <v>0</v>
      </c>
      <c r="GI15" s="55">
        <f>IFERROR(VLOOKUP($D15,'Adient Taizhou (China) WK.16'!$B:FR,GH$1,0),0)</f>
        <v>0</v>
      </c>
      <c r="GJ15" s="60">
        <v>200</v>
      </c>
      <c r="GK15" s="128">
        <v>100</v>
      </c>
      <c r="GL15" s="32">
        <v>0</v>
      </c>
      <c r="GM15" s="106">
        <f t="shared" si="255"/>
        <v>925</v>
      </c>
      <c r="GO15" s="37">
        <f t="shared" si="182"/>
        <v>925</v>
      </c>
      <c r="GP15" s="125">
        <f>IFERROR(VLOOKUP($D15,'Adient Assende (Belgium) WK.17'!$B:FV,GQ$1,0),0)</f>
        <v>100</v>
      </c>
      <c r="GQ15" s="55">
        <f>IFERROR(VLOOKUP($D15,'Adient Arendal (Malzia) WK.12'!$B:FW,GQ$1,0),0)</f>
        <v>0</v>
      </c>
      <c r="GR15" s="55">
        <f>IFERROR(VLOOKUP($D15,'Adient Taizhou (China) WK.16'!$B:FZ,GQ$1,0),0)</f>
        <v>0</v>
      </c>
      <c r="GS15" s="60">
        <v>100</v>
      </c>
      <c r="GT15" s="128">
        <v>200</v>
      </c>
      <c r="GU15" s="32">
        <v>0</v>
      </c>
      <c r="GV15" s="106">
        <f t="shared" si="256"/>
        <v>825</v>
      </c>
      <c r="GW15" s="8"/>
      <c r="GX15" s="37">
        <f t="shared" si="183"/>
        <v>825</v>
      </c>
      <c r="GY15" s="125">
        <f>IFERROR(VLOOKUP($D15,'Adient Assende (Belgium) WK.17'!$B:GD,GZ$1,0),0)</f>
        <v>200</v>
      </c>
      <c r="GZ15" s="55">
        <f>IFERROR(VLOOKUP($D15,'Adient Arendal (Malzia) WK.12'!$B:GE,GZ$1,0),0)</f>
        <v>0</v>
      </c>
      <c r="HA15" s="55">
        <f>IFERROR(VLOOKUP($D15,'Adient Taizhou (China) WK.16'!$B:GH,GZ$1,0),0)</f>
        <v>0</v>
      </c>
      <c r="HB15" s="60">
        <v>300</v>
      </c>
      <c r="HC15" s="128">
        <v>100</v>
      </c>
      <c r="HD15" s="32">
        <v>0</v>
      </c>
      <c r="HE15" s="106">
        <f t="shared" si="257"/>
        <v>1025</v>
      </c>
      <c r="HF15" s="8"/>
      <c r="HG15" s="37">
        <f t="shared" si="184"/>
        <v>1025</v>
      </c>
      <c r="HH15" s="125">
        <f>IFERROR(VLOOKUP($D15,'Adient Assende (Belgium) WK.17'!$B:GL,HI$1,0),0)</f>
        <v>100</v>
      </c>
      <c r="HI15" s="55">
        <f>IFERROR(VLOOKUP($D15,'Adient Arendal (Malzia) WK.12'!$B:GM,HI$1,0),0)</f>
        <v>0</v>
      </c>
      <c r="HJ15" s="55">
        <f>IFERROR(VLOOKUP($D15,'Adient Taizhou (China) WK.16'!$B:GP,HI$1,0),0)</f>
        <v>0</v>
      </c>
      <c r="HK15" s="60">
        <v>200</v>
      </c>
      <c r="HL15" s="128">
        <v>100</v>
      </c>
      <c r="HM15" s="32">
        <v>0</v>
      </c>
      <c r="HN15" s="106">
        <f t="shared" si="258"/>
        <v>1125</v>
      </c>
      <c r="HO15" s="8"/>
      <c r="HP15" s="37">
        <f t="shared" si="185"/>
        <v>1125</v>
      </c>
      <c r="HQ15" s="125">
        <f>IFERROR(VLOOKUP($D15,'Adient Assende (Belgium) WK.17'!$B:GT,HR$1,0),0)</f>
        <v>100</v>
      </c>
      <c r="HR15" s="55">
        <f>IFERROR(VLOOKUP($D15,'Adient Arendal (Malzia) WK.12'!$B:GU,HR$1,0),0)</f>
        <v>0</v>
      </c>
      <c r="HS15" s="55">
        <f>IFERROR(VLOOKUP($D15,'Adient Taizhou (China) WK.16'!$B:GX,HR$1,0),0)</f>
        <v>0</v>
      </c>
      <c r="HT15" s="60">
        <v>0</v>
      </c>
      <c r="HU15" s="128">
        <v>100</v>
      </c>
      <c r="HV15" s="32">
        <v>0</v>
      </c>
      <c r="HW15" s="106">
        <f t="shared" si="259"/>
        <v>1025</v>
      </c>
      <c r="HX15" s="8"/>
      <c r="HY15" s="37">
        <f t="shared" si="186"/>
        <v>1025</v>
      </c>
      <c r="HZ15" s="125">
        <f>IFERROR(VLOOKUP($D15,'Adient Assende (Belgium) WK.17'!$B:HB,IA$1,0),0)</f>
        <v>100</v>
      </c>
      <c r="IA15" s="55">
        <f>IFERROR(VLOOKUP($D15,'Adient Arendal (Malzia) WK.12'!$B:HC,IA$1,0),0)</f>
        <v>0</v>
      </c>
      <c r="IB15" s="55">
        <f>IFERROR(VLOOKUP($D15,'Adient Taizhou (China) WK.16'!$B:HF,IA$1,0),0)</f>
        <v>0</v>
      </c>
      <c r="IC15" s="60">
        <v>0</v>
      </c>
      <c r="ID15" s="128">
        <v>100</v>
      </c>
      <c r="IE15" s="32">
        <v>0</v>
      </c>
      <c r="IF15" s="106">
        <f t="shared" si="260"/>
        <v>925</v>
      </c>
      <c r="IG15" s="8"/>
      <c r="IH15" s="37">
        <f t="shared" si="187"/>
        <v>925</v>
      </c>
      <c r="II15" s="125">
        <f>IFERROR(VLOOKUP($D15,'Adient Assende (Belgium) WK.17'!$B:HJ,IJ$1,0),0)</f>
        <v>100</v>
      </c>
      <c r="IJ15" s="55">
        <f>IFERROR(VLOOKUP($D15,'Adient Arendal (Malzia) WK.12'!$B:HK,IJ$1,0),0)</f>
        <v>0</v>
      </c>
      <c r="IK15" s="55">
        <f>IFERROR(VLOOKUP($D15,'Adient Taizhou (China) WK.16'!$B:HN,IJ$1,0),0)</f>
        <v>0</v>
      </c>
      <c r="IL15" s="128">
        <v>200</v>
      </c>
      <c r="IM15" s="32">
        <v>0</v>
      </c>
      <c r="IN15" s="106">
        <f t="shared" si="188"/>
        <v>725</v>
      </c>
      <c r="IO15" s="8"/>
      <c r="IP15" s="37">
        <f t="shared" si="189"/>
        <v>725</v>
      </c>
      <c r="IQ15" s="125">
        <f>IFERROR(VLOOKUP($D15,'Adient Assende (Belgium) WK.17'!$B:HR,IR$1,0),0)</f>
        <v>200</v>
      </c>
      <c r="IR15" s="55">
        <f>IFERROR(VLOOKUP($D15,'Adient Arendal (Malzia) WK.12'!$B:HS,IR$1,0),0)</f>
        <v>0</v>
      </c>
      <c r="IS15" s="55">
        <f>IFERROR(VLOOKUP($D15,'Adient Taizhou (China) WK.16'!$B:HV,IR$1,0),0)</f>
        <v>0</v>
      </c>
      <c r="IT15" s="60">
        <v>300</v>
      </c>
      <c r="IU15" s="128">
        <v>200</v>
      </c>
      <c r="IV15" s="32">
        <v>0</v>
      </c>
      <c r="IW15" s="106">
        <f t="shared" si="261"/>
        <v>825</v>
      </c>
      <c r="IX15" s="8"/>
      <c r="IY15" s="37">
        <f t="shared" si="190"/>
        <v>825</v>
      </c>
      <c r="IZ15" s="125">
        <f>IFERROR(VLOOKUP($D15,'Adient Assende (Belgium) WK.17'!$B:HZ,JA$1,0),0)</f>
        <v>200</v>
      </c>
      <c r="JA15" s="55">
        <f>IFERROR(VLOOKUP($D15,'Adient Arendal (Malzia) WK.12'!$B:IA,JA$1,0),0)</f>
        <v>0</v>
      </c>
      <c r="JB15" s="55">
        <f>IFERROR(VLOOKUP($D15,'Adient Taizhou (China) WK.16'!$B:ID,JA$1,0),0)</f>
        <v>0</v>
      </c>
      <c r="JC15" s="128">
        <v>100</v>
      </c>
      <c r="JD15" s="32">
        <v>0</v>
      </c>
      <c r="JE15" s="106">
        <f t="shared" si="191"/>
        <v>725</v>
      </c>
      <c r="JF15" s="8"/>
      <c r="JG15" s="37">
        <f t="shared" si="192"/>
        <v>725</v>
      </c>
      <c r="JH15" s="125">
        <f>IFERROR(VLOOKUP($D15,'Adient Assende (Belgium) WK.17'!$B:IH,JI$1,0),0)</f>
        <v>100</v>
      </c>
      <c r="JI15" s="55">
        <f>IFERROR(VLOOKUP($D15,'Adient Arendal (Malzia) WK.12'!$B:II,JI$1,0),0)</f>
        <v>0</v>
      </c>
      <c r="JJ15" s="55">
        <f>IFERROR(VLOOKUP($D15,'Adient Taizhou (China) WK.16'!$B:IL,JI$1,0),0)</f>
        <v>0</v>
      </c>
      <c r="JK15" s="60">
        <v>0</v>
      </c>
      <c r="JL15" s="128">
        <v>200</v>
      </c>
      <c r="JM15" s="32">
        <v>0</v>
      </c>
      <c r="JN15" s="106">
        <f t="shared" si="262"/>
        <v>525</v>
      </c>
      <c r="JO15" s="8"/>
      <c r="JP15" s="37">
        <f t="shared" si="193"/>
        <v>525</v>
      </c>
      <c r="JQ15" s="125">
        <f>IFERROR(VLOOKUP($D15,'Adient Assende (Belgium) WK.17'!$B:IP,JR$1,0),0)</f>
        <v>200</v>
      </c>
      <c r="JR15" s="55">
        <f>IFERROR(VLOOKUP($D15,'Adient Arendal (Malzia) WK.12'!$B:IQ,JR$1,0),0)</f>
        <v>0</v>
      </c>
      <c r="JS15" s="55">
        <f>IFERROR(VLOOKUP($D15,'Adient Taizhou (China) WK.16'!$B:IT,JR$1,0),0)</f>
        <v>0</v>
      </c>
      <c r="JT15" s="128">
        <v>0</v>
      </c>
      <c r="JU15" s="32">
        <v>0</v>
      </c>
      <c r="JV15" s="106">
        <f t="shared" si="194"/>
        <v>525</v>
      </c>
      <c r="JW15" s="8"/>
      <c r="JX15" s="37">
        <f t="shared" si="195"/>
        <v>525</v>
      </c>
      <c r="JY15" s="154">
        <f>IFERROR(VLOOKUP($D15,'Adient Assende (Belgium) WK.17'!$B:IX,JZ$1,0),0)</f>
        <v>0</v>
      </c>
      <c r="JZ15" s="55">
        <f>IFERROR(VLOOKUP($D15,'Adient Arendal (Malzia) WK.12'!$B:IY,JZ$1,0),0)</f>
        <v>0</v>
      </c>
      <c r="KA15" s="55">
        <f>IFERROR(VLOOKUP($D15,'Adient Taizhou (China) WK.16'!$B:JB,JZ$1,0),0)</f>
        <v>0</v>
      </c>
      <c r="KB15" s="128">
        <v>200</v>
      </c>
      <c r="KC15" s="32">
        <v>0</v>
      </c>
      <c r="KD15" s="106">
        <f t="shared" si="263"/>
        <v>325</v>
      </c>
      <c r="KE15" s="8"/>
      <c r="KF15" s="37">
        <f t="shared" si="196"/>
        <v>325</v>
      </c>
      <c r="KG15" s="125">
        <f>IFERROR(VLOOKUP($D15,'Adient Assende (Belgium) WK.17'!$B:JF,KH$1,0),0)</f>
        <v>200</v>
      </c>
      <c r="KH15" s="55">
        <f>IFERROR(VLOOKUP($D15,'Adient Arendal (Malzia) WK.12'!$B:JG,KH$1,0),0)</f>
        <v>0</v>
      </c>
      <c r="KI15" s="55">
        <f>IFERROR(VLOOKUP($D15,'Adient Taizhou (China) WK.16'!$B:JJ,KH$1,0),0)</f>
        <v>0</v>
      </c>
      <c r="KJ15" s="60">
        <v>275</v>
      </c>
      <c r="KK15" s="128">
        <v>200</v>
      </c>
      <c r="KL15" s="32">
        <v>0</v>
      </c>
      <c r="KM15" s="106">
        <f t="shared" si="264"/>
        <v>400</v>
      </c>
      <c r="KN15" s="8"/>
      <c r="KO15" s="37">
        <f t="shared" si="197"/>
        <v>400</v>
      </c>
      <c r="KP15" s="141">
        <f>IFERROR(VLOOKUP($D15,'Adient Assende (Belgium) WK.17'!$B:JN,KQ$1,0),0)</f>
        <v>200</v>
      </c>
      <c r="KQ15" s="140">
        <f>IFERROR(VLOOKUP($D15,'Adient Arendal (Malzia) WK.12'!$B:JO,KQ$1,0),0)</f>
        <v>0</v>
      </c>
      <c r="KR15" s="140">
        <f>IFERROR(VLOOKUP($D15,'Adient Taizhou (China) WK.16'!$B:JR,KQ$1,0),0)</f>
        <v>0</v>
      </c>
      <c r="KS15" s="60">
        <v>175</v>
      </c>
      <c r="KT15" s="128">
        <v>100</v>
      </c>
      <c r="KU15" s="32">
        <v>0</v>
      </c>
      <c r="KV15" s="106">
        <f t="shared" si="265"/>
        <v>475</v>
      </c>
      <c r="KX15" s="37">
        <f t="shared" si="198"/>
        <v>475</v>
      </c>
      <c r="KY15" s="141">
        <f>IFERROR(VLOOKUP($D15,'Adient Assende (Belgium) WK.17'!$B:JV,KZ$1,0),0)</f>
        <v>100</v>
      </c>
      <c r="KZ15" s="140">
        <f>IFERROR(VLOOKUP($D15,'Adient Arendal (Malzia) WK.12'!$B:JW,KZ$1,0),0)</f>
        <v>0</v>
      </c>
      <c r="LA15" s="140">
        <f>IFERROR(VLOOKUP($D15,'Adient Taizhou (China) WK.16'!$B:JZ,KZ$1,0),0)</f>
        <v>0</v>
      </c>
      <c r="LB15" s="128">
        <v>0</v>
      </c>
      <c r="LC15" s="32">
        <v>0</v>
      </c>
      <c r="LD15" s="106">
        <f t="shared" si="266"/>
        <v>475</v>
      </c>
      <c r="LF15" s="37">
        <f t="shared" si="199"/>
        <v>475</v>
      </c>
      <c r="LG15" s="141">
        <f>IFERROR(VLOOKUP($D15,'Adient Assende (Belgium) WK.17'!$B:KD,LH$1,0),0)</f>
        <v>200</v>
      </c>
      <c r="LH15" s="140">
        <f>IFERROR(VLOOKUP($D15,'Adient Arendal (Malzia) WK.12'!$B:KE,LH$1,0),0)</f>
        <v>0</v>
      </c>
      <c r="LI15" s="140">
        <f>IFERROR(VLOOKUP($D15,'Adient Taizhou (China) WK.16'!$B:KH,LH$1,0),0)</f>
        <v>0</v>
      </c>
      <c r="LJ15" s="60">
        <v>0</v>
      </c>
      <c r="LK15" s="128">
        <v>0</v>
      </c>
      <c r="LL15" s="32">
        <v>0</v>
      </c>
      <c r="LM15" s="100">
        <f t="shared" si="267"/>
        <v>275</v>
      </c>
      <c r="LO15" s="37">
        <f t="shared" si="200"/>
        <v>275</v>
      </c>
      <c r="LP15" s="141">
        <f>IFERROR(VLOOKUP($D15,'Adient Assende (Belgium) WK.17'!$B:KL,LQ$1,0),0)</f>
        <v>100</v>
      </c>
      <c r="LQ15" s="140">
        <f>IFERROR(VLOOKUP($D15,'Adient Arendal (Malzia) WK.12'!$B:KM,LQ$1,0),0)</f>
        <v>0</v>
      </c>
      <c r="LR15" s="140">
        <f>IFERROR(VLOOKUP($D15,'Adient Taizhou (China) WK.16'!$B:KP,LQ$1,0),0)</f>
        <v>0</v>
      </c>
      <c r="LS15" s="128">
        <v>0</v>
      </c>
      <c r="LT15" s="32">
        <v>0</v>
      </c>
      <c r="LU15" s="100">
        <f t="shared" si="268"/>
        <v>175</v>
      </c>
      <c r="LW15" s="37">
        <f t="shared" si="201"/>
        <v>175</v>
      </c>
      <c r="LX15" s="141">
        <f>IFERROR(VLOOKUP($D15,'Adient Assende (Belgium) WK.17'!$B:KT,LY$1,0),0)</f>
        <v>300</v>
      </c>
      <c r="LY15" s="140">
        <f>IFERROR(VLOOKUP($D15,'Adient Arendal (Malzia) WK.12'!$B:KU,LY$1,0),0)</f>
        <v>0</v>
      </c>
      <c r="LZ15" s="140">
        <f>IFERROR(VLOOKUP($D15,'Adient Taizhou (China) WK.16'!$B:KX,LY$1,0),0)</f>
        <v>0</v>
      </c>
      <c r="MA15" s="128">
        <v>0</v>
      </c>
      <c r="MB15" s="32">
        <v>0</v>
      </c>
      <c r="MC15" s="100">
        <f t="shared" si="269"/>
        <v>-125</v>
      </c>
      <c r="ME15" s="37">
        <f t="shared" si="202"/>
        <v>-125</v>
      </c>
      <c r="MF15" s="154">
        <f>IFERROR(VLOOKUP($D15,'Adient Assende (Belgium) WK.17'!$B:LB,MG$1,0),0)</f>
        <v>0</v>
      </c>
      <c r="MG15" s="140">
        <f>IFERROR(VLOOKUP($D15,'Adient Arendal (Malzia) WK.12'!$B:LC,MG$1,0),0)</f>
        <v>0</v>
      </c>
      <c r="MH15" s="140">
        <f>IFERROR(VLOOKUP($D15,'Adient Taizhou (China) WK.16'!$B:LF,MG$1,0),0)</f>
        <v>0</v>
      </c>
      <c r="MI15" s="128">
        <v>0</v>
      </c>
      <c r="MJ15" s="32">
        <v>0</v>
      </c>
      <c r="MK15" s="100">
        <f t="shared" si="270"/>
        <v>-125</v>
      </c>
      <c r="MM15" s="37">
        <f t="shared" si="203"/>
        <v>-125</v>
      </c>
      <c r="MN15" s="141">
        <f>IFERROR(VLOOKUP($D15,'Adient Assende (Belgium) WK.17'!$B:LJ,MO$1,0),0)</f>
        <v>200</v>
      </c>
      <c r="MO15" s="140">
        <f>IFERROR(VLOOKUP($D15,'Adient Arendal (Malzia) WK.12'!$B:LK,MO$1,0),0)</f>
        <v>0</v>
      </c>
      <c r="MP15" s="140">
        <f>IFERROR(VLOOKUP($D15,'Adient Taizhou (China) WK.16'!$B:LN,MO$1,0),0)</f>
        <v>0</v>
      </c>
      <c r="MQ15" s="128">
        <v>0</v>
      </c>
      <c r="MR15" s="32">
        <v>0</v>
      </c>
      <c r="MS15" s="100">
        <f t="shared" si="271"/>
        <v>-325</v>
      </c>
      <c r="MU15" s="37">
        <f t="shared" si="204"/>
        <v>-325</v>
      </c>
      <c r="MV15" s="141">
        <f>IFERROR(VLOOKUP($D15,'Adient Assende (Belgium) WK.17'!$B:LR,MW$1,0),0)</f>
        <v>200</v>
      </c>
      <c r="MW15" s="140">
        <f>IFERROR(VLOOKUP($D15,'Adient Arendal (Malzia) WK.12'!$B:LS,MW$1,0),0)</f>
        <v>0</v>
      </c>
      <c r="MX15" s="140">
        <f>IFERROR(VLOOKUP($D15,'Adient Taizhou (China) WK.16'!$B:LV,MW$1,0),0)</f>
        <v>0</v>
      </c>
      <c r="MY15" s="128">
        <v>0</v>
      </c>
      <c r="MZ15" s="32">
        <v>0</v>
      </c>
      <c r="NA15" s="100">
        <f t="shared" si="272"/>
        <v>-525</v>
      </c>
      <c r="NC15" s="37">
        <f t="shared" si="205"/>
        <v>-525</v>
      </c>
      <c r="ND15" s="141">
        <f>IFERROR(VLOOKUP($D15,'Adient Assende (Belgium) WK.17'!$B:LZ,NE$1,0),0)</f>
        <v>200</v>
      </c>
      <c r="NE15" s="140">
        <f>IFERROR(VLOOKUP($D15,'Adient Arendal (Malzia) WK.12'!$B:MA,NE$1,0),0)</f>
        <v>0</v>
      </c>
      <c r="NF15" s="140">
        <f>IFERROR(VLOOKUP($D15,'Adient Taizhou (China) WK.16'!$B:MD,NE$1,0),0)</f>
        <v>0</v>
      </c>
      <c r="NG15" s="128">
        <v>0</v>
      </c>
      <c r="NH15" s="32">
        <v>0</v>
      </c>
      <c r="NI15" s="100">
        <f t="shared" si="273"/>
        <v>-725</v>
      </c>
      <c r="NK15" s="37">
        <f t="shared" si="206"/>
        <v>-725</v>
      </c>
      <c r="NL15" s="141">
        <f>IFERROR(VLOOKUP($D15,'Adient Assende (Belgium) WK.17'!$B:MH,NM$1,0),0)</f>
        <v>0</v>
      </c>
      <c r="NM15" s="140">
        <f>IFERROR(VLOOKUP($D15,'Adient Arendal (Malzia) WK.12'!$B:MI,NM$1,0),0)</f>
        <v>0</v>
      </c>
      <c r="NN15" s="140">
        <f>IFERROR(VLOOKUP($D15,'Adient Taizhou (China) WK.16'!$B:ML,NM$1,0),0)</f>
        <v>0</v>
      </c>
      <c r="NO15" s="128">
        <v>0</v>
      </c>
      <c r="NP15" s="32">
        <v>0</v>
      </c>
      <c r="NQ15" s="100">
        <f t="shared" si="274"/>
        <v>-725</v>
      </c>
      <c r="NS15" s="37">
        <f t="shared" si="207"/>
        <v>-725</v>
      </c>
      <c r="NT15" s="141">
        <f>IFERROR(VLOOKUP($D15,'Adient Assende (Belgium) WK.17'!$B:MP,NU$1,0),0)</f>
        <v>100</v>
      </c>
      <c r="NU15" s="140">
        <f>IFERROR(VLOOKUP($D15,'Adient Arendal (Malzia) WK.12'!$B:MQ,NU$1,0),0)</f>
        <v>0</v>
      </c>
      <c r="NV15" s="140">
        <f>IFERROR(VLOOKUP($D15,'Adient Taizhou (China) WK.16'!$B:MT,NU$1,0),0)</f>
        <v>0</v>
      </c>
      <c r="NW15" s="128">
        <v>0</v>
      </c>
      <c r="NX15" s="32">
        <v>0</v>
      </c>
      <c r="NY15" s="100">
        <f t="shared" si="275"/>
        <v>-825</v>
      </c>
      <c r="OA15" s="37">
        <f t="shared" si="208"/>
        <v>-825</v>
      </c>
      <c r="OB15" s="141">
        <f>IFERROR(VLOOKUP($D15,'Adient Assende (Belgium) WK.17'!$B:MX,OC$1,0),0)</f>
        <v>100</v>
      </c>
      <c r="OC15" s="140">
        <f>IFERROR(VLOOKUP($D15,'Adient Arendal (Malzia) WK.12'!$B:MY,OC$1,0),0)</f>
        <v>0</v>
      </c>
      <c r="OD15" s="140">
        <f>IFERROR(VLOOKUP($D15,'Adient Taizhou (China) WK.16'!$B:NB,OC$1,0),0)</f>
        <v>0</v>
      </c>
      <c r="OE15" s="128">
        <v>0</v>
      </c>
      <c r="OF15" s="32">
        <v>0</v>
      </c>
      <c r="OG15" s="100">
        <f t="shared" si="276"/>
        <v>-925</v>
      </c>
      <c r="OI15" s="37">
        <f t="shared" si="209"/>
        <v>-925</v>
      </c>
      <c r="OJ15" s="141">
        <f>IFERROR(VLOOKUP($D15,'Adient Assende (Belgium) WK.17'!$B:NF,OK$1,0),0)</f>
        <v>100</v>
      </c>
      <c r="OK15" s="140">
        <f>IFERROR(VLOOKUP($D15,'Adient Arendal (Malzia) WK.12'!$B:NG,OK$1,0),0)</f>
        <v>0</v>
      </c>
      <c r="OL15" s="140">
        <f>IFERROR(VLOOKUP($D15,'Adient Taizhou (China) WK.16'!$B:NJ,OK$1,0),0)</f>
        <v>0</v>
      </c>
      <c r="OM15" s="128">
        <v>0</v>
      </c>
      <c r="ON15" s="32">
        <v>0</v>
      </c>
      <c r="OO15" s="100">
        <f t="shared" si="277"/>
        <v>-1025</v>
      </c>
      <c r="OQ15" s="37">
        <f t="shared" si="210"/>
        <v>-1025</v>
      </c>
      <c r="OR15" s="141">
        <f>IFERROR(VLOOKUP($D15,'Adient Assende (Belgium) WK.17'!$B:NN,OS$1,0),0)</f>
        <v>0</v>
      </c>
      <c r="OS15" s="140">
        <f>IFERROR(VLOOKUP($D15,'Adient Arendal (Malzia) WK.12'!$B:NO,OS$1,0),0)</f>
        <v>0</v>
      </c>
      <c r="OT15" s="140">
        <f>IFERROR(VLOOKUP($D15,'Adient Taizhou (China) WK.16'!$B:NR,OS$1,0),0)</f>
        <v>0</v>
      </c>
      <c r="OU15" s="128">
        <v>0</v>
      </c>
      <c r="OV15" s="32">
        <v>0</v>
      </c>
      <c r="OW15" s="100">
        <f t="shared" si="278"/>
        <v>-1025</v>
      </c>
      <c r="OY15" s="37">
        <f t="shared" si="211"/>
        <v>-1025</v>
      </c>
      <c r="OZ15" s="141">
        <f>IFERROR(VLOOKUP($D15,'Adient Assende (Belgium) WK.17'!$B:NV,PA$1,0),0)</f>
        <v>0</v>
      </c>
      <c r="PA15" s="140">
        <f>IFERROR(VLOOKUP($D15,'Adient Arendal (Malzia) WK.12'!$B:NW,PA$1,0),0)</f>
        <v>0</v>
      </c>
      <c r="PB15" s="140">
        <f>IFERROR(VLOOKUP($D15,'Adient Taizhou (China) WK.16'!$B:NZ,PA$1,0),0)</f>
        <v>0</v>
      </c>
      <c r="PC15" s="128">
        <v>0</v>
      </c>
      <c r="PD15" s="32">
        <v>0</v>
      </c>
      <c r="PE15" s="100">
        <f t="shared" si="279"/>
        <v>-1025</v>
      </c>
      <c r="PG15" s="37">
        <f t="shared" si="212"/>
        <v>-1025</v>
      </c>
      <c r="PH15" s="141">
        <f>IFERROR(VLOOKUP($D15,'Adient Assende (Belgium) WK.17'!$B:OD,PI$1,0),0)</f>
        <v>0</v>
      </c>
      <c r="PI15" s="140">
        <f>IFERROR(VLOOKUP($D15,'Adient Arendal (Malzia) WK.12'!$B:OE,PI$1,0),0)</f>
        <v>0</v>
      </c>
      <c r="PJ15" s="140">
        <f>IFERROR(VLOOKUP($D15,'Adient Taizhou (China) WK.16'!$B:OH,PI$1,0),0)</f>
        <v>0</v>
      </c>
      <c r="PK15" s="128">
        <v>0</v>
      </c>
      <c r="PL15" s="32">
        <v>0</v>
      </c>
      <c r="PM15" s="100">
        <f t="shared" si="280"/>
        <v>-1025</v>
      </c>
      <c r="PO15" s="37">
        <f t="shared" si="213"/>
        <v>-1025</v>
      </c>
      <c r="PP15" s="141">
        <f>IFERROR(VLOOKUP($D15,'Adient Assende (Belgium) WK.17'!$B:OL,PQ$1,0),0)</f>
        <v>0</v>
      </c>
      <c r="PQ15" s="140">
        <f>IFERROR(VLOOKUP($D15,'Adient Arendal (Malzia) WK.12'!$B:OM,PQ$1,0),0)</f>
        <v>0</v>
      </c>
      <c r="PR15" s="140">
        <f>IFERROR(VLOOKUP($D15,'Adient Taizhou (China) WK.16'!$B:OP,PQ$1,0),0)</f>
        <v>0</v>
      </c>
      <c r="PS15" s="128">
        <v>0</v>
      </c>
      <c r="PT15" s="32">
        <v>0</v>
      </c>
      <c r="PU15" s="100">
        <f t="shared" si="281"/>
        <v>-1025</v>
      </c>
      <c r="PW15" s="37">
        <f t="shared" si="214"/>
        <v>-1025</v>
      </c>
      <c r="PX15" s="141">
        <f>IFERROR(VLOOKUP($D15,'Adient Assende (Belgium) WK.17'!$B:OT,PY$1,0),0)</f>
        <v>100</v>
      </c>
      <c r="PY15" s="140">
        <f>IFERROR(VLOOKUP($D15,'Adient Arendal (Malzia) WK.12'!$B:OU,PY$1,0),0)</f>
        <v>0</v>
      </c>
      <c r="PZ15" s="140">
        <f>IFERROR(VLOOKUP($D15,'Adient Taizhou (China) WK.16'!$B:OX,PY$1,0),0)</f>
        <v>0</v>
      </c>
      <c r="QA15" s="128">
        <v>0</v>
      </c>
      <c r="QB15" s="32">
        <v>0</v>
      </c>
      <c r="QC15" s="100">
        <f t="shared" si="282"/>
        <v>-1125</v>
      </c>
      <c r="QE15" s="37">
        <f t="shared" si="215"/>
        <v>-1125</v>
      </c>
      <c r="QF15" s="141">
        <f>IFERROR(VLOOKUP($D15,'Adient Assende (Belgium) WK.17'!$B:PB,QG$1,0),0)</f>
        <v>200</v>
      </c>
      <c r="QG15" s="140">
        <f>IFERROR(VLOOKUP($D15,'Adient Arendal (Malzia) WK.12'!$B:PC,QG$1,0),0)</f>
        <v>0</v>
      </c>
      <c r="QH15" s="140">
        <f>IFERROR(VLOOKUP($D15,'Adient Taizhou (China) WK.16'!$B:PF,QG$1,0),0)</f>
        <v>0</v>
      </c>
      <c r="QI15" s="128">
        <v>0</v>
      </c>
      <c r="QJ15" s="32">
        <v>0</v>
      </c>
      <c r="QK15" s="100">
        <f t="shared" si="283"/>
        <v>-1325</v>
      </c>
      <c r="QM15" s="37">
        <f t="shared" si="216"/>
        <v>-1325</v>
      </c>
      <c r="QN15" s="141">
        <f>IFERROR(VLOOKUP($D15,'Adient Assende (Belgium) WK.17'!$B:PJ,QO$1,0),0)</f>
        <v>100</v>
      </c>
      <c r="QO15" s="140">
        <f>IFERROR(VLOOKUP($D15,'Adient Arendal (Malzia) WK.12'!$B:PK,QO$1,0),0)</f>
        <v>0</v>
      </c>
      <c r="QP15" s="140">
        <f>IFERROR(VLOOKUP($D15,'Adient Taizhou (China) WK.16'!$B:PN,QO$1,0),0)</f>
        <v>0</v>
      </c>
      <c r="QQ15" s="128">
        <v>0</v>
      </c>
      <c r="QR15" s="32">
        <v>0</v>
      </c>
      <c r="QS15" s="100">
        <f t="shared" si="284"/>
        <v>-1425</v>
      </c>
      <c r="QU15" s="37">
        <f t="shared" si="217"/>
        <v>-1425</v>
      </c>
      <c r="QV15" s="141">
        <f>IFERROR(VLOOKUP($D15,'Adient Assende (Belgium) WK.17'!$B:PR,QW$1,0),0)</f>
        <v>100</v>
      </c>
      <c r="QW15" s="140">
        <f>IFERROR(VLOOKUP($D15,'Adient Arendal (Malzia) WK.12'!$B:PS,QW$1,0),0)</f>
        <v>0</v>
      </c>
      <c r="QX15" s="140">
        <f>IFERROR(VLOOKUP($D15,'Adient Taizhou (China) WK.16'!$B:PV,QW$1,0),0)</f>
        <v>0</v>
      </c>
      <c r="QY15" s="128">
        <v>0</v>
      </c>
      <c r="QZ15" s="32">
        <v>0</v>
      </c>
      <c r="RA15" s="100">
        <f t="shared" si="285"/>
        <v>-1525</v>
      </c>
      <c r="RC15" s="37">
        <f t="shared" si="218"/>
        <v>-1525</v>
      </c>
      <c r="RD15" s="141">
        <f>IFERROR(VLOOKUP($D15,'Adient Assende (Belgium) WK.17'!$B:PZ,RE$1,0),0)</f>
        <v>100</v>
      </c>
      <c r="RE15" s="140">
        <f>IFERROR(VLOOKUP($D15,'Adient Arendal (Malzia) WK.12'!$B:QA,RE$1,0),0)</f>
        <v>0</v>
      </c>
      <c r="RF15" s="140">
        <f>IFERROR(VLOOKUP($D15,'Adient Taizhou (China) WK.16'!$B:QD,RE$1,0),0)</f>
        <v>0</v>
      </c>
      <c r="RG15" s="128">
        <v>0</v>
      </c>
      <c r="RH15" s="32">
        <v>0</v>
      </c>
      <c r="RI15" s="100">
        <f t="shared" si="286"/>
        <v>-1625</v>
      </c>
      <c r="RK15" s="37">
        <f t="shared" si="219"/>
        <v>-1625</v>
      </c>
      <c r="RL15" s="141">
        <f>IFERROR(VLOOKUP($D15,'Adient Assende (Belgium) WK.17'!$B:QH,RM$1,0),0)</f>
        <v>100</v>
      </c>
      <c r="RM15" s="140">
        <f>IFERROR(VLOOKUP($D15,'Adient Arendal (Malzia) WK.12'!$B:QI,RM$1,0),0)</f>
        <v>0</v>
      </c>
      <c r="RN15" s="140">
        <f>IFERROR(VLOOKUP($D15,'Adient Taizhou (China) WK.16'!$B:QL,RM$1,0),0)</f>
        <v>0</v>
      </c>
      <c r="RO15" s="128">
        <v>0</v>
      </c>
      <c r="RP15" s="32">
        <v>0</v>
      </c>
      <c r="RQ15" s="100">
        <f t="shared" si="287"/>
        <v>-1725</v>
      </c>
      <c r="RS15" s="37">
        <f t="shared" si="220"/>
        <v>-1725</v>
      </c>
      <c r="RT15" s="141">
        <f>IFERROR(VLOOKUP($D15,'Adient Assende (Belgium) WK.17'!$B:QP,RU$1,0),0)</f>
        <v>100</v>
      </c>
      <c r="RU15" s="140">
        <f>IFERROR(VLOOKUP($D15,'Adient Arendal (Malzia) WK.12'!$B:QQ,RU$1,0),0)</f>
        <v>0</v>
      </c>
      <c r="RV15" s="140">
        <f>IFERROR(VLOOKUP($D15,'Adient Taizhou (China) WK.16'!$B:QT,RU$1,0),0)</f>
        <v>0</v>
      </c>
      <c r="RW15" s="128">
        <v>0</v>
      </c>
      <c r="RX15" s="32">
        <v>0</v>
      </c>
      <c r="RY15" s="100">
        <f t="shared" si="288"/>
        <v>-1825</v>
      </c>
      <c r="SA15" s="37">
        <f t="shared" si="221"/>
        <v>-1825</v>
      </c>
      <c r="SB15" s="141">
        <f>IFERROR(VLOOKUP($D15,'Adient Assende (Belgium) WK.17'!$B:QX,SC$1,0),0)</f>
        <v>100</v>
      </c>
      <c r="SC15" s="140">
        <f>IFERROR(VLOOKUP($D15,'Adient Arendal (Malzia) WK.12'!$B:QY,SC$1,0),0)</f>
        <v>0</v>
      </c>
      <c r="SD15" s="140">
        <f>IFERROR(VLOOKUP($D15,'Adient Taizhou (China) WK.16'!$B:RB,SC$1,0),0)</f>
        <v>0</v>
      </c>
      <c r="SE15" s="128">
        <v>0</v>
      </c>
      <c r="SF15" s="32">
        <v>0</v>
      </c>
      <c r="SG15" s="100">
        <f t="shared" si="289"/>
        <v>-1925</v>
      </c>
      <c r="SI15" s="37">
        <f t="shared" si="222"/>
        <v>-1925</v>
      </c>
      <c r="SJ15" s="141">
        <f>IFERROR(VLOOKUP($D15,'Adient Assende (Belgium) WK.17'!$B:RF,SK$1,0),0)</f>
        <v>100</v>
      </c>
      <c r="SK15" s="140">
        <f>IFERROR(VLOOKUP($D15,'Adient Arendal (Malzia) WK.12'!$B:RG,SK$1,0),0)</f>
        <v>0</v>
      </c>
      <c r="SL15" s="140">
        <f>IFERROR(VLOOKUP($D15,'Adient Taizhou (China) WK.16'!$B:RJ,SK$1,0),0)</f>
        <v>0</v>
      </c>
      <c r="SM15" s="128">
        <v>0</v>
      </c>
      <c r="SN15" s="32">
        <v>0</v>
      </c>
      <c r="SO15" s="100">
        <f t="shared" si="290"/>
        <v>-2025</v>
      </c>
      <c r="SQ15" s="37">
        <f t="shared" si="223"/>
        <v>-2025</v>
      </c>
      <c r="SR15" s="141">
        <f>IFERROR(VLOOKUP($D15,'Adient Assende (Belgium) WK.17'!$B:RN,SS$1,0),0)</f>
        <v>100</v>
      </c>
      <c r="SS15" s="140">
        <f>IFERROR(VLOOKUP($D15,'Adient Arendal (Malzia) WK.12'!$B:RO,SS$1,0),0)</f>
        <v>0</v>
      </c>
      <c r="ST15" s="140">
        <f>IFERROR(VLOOKUP($D15,'Adient Taizhou (China) WK.16'!$B:RR,SS$1,0),0)</f>
        <v>0</v>
      </c>
      <c r="SU15" s="128">
        <v>0</v>
      </c>
      <c r="SV15" s="32">
        <v>0</v>
      </c>
      <c r="SW15" s="100">
        <f t="shared" si="291"/>
        <v>-2125</v>
      </c>
      <c r="SY15" s="37">
        <f t="shared" si="224"/>
        <v>-2125</v>
      </c>
      <c r="SZ15" s="141">
        <f>IFERROR(VLOOKUP($D15,'Adient Assende (Belgium) WK.17'!$B:RV,TA$1,0),0)</f>
        <v>100</v>
      </c>
      <c r="TA15" s="140">
        <f>IFERROR(VLOOKUP($D15,'Adient Arendal (Malzia) WK.12'!$B:RW,TA$1,0),0)</f>
        <v>0</v>
      </c>
      <c r="TB15" s="140">
        <f>IFERROR(VLOOKUP($D15,'Adient Taizhou (China) WK.16'!$B:RZ,TA$1,0),0)</f>
        <v>0</v>
      </c>
      <c r="TC15" s="128">
        <v>0</v>
      </c>
      <c r="TD15" s="32">
        <v>0</v>
      </c>
      <c r="TE15" s="100">
        <f t="shared" si="292"/>
        <v>-2225</v>
      </c>
      <c r="TG15" s="37">
        <f t="shared" si="225"/>
        <v>-2225</v>
      </c>
      <c r="TH15" s="141">
        <f>IFERROR(VLOOKUP($D15,'Adient Assende (Belgium) WK.17'!$B:SD,TI$1,0),0)</f>
        <v>80</v>
      </c>
      <c r="TI15" s="140">
        <f>IFERROR(VLOOKUP($D15,'Adient Arendal (Malzia) WK.12'!$B:SE,TI$1,0),0)</f>
        <v>0</v>
      </c>
      <c r="TJ15" s="140">
        <f>IFERROR(VLOOKUP($D15,'Adient Taizhou (China) WK.16'!$B:SH,TI$1,0),0)</f>
        <v>0</v>
      </c>
      <c r="TK15" s="128">
        <v>0</v>
      </c>
      <c r="TL15" s="32">
        <v>0</v>
      </c>
      <c r="TM15" s="100">
        <f t="shared" si="293"/>
        <v>-2305</v>
      </c>
      <c r="TO15" s="37">
        <f t="shared" si="226"/>
        <v>-2305</v>
      </c>
      <c r="TP15" s="141">
        <f>IFERROR(VLOOKUP($D15,'Adient Assende (Belgium) WK.17'!$B:SL,TQ$1,0),0)</f>
        <v>80</v>
      </c>
      <c r="TQ15" s="140">
        <f>IFERROR(VLOOKUP($D15,'Adient Arendal (Malzia) WK.12'!$B:SM,TQ$1,0),0)</f>
        <v>0</v>
      </c>
      <c r="TR15" s="140">
        <f>IFERROR(VLOOKUP($D15,'Adient Taizhou (China) WK.16'!$B:SP,TQ$1,0),0)</f>
        <v>0</v>
      </c>
      <c r="TS15" s="128">
        <v>0</v>
      </c>
      <c r="TT15" s="32">
        <v>0</v>
      </c>
      <c r="TU15" s="100">
        <f t="shared" si="294"/>
        <v>-2385</v>
      </c>
      <c r="TW15" s="37">
        <f t="shared" si="227"/>
        <v>-2385</v>
      </c>
      <c r="TX15" s="141">
        <f>IFERROR(VLOOKUP($D15,'Adient Assende (Belgium) WK.17'!$B:ST,TY$1,0),0)</f>
        <v>80</v>
      </c>
      <c r="TY15" s="140">
        <f>IFERROR(VLOOKUP($D15,'Adient Arendal (Malzia) WK.12'!$B:SU,TY$1,0),0)</f>
        <v>0</v>
      </c>
      <c r="TZ15" s="140">
        <f>IFERROR(VLOOKUP($D15,'Adient Taizhou (China) WK.16'!$B:SX,TY$1,0),0)</f>
        <v>0</v>
      </c>
      <c r="UA15" s="128">
        <v>0</v>
      </c>
      <c r="UB15" s="32">
        <v>0</v>
      </c>
      <c r="UC15" s="100">
        <f t="shared" si="295"/>
        <v>-2465</v>
      </c>
      <c r="UE15" s="37">
        <f t="shared" si="228"/>
        <v>-2465</v>
      </c>
      <c r="UF15" s="141">
        <f>IFERROR(VLOOKUP($D15,'Adient Assende (Belgium) WK.17'!$B:TB,UG$1,0),0)</f>
        <v>80</v>
      </c>
      <c r="UG15" s="140">
        <f>IFERROR(VLOOKUP($D15,'Adient Arendal (Malzia) WK.12'!$B:TC,UG$1,0),0)</f>
        <v>0</v>
      </c>
      <c r="UH15" s="140">
        <f>IFERROR(VLOOKUP($D15,'Adient Taizhou (China) WK.16'!$B:TF,UG$1,0),0)</f>
        <v>0</v>
      </c>
      <c r="UI15" s="128">
        <v>0</v>
      </c>
      <c r="UJ15" s="32">
        <v>0</v>
      </c>
      <c r="UK15" s="100">
        <f t="shared" si="296"/>
        <v>-2545</v>
      </c>
      <c r="UM15" s="37">
        <f t="shared" si="229"/>
        <v>-2545</v>
      </c>
      <c r="UN15" s="141">
        <f>IFERROR(VLOOKUP($D15,'Adient Assende (Belgium) WK.17'!$B:TJ,UO$1,0),0)</f>
        <v>80</v>
      </c>
      <c r="UO15" s="140">
        <f>IFERROR(VLOOKUP($D15,'Adient Arendal (Malzia) WK.12'!$B:TK,UO$1,0),0)</f>
        <v>0</v>
      </c>
      <c r="UP15" s="140">
        <f>IFERROR(VLOOKUP($D15,'Adient Taizhou (China) WK.16'!$B:TN,UO$1,0),0)</f>
        <v>0</v>
      </c>
      <c r="UQ15" s="128">
        <v>0</v>
      </c>
      <c r="UR15" s="32">
        <v>0</v>
      </c>
      <c r="US15" s="100">
        <f t="shared" si="297"/>
        <v>-2625</v>
      </c>
      <c r="UU15" s="37">
        <f t="shared" si="230"/>
        <v>-2625</v>
      </c>
      <c r="UV15" s="141">
        <f>IFERROR(VLOOKUP($D15,'Adient Assende (Belgium) WK.17'!$B:TR,UW$1,0),0)</f>
        <v>100</v>
      </c>
      <c r="UW15" s="140">
        <f>IFERROR(VLOOKUP($D15,'Adient Arendal (Malzia) WK.12'!$B:TS,UW$1,0),0)</f>
        <v>0</v>
      </c>
      <c r="UX15" s="140">
        <f>IFERROR(VLOOKUP($D15,'Adient Taizhou (China) WK.16'!$B:TV,UW$1,0),0)</f>
        <v>0</v>
      </c>
      <c r="UY15" s="128">
        <v>0</v>
      </c>
      <c r="UZ15" s="32">
        <v>0</v>
      </c>
      <c r="VA15" s="100">
        <f t="shared" si="298"/>
        <v>-2725</v>
      </c>
      <c r="VC15" s="37">
        <f t="shared" si="231"/>
        <v>-2725</v>
      </c>
      <c r="VD15" s="141">
        <f>IFERROR(VLOOKUP($D15,'Adient Assende (Belgium) WK.17'!$B:TZ,VE$1,0),0)</f>
        <v>100</v>
      </c>
      <c r="VE15" s="140">
        <f>IFERROR(VLOOKUP($D15,'Adient Arendal (Malzia) WK.12'!$B:UA,VE$1,0),0)</f>
        <v>0</v>
      </c>
      <c r="VF15" s="140">
        <f>IFERROR(VLOOKUP($D15,'Adient Taizhou (China) WK.16'!$B:UD,VE$1,0),0)</f>
        <v>0</v>
      </c>
      <c r="VG15" s="128">
        <v>0</v>
      </c>
      <c r="VH15" s="32">
        <v>0</v>
      </c>
      <c r="VI15" s="100">
        <f t="shared" si="299"/>
        <v>-2825</v>
      </c>
      <c r="VK15" s="37">
        <f t="shared" si="232"/>
        <v>-2825</v>
      </c>
      <c r="VL15" s="141">
        <f>IFERROR(VLOOKUP($D15,'Adient Assende (Belgium) WK.17'!$B:UH,VM$1,0),0)</f>
        <v>0</v>
      </c>
      <c r="VM15" s="140">
        <f>IFERROR(VLOOKUP($D15,'Adient Arendal (Malzia) WK.12'!$B:UI,VM$1,0),0)</f>
        <v>0</v>
      </c>
      <c r="VN15" s="140">
        <f>IFERROR(VLOOKUP($D15,'Adient Taizhou (China) WK.16'!$B:UL,VM$1,0),0)</f>
        <v>0</v>
      </c>
      <c r="VO15" s="128">
        <v>0</v>
      </c>
      <c r="VP15" s="32">
        <v>0</v>
      </c>
      <c r="VQ15" s="100">
        <f t="shared" si="300"/>
        <v>-2825</v>
      </c>
    </row>
    <row r="16" spans="1:589" x14ac:dyDescent="0.25">
      <c r="A16" s="10" t="s">
        <v>18</v>
      </c>
      <c r="B16" s="11" t="s">
        <v>19</v>
      </c>
      <c r="C16" s="87">
        <v>32248171</v>
      </c>
      <c r="D16" s="81">
        <v>4172753</v>
      </c>
      <c r="E16" s="11">
        <v>25</v>
      </c>
      <c r="F16" s="12"/>
      <c r="H16" s="122">
        <v>100</v>
      </c>
      <c r="I16" s="125">
        <f>IFERROR(VLOOKUP($D16,'Adient Assende (Belgium) WK.17'!$B:C,J$1,0),0)</f>
        <v>0</v>
      </c>
      <c r="J16" s="55">
        <f>IFERROR(VLOOKUP($D16,'Adient Arendal (Malzia) WK.12'!$B:C,J$1,0),0)</f>
        <v>0</v>
      </c>
      <c r="K16" s="55">
        <f>IFERROR(VLOOKUP($D16,'Adient Taizhou (China) WK.16'!$B:C,J$1,0),0)</f>
        <v>0</v>
      </c>
      <c r="L16" s="128">
        <v>0</v>
      </c>
      <c r="M16" s="32">
        <v>0</v>
      </c>
      <c r="N16" s="106">
        <f t="shared" si="233"/>
        <v>100</v>
      </c>
      <c r="P16" s="37">
        <f t="shared" si="234"/>
        <v>100</v>
      </c>
      <c r="Q16" s="125">
        <f>IFERROR(VLOOKUP($D16,'Adient Assende (Belgium) WK.17'!$B:K,R$1,0),0)</f>
        <v>0</v>
      </c>
      <c r="R16" s="55">
        <f>IFERROR(VLOOKUP($D16,'Adient Arendal (Malzia) WK.12'!$B:K,R$1,0),0)</f>
        <v>0</v>
      </c>
      <c r="S16" s="55">
        <f>IFERROR(VLOOKUP($D16,'Adient Taizhou (China) WK.16'!$B:K,R$1,0),0)</f>
        <v>0</v>
      </c>
      <c r="T16" s="41">
        <v>0</v>
      </c>
      <c r="U16" s="32">
        <v>0</v>
      </c>
      <c r="V16" s="106">
        <f t="shared" si="235"/>
        <v>100</v>
      </c>
      <c r="X16" s="37">
        <f t="shared" si="236"/>
        <v>100</v>
      </c>
      <c r="Y16" s="125">
        <f>IFERROR(VLOOKUP($D16,'Adient Assende (Belgium) WK.17'!$B:S,Z$1,0),0)</f>
        <v>0</v>
      </c>
      <c r="Z16" s="55">
        <f>IFERROR(VLOOKUP($D16,'Adient Arendal (Malzia) WK.12'!$B:S,Z$1,0),0)</f>
        <v>0</v>
      </c>
      <c r="AA16" s="55">
        <f>IFERROR(VLOOKUP($D16,'Adient Taizhou (China) WK.16'!$B:S,Z$1,0),0)</f>
        <v>0</v>
      </c>
      <c r="AB16" s="41">
        <v>0</v>
      </c>
      <c r="AC16" s="32">
        <v>0</v>
      </c>
      <c r="AD16" s="106">
        <f t="shared" si="237"/>
        <v>100</v>
      </c>
      <c r="AF16" s="37">
        <f t="shared" si="238"/>
        <v>100</v>
      </c>
      <c r="AG16" s="125">
        <f>IFERROR(VLOOKUP($D16,'Adient Assende (Belgium) WK.17'!$B:AA,AH$1,0),0)</f>
        <v>0</v>
      </c>
      <c r="AH16" s="55">
        <f>IFERROR(VLOOKUP($D16,'Adient Arendal (Malzia) WK.12'!$B:AA,AH$1,0),0)</f>
        <v>0</v>
      </c>
      <c r="AI16" s="55">
        <f>IFERROR(VLOOKUP($D16,'Adient Taizhou (China) WK.16'!$B:AA,AH$1,0),0)</f>
        <v>0</v>
      </c>
      <c r="AJ16" s="41">
        <v>0</v>
      </c>
      <c r="AK16" s="32">
        <v>0</v>
      </c>
      <c r="AL16" s="106">
        <f t="shared" si="239"/>
        <v>100</v>
      </c>
      <c r="AN16" s="37">
        <f t="shared" si="164"/>
        <v>100</v>
      </c>
      <c r="AO16" s="125">
        <f>IFERROR(VLOOKUP($D16,'Adient Assende (Belgium) WK.17'!$B:AI,AP$1,0),0)</f>
        <v>0</v>
      </c>
      <c r="AP16" s="55">
        <f>IFERROR(VLOOKUP($D16,'Adient Arendal (Malzia) WK.12'!$B:AI,AP$1,0),0)</f>
        <v>0</v>
      </c>
      <c r="AQ16" s="55">
        <f>IFERROR(VLOOKUP($D16,'Adient Taizhou (China) WK.16'!$B:AI,AP$1,0),0)</f>
        <v>0</v>
      </c>
      <c r="AR16" s="60">
        <v>0</v>
      </c>
      <c r="AS16" s="41">
        <v>0</v>
      </c>
      <c r="AT16" s="32">
        <v>0</v>
      </c>
      <c r="AU16" s="106">
        <f t="shared" si="240"/>
        <v>100</v>
      </c>
      <c r="AW16" s="37">
        <f t="shared" si="165"/>
        <v>100</v>
      </c>
      <c r="AX16" s="125">
        <f>IFERROR(VLOOKUP($D16,'Adient Assende (Belgium) WK.17'!$B:AR,AY$1,0),0)</f>
        <v>0</v>
      </c>
      <c r="AY16" s="55">
        <f>IFERROR(VLOOKUP($D16,'Adient Arendal (Malzia) WK.12'!$B:AR,AY$1,0),0)</f>
        <v>0</v>
      </c>
      <c r="AZ16" s="55">
        <f>IFERROR(VLOOKUP($D16,'Adient Taizhou (China) WK.16'!$B:AU,AY$1,0),0)</f>
        <v>0</v>
      </c>
      <c r="BA16" s="41">
        <v>0</v>
      </c>
      <c r="BB16" s="32">
        <v>0</v>
      </c>
      <c r="BC16" s="106">
        <f t="shared" si="241"/>
        <v>100</v>
      </c>
      <c r="BE16" s="37">
        <f t="shared" si="166"/>
        <v>100</v>
      </c>
      <c r="BF16" s="125">
        <f>IFERROR(VLOOKUP($D16,'Adient Assende (Belgium) WK.17'!$B:AX,BG$1,0),0)</f>
        <v>0</v>
      </c>
      <c r="BG16" s="55">
        <f>IFERROR(VLOOKUP($D16,'Adient Arendal (Malzia) WK.12'!$B:AZ,BG$1,0),0)</f>
        <v>0</v>
      </c>
      <c r="BH16" s="55">
        <f>IFERROR(VLOOKUP($D16,'Adient Taizhou (China) WK.16'!$B:BB,BG$1,0),0)</f>
        <v>0</v>
      </c>
      <c r="BI16" s="60">
        <v>0</v>
      </c>
      <c r="BJ16" s="60">
        <v>0</v>
      </c>
      <c r="BK16" s="41">
        <v>0</v>
      </c>
      <c r="BL16" s="32">
        <v>0</v>
      </c>
      <c r="BM16" s="106">
        <f t="shared" si="242"/>
        <v>100</v>
      </c>
      <c r="BN16" s="8"/>
      <c r="BO16" s="37">
        <f t="shared" si="167"/>
        <v>100</v>
      </c>
      <c r="BP16" s="125">
        <f>IFERROR(VLOOKUP($D16,'Adient Assende (Belgium) WK.17'!$B:BH,BQ$1,0),0)</f>
        <v>0</v>
      </c>
      <c r="BQ16" s="55">
        <f>IFERROR(VLOOKUP($D16,'Adient Arendal (Malzia) WK.12'!$B:BI,BQ$1,0),0)</f>
        <v>0</v>
      </c>
      <c r="BR16" s="55">
        <f>IFERROR(VLOOKUP($D16,'Adient Taizhou (China) WK.16'!$B:BL,BQ$1,0),0)</f>
        <v>0</v>
      </c>
      <c r="BS16" s="60">
        <v>0</v>
      </c>
      <c r="BT16" s="60">
        <v>0</v>
      </c>
      <c r="BU16" s="60">
        <v>0</v>
      </c>
      <c r="BV16" s="41">
        <v>100</v>
      </c>
      <c r="BW16" s="32">
        <v>0</v>
      </c>
      <c r="BX16" s="106">
        <f t="shared" si="243"/>
        <v>0</v>
      </c>
      <c r="BY16" s="8"/>
      <c r="BZ16" s="37">
        <f t="shared" si="168"/>
        <v>0</v>
      </c>
      <c r="CA16" s="125">
        <f>IFERROR(VLOOKUP($D16,'Adient Assende (Belgium) WK.17'!$B:BS,CB$1,0),0)</f>
        <v>100</v>
      </c>
      <c r="CB16" s="55">
        <f>IFERROR(VLOOKUP($D16,'Adient Arendal (Malzia) WK.12'!$B:BT,CB$1,0),0)</f>
        <v>0</v>
      </c>
      <c r="CC16" s="55">
        <f>IFERROR(VLOOKUP($D16,'Adient Taizhou (China) WK.16'!$B:BW,CB$1,0),0)</f>
        <v>0</v>
      </c>
      <c r="CD16" s="60">
        <v>0</v>
      </c>
      <c r="CE16" s="60">
        <v>0</v>
      </c>
      <c r="CF16" s="41">
        <v>0</v>
      </c>
      <c r="CG16" s="32">
        <v>0</v>
      </c>
      <c r="CH16" s="106">
        <f t="shared" si="244"/>
        <v>0</v>
      </c>
      <c r="CI16" s="8"/>
      <c r="CJ16" s="37">
        <f t="shared" si="169"/>
        <v>0</v>
      </c>
      <c r="CK16" s="125">
        <f>IFERROR(VLOOKUP($D16,'Adient Assende (Belgium) WK.17'!$B:CC,CL$1,0),0)</f>
        <v>0</v>
      </c>
      <c r="CL16" s="55">
        <f>IFERROR(VLOOKUP($D16,'Adient Arendal (Malzia) WK.12'!$B:CD,CL$1,0),0)</f>
        <v>0</v>
      </c>
      <c r="CM16" s="55">
        <f>IFERROR(VLOOKUP($D16,'Adient Taizhou (China) WK.16'!$B:CG,CL$1,0),0)</f>
        <v>0</v>
      </c>
      <c r="CN16" s="60">
        <v>0</v>
      </c>
      <c r="CO16" s="149">
        <v>0</v>
      </c>
      <c r="CP16" s="32">
        <v>0</v>
      </c>
      <c r="CQ16" s="106">
        <f t="shared" si="245"/>
        <v>0</v>
      </c>
      <c r="CR16" s="8"/>
      <c r="CS16" s="122">
        <f t="shared" si="170"/>
        <v>0</v>
      </c>
      <c r="CT16" s="154">
        <f>IFERROR(VLOOKUP($D16,'Adient Assende (Belgium) WK.17'!$B:CL,CU$1,0),0)</f>
        <v>0</v>
      </c>
      <c r="CU16" s="55">
        <f>IFERROR(VLOOKUP($D16,'Adient Arendal (Malzia) WK.12'!$B:CM,CU$1,0),0)</f>
        <v>0</v>
      </c>
      <c r="CV16" s="55">
        <f>IFERROR(VLOOKUP($D16,'Adient Taizhou (China) WK.16'!$B:CP,CU$1,0),0)</f>
        <v>0</v>
      </c>
      <c r="CW16" s="60">
        <v>0</v>
      </c>
      <c r="CX16" s="60">
        <v>0</v>
      </c>
      <c r="CY16" s="128">
        <v>0</v>
      </c>
      <c r="CZ16" s="32">
        <v>0</v>
      </c>
      <c r="DA16" s="106">
        <f t="shared" si="246"/>
        <v>0</v>
      </c>
      <c r="DB16" s="8"/>
      <c r="DC16" s="37">
        <f t="shared" si="171"/>
        <v>0</v>
      </c>
      <c r="DD16" s="125">
        <f>IFERROR(VLOOKUP($D16,'Adient Assende (Belgium) WK.17'!$B:CS,DE$1,0),0)</f>
        <v>0</v>
      </c>
      <c r="DE16" s="55">
        <f>IFERROR(VLOOKUP($D16,'Adient Arendal (Malzia) WK.12'!$B:CU,DE$1,0),0)</f>
        <v>0</v>
      </c>
      <c r="DF16" s="55">
        <f>IFERROR(VLOOKUP($D16,'Adient Taizhou (China) WK.16'!$B:CX,DE$1,0),0)</f>
        <v>0</v>
      </c>
      <c r="DG16" s="60">
        <v>275</v>
      </c>
      <c r="DH16" s="128">
        <v>0</v>
      </c>
      <c r="DI16" s="32">
        <v>0</v>
      </c>
      <c r="DJ16" s="106">
        <f t="shared" si="247"/>
        <v>275</v>
      </c>
      <c r="DL16" s="37">
        <f t="shared" si="172"/>
        <v>275</v>
      </c>
      <c r="DM16" s="125">
        <f>IFERROR(VLOOKUP($D16,'Adient Assende (Belgium) WK.17'!$B:DB,DN$1,0),0)</f>
        <v>0</v>
      </c>
      <c r="DN16" s="55">
        <f>IFERROR(VLOOKUP($D16,'Adient Arendal (Malzia) WK.12'!$B:DC,DN$1,0),0)</f>
        <v>0</v>
      </c>
      <c r="DO16" s="55">
        <f>IFERROR(VLOOKUP($D16,'Adient Taizhou (China) WK.16'!$B:DF,DN$1,0),0)</f>
        <v>0</v>
      </c>
      <c r="DP16" s="128">
        <v>0</v>
      </c>
      <c r="DQ16" s="32">
        <v>0</v>
      </c>
      <c r="DR16" s="106">
        <f t="shared" si="173"/>
        <v>275</v>
      </c>
      <c r="DS16" s="8"/>
      <c r="DT16" s="37">
        <f t="shared" si="174"/>
        <v>275</v>
      </c>
      <c r="DU16" s="125">
        <f>IFERROR(VLOOKUP($D16,'Adient Assende (Belgium) WK.17'!$B:DJ,DV$1,0),0)</f>
        <v>0</v>
      </c>
      <c r="DV16" s="55">
        <f>IFERROR(VLOOKUP($D16,'Adient Arendal (Malzia) WK.12'!$B:DK,DV$1,0),0)</f>
        <v>0</v>
      </c>
      <c r="DW16" s="55">
        <f>IFERROR(VLOOKUP($D16,'Adient Taizhou (China) WK.16'!$B:DN,DV$1,0),0)</f>
        <v>0</v>
      </c>
      <c r="DX16" s="60">
        <v>25</v>
      </c>
      <c r="DY16" s="60">
        <v>0</v>
      </c>
      <c r="DZ16" s="128">
        <v>0</v>
      </c>
      <c r="EA16" s="32">
        <v>0</v>
      </c>
      <c r="EB16" s="106">
        <f t="shared" si="248"/>
        <v>300</v>
      </c>
      <c r="EC16" s="8"/>
      <c r="ED16" s="37">
        <f t="shared" si="175"/>
        <v>300</v>
      </c>
      <c r="EE16" s="125">
        <f>IFERROR(VLOOKUP($D16,'Adient Assende (Belgium) WK.17'!$B:DR,EF$1,0),0)</f>
        <v>0</v>
      </c>
      <c r="EF16" s="55">
        <f>IFERROR(VLOOKUP($D16,'Adient Arendal (Malzia) WK.12'!$B:DS,EF$1,0),0)</f>
        <v>0</v>
      </c>
      <c r="EG16" s="55">
        <f>IFERROR(VLOOKUP($D16,'Adient Taizhou (China) WK.16'!$B:DV,EF$1,0),0)</f>
        <v>0</v>
      </c>
      <c r="EH16" s="60">
        <v>0</v>
      </c>
      <c r="EI16" s="128">
        <v>0</v>
      </c>
      <c r="EJ16" s="32">
        <v>0</v>
      </c>
      <c r="EK16" s="106">
        <f t="shared" si="249"/>
        <v>300</v>
      </c>
      <c r="EM16" s="37">
        <f t="shared" si="176"/>
        <v>300</v>
      </c>
      <c r="EN16" s="125">
        <f>IFERROR(VLOOKUP($D16,'Adient Assende (Belgium) WK.17'!$B:DZ,EO$1,0),0)</f>
        <v>0</v>
      </c>
      <c r="EO16" s="55">
        <f>IFERROR(VLOOKUP($D16,'Adient Arendal (Malzia) WK.12'!$B:EA,EO$1,0),0)</f>
        <v>0</v>
      </c>
      <c r="EP16" s="55">
        <f>IFERROR(VLOOKUP($D16,'Adient Taizhou (China) WK.16'!$B:ED,EO$1,0),0)</f>
        <v>0</v>
      </c>
      <c r="EQ16" s="128">
        <v>100</v>
      </c>
      <c r="ER16" s="32">
        <v>0</v>
      </c>
      <c r="ES16" s="106">
        <f t="shared" si="250"/>
        <v>200</v>
      </c>
      <c r="EU16" s="37">
        <f t="shared" si="177"/>
        <v>200</v>
      </c>
      <c r="EV16" s="125">
        <f>IFERROR(VLOOKUP($D16,'Adient Assende (Belgium) WK.17'!$B:EH,EW$1,0),0)</f>
        <v>100</v>
      </c>
      <c r="EW16" s="55">
        <f>IFERROR(VLOOKUP($D16,'Adient Arendal (Malzia) WK.12'!$B:EI,EW$1,0),0)</f>
        <v>0</v>
      </c>
      <c r="EX16" s="55">
        <f>IFERROR(VLOOKUP($D16,'Adient Taizhou (China) WK.16'!$B:EL,EW$1,0),0)</f>
        <v>0</v>
      </c>
      <c r="EY16" s="128">
        <v>0</v>
      </c>
      <c r="EZ16" s="32">
        <v>0</v>
      </c>
      <c r="FA16" s="106">
        <f t="shared" si="251"/>
        <v>200</v>
      </c>
      <c r="FC16" s="37">
        <f t="shared" si="178"/>
        <v>200</v>
      </c>
      <c r="FD16" s="154">
        <f>IFERROR(VLOOKUP($D16,'Adient Assende (Belgium) WK.17'!$B:EP,FE$1,0),0)</f>
        <v>0</v>
      </c>
      <c r="FE16" s="154">
        <f>IFERROR(VLOOKUP($D16,'Adient Arendal (Malzia) WK.12'!$B:EQ,FE$1,0),0)</f>
        <v>0</v>
      </c>
      <c r="FF16" s="154">
        <f>IFERROR(VLOOKUP($D16,'Adient Taizhou (China) WK.16'!$B:ET,FE$1,0),0)</f>
        <v>0</v>
      </c>
      <c r="FG16" s="128">
        <v>0</v>
      </c>
      <c r="FH16" s="32">
        <v>0</v>
      </c>
      <c r="FI16" s="106">
        <f t="shared" si="252"/>
        <v>200</v>
      </c>
      <c r="FK16" s="37">
        <f t="shared" si="179"/>
        <v>200</v>
      </c>
      <c r="FL16" s="125">
        <f>IFERROR(VLOOKUP($D16,'Adient Assende (Belgium) WK.17'!$B:EX,FM$1,0),0)</f>
        <v>0</v>
      </c>
      <c r="FM16" s="55">
        <f>IFERROR(VLOOKUP($D16,'Adient Arendal (Malzia) WK.12'!$B:EY,FM$1,0),0)</f>
        <v>0</v>
      </c>
      <c r="FN16" s="55">
        <f>IFERROR(VLOOKUP($D16,'Adient Taizhou (China) WK.16'!$B:FB,FM$1,0),0)</f>
        <v>0</v>
      </c>
      <c r="FO16" s="128">
        <v>0</v>
      </c>
      <c r="FP16" s="32">
        <v>0</v>
      </c>
      <c r="FQ16" s="106">
        <f t="shared" si="253"/>
        <v>200</v>
      </c>
      <c r="FR16" s="8"/>
      <c r="FS16" s="37">
        <f t="shared" si="180"/>
        <v>200</v>
      </c>
      <c r="FT16" s="125">
        <f>IFERROR(VLOOKUP($D16,'Adient Assende (Belgium) WK.17'!$B:FF,FU$1,0),0)</f>
        <v>0</v>
      </c>
      <c r="FU16" s="55">
        <f>IFERROR(VLOOKUP($D16,'Adient Arendal (Malzia) WK.12'!$B:FG,FU$1,0),0)</f>
        <v>0</v>
      </c>
      <c r="FV16" s="55">
        <f>IFERROR(VLOOKUP($D16,'Adient Taizhou (China) WK.16'!$B:FJ,FU$1,0),0)</f>
        <v>0</v>
      </c>
      <c r="FW16" s="60">
        <v>0</v>
      </c>
      <c r="FX16" s="60">
        <v>0</v>
      </c>
      <c r="FY16" s="60">
        <v>0</v>
      </c>
      <c r="FZ16" s="60">
        <v>0</v>
      </c>
      <c r="GA16" s="60">
        <v>0</v>
      </c>
      <c r="GB16" s="128">
        <v>0</v>
      </c>
      <c r="GC16" s="32">
        <v>0</v>
      </c>
      <c r="GD16" s="106">
        <f t="shared" si="254"/>
        <v>200</v>
      </c>
      <c r="GF16" s="37">
        <f t="shared" si="181"/>
        <v>200</v>
      </c>
      <c r="GG16" s="125">
        <f>IFERROR(VLOOKUP($D16,'Adient Assende (Belgium) WK.17'!$B:FN,GH$1,0),0)</f>
        <v>0</v>
      </c>
      <c r="GH16" s="55">
        <f>IFERROR(VLOOKUP($D16,'Adient Arendal (Malzia) WK.12'!$B:FO,GH$1,0),0)</f>
        <v>0</v>
      </c>
      <c r="GI16" s="55">
        <f>IFERROR(VLOOKUP($D16,'Adient Taizhou (China) WK.16'!$B:FR,GH$1,0),0)</f>
        <v>0</v>
      </c>
      <c r="GJ16" s="60">
        <v>0</v>
      </c>
      <c r="GK16" s="128">
        <v>0</v>
      </c>
      <c r="GL16" s="32">
        <v>0</v>
      </c>
      <c r="GM16" s="106">
        <f t="shared" si="255"/>
        <v>200</v>
      </c>
      <c r="GO16" s="37">
        <f t="shared" si="182"/>
        <v>200</v>
      </c>
      <c r="GP16" s="125">
        <f>IFERROR(VLOOKUP($D16,'Adient Assende (Belgium) WK.17'!$B:FV,GQ$1,0),0)</f>
        <v>0</v>
      </c>
      <c r="GQ16" s="55">
        <f>IFERROR(VLOOKUP($D16,'Adient Arendal (Malzia) WK.12'!$B:FW,GQ$1,0),0)</f>
        <v>0</v>
      </c>
      <c r="GR16" s="55">
        <f>IFERROR(VLOOKUP($D16,'Adient Taizhou (China) WK.16'!$B:FZ,GQ$1,0),0)</f>
        <v>0</v>
      </c>
      <c r="GS16" s="60">
        <v>0</v>
      </c>
      <c r="GT16" s="128">
        <v>0</v>
      </c>
      <c r="GU16" s="32">
        <v>0</v>
      </c>
      <c r="GV16" s="106">
        <f t="shared" si="256"/>
        <v>200</v>
      </c>
      <c r="GW16" s="8"/>
      <c r="GX16" s="37">
        <f t="shared" si="183"/>
        <v>200</v>
      </c>
      <c r="GY16" s="125">
        <f>IFERROR(VLOOKUP($D16,'Adient Assende (Belgium) WK.17'!$B:GD,GZ$1,0),0)</f>
        <v>0</v>
      </c>
      <c r="GZ16" s="55">
        <f>IFERROR(VLOOKUP($D16,'Adient Arendal (Malzia) WK.12'!$B:GE,GZ$1,0),0)</f>
        <v>0</v>
      </c>
      <c r="HA16" s="55">
        <f>IFERROR(VLOOKUP($D16,'Adient Taizhou (China) WK.16'!$B:GH,GZ$1,0),0)</f>
        <v>0</v>
      </c>
      <c r="HB16" s="60">
        <v>0</v>
      </c>
      <c r="HC16" s="128">
        <v>0</v>
      </c>
      <c r="HD16" s="32">
        <v>0</v>
      </c>
      <c r="HE16" s="106">
        <f t="shared" si="257"/>
        <v>200</v>
      </c>
      <c r="HF16" s="8"/>
      <c r="HG16" s="37">
        <f t="shared" si="184"/>
        <v>200</v>
      </c>
      <c r="HH16" s="125">
        <f>IFERROR(VLOOKUP($D16,'Adient Assende (Belgium) WK.17'!$B:GL,HI$1,0),0)</f>
        <v>0</v>
      </c>
      <c r="HI16" s="55">
        <f>IFERROR(VLOOKUP($D16,'Adient Arendal (Malzia) WK.12'!$B:GM,HI$1,0),0)</f>
        <v>0</v>
      </c>
      <c r="HJ16" s="55">
        <f>IFERROR(VLOOKUP($D16,'Adient Taizhou (China) WK.16'!$B:GP,HI$1,0),0)</f>
        <v>0</v>
      </c>
      <c r="HK16" s="60">
        <v>0</v>
      </c>
      <c r="HL16" s="128">
        <v>0</v>
      </c>
      <c r="HM16" s="32">
        <v>0</v>
      </c>
      <c r="HN16" s="106">
        <f t="shared" si="258"/>
        <v>200</v>
      </c>
      <c r="HO16" s="8"/>
      <c r="HP16" s="37">
        <f t="shared" si="185"/>
        <v>200</v>
      </c>
      <c r="HQ16" s="125">
        <f>IFERROR(VLOOKUP($D16,'Adient Assende (Belgium) WK.17'!$B:GT,HR$1,0),0)</f>
        <v>0</v>
      </c>
      <c r="HR16" s="55">
        <f>IFERROR(VLOOKUP($D16,'Adient Arendal (Malzia) WK.12'!$B:GU,HR$1,0),0)</f>
        <v>0</v>
      </c>
      <c r="HS16" s="55">
        <f>IFERROR(VLOOKUP($D16,'Adient Taizhou (China) WK.16'!$B:GX,HR$1,0),0)</f>
        <v>0</v>
      </c>
      <c r="HT16" s="60">
        <v>0</v>
      </c>
      <c r="HU16" s="128">
        <v>0</v>
      </c>
      <c r="HV16" s="32">
        <v>0</v>
      </c>
      <c r="HW16" s="106">
        <f t="shared" si="259"/>
        <v>200</v>
      </c>
      <c r="HX16" s="8"/>
      <c r="HY16" s="37">
        <f t="shared" si="186"/>
        <v>200</v>
      </c>
      <c r="HZ16" s="125">
        <f>IFERROR(VLOOKUP($D16,'Adient Assende (Belgium) WK.17'!$B:HB,IA$1,0),0)</f>
        <v>0</v>
      </c>
      <c r="IA16" s="55">
        <f>IFERROR(VLOOKUP($D16,'Adient Arendal (Malzia) WK.12'!$B:HC,IA$1,0),0)</f>
        <v>0</v>
      </c>
      <c r="IB16" s="55">
        <f>IFERROR(VLOOKUP($D16,'Adient Taizhou (China) WK.16'!$B:HF,IA$1,0),0)</f>
        <v>0</v>
      </c>
      <c r="IC16" s="60">
        <v>0</v>
      </c>
      <c r="ID16" s="128">
        <v>0</v>
      </c>
      <c r="IE16" s="32">
        <v>0</v>
      </c>
      <c r="IF16" s="106">
        <f t="shared" si="260"/>
        <v>200</v>
      </c>
      <c r="IG16" s="8"/>
      <c r="IH16" s="37">
        <f t="shared" si="187"/>
        <v>200</v>
      </c>
      <c r="II16" s="125">
        <f>IFERROR(VLOOKUP($D16,'Adient Assende (Belgium) WK.17'!$B:HJ,IJ$1,0),0)</f>
        <v>0</v>
      </c>
      <c r="IJ16" s="55">
        <f>IFERROR(VLOOKUP($D16,'Adient Arendal (Malzia) WK.12'!$B:HK,IJ$1,0),0)</f>
        <v>0</v>
      </c>
      <c r="IK16" s="55">
        <f>IFERROR(VLOOKUP($D16,'Adient Taizhou (China) WK.16'!$B:HN,IJ$1,0),0)</f>
        <v>0</v>
      </c>
      <c r="IL16" s="128">
        <v>0</v>
      </c>
      <c r="IM16" s="32">
        <v>0</v>
      </c>
      <c r="IN16" s="106">
        <f t="shared" si="188"/>
        <v>200</v>
      </c>
      <c r="IO16" s="8"/>
      <c r="IP16" s="37">
        <f t="shared" si="189"/>
        <v>200</v>
      </c>
      <c r="IQ16" s="125">
        <f>IFERROR(VLOOKUP($D16,'Adient Assende (Belgium) WK.17'!$B:HR,IR$1,0),0)</f>
        <v>0</v>
      </c>
      <c r="IR16" s="55">
        <f>IFERROR(VLOOKUP($D16,'Adient Arendal (Malzia) WK.12'!$B:HS,IR$1,0),0)</f>
        <v>0</v>
      </c>
      <c r="IS16" s="55">
        <f>IFERROR(VLOOKUP($D16,'Adient Taizhou (China) WK.16'!$B:HV,IR$1,0),0)</f>
        <v>0</v>
      </c>
      <c r="IT16" s="60">
        <v>0</v>
      </c>
      <c r="IU16" s="128">
        <v>0</v>
      </c>
      <c r="IV16" s="32">
        <v>0</v>
      </c>
      <c r="IW16" s="106">
        <f t="shared" si="261"/>
        <v>200</v>
      </c>
      <c r="IX16" s="8"/>
      <c r="IY16" s="37">
        <f t="shared" si="190"/>
        <v>200</v>
      </c>
      <c r="IZ16" s="125">
        <f>IFERROR(VLOOKUP($D16,'Adient Assende (Belgium) WK.17'!$B:HZ,JA$1,0),0)</f>
        <v>0</v>
      </c>
      <c r="JA16" s="55">
        <f>IFERROR(VLOOKUP($D16,'Adient Arendal (Malzia) WK.12'!$B:IA,JA$1,0),0)</f>
        <v>0</v>
      </c>
      <c r="JB16" s="55">
        <f>IFERROR(VLOOKUP($D16,'Adient Taizhou (China) WK.16'!$B:ID,JA$1,0),0)</f>
        <v>0</v>
      </c>
      <c r="JC16" s="128">
        <v>0</v>
      </c>
      <c r="JD16" s="32">
        <v>0</v>
      </c>
      <c r="JE16" s="106">
        <f t="shared" si="191"/>
        <v>200</v>
      </c>
      <c r="JF16" s="8"/>
      <c r="JG16" s="37">
        <f t="shared" si="192"/>
        <v>200</v>
      </c>
      <c r="JH16" s="125">
        <f>IFERROR(VLOOKUP($D16,'Adient Assende (Belgium) WK.17'!$B:IH,JI$1,0),0)</f>
        <v>0</v>
      </c>
      <c r="JI16" s="55">
        <f>IFERROR(VLOOKUP($D16,'Adient Arendal (Malzia) WK.12'!$B:II,JI$1,0),0)</f>
        <v>0</v>
      </c>
      <c r="JJ16" s="55">
        <f>IFERROR(VLOOKUP($D16,'Adient Taizhou (China) WK.16'!$B:IL,JI$1,0),0)</f>
        <v>0</v>
      </c>
      <c r="JK16" s="60">
        <v>0</v>
      </c>
      <c r="JL16" s="128">
        <v>0</v>
      </c>
      <c r="JM16" s="32">
        <v>0</v>
      </c>
      <c r="JN16" s="106">
        <f t="shared" si="262"/>
        <v>200</v>
      </c>
      <c r="JO16" s="8"/>
      <c r="JP16" s="37">
        <f t="shared" si="193"/>
        <v>200</v>
      </c>
      <c r="JQ16" s="125">
        <f>IFERROR(VLOOKUP($D16,'Adient Assende (Belgium) WK.17'!$B:IP,JR$1,0),0)</f>
        <v>0</v>
      </c>
      <c r="JR16" s="55">
        <f>IFERROR(VLOOKUP($D16,'Adient Arendal (Malzia) WK.12'!$B:IQ,JR$1,0),0)</f>
        <v>0</v>
      </c>
      <c r="JS16" s="55">
        <f>IFERROR(VLOOKUP($D16,'Adient Taizhou (China) WK.16'!$B:IT,JR$1,0),0)</f>
        <v>0</v>
      </c>
      <c r="JT16" s="128">
        <v>0</v>
      </c>
      <c r="JU16" s="32">
        <v>0</v>
      </c>
      <c r="JV16" s="106">
        <f t="shared" si="194"/>
        <v>200</v>
      </c>
      <c r="JW16" s="8"/>
      <c r="JX16" s="37">
        <f t="shared" si="195"/>
        <v>200</v>
      </c>
      <c r="JY16" s="154">
        <f>IFERROR(VLOOKUP($D16,'Adient Assende (Belgium) WK.17'!$B:IX,JZ$1,0),0)</f>
        <v>0</v>
      </c>
      <c r="JZ16" s="55">
        <f>IFERROR(VLOOKUP($D16,'Adient Arendal (Malzia) WK.12'!$B:IY,JZ$1,0),0)</f>
        <v>0</v>
      </c>
      <c r="KA16" s="55">
        <f>IFERROR(VLOOKUP($D16,'Adient Taizhou (China) WK.16'!$B:JB,JZ$1,0),0)</f>
        <v>0</v>
      </c>
      <c r="KB16" s="128">
        <v>100</v>
      </c>
      <c r="KC16" s="32">
        <v>0</v>
      </c>
      <c r="KD16" s="106">
        <f t="shared" si="263"/>
        <v>100</v>
      </c>
      <c r="KE16" s="8"/>
      <c r="KF16" s="37">
        <f t="shared" si="196"/>
        <v>100</v>
      </c>
      <c r="KG16" s="125">
        <f>IFERROR(VLOOKUP($D16,'Adient Assende (Belgium) WK.17'!$B:JF,KH$1,0),0)</f>
        <v>100</v>
      </c>
      <c r="KH16" s="55">
        <f>IFERROR(VLOOKUP($D16,'Adient Arendal (Malzia) WK.12'!$B:JG,KH$1,0),0)</f>
        <v>0</v>
      </c>
      <c r="KI16" s="55">
        <f>IFERROR(VLOOKUP($D16,'Adient Taizhou (China) WK.16'!$B:JJ,KH$1,0),0)</f>
        <v>0</v>
      </c>
      <c r="KJ16" s="60">
        <v>0</v>
      </c>
      <c r="KK16" s="128">
        <v>0</v>
      </c>
      <c r="KL16" s="32">
        <v>0</v>
      </c>
      <c r="KM16" s="106">
        <f t="shared" si="264"/>
        <v>100</v>
      </c>
      <c r="KN16" s="8"/>
      <c r="KO16" s="37">
        <f t="shared" si="197"/>
        <v>100</v>
      </c>
      <c r="KP16" s="141">
        <f>IFERROR(VLOOKUP($D16,'Adient Assende (Belgium) WK.17'!$B:JN,KQ$1,0),0)</f>
        <v>0</v>
      </c>
      <c r="KQ16" s="140">
        <f>IFERROR(VLOOKUP($D16,'Adient Arendal (Malzia) WK.12'!$B:JO,KQ$1,0),0)</f>
        <v>0</v>
      </c>
      <c r="KR16" s="140">
        <f>IFERROR(VLOOKUP($D16,'Adient Taizhou (China) WK.16'!$B:JR,KQ$1,0),0)</f>
        <v>0</v>
      </c>
      <c r="KS16" s="60">
        <v>0</v>
      </c>
      <c r="KT16" s="128">
        <v>0</v>
      </c>
      <c r="KU16" s="32">
        <v>0</v>
      </c>
      <c r="KV16" s="106">
        <f t="shared" si="265"/>
        <v>100</v>
      </c>
      <c r="KX16" s="37">
        <f t="shared" si="198"/>
        <v>100</v>
      </c>
      <c r="KY16" s="141">
        <f>IFERROR(VLOOKUP($D16,'Adient Assende (Belgium) WK.17'!$B:JV,KZ$1,0),0)</f>
        <v>0</v>
      </c>
      <c r="KZ16" s="140">
        <f>IFERROR(VLOOKUP($D16,'Adient Arendal (Malzia) WK.12'!$B:JW,KZ$1,0),0)</f>
        <v>0</v>
      </c>
      <c r="LA16" s="140">
        <f>IFERROR(VLOOKUP($D16,'Adient Taizhou (China) WK.16'!$B:JZ,KZ$1,0),0)</f>
        <v>0</v>
      </c>
      <c r="LB16" s="128">
        <v>0</v>
      </c>
      <c r="LC16" s="32">
        <v>0</v>
      </c>
      <c r="LD16" s="106">
        <f t="shared" si="266"/>
        <v>100</v>
      </c>
      <c r="LF16" s="37">
        <f t="shared" si="199"/>
        <v>100</v>
      </c>
      <c r="LG16" s="141">
        <f>IFERROR(VLOOKUP($D16,'Adient Assende (Belgium) WK.17'!$B:KD,LH$1,0),0)</f>
        <v>0</v>
      </c>
      <c r="LH16" s="140">
        <f>IFERROR(VLOOKUP($D16,'Adient Arendal (Malzia) WK.12'!$B:KE,LH$1,0),0)</f>
        <v>0</v>
      </c>
      <c r="LI16" s="140">
        <f>IFERROR(VLOOKUP($D16,'Adient Taizhou (China) WK.16'!$B:KH,LH$1,0),0)</f>
        <v>0</v>
      </c>
      <c r="LJ16" s="60">
        <v>0</v>
      </c>
      <c r="LK16" s="128">
        <v>0</v>
      </c>
      <c r="LL16" s="32">
        <v>0</v>
      </c>
      <c r="LM16" s="100">
        <f t="shared" si="267"/>
        <v>100</v>
      </c>
      <c r="LO16" s="37">
        <f t="shared" si="200"/>
        <v>100</v>
      </c>
      <c r="LP16" s="141">
        <f>IFERROR(VLOOKUP($D16,'Adient Assende (Belgium) WK.17'!$B:KL,LQ$1,0),0)</f>
        <v>0</v>
      </c>
      <c r="LQ16" s="140">
        <f>IFERROR(VLOOKUP($D16,'Adient Arendal (Malzia) WK.12'!$B:KM,LQ$1,0),0)</f>
        <v>0</v>
      </c>
      <c r="LR16" s="140">
        <f>IFERROR(VLOOKUP($D16,'Adient Taizhou (China) WK.16'!$B:KP,LQ$1,0),0)</f>
        <v>0</v>
      </c>
      <c r="LS16" s="128">
        <v>0</v>
      </c>
      <c r="LT16" s="32">
        <v>0</v>
      </c>
      <c r="LU16" s="100">
        <f t="shared" si="268"/>
        <v>100</v>
      </c>
      <c r="LW16" s="37">
        <f t="shared" si="201"/>
        <v>100</v>
      </c>
      <c r="LX16" s="141">
        <f>IFERROR(VLOOKUP($D16,'Adient Assende (Belgium) WK.17'!$B:KT,LY$1,0),0)</f>
        <v>0</v>
      </c>
      <c r="LY16" s="140">
        <f>IFERROR(VLOOKUP($D16,'Adient Arendal (Malzia) WK.12'!$B:KU,LY$1,0),0)</f>
        <v>0</v>
      </c>
      <c r="LZ16" s="140">
        <f>IFERROR(VLOOKUP($D16,'Adient Taizhou (China) WK.16'!$B:KX,LY$1,0),0)</f>
        <v>0</v>
      </c>
      <c r="MA16" s="128">
        <v>0</v>
      </c>
      <c r="MB16" s="32">
        <v>0</v>
      </c>
      <c r="MC16" s="100">
        <f t="shared" si="269"/>
        <v>100</v>
      </c>
      <c r="ME16" s="37">
        <f t="shared" si="202"/>
        <v>100</v>
      </c>
      <c r="MF16" s="154">
        <f>IFERROR(VLOOKUP($D16,'Adient Assende (Belgium) WK.17'!$B:LB,MG$1,0),0)</f>
        <v>0</v>
      </c>
      <c r="MG16" s="140">
        <f>IFERROR(VLOOKUP($D16,'Adient Arendal (Malzia) WK.12'!$B:LC,MG$1,0),0)</f>
        <v>0</v>
      </c>
      <c r="MH16" s="140">
        <f>IFERROR(VLOOKUP($D16,'Adient Taizhou (China) WK.16'!$B:LF,MG$1,0),0)</f>
        <v>0</v>
      </c>
      <c r="MI16" s="128">
        <v>0</v>
      </c>
      <c r="MJ16" s="32">
        <v>0</v>
      </c>
      <c r="MK16" s="100">
        <f t="shared" si="270"/>
        <v>100</v>
      </c>
      <c r="MM16" s="37">
        <f t="shared" si="203"/>
        <v>100</v>
      </c>
      <c r="MN16" s="141">
        <f>IFERROR(VLOOKUP($D16,'Adient Assende (Belgium) WK.17'!$B:LJ,MO$1,0),0)</f>
        <v>100</v>
      </c>
      <c r="MO16" s="140">
        <f>IFERROR(VLOOKUP($D16,'Adient Arendal (Malzia) WK.12'!$B:LK,MO$1,0),0)</f>
        <v>0</v>
      </c>
      <c r="MP16" s="140">
        <f>IFERROR(VLOOKUP($D16,'Adient Taizhou (China) WK.16'!$B:LN,MO$1,0),0)</f>
        <v>0</v>
      </c>
      <c r="MQ16" s="128">
        <v>0</v>
      </c>
      <c r="MR16" s="32">
        <v>0</v>
      </c>
      <c r="MS16" s="100">
        <f t="shared" si="271"/>
        <v>0</v>
      </c>
      <c r="MU16" s="37">
        <f t="shared" si="204"/>
        <v>0</v>
      </c>
      <c r="MV16" s="141">
        <f>IFERROR(VLOOKUP($D16,'Adient Assende (Belgium) WK.17'!$B:LR,MW$1,0),0)</f>
        <v>0</v>
      </c>
      <c r="MW16" s="140">
        <f>IFERROR(VLOOKUP($D16,'Adient Arendal (Malzia) WK.12'!$B:LS,MW$1,0),0)</f>
        <v>0</v>
      </c>
      <c r="MX16" s="140">
        <f>IFERROR(VLOOKUP($D16,'Adient Taizhou (China) WK.16'!$B:LV,MW$1,0),0)</f>
        <v>0</v>
      </c>
      <c r="MY16" s="128">
        <v>0</v>
      </c>
      <c r="MZ16" s="32">
        <v>0</v>
      </c>
      <c r="NA16" s="100">
        <f t="shared" si="272"/>
        <v>0</v>
      </c>
      <c r="NC16" s="37">
        <f t="shared" si="205"/>
        <v>0</v>
      </c>
      <c r="ND16" s="141">
        <f>IFERROR(VLOOKUP($D16,'Adient Assende (Belgium) WK.17'!$B:LZ,NE$1,0),0)</f>
        <v>0</v>
      </c>
      <c r="NE16" s="140">
        <f>IFERROR(VLOOKUP($D16,'Adient Arendal (Malzia) WK.12'!$B:MA,NE$1,0),0)</f>
        <v>0</v>
      </c>
      <c r="NF16" s="140">
        <f>IFERROR(VLOOKUP($D16,'Adient Taizhou (China) WK.16'!$B:MD,NE$1,0),0)</f>
        <v>0</v>
      </c>
      <c r="NG16" s="128">
        <v>0</v>
      </c>
      <c r="NH16" s="32">
        <v>0</v>
      </c>
      <c r="NI16" s="100">
        <f t="shared" si="273"/>
        <v>0</v>
      </c>
      <c r="NK16" s="37">
        <f t="shared" si="206"/>
        <v>0</v>
      </c>
      <c r="NL16" s="141">
        <f>IFERROR(VLOOKUP($D16,'Adient Assende (Belgium) WK.17'!$B:MH,NM$1,0),0)</f>
        <v>0</v>
      </c>
      <c r="NM16" s="140">
        <f>IFERROR(VLOOKUP($D16,'Adient Arendal (Malzia) WK.12'!$B:MI,NM$1,0),0)</f>
        <v>0</v>
      </c>
      <c r="NN16" s="140">
        <f>IFERROR(VLOOKUP($D16,'Adient Taizhou (China) WK.16'!$B:ML,NM$1,0),0)</f>
        <v>0</v>
      </c>
      <c r="NO16" s="128">
        <v>0</v>
      </c>
      <c r="NP16" s="32">
        <v>0</v>
      </c>
      <c r="NQ16" s="100">
        <f t="shared" si="274"/>
        <v>0</v>
      </c>
      <c r="NS16" s="37">
        <f t="shared" si="207"/>
        <v>0</v>
      </c>
      <c r="NT16" s="141">
        <f>IFERROR(VLOOKUP($D16,'Adient Assende (Belgium) WK.17'!$B:MP,NU$1,0),0)</f>
        <v>0</v>
      </c>
      <c r="NU16" s="140">
        <f>IFERROR(VLOOKUP($D16,'Adient Arendal (Malzia) WK.12'!$B:MQ,NU$1,0),0)</f>
        <v>0</v>
      </c>
      <c r="NV16" s="140">
        <f>IFERROR(VLOOKUP($D16,'Adient Taizhou (China) WK.16'!$B:MT,NU$1,0),0)</f>
        <v>0</v>
      </c>
      <c r="NW16" s="128">
        <v>0</v>
      </c>
      <c r="NX16" s="32">
        <v>0</v>
      </c>
      <c r="NY16" s="100">
        <f t="shared" si="275"/>
        <v>0</v>
      </c>
      <c r="OA16" s="37">
        <f t="shared" si="208"/>
        <v>0</v>
      </c>
      <c r="OB16" s="141">
        <f>IFERROR(VLOOKUP($D16,'Adient Assende (Belgium) WK.17'!$B:MX,OC$1,0),0)</f>
        <v>0</v>
      </c>
      <c r="OC16" s="140">
        <f>IFERROR(VLOOKUP($D16,'Adient Arendal (Malzia) WK.12'!$B:MY,OC$1,0),0)</f>
        <v>0</v>
      </c>
      <c r="OD16" s="140">
        <f>IFERROR(VLOOKUP($D16,'Adient Taizhou (China) WK.16'!$B:NB,OC$1,0),0)</f>
        <v>0</v>
      </c>
      <c r="OE16" s="128">
        <v>0</v>
      </c>
      <c r="OF16" s="32">
        <v>0</v>
      </c>
      <c r="OG16" s="100">
        <f t="shared" si="276"/>
        <v>0</v>
      </c>
      <c r="OI16" s="37">
        <f t="shared" si="209"/>
        <v>0</v>
      </c>
      <c r="OJ16" s="141">
        <f>IFERROR(VLOOKUP($D16,'Adient Assende (Belgium) WK.17'!$B:NF,OK$1,0),0)</f>
        <v>100</v>
      </c>
      <c r="OK16" s="140">
        <f>IFERROR(VLOOKUP($D16,'Adient Arendal (Malzia) WK.12'!$B:NG,OK$1,0),0)</f>
        <v>0</v>
      </c>
      <c r="OL16" s="140">
        <f>IFERROR(VLOOKUP($D16,'Adient Taizhou (China) WK.16'!$B:NJ,OK$1,0),0)</f>
        <v>0</v>
      </c>
      <c r="OM16" s="128">
        <v>0</v>
      </c>
      <c r="ON16" s="32">
        <v>0</v>
      </c>
      <c r="OO16" s="100">
        <f t="shared" si="277"/>
        <v>-100</v>
      </c>
      <c r="OQ16" s="37">
        <f t="shared" si="210"/>
        <v>-100</v>
      </c>
      <c r="OR16" s="141">
        <f>IFERROR(VLOOKUP($D16,'Adient Assende (Belgium) WK.17'!$B:NN,OS$1,0),0)</f>
        <v>0</v>
      </c>
      <c r="OS16" s="140">
        <f>IFERROR(VLOOKUP($D16,'Adient Arendal (Malzia) WK.12'!$B:NO,OS$1,0),0)</f>
        <v>0</v>
      </c>
      <c r="OT16" s="140">
        <f>IFERROR(VLOOKUP($D16,'Adient Taizhou (China) WK.16'!$B:NR,OS$1,0),0)</f>
        <v>0</v>
      </c>
      <c r="OU16" s="128">
        <v>0</v>
      </c>
      <c r="OV16" s="32">
        <v>0</v>
      </c>
      <c r="OW16" s="100">
        <f t="shared" si="278"/>
        <v>-100</v>
      </c>
      <c r="OY16" s="37">
        <f t="shared" si="211"/>
        <v>-100</v>
      </c>
      <c r="OZ16" s="141">
        <f>IFERROR(VLOOKUP($D16,'Adient Assende (Belgium) WK.17'!$B:NV,PA$1,0),0)</f>
        <v>0</v>
      </c>
      <c r="PA16" s="140">
        <f>IFERROR(VLOOKUP($D16,'Adient Arendal (Malzia) WK.12'!$B:NW,PA$1,0),0)</f>
        <v>0</v>
      </c>
      <c r="PB16" s="140">
        <f>IFERROR(VLOOKUP($D16,'Adient Taizhou (China) WK.16'!$B:NZ,PA$1,0),0)</f>
        <v>0</v>
      </c>
      <c r="PC16" s="128">
        <v>0</v>
      </c>
      <c r="PD16" s="32">
        <v>0</v>
      </c>
      <c r="PE16" s="100">
        <f t="shared" si="279"/>
        <v>-100</v>
      </c>
      <c r="PG16" s="37">
        <f t="shared" si="212"/>
        <v>-100</v>
      </c>
      <c r="PH16" s="141">
        <f>IFERROR(VLOOKUP($D16,'Adient Assende (Belgium) WK.17'!$B:OD,PI$1,0),0)</f>
        <v>0</v>
      </c>
      <c r="PI16" s="140">
        <f>IFERROR(VLOOKUP($D16,'Adient Arendal (Malzia) WK.12'!$B:OE,PI$1,0),0)</f>
        <v>0</v>
      </c>
      <c r="PJ16" s="140">
        <f>IFERROR(VLOOKUP($D16,'Adient Taizhou (China) WK.16'!$B:OH,PI$1,0),0)</f>
        <v>0</v>
      </c>
      <c r="PK16" s="128">
        <v>0</v>
      </c>
      <c r="PL16" s="32">
        <v>0</v>
      </c>
      <c r="PM16" s="100">
        <f t="shared" si="280"/>
        <v>-100</v>
      </c>
      <c r="PO16" s="37">
        <f t="shared" si="213"/>
        <v>-100</v>
      </c>
      <c r="PP16" s="141">
        <f>IFERROR(VLOOKUP($D16,'Adient Assende (Belgium) WK.17'!$B:OL,PQ$1,0),0)</f>
        <v>0</v>
      </c>
      <c r="PQ16" s="140">
        <f>IFERROR(VLOOKUP($D16,'Adient Arendal (Malzia) WK.12'!$B:OM,PQ$1,0),0)</f>
        <v>0</v>
      </c>
      <c r="PR16" s="140">
        <f>IFERROR(VLOOKUP($D16,'Adient Taizhou (China) WK.16'!$B:OP,PQ$1,0),0)</f>
        <v>0</v>
      </c>
      <c r="PS16" s="128">
        <v>0</v>
      </c>
      <c r="PT16" s="32">
        <v>0</v>
      </c>
      <c r="PU16" s="100">
        <f t="shared" si="281"/>
        <v>-100</v>
      </c>
      <c r="PW16" s="37">
        <f t="shared" si="214"/>
        <v>-100</v>
      </c>
      <c r="PX16" s="141">
        <f>IFERROR(VLOOKUP($D16,'Adient Assende (Belgium) WK.17'!$B:OT,PY$1,0),0)</f>
        <v>0</v>
      </c>
      <c r="PY16" s="140">
        <f>IFERROR(VLOOKUP($D16,'Adient Arendal (Malzia) WK.12'!$B:OU,PY$1,0),0)</f>
        <v>0</v>
      </c>
      <c r="PZ16" s="140">
        <f>IFERROR(VLOOKUP($D16,'Adient Taizhou (China) WK.16'!$B:OX,PY$1,0),0)</f>
        <v>0</v>
      </c>
      <c r="QA16" s="128">
        <v>0</v>
      </c>
      <c r="QB16" s="32">
        <v>0</v>
      </c>
      <c r="QC16" s="100">
        <f t="shared" si="282"/>
        <v>-100</v>
      </c>
      <c r="QE16" s="37">
        <f t="shared" si="215"/>
        <v>-100</v>
      </c>
      <c r="QF16" s="141">
        <f>IFERROR(VLOOKUP($D16,'Adient Assende (Belgium) WK.17'!$B:PB,QG$1,0),0)</f>
        <v>0</v>
      </c>
      <c r="QG16" s="140">
        <f>IFERROR(VLOOKUP($D16,'Adient Arendal (Malzia) WK.12'!$B:PC,QG$1,0),0)</f>
        <v>0</v>
      </c>
      <c r="QH16" s="140">
        <f>IFERROR(VLOOKUP($D16,'Adient Taizhou (China) WK.16'!$B:PF,QG$1,0),0)</f>
        <v>0</v>
      </c>
      <c r="QI16" s="128">
        <v>0</v>
      </c>
      <c r="QJ16" s="32">
        <v>0</v>
      </c>
      <c r="QK16" s="100">
        <f t="shared" si="283"/>
        <v>-100</v>
      </c>
      <c r="QM16" s="37">
        <f t="shared" si="216"/>
        <v>-100</v>
      </c>
      <c r="QN16" s="141">
        <f>IFERROR(VLOOKUP($D16,'Adient Assende (Belgium) WK.17'!$B:PJ,QO$1,0),0)</f>
        <v>0</v>
      </c>
      <c r="QO16" s="140">
        <f>IFERROR(VLOOKUP($D16,'Adient Arendal (Malzia) WK.12'!$B:PK,QO$1,0),0)</f>
        <v>0</v>
      </c>
      <c r="QP16" s="140">
        <f>IFERROR(VLOOKUP($D16,'Adient Taizhou (China) WK.16'!$B:PN,QO$1,0),0)</f>
        <v>0</v>
      </c>
      <c r="QQ16" s="128">
        <v>0</v>
      </c>
      <c r="QR16" s="32">
        <v>0</v>
      </c>
      <c r="QS16" s="100">
        <f t="shared" si="284"/>
        <v>-100</v>
      </c>
      <c r="QU16" s="37">
        <f t="shared" si="217"/>
        <v>-100</v>
      </c>
      <c r="QV16" s="141">
        <f>IFERROR(VLOOKUP($D16,'Adient Assende (Belgium) WK.17'!$B:PR,QW$1,0),0)</f>
        <v>30</v>
      </c>
      <c r="QW16" s="140">
        <f>IFERROR(VLOOKUP($D16,'Adient Arendal (Malzia) WK.12'!$B:PS,QW$1,0),0)</f>
        <v>0</v>
      </c>
      <c r="QX16" s="140">
        <f>IFERROR(VLOOKUP($D16,'Adient Taizhou (China) WK.16'!$B:PV,QW$1,0),0)</f>
        <v>0</v>
      </c>
      <c r="QY16" s="128">
        <v>0</v>
      </c>
      <c r="QZ16" s="32">
        <v>0</v>
      </c>
      <c r="RA16" s="100">
        <f t="shared" si="285"/>
        <v>-130</v>
      </c>
      <c r="RC16" s="37">
        <f t="shared" si="218"/>
        <v>-130</v>
      </c>
      <c r="RD16" s="141">
        <f>IFERROR(VLOOKUP($D16,'Adient Assende (Belgium) WK.17'!$B:PZ,RE$1,0),0)</f>
        <v>30</v>
      </c>
      <c r="RE16" s="140">
        <f>IFERROR(VLOOKUP($D16,'Adient Arendal (Malzia) WK.12'!$B:QA,RE$1,0),0)</f>
        <v>0</v>
      </c>
      <c r="RF16" s="140">
        <f>IFERROR(VLOOKUP($D16,'Adient Taizhou (China) WK.16'!$B:QD,RE$1,0),0)</f>
        <v>0</v>
      </c>
      <c r="RG16" s="128">
        <v>0</v>
      </c>
      <c r="RH16" s="32">
        <v>0</v>
      </c>
      <c r="RI16" s="100">
        <f t="shared" si="286"/>
        <v>-160</v>
      </c>
      <c r="RK16" s="37">
        <f t="shared" si="219"/>
        <v>-160</v>
      </c>
      <c r="RL16" s="141">
        <f>IFERROR(VLOOKUP($D16,'Adient Assende (Belgium) WK.17'!$B:QH,RM$1,0),0)</f>
        <v>30</v>
      </c>
      <c r="RM16" s="140">
        <f>IFERROR(VLOOKUP($D16,'Adient Arendal (Malzia) WK.12'!$B:QI,RM$1,0),0)</f>
        <v>0</v>
      </c>
      <c r="RN16" s="140">
        <f>IFERROR(VLOOKUP($D16,'Adient Taizhou (China) WK.16'!$B:QL,RM$1,0),0)</f>
        <v>0</v>
      </c>
      <c r="RO16" s="128">
        <v>0</v>
      </c>
      <c r="RP16" s="32">
        <v>0</v>
      </c>
      <c r="RQ16" s="100">
        <f t="shared" si="287"/>
        <v>-190</v>
      </c>
      <c r="RS16" s="37">
        <f t="shared" si="220"/>
        <v>-190</v>
      </c>
      <c r="RT16" s="141">
        <f>IFERROR(VLOOKUP($D16,'Adient Assende (Belgium) WK.17'!$B:QP,RU$1,0),0)</f>
        <v>10</v>
      </c>
      <c r="RU16" s="140">
        <f>IFERROR(VLOOKUP($D16,'Adient Arendal (Malzia) WK.12'!$B:QQ,RU$1,0),0)</f>
        <v>0</v>
      </c>
      <c r="RV16" s="140">
        <f>IFERROR(VLOOKUP($D16,'Adient Taizhou (China) WK.16'!$B:QT,RU$1,0),0)</f>
        <v>0</v>
      </c>
      <c r="RW16" s="128">
        <v>0</v>
      </c>
      <c r="RX16" s="32">
        <v>0</v>
      </c>
      <c r="RY16" s="100">
        <f t="shared" si="288"/>
        <v>-200</v>
      </c>
      <c r="SA16" s="37">
        <f t="shared" si="221"/>
        <v>-200</v>
      </c>
      <c r="SB16" s="141">
        <f>IFERROR(VLOOKUP($D16,'Adient Assende (Belgium) WK.17'!$B:QX,SC$1,0),0)</f>
        <v>0</v>
      </c>
      <c r="SC16" s="140">
        <f>IFERROR(VLOOKUP($D16,'Adient Arendal (Malzia) WK.12'!$B:QY,SC$1,0),0)</f>
        <v>0</v>
      </c>
      <c r="SD16" s="140">
        <f>IFERROR(VLOOKUP($D16,'Adient Taizhou (China) WK.16'!$B:RB,SC$1,0),0)</f>
        <v>0</v>
      </c>
      <c r="SE16" s="128">
        <v>0</v>
      </c>
      <c r="SF16" s="32">
        <v>0</v>
      </c>
      <c r="SG16" s="100">
        <f t="shared" si="289"/>
        <v>-200</v>
      </c>
      <c r="SI16" s="37">
        <f t="shared" si="222"/>
        <v>-200</v>
      </c>
      <c r="SJ16" s="141">
        <f>IFERROR(VLOOKUP($D16,'Adient Assende (Belgium) WK.17'!$B:RF,SK$1,0),0)</f>
        <v>0</v>
      </c>
      <c r="SK16" s="140">
        <f>IFERROR(VLOOKUP($D16,'Adient Arendal (Malzia) WK.12'!$B:RG,SK$1,0),0)</f>
        <v>0</v>
      </c>
      <c r="SL16" s="140">
        <f>IFERROR(VLOOKUP($D16,'Adient Taizhou (China) WK.16'!$B:RJ,SK$1,0),0)</f>
        <v>0</v>
      </c>
      <c r="SM16" s="128">
        <v>0</v>
      </c>
      <c r="SN16" s="32">
        <v>0</v>
      </c>
      <c r="SO16" s="100">
        <f t="shared" si="290"/>
        <v>-200</v>
      </c>
      <c r="SQ16" s="37">
        <f t="shared" si="223"/>
        <v>-200</v>
      </c>
      <c r="SR16" s="141">
        <f>IFERROR(VLOOKUP($D16,'Adient Assende (Belgium) WK.17'!$B:RN,SS$1,0),0)</f>
        <v>0</v>
      </c>
      <c r="SS16" s="140">
        <f>IFERROR(VLOOKUP($D16,'Adient Arendal (Malzia) WK.12'!$B:RO,SS$1,0),0)</f>
        <v>0</v>
      </c>
      <c r="ST16" s="140">
        <f>IFERROR(VLOOKUP($D16,'Adient Taizhou (China) WK.16'!$B:RR,SS$1,0),0)</f>
        <v>0</v>
      </c>
      <c r="SU16" s="128">
        <v>0</v>
      </c>
      <c r="SV16" s="32">
        <v>0</v>
      </c>
      <c r="SW16" s="100">
        <f t="shared" si="291"/>
        <v>-200</v>
      </c>
      <c r="SY16" s="37">
        <f t="shared" si="224"/>
        <v>-200</v>
      </c>
      <c r="SZ16" s="141">
        <f>IFERROR(VLOOKUP($D16,'Adient Assende (Belgium) WK.17'!$B:RV,TA$1,0),0)</f>
        <v>0</v>
      </c>
      <c r="TA16" s="140">
        <f>IFERROR(VLOOKUP($D16,'Adient Arendal (Malzia) WK.12'!$B:RW,TA$1,0),0)</f>
        <v>0</v>
      </c>
      <c r="TB16" s="140">
        <f>IFERROR(VLOOKUP($D16,'Adient Taizhou (China) WK.16'!$B:RZ,TA$1,0),0)</f>
        <v>0</v>
      </c>
      <c r="TC16" s="128">
        <v>0</v>
      </c>
      <c r="TD16" s="32">
        <v>0</v>
      </c>
      <c r="TE16" s="100">
        <f t="shared" si="292"/>
        <v>-200</v>
      </c>
      <c r="TG16" s="37">
        <f t="shared" si="225"/>
        <v>-200</v>
      </c>
      <c r="TH16" s="141">
        <f>IFERROR(VLOOKUP($D16,'Adient Assende (Belgium) WK.17'!$B:SD,TI$1,0),0)</f>
        <v>0</v>
      </c>
      <c r="TI16" s="140">
        <f>IFERROR(VLOOKUP($D16,'Adient Arendal (Malzia) WK.12'!$B:SE,TI$1,0),0)</f>
        <v>0</v>
      </c>
      <c r="TJ16" s="140">
        <f>IFERROR(VLOOKUP($D16,'Adient Taizhou (China) WK.16'!$B:SH,TI$1,0),0)</f>
        <v>0</v>
      </c>
      <c r="TK16" s="128">
        <v>0</v>
      </c>
      <c r="TL16" s="32">
        <v>0</v>
      </c>
      <c r="TM16" s="100">
        <f t="shared" si="293"/>
        <v>-200</v>
      </c>
      <c r="TO16" s="37">
        <f t="shared" si="226"/>
        <v>-200</v>
      </c>
      <c r="TP16" s="141">
        <f>IFERROR(VLOOKUP($D16,'Adient Assende (Belgium) WK.17'!$B:SL,TQ$1,0),0)</f>
        <v>0</v>
      </c>
      <c r="TQ16" s="140">
        <f>IFERROR(VLOOKUP($D16,'Adient Arendal (Malzia) WK.12'!$B:SM,TQ$1,0),0)</f>
        <v>0</v>
      </c>
      <c r="TR16" s="140">
        <f>IFERROR(VLOOKUP($D16,'Adient Taizhou (China) WK.16'!$B:SP,TQ$1,0),0)</f>
        <v>0</v>
      </c>
      <c r="TS16" s="128">
        <v>0</v>
      </c>
      <c r="TT16" s="32">
        <v>0</v>
      </c>
      <c r="TU16" s="100">
        <f t="shared" si="294"/>
        <v>-200</v>
      </c>
      <c r="TW16" s="37">
        <f t="shared" si="227"/>
        <v>-200</v>
      </c>
      <c r="TX16" s="141">
        <f>IFERROR(VLOOKUP($D16,'Adient Assende (Belgium) WK.17'!$B:ST,TY$1,0),0)</f>
        <v>0</v>
      </c>
      <c r="TY16" s="140">
        <f>IFERROR(VLOOKUP($D16,'Adient Arendal (Malzia) WK.12'!$B:SU,TY$1,0),0)</f>
        <v>0</v>
      </c>
      <c r="TZ16" s="140">
        <f>IFERROR(VLOOKUP($D16,'Adient Taizhou (China) WK.16'!$B:SX,TY$1,0),0)</f>
        <v>0</v>
      </c>
      <c r="UA16" s="128">
        <v>0</v>
      </c>
      <c r="UB16" s="32">
        <v>0</v>
      </c>
      <c r="UC16" s="100">
        <f t="shared" si="295"/>
        <v>-200</v>
      </c>
      <c r="UE16" s="37">
        <f t="shared" si="228"/>
        <v>-200</v>
      </c>
      <c r="UF16" s="141">
        <f>IFERROR(VLOOKUP($D16,'Adient Assende (Belgium) WK.17'!$B:TB,UG$1,0),0)</f>
        <v>0</v>
      </c>
      <c r="UG16" s="140">
        <f>IFERROR(VLOOKUP($D16,'Adient Arendal (Malzia) WK.12'!$B:TC,UG$1,0),0)</f>
        <v>0</v>
      </c>
      <c r="UH16" s="140">
        <f>IFERROR(VLOOKUP($D16,'Adient Taizhou (China) WK.16'!$B:TF,UG$1,0),0)</f>
        <v>0</v>
      </c>
      <c r="UI16" s="128">
        <v>0</v>
      </c>
      <c r="UJ16" s="32">
        <v>0</v>
      </c>
      <c r="UK16" s="100">
        <f t="shared" si="296"/>
        <v>-200</v>
      </c>
      <c r="UM16" s="37">
        <f t="shared" si="229"/>
        <v>-200</v>
      </c>
      <c r="UN16" s="141">
        <f>IFERROR(VLOOKUP($D16,'Adient Assende (Belgium) WK.17'!$B:TJ,UO$1,0),0)</f>
        <v>0</v>
      </c>
      <c r="UO16" s="140">
        <f>IFERROR(VLOOKUP($D16,'Adient Arendal (Malzia) WK.12'!$B:TK,UO$1,0),0)</f>
        <v>0</v>
      </c>
      <c r="UP16" s="140">
        <f>IFERROR(VLOOKUP($D16,'Adient Taizhou (China) WK.16'!$B:TN,UO$1,0),0)</f>
        <v>0</v>
      </c>
      <c r="UQ16" s="128">
        <v>0</v>
      </c>
      <c r="UR16" s="32">
        <v>0</v>
      </c>
      <c r="US16" s="100">
        <f t="shared" si="297"/>
        <v>-200</v>
      </c>
      <c r="UU16" s="37">
        <f t="shared" si="230"/>
        <v>-200</v>
      </c>
      <c r="UV16" s="141">
        <f>IFERROR(VLOOKUP($D16,'Adient Assende (Belgium) WK.17'!$B:TR,UW$1,0),0)</f>
        <v>50</v>
      </c>
      <c r="UW16" s="140">
        <f>IFERROR(VLOOKUP($D16,'Adient Arendal (Malzia) WK.12'!$B:TS,UW$1,0),0)</f>
        <v>0</v>
      </c>
      <c r="UX16" s="140">
        <f>IFERROR(VLOOKUP($D16,'Adient Taizhou (China) WK.16'!$B:TV,UW$1,0),0)</f>
        <v>0</v>
      </c>
      <c r="UY16" s="128">
        <v>0</v>
      </c>
      <c r="UZ16" s="32">
        <v>0</v>
      </c>
      <c r="VA16" s="100">
        <f t="shared" si="298"/>
        <v>-250</v>
      </c>
      <c r="VC16" s="37">
        <f t="shared" si="231"/>
        <v>-250</v>
      </c>
      <c r="VD16" s="141">
        <f>IFERROR(VLOOKUP($D16,'Adient Assende (Belgium) WK.17'!$B:TZ,VE$1,0),0)</f>
        <v>50</v>
      </c>
      <c r="VE16" s="140">
        <f>IFERROR(VLOOKUP($D16,'Adient Arendal (Malzia) WK.12'!$B:UA,VE$1,0),0)</f>
        <v>0</v>
      </c>
      <c r="VF16" s="140">
        <f>IFERROR(VLOOKUP($D16,'Adient Taizhou (China) WK.16'!$B:UD,VE$1,0),0)</f>
        <v>0</v>
      </c>
      <c r="VG16" s="128">
        <v>0</v>
      </c>
      <c r="VH16" s="32">
        <v>0</v>
      </c>
      <c r="VI16" s="100">
        <f t="shared" si="299"/>
        <v>-300</v>
      </c>
      <c r="VK16" s="37">
        <f t="shared" si="232"/>
        <v>-300</v>
      </c>
      <c r="VL16" s="141">
        <f>IFERROR(VLOOKUP($D16,'Adient Assende (Belgium) WK.17'!$B:UH,VM$1,0),0)</f>
        <v>0</v>
      </c>
      <c r="VM16" s="140">
        <f>IFERROR(VLOOKUP($D16,'Adient Arendal (Malzia) WK.12'!$B:UI,VM$1,0),0)</f>
        <v>0</v>
      </c>
      <c r="VN16" s="140">
        <f>IFERROR(VLOOKUP($D16,'Adient Taizhou (China) WK.16'!$B:UL,VM$1,0),0)</f>
        <v>0</v>
      </c>
      <c r="VO16" s="128">
        <v>0</v>
      </c>
      <c r="VP16" s="32">
        <v>0</v>
      </c>
      <c r="VQ16" s="100">
        <f t="shared" si="300"/>
        <v>-300</v>
      </c>
    </row>
    <row r="17" spans="1:589" x14ac:dyDescent="0.25">
      <c r="A17" s="10" t="s">
        <v>18</v>
      </c>
      <c r="B17" s="11" t="s">
        <v>19</v>
      </c>
      <c r="C17" s="87">
        <v>32272857</v>
      </c>
      <c r="D17" s="81">
        <v>5080294</v>
      </c>
      <c r="E17" s="11">
        <v>25</v>
      </c>
      <c r="F17" s="12"/>
      <c r="H17" s="122">
        <v>350</v>
      </c>
      <c r="I17" s="125">
        <f>IFERROR(VLOOKUP($D17,'Adient Assende (Belgium) WK.17'!$B:C,J$1,0),0)</f>
        <v>0</v>
      </c>
      <c r="J17" s="55">
        <f>IFERROR(VLOOKUP($D17,'Adient Arendal (Malzia) WK.12'!$B:C,J$1,0),0)</f>
        <v>0</v>
      </c>
      <c r="K17" s="55">
        <f>IFERROR(VLOOKUP($D17,'Adient Taizhou (China) WK.16'!$B:C,J$1,0),0)</f>
        <v>0</v>
      </c>
      <c r="L17" s="128">
        <v>0</v>
      </c>
      <c r="M17" s="32">
        <v>0</v>
      </c>
      <c r="N17" s="106">
        <f t="shared" si="233"/>
        <v>350</v>
      </c>
      <c r="P17" s="37">
        <f t="shared" si="234"/>
        <v>350</v>
      </c>
      <c r="Q17" s="125">
        <f>IFERROR(VLOOKUP($D17,'Adient Assende (Belgium) WK.17'!$B:K,R$1,0),0)</f>
        <v>0</v>
      </c>
      <c r="R17" s="55">
        <f>IFERROR(VLOOKUP($D17,'Adient Arendal (Malzia) WK.12'!$B:K,R$1,0),0)</f>
        <v>0</v>
      </c>
      <c r="S17" s="55">
        <f>IFERROR(VLOOKUP($D17,'Adient Taizhou (China) WK.16'!$B:K,R$1,0),0)</f>
        <v>0</v>
      </c>
      <c r="T17" s="41">
        <v>100</v>
      </c>
      <c r="U17" s="32">
        <v>0</v>
      </c>
      <c r="V17" s="106">
        <f t="shared" si="235"/>
        <v>250</v>
      </c>
      <c r="X17" s="37">
        <f t="shared" si="236"/>
        <v>250</v>
      </c>
      <c r="Y17" s="125">
        <f>IFERROR(VLOOKUP($D17,'Adient Assende (Belgium) WK.17'!$B:S,Z$1,0),0)</f>
        <v>100</v>
      </c>
      <c r="Z17" s="55">
        <f>IFERROR(VLOOKUP($D17,'Adient Arendal (Malzia) WK.12'!$B:S,Z$1,0),0)</f>
        <v>0</v>
      </c>
      <c r="AA17" s="55">
        <f>IFERROR(VLOOKUP($D17,'Adient Taizhou (China) WK.16'!$B:S,Z$1,0),0)</f>
        <v>0</v>
      </c>
      <c r="AB17" s="41">
        <v>0</v>
      </c>
      <c r="AC17" s="32">
        <v>0</v>
      </c>
      <c r="AD17" s="106">
        <f t="shared" si="237"/>
        <v>250</v>
      </c>
      <c r="AF17" s="37">
        <f t="shared" si="238"/>
        <v>250</v>
      </c>
      <c r="AG17" s="125">
        <f>IFERROR(VLOOKUP($D17,'Adient Assende (Belgium) WK.17'!$B:AA,AH$1,0),0)</f>
        <v>0</v>
      </c>
      <c r="AH17" s="55">
        <f>IFERROR(VLOOKUP($D17,'Adient Arendal (Malzia) WK.12'!$B:AA,AH$1,0),0)</f>
        <v>0</v>
      </c>
      <c r="AI17" s="55">
        <f>IFERROR(VLOOKUP($D17,'Adient Taizhou (China) WK.16'!$B:AA,AH$1,0),0)</f>
        <v>0</v>
      </c>
      <c r="AJ17" s="41">
        <v>0</v>
      </c>
      <c r="AK17" s="32">
        <v>0</v>
      </c>
      <c r="AL17" s="106">
        <f t="shared" si="239"/>
        <v>250</v>
      </c>
      <c r="AN17" s="37">
        <f t="shared" si="164"/>
        <v>250</v>
      </c>
      <c r="AO17" s="125">
        <f>IFERROR(VLOOKUP($D17,'Adient Assende (Belgium) WK.17'!$B:AI,AP$1,0),0)</f>
        <v>0</v>
      </c>
      <c r="AP17" s="55">
        <f>IFERROR(VLOOKUP($D17,'Adient Arendal (Malzia) WK.12'!$B:AI,AP$1,0),0)</f>
        <v>0</v>
      </c>
      <c r="AQ17" s="55">
        <f>IFERROR(VLOOKUP($D17,'Adient Taizhou (China) WK.16'!$B:AI,AP$1,0),0)</f>
        <v>0</v>
      </c>
      <c r="AR17" s="60">
        <v>0</v>
      </c>
      <c r="AS17" s="41">
        <v>100</v>
      </c>
      <c r="AT17" s="32">
        <v>0</v>
      </c>
      <c r="AU17" s="106">
        <f t="shared" si="240"/>
        <v>150</v>
      </c>
      <c r="AW17" s="37">
        <f t="shared" si="165"/>
        <v>150</v>
      </c>
      <c r="AX17" s="125">
        <f>IFERROR(VLOOKUP($D17,'Adient Assende (Belgium) WK.17'!$B:AR,AY$1,0),0)</f>
        <v>100</v>
      </c>
      <c r="AY17" s="55">
        <f>IFERROR(VLOOKUP($D17,'Adient Arendal (Malzia) WK.12'!$B:AR,AY$1,0),0)</f>
        <v>0</v>
      </c>
      <c r="AZ17" s="55">
        <f>IFERROR(VLOOKUP($D17,'Adient Taizhou (China) WK.16'!$B:AU,AY$1,0),0)</f>
        <v>0</v>
      </c>
      <c r="BA17" s="41">
        <v>0</v>
      </c>
      <c r="BB17" s="32">
        <v>0</v>
      </c>
      <c r="BC17" s="106">
        <f t="shared" si="241"/>
        <v>150</v>
      </c>
      <c r="BE17" s="37">
        <f t="shared" si="166"/>
        <v>150</v>
      </c>
      <c r="BF17" s="125">
        <f>IFERROR(VLOOKUP($D17,'Adient Assende (Belgium) WK.17'!$B:AX,BG$1,0),0)</f>
        <v>0</v>
      </c>
      <c r="BG17" s="55">
        <f>IFERROR(VLOOKUP($D17,'Adient Arendal (Malzia) WK.12'!$B:AZ,BG$1,0),0)</f>
        <v>0</v>
      </c>
      <c r="BH17" s="55">
        <f>IFERROR(VLOOKUP($D17,'Adient Taizhou (China) WK.16'!$B:BB,BG$1,0),0)</f>
        <v>0</v>
      </c>
      <c r="BI17" s="60">
        <v>0</v>
      </c>
      <c r="BJ17" s="60">
        <v>50</v>
      </c>
      <c r="BK17" s="41">
        <v>0</v>
      </c>
      <c r="BL17" s="32">
        <v>0</v>
      </c>
      <c r="BM17" s="106">
        <f t="shared" si="242"/>
        <v>200</v>
      </c>
      <c r="BN17" s="8"/>
      <c r="BO17" s="37">
        <f t="shared" si="167"/>
        <v>200</v>
      </c>
      <c r="BP17" s="125">
        <f>IFERROR(VLOOKUP($D17,'Adient Assende (Belgium) WK.17'!$B:BH,BQ$1,0),0)</f>
        <v>0</v>
      </c>
      <c r="BQ17" s="55">
        <f>IFERROR(VLOOKUP($D17,'Adient Arendal (Malzia) WK.12'!$B:BI,BQ$1,0),0)</f>
        <v>0</v>
      </c>
      <c r="BR17" s="55">
        <f>IFERROR(VLOOKUP($D17,'Adient Taizhou (China) WK.16'!$B:BL,BQ$1,0),0)</f>
        <v>0</v>
      </c>
      <c r="BS17" s="60">
        <v>25</v>
      </c>
      <c r="BT17" s="60">
        <v>0</v>
      </c>
      <c r="BU17" s="60">
        <v>0</v>
      </c>
      <c r="BV17" s="41">
        <v>100</v>
      </c>
      <c r="BW17" s="32">
        <v>0</v>
      </c>
      <c r="BX17" s="106">
        <f t="shared" si="243"/>
        <v>125</v>
      </c>
      <c r="BY17" s="8"/>
      <c r="BZ17" s="37">
        <f t="shared" si="168"/>
        <v>125</v>
      </c>
      <c r="CA17" s="125">
        <f>IFERROR(VLOOKUP($D17,'Adient Assende (Belgium) WK.17'!$B:BS,CB$1,0),0)</f>
        <v>100</v>
      </c>
      <c r="CB17" s="55">
        <f>IFERROR(VLOOKUP($D17,'Adient Arendal (Malzia) WK.12'!$B:BT,CB$1,0),0)</f>
        <v>0</v>
      </c>
      <c r="CC17" s="55">
        <f>IFERROR(VLOOKUP($D17,'Adient Taizhou (China) WK.16'!$B:BW,CB$1,0),0)</f>
        <v>0</v>
      </c>
      <c r="CD17" s="60">
        <v>0</v>
      </c>
      <c r="CE17" s="60">
        <v>0</v>
      </c>
      <c r="CF17" s="41">
        <v>0</v>
      </c>
      <c r="CG17" s="32">
        <v>0</v>
      </c>
      <c r="CH17" s="106">
        <f t="shared" si="244"/>
        <v>125</v>
      </c>
      <c r="CI17" s="8"/>
      <c r="CJ17" s="37">
        <f t="shared" si="169"/>
        <v>125</v>
      </c>
      <c r="CK17" s="125">
        <f>IFERROR(VLOOKUP($D17,'Adient Assende (Belgium) WK.17'!$B:CC,CL$1,0),0)</f>
        <v>0</v>
      </c>
      <c r="CL17" s="55">
        <f>IFERROR(VLOOKUP($D17,'Adient Arendal (Malzia) WK.12'!$B:CD,CL$1,0),0)</f>
        <v>0</v>
      </c>
      <c r="CM17" s="55">
        <f>IFERROR(VLOOKUP($D17,'Adient Taizhou (China) WK.16'!$B:CG,CL$1,0),0)</f>
        <v>0</v>
      </c>
      <c r="CN17" s="60">
        <v>125</v>
      </c>
      <c r="CO17" s="149">
        <v>0</v>
      </c>
      <c r="CP17" s="32">
        <v>0</v>
      </c>
      <c r="CQ17" s="106">
        <f t="shared" si="245"/>
        <v>250</v>
      </c>
      <c r="CR17" s="8"/>
      <c r="CS17" s="122">
        <f t="shared" si="170"/>
        <v>250</v>
      </c>
      <c r="CT17" s="154">
        <f>IFERROR(VLOOKUP($D17,'Adient Assende (Belgium) WK.17'!$B:CL,CU$1,0),0)</f>
        <v>0</v>
      </c>
      <c r="CU17" s="55">
        <f>IFERROR(VLOOKUP($D17,'Adient Arendal (Malzia) WK.12'!$B:CM,CU$1,0),0)</f>
        <v>0</v>
      </c>
      <c r="CV17" s="55">
        <f>IFERROR(VLOOKUP($D17,'Adient Taizhou (China) WK.16'!$B:CP,CU$1,0),0)</f>
        <v>0</v>
      </c>
      <c r="CW17" s="60">
        <v>0</v>
      </c>
      <c r="CX17" s="60">
        <v>0</v>
      </c>
      <c r="CY17" s="128">
        <v>0</v>
      </c>
      <c r="CZ17" s="32">
        <v>0</v>
      </c>
      <c r="DA17" s="106">
        <f t="shared" si="246"/>
        <v>250</v>
      </c>
      <c r="DB17" s="8"/>
      <c r="DC17" s="37">
        <f t="shared" si="171"/>
        <v>250</v>
      </c>
      <c r="DD17" s="125">
        <f>IFERROR(VLOOKUP($D17,'Adient Assende (Belgium) WK.17'!$B:CS,DE$1,0),0)</f>
        <v>0</v>
      </c>
      <c r="DE17" s="55">
        <f>IFERROR(VLOOKUP($D17,'Adient Arendal (Malzia) WK.12'!$B:CU,DE$1,0),0)</f>
        <v>0</v>
      </c>
      <c r="DF17" s="55">
        <f>IFERROR(VLOOKUP($D17,'Adient Taizhou (China) WK.16'!$B:CX,DE$1,0),0)</f>
        <v>0</v>
      </c>
      <c r="DG17" s="60">
        <v>0</v>
      </c>
      <c r="DH17" s="128">
        <v>100</v>
      </c>
      <c r="DI17" s="32">
        <v>0</v>
      </c>
      <c r="DJ17" s="106">
        <f t="shared" si="247"/>
        <v>150</v>
      </c>
      <c r="DL17" s="37">
        <f t="shared" si="172"/>
        <v>150</v>
      </c>
      <c r="DM17" s="125">
        <f>IFERROR(VLOOKUP($D17,'Adient Assende (Belgium) WK.17'!$B:DB,DN$1,0),0)</f>
        <v>100</v>
      </c>
      <c r="DN17" s="55">
        <f>IFERROR(VLOOKUP($D17,'Adient Arendal (Malzia) WK.12'!$B:DC,DN$1,0),0)</f>
        <v>0</v>
      </c>
      <c r="DO17" s="55">
        <f>IFERROR(VLOOKUP($D17,'Adient Taizhou (China) WK.16'!$B:DF,DN$1,0),0)</f>
        <v>0</v>
      </c>
      <c r="DP17" s="128">
        <v>0</v>
      </c>
      <c r="DQ17" s="32">
        <v>0</v>
      </c>
      <c r="DR17" s="106">
        <f t="shared" si="173"/>
        <v>150</v>
      </c>
      <c r="DS17" s="8"/>
      <c r="DT17" s="37">
        <f t="shared" si="174"/>
        <v>150</v>
      </c>
      <c r="DU17" s="125">
        <f>IFERROR(VLOOKUP($D17,'Adient Assende (Belgium) WK.17'!$B:DJ,DV$1,0),0)</f>
        <v>0</v>
      </c>
      <c r="DV17" s="55">
        <f>IFERROR(VLOOKUP($D17,'Adient Arendal (Malzia) WK.12'!$B:DK,DV$1,0),0)</f>
        <v>0</v>
      </c>
      <c r="DW17" s="55">
        <f>IFERROR(VLOOKUP($D17,'Adient Taizhou (China) WK.16'!$B:DN,DV$1,0),0)</f>
        <v>0</v>
      </c>
      <c r="DX17" s="60">
        <v>150</v>
      </c>
      <c r="DY17" s="60">
        <v>0</v>
      </c>
      <c r="DZ17" s="128">
        <v>100</v>
      </c>
      <c r="EA17" s="32">
        <v>0</v>
      </c>
      <c r="EB17" s="106">
        <f t="shared" si="248"/>
        <v>200</v>
      </c>
      <c r="EC17" s="8"/>
      <c r="ED17" s="37">
        <f t="shared" si="175"/>
        <v>200</v>
      </c>
      <c r="EE17" s="125">
        <f>IFERROR(VLOOKUP($D17,'Adient Assende (Belgium) WK.17'!$B:DR,EF$1,0),0)</f>
        <v>100</v>
      </c>
      <c r="EF17" s="55">
        <f>IFERROR(VLOOKUP($D17,'Adient Arendal (Malzia) WK.12'!$B:DS,EF$1,0),0)</f>
        <v>0</v>
      </c>
      <c r="EG17" s="55">
        <f>IFERROR(VLOOKUP($D17,'Adient Taizhou (China) WK.16'!$B:DV,EF$1,0),0)</f>
        <v>0</v>
      </c>
      <c r="EH17" s="60">
        <v>0</v>
      </c>
      <c r="EI17" s="128">
        <v>0</v>
      </c>
      <c r="EJ17" s="32">
        <v>0</v>
      </c>
      <c r="EK17" s="106">
        <f t="shared" si="249"/>
        <v>200</v>
      </c>
      <c r="EM17" s="37">
        <f t="shared" si="176"/>
        <v>200</v>
      </c>
      <c r="EN17" s="125">
        <f>IFERROR(VLOOKUP($D17,'Adient Assende (Belgium) WK.17'!$B:DZ,EO$1,0),0)</f>
        <v>0</v>
      </c>
      <c r="EO17" s="55">
        <f>IFERROR(VLOOKUP($D17,'Adient Arendal (Malzia) WK.12'!$B:EA,EO$1,0),0)</f>
        <v>0</v>
      </c>
      <c r="EP17" s="55">
        <f>IFERROR(VLOOKUP($D17,'Adient Taizhou (China) WK.16'!$B:ED,EO$1,0),0)</f>
        <v>0</v>
      </c>
      <c r="EQ17" s="128">
        <v>0</v>
      </c>
      <c r="ER17" s="32">
        <v>0</v>
      </c>
      <c r="ES17" s="106">
        <f t="shared" si="250"/>
        <v>200</v>
      </c>
      <c r="EU17" s="37">
        <f t="shared" si="177"/>
        <v>200</v>
      </c>
      <c r="EV17" s="125">
        <f>IFERROR(VLOOKUP($D17,'Adient Assende (Belgium) WK.17'!$B:EH,EW$1,0),0)</f>
        <v>0</v>
      </c>
      <c r="EW17" s="55">
        <f>IFERROR(VLOOKUP($D17,'Adient Arendal (Malzia) WK.12'!$B:EI,EW$1,0),0)</f>
        <v>0</v>
      </c>
      <c r="EX17" s="55">
        <f>IFERROR(VLOOKUP($D17,'Adient Taizhou (China) WK.16'!$B:EL,EW$1,0),0)</f>
        <v>0</v>
      </c>
      <c r="EY17" s="128">
        <v>0</v>
      </c>
      <c r="EZ17" s="32">
        <v>0</v>
      </c>
      <c r="FA17" s="106">
        <f t="shared" si="251"/>
        <v>200</v>
      </c>
      <c r="FC17" s="37">
        <f t="shared" si="178"/>
        <v>200</v>
      </c>
      <c r="FD17" s="154">
        <f>IFERROR(VLOOKUP($D17,'Adient Assende (Belgium) WK.17'!$B:EP,FE$1,0),0)</f>
        <v>0</v>
      </c>
      <c r="FE17" s="154">
        <f>IFERROR(VLOOKUP($D17,'Adient Arendal (Malzia) WK.12'!$B:EQ,FE$1,0),0)</f>
        <v>0</v>
      </c>
      <c r="FF17" s="154">
        <f>IFERROR(VLOOKUP($D17,'Adient Taizhou (China) WK.16'!$B:ET,FE$1,0),0)</f>
        <v>0</v>
      </c>
      <c r="FG17" s="128">
        <v>0</v>
      </c>
      <c r="FH17" s="32">
        <v>0</v>
      </c>
      <c r="FI17" s="106">
        <f t="shared" si="252"/>
        <v>200</v>
      </c>
      <c r="FK17" s="37">
        <f t="shared" si="179"/>
        <v>200</v>
      </c>
      <c r="FL17" s="125">
        <f>IFERROR(VLOOKUP($D17,'Adient Assende (Belgium) WK.17'!$B:EX,FM$1,0),0)</f>
        <v>0</v>
      </c>
      <c r="FM17" s="55">
        <f>IFERROR(VLOOKUP($D17,'Adient Arendal (Malzia) WK.12'!$B:EY,FM$1,0),0)</f>
        <v>0</v>
      </c>
      <c r="FN17" s="55">
        <f>IFERROR(VLOOKUP($D17,'Adient Taizhou (China) WK.16'!$B:FB,FM$1,0),0)</f>
        <v>0</v>
      </c>
      <c r="FO17" s="128">
        <v>100</v>
      </c>
      <c r="FP17" s="32">
        <v>0</v>
      </c>
      <c r="FQ17" s="106">
        <f t="shared" si="253"/>
        <v>100</v>
      </c>
      <c r="FR17" s="8"/>
      <c r="FS17" s="37">
        <f t="shared" si="180"/>
        <v>100</v>
      </c>
      <c r="FT17" s="125">
        <f>IFERROR(VLOOKUP($D17,'Adient Assende (Belgium) WK.17'!$B:FF,FU$1,0),0)</f>
        <v>100</v>
      </c>
      <c r="FU17" s="55">
        <f>IFERROR(VLOOKUP($D17,'Adient Arendal (Malzia) WK.12'!$B:FG,FU$1,0),0)</f>
        <v>0</v>
      </c>
      <c r="FV17" s="55">
        <f>IFERROR(VLOOKUP($D17,'Adient Taizhou (China) WK.16'!$B:FJ,FU$1,0),0)</f>
        <v>0</v>
      </c>
      <c r="FW17" s="60">
        <v>0</v>
      </c>
      <c r="FX17" s="60">
        <v>0</v>
      </c>
      <c r="FY17" s="60">
        <v>0</v>
      </c>
      <c r="FZ17" s="60">
        <v>0</v>
      </c>
      <c r="GA17" s="60">
        <v>0</v>
      </c>
      <c r="GB17" s="128">
        <v>0</v>
      </c>
      <c r="GC17" s="32">
        <v>0</v>
      </c>
      <c r="GD17" s="106">
        <f t="shared" si="254"/>
        <v>100</v>
      </c>
      <c r="GF17" s="37">
        <f t="shared" si="181"/>
        <v>100</v>
      </c>
      <c r="GG17" s="125">
        <f>IFERROR(VLOOKUP($D17,'Adient Assende (Belgium) WK.17'!$B:FN,GH$1,0),0)</f>
        <v>0</v>
      </c>
      <c r="GH17" s="55">
        <f>IFERROR(VLOOKUP($D17,'Adient Arendal (Malzia) WK.12'!$B:FO,GH$1,0),0)</f>
        <v>0</v>
      </c>
      <c r="GI17" s="55">
        <f>IFERROR(VLOOKUP($D17,'Adient Taizhou (China) WK.16'!$B:FR,GH$1,0),0)</f>
        <v>0</v>
      </c>
      <c r="GJ17" s="60">
        <v>100</v>
      </c>
      <c r="GK17" s="128">
        <v>0</v>
      </c>
      <c r="GL17" s="32">
        <v>0</v>
      </c>
      <c r="GM17" s="106">
        <f t="shared" si="255"/>
        <v>200</v>
      </c>
      <c r="GO17" s="37">
        <f t="shared" si="182"/>
        <v>200</v>
      </c>
      <c r="GP17" s="125">
        <f>IFERROR(VLOOKUP($D17,'Adient Assende (Belgium) WK.17'!$B:FV,GQ$1,0),0)</f>
        <v>0</v>
      </c>
      <c r="GQ17" s="55">
        <f>IFERROR(VLOOKUP($D17,'Adient Arendal (Malzia) WK.12'!$B:FW,GQ$1,0),0)</f>
        <v>0</v>
      </c>
      <c r="GR17" s="55">
        <f>IFERROR(VLOOKUP($D17,'Adient Taizhou (China) WK.16'!$B:FZ,GQ$1,0),0)</f>
        <v>0</v>
      </c>
      <c r="GS17" s="60">
        <v>0</v>
      </c>
      <c r="GT17" s="128">
        <v>0</v>
      </c>
      <c r="GU17" s="32">
        <v>0</v>
      </c>
      <c r="GV17" s="106">
        <f t="shared" si="256"/>
        <v>200</v>
      </c>
      <c r="GW17" s="8"/>
      <c r="GX17" s="37">
        <f t="shared" si="183"/>
        <v>200</v>
      </c>
      <c r="GY17" s="125">
        <f>IFERROR(VLOOKUP($D17,'Adient Assende (Belgium) WK.17'!$B:GD,GZ$1,0),0)</f>
        <v>0</v>
      </c>
      <c r="GZ17" s="55">
        <f>IFERROR(VLOOKUP($D17,'Adient Arendal (Malzia) WK.12'!$B:GE,GZ$1,0),0)</f>
        <v>0</v>
      </c>
      <c r="HA17" s="55">
        <f>IFERROR(VLOOKUP($D17,'Adient Taizhou (China) WK.16'!$B:GH,GZ$1,0),0)</f>
        <v>0</v>
      </c>
      <c r="HB17" s="60">
        <v>175</v>
      </c>
      <c r="HC17" s="128">
        <v>0</v>
      </c>
      <c r="HD17" s="32">
        <v>0</v>
      </c>
      <c r="HE17" s="106">
        <f t="shared" si="257"/>
        <v>375</v>
      </c>
      <c r="HF17" s="8"/>
      <c r="HG17" s="37">
        <f t="shared" si="184"/>
        <v>375</v>
      </c>
      <c r="HH17" s="125">
        <f>IFERROR(VLOOKUP($D17,'Adient Assende (Belgium) WK.17'!$B:GL,HI$1,0),0)</f>
        <v>0</v>
      </c>
      <c r="HI17" s="55">
        <f>IFERROR(VLOOKUP($D17,'Adient Arendal (Malzia) WK.12'!$B:GM,HI$1,0),0)</f>
        <v>0</v>
      </c>
      <c r="HJ17" s="55">
        <f>IFERROR(VLOOKUP($D17,'Adient Taizhou (China) WK.16'!$B:GP,HI$1,0),0)</f>
        <v>0</v>
      </c>
      <c r="HK17" s="60">
        <v>0</v>
      </c>
      <c r="HL17" s="128">
        <v>100</v>
      </c>
      <c r="HM17" s="32">
        <v>0</v>
      </c>
      <c r="HN17" s="106">
        <f t="shared" si="258"/>
        <v>275</v>
      </c>
      <c r="HO17" s="8"/>
      <c r="HP17" s="37">
        <f t="shared" si="185"/>
        <v>275</v>
      </c>
      <c r="HQ17" s="125">
        <f>IFERROR(VLOOKUP($D17,'Adient Assende (Belgium) WK.17'!$B:GT,HR$1,0),0)</f>
        <v>100</v>
      </c>
      <c r="HR17" s="55">
        <f>IFERROR(VLOOKUP($D17,'Adient Arendal (Malzia) WK.12'!$B:GU,HR$1,0),0)</f>
        <v>0</v>
      </c>
      <c r="HS17" s="55">
        <f>IFERROR(VLOOKUP($D17,'Adient Taizhou (China) WK.16'!$B:GX,HR$1,0),0)</f>
        <v>0</v>
      </c>
      <c r="HT17" s="60">
        <v>0</v>
      </c>
      <c r="HU17" s="128">
        <v>0</v>
      </c>
      <c r="HV17" s="32">
        <v>0</v>
      </c>
      <c r="HW17" s="106">
        <f t="shared" si="259"/>
        <v>275</v>
      </c>
      <c r="HX17" s="8"/>
      <c r="HY17" s="37">
        <f t="shared" si="186"/>
        <v>275</v>
      </c>
      <c r="HZ17" s="125">
        <f>IFERROR(VLOOKUP($D17,'Adient Assende (Belgium) WK.17'!$B:HB,IA$1,0),0)</f>
        <v>0</v>
      </c>
      <c r="IA17" s="55">
        <f>IFERROR(VLOOKUP($D17,'Adient Arendal (Malzia) WK.12'!$B:HC,IA$1,0),0)</f>
        <v>0</v>
      </c>
      <c r="IB17" s="55">
        <f>IFERROR(VLOOKUP($D17,'Adient Taizhou (China) WK.16'!$B:HF,IA$1,0),0)</f>
        <v>0</v>
      </c>
      <c r="IC17" s="60">
        <v>0</v>
      </c>
      <c r="ID17" s="128">
        <v>0</v>
      </c>
      <c r="IE17" s="32">
        <v>0</v>
      </c>
      <c r="IF17" s="106">
        <f t="shared" si="260"/>
        <v>275</v>
      </c>
      <c r="IG17" s="8"/>
      <c r="IH17" s="37">
        <f t="shared" si="187"/>
        <v>275</v>
      </c>
      <c r="II17" s="125">
        <f>IFERROR(VLOOKUP($D17,'Adient Assende (Belgium) WK.17'!$B:HJ,IJ$1,0),0)</f>
        <v>0</v>
      </c>
      <c r="IJ17" s="55">
        <f>IFERROR(VLOOKUP($D17,'Adient Arendal (Malzia) WK.12'!$B:HK,IJ$1,0),0)</f>
        <v>0</v>
      </c>
      <c r="IK17" s="55">
        <f>IFERROR(VLOOKUP($D17,'Adient Taizhou (China) WK.16'!$B:HN,IJ$1,0),0)</f>
        <v>0</v>
      </c>
      <c r="IL17" s="128">
        <v>100</v>
      </c>
      <c r="IM17" s="32">
        <v>0</v>
      </c>
      <c r="IN17" s="106">
        <f t="shared" si="188"/>
        <v>175</v>
      </c>
      <c r="IO17" s="8"/>
      <c r="IP17" s="37">
        <f t="shared" si="189"/>
        <v>175</v>
      </c>
      <c r="IQ17" s="125">
        <f>IFERROR(VLOOKUP($D17,'Adient Assende (Belgium) WK.17'!$B:HR,IR$1,0),0)</f>
        <v>100</v>
      </c>
      <c r="IR17" s="55">
        <f>IFERROR(VLOOKUP($D17,'Adient Arendal (Malzia) WK.12'!$B:HS,IR$1,0),0)</f>
        <v>0</v>
      </c>
      <c r="IS17" s="55">
        <f>IFERROR(VLOOKUP($D17,'Adient Taizhou (China) WK.16'!$B:HV,IR$1,0),0)</f>
        <v>0</v>
      </c>
      <c r="IT17" s="60">
        <v>0</v>
      </c>
      <c r="IU17" s="128">
        <v>0</v>
      </c>
      <c r="IV17" s="32">
        <v>0</v>
      </c>
      <c r="IW17" s="106">
        <f t="shared" si="261"/>
        <v>175</v>
      </c>
      <c r="IX17" s="8"/>
      <c r="IY17" s="37">
        <f t="shared" si="190"/>
        <v>175</v>
      </c>
      <c r="IZ17" s="125">
        <f>IFERROR(VLOOKUP($D17,'Adient Assende (Belgium) WK.17'!$B:HZ,JA$1,0),0)</f>
        <v>0</v>
      </c>
      <c r="JA17" s="55">
        <f>IFERROR(VLOOKUP($D17,'Adient Arendal (Malzia) WK.12'!$B:IA,JA$1,0),0)</f>
        <v>0</v>
      </c>
      <c r="JB17" s="55">
        <f>IFERROR(VLOOKUP($D17,'Adient Taizhou (China) WK.16'!$B:ID,JA$1,0),0)</f>
        <v>0</v>
      </c>
      <c r="JC17" s="128">
        <v>0</v>
      </c>
      <c r="JD17" s="32">
        <v>0</v>
      </c>
      <c r="JE17" s="106">
        <f t="shared" si="191"/>
        <v>175</v>
      </c>
      <c r="JF17" s="8"/>
      <c r="JG17" s="37">
        <f t="shared" si="192"/>
        <v>175</v>
      </c>
      <c r="JH17" s="125">
        <f>IFERROR(VLOOKUP($D17,'Adient Assende (Belgium) WK.17'!$B:IH,JI$1,0),0)</f>
        <v>0</v>
      </c>
      <c r="JI17" s="55">
        <f>IFERROR(VLOOKUP($D17,'Adient Arendal (Malzia) WK.12'!$B:II,JI$1,0),0)</f>
        <v>0</v>
      </c>
      <c r="JJ17" s="55">
        <f>IFERROR(VLOOKUP($D17,'Adient Taizhou (China) WK.16'!$B:IL,JI$1,0),0)</f>
        <v>0</v>
      </c>
      <c r="JK17" s="60">
        <v>0</v>
      </c>
      <c r="JL17" s="128">
        <v>100</v>
      </c>
      <c r="JM17" s="32">
        <v>0</v>
      </c>
      <c r="JN17" s="106">
        <f t="shared" si="262"/>
        <v>75</v>
      </c>
      <c r="JO17" s="8"/>
      <c r="JP17" s="37">
        <f t="shared" si="193"/>
        <v>75</v>
      </c>
      <c r="JQ17" s="125">
        <f>IFERROR(VLOOKUP($D17,'Adient Assende (Belgium) WK.17'!$B:IP,JR$1,0),0)</f>
        <v>100</v>
      </c>
      <c r="JR17" s="55">
        <f>IFERROR(VLOOKUP($D17,'Adient Arendal (Malzia) WK.12'!$B:IQ,JR$1,0),0)</f>
        <v>0</v>
      </c>
      <c r="JS17" s="55">
        <f>IFERROR(VLOOKUP($D17,'Adient Taizhou (China) WK.16'!$B:IT,JR$1,0),0)</f>
        <v>0</v>
      </c>
      <c r="JT17" s="128">
        <v>0</v>
      </c>
      <c r="JU17" s="32">
        <v>0</v>
      </c>
      <c r="JV17" s="106">
        <f t="shared" si="194"/>
        <v>75</v>
      </c>
      <c r="JW17" s="8"/>
      <c r="JX17" s="37">
        <f t="shared" si="195"/>
        <v>75</v>
      </c>
      <c r="JY17" s="154">
        <f>IFERROR(VLOOKUP($D17,'Adient Assende (Belgium) WK.17'!$B:IX,JZ$1,0),0)</f>
        <v>0</v>
      </c>
      <c r="JZ17" s="55">
        <f>IFERROR(VLOOKUP($D17,'Adient Arendal (Malzia) WK.12'!$B:IY,JZ$1,0),0)</f>
        <v>0</v>
      </c>
      <c r="KA17" s="55">
        <f>IFERROR(VLOOKUP($D17,'Adient Taizhou (China) WK.16'!$B:JB,JZ$1,0),0)</f>
        <v>0</v>
      </c>
      <c r="KB17" s="128">
        <v>0</v>
      </c>
      <c r="KC17" s="32">
        <v>0</v>
      </c>
      <c r="KD17" s="106">
        <f t="shared" si="263"/>
        <v>75</v>
      </c>
      <c r="KE17" s="8"/>
      <c r="KF17" s="37">
        <f t="shared" si="196"/>
        <v>75</v>
      </c>
      <c r="KG17" s="125">
        <f>IFERROR(VLOOKUP($D17,'Adient Assende (Belgium) WK.17'!$B:JF,KH$1,0),0)</f>
        <v>0</v>
      </c>
      <c r="KH17" s="55">
        <f>IFERROR(VLOOKUP($D17,'Adient Arendal (Malzia) WK.12'!$B:JG,KH$1,0),0)</f>
        <v>0</v>
      </c>
      <c r="KI17" s="55">
        <f>IFERROR(VLOOKUP($D17,'Adient Taizhou (China) WK.16'!$B:JJ,KH$1,0),0)</f>
        <v>0</v>
      </c>
      <c r="KJ17" s="60">
        <v>0</v>
      </c>
      <c r="KK17" s="128">
        <v>0</v>
      </c>
      <c r="KL17" s="32">
        <v>0</v>
      </c>
      <c r="KM17" s="106">
        <f t="shared" si="264"/>
        <v>75</v>
      </c>
      <c r="KN17" s="8"/>
      <c r="KO17" s="37">
        <f t="shared" si="197"/>
        <v>75</v>
      </c>
      <c r="KP17" s="141">
        <f>IFERROR(VLOOKUP($D17,'Adient Assende (Belgium) WK.17'!$B:JN,KQ$1,0),0)</f>
        <v>0</v>
      </c>
      <c r="KQ17" s="140">
        <f>IFERROR(VLOOKUP($D17,'Adient Arendal (Malzia) WK.12'!$B:JO,KQ$1,0),0)</f>
        <v>0</v>
      </c>
      <c r="KR17" s="140">
        <f>IFERROR(VLOOKUP($D17,'Adient Taizhou (China) WK.16'!$B:JR,KQ$1,0),0)</f>
        <v>0</v>
      </c>
      <c r="KS17" s="60">
        <v>125</v>
      </c>
      <c r="KT17" s="128">
        <v>0</v>
      </c>
      <c r="KU17" s="32">
        <v>0</v>
      </c>
      <c r="KV17" s="106">
        <f t="shared" si="265"/>
        <v>200</v>
      </c>
      <c r="KX17" s="37">
        <f t="shared" si="198"/>
        <v>200</v>
      </c>
      <c r="KY17" s="141">
        <f>IFERROR(VLOOKUP($D17,'Adient Assende (Belgium) WK.17'!$B:JV,KZ$1,0),0)</f>
        <v>0</v>
      </c>
      <c r="KZ17" s="140">
        <f>IFERROR(VLOOKUP($D17,'Adient Arendal (Malzia) WK.12'!$B:JW,KZ$1,0),0)</f>
        <v>0</v>
      </c>
      <c r="LA17" s="140">
        <f>IFERROR(VLOOKUP($D17,'Adient Taizhou (China) WK.16'!$B:JZ,KZ$1,0),0)</f>
        <v>0</v>
      </c>
      <c r="LB17" s="128">
        <v>0</v>
      </c>
      <c r="LC17" s="32">
        <v>0</v>
      </c>
      <c r="LD17" s="106">
        <f t="shared" si="266"/>
        <v>200</v>
      </c>
      <c r="LF17" s="37">
        <f t="shared" si="199"/>
        <v>200</v>
      </c>
      <c r="LG17" s="141">
        <f>IFERROR(VLOOKUP($D17,'Adient Assende (Belgium) WK.17'!$B:KD,LH$1,0),0)</f>
        <v>0</v>
      </c>
      <c r="LH17" s="140">
        <f>IFERROR(VLOOKUP($D17,'Adient Arendal (Malzia) WK.12'!$B:KE,LH$1,0),0)</f>
        <v>0</v>
      </c>
      <c r="LI17" s="140">
        <f>IFERROR(VLOOKUP($D17,'Adient Taizhou (China) WK.16'!$B:KH,LH$1,0),0)</f>
        <v>0</v>
      </c>
      <c r="LJ17" s="60">
        <v>0</v>
      </c>
      <c r="LK17" s="128">
        <v>0</v>
      </c>
      <c r="LL17" s="32">
        <v>0</v>
      </c>
      <c r="LM17" s="100">
        <f t="shared" si="267"/>
        <v>200</v>
      </c>
      <c r="LO17" s="37">
        <f t="shared" si="200"/>
        <v>200</v>
      </c>
      <c r="LP17" s="141">
        <f>IFERROR(VLOOKUP($D17,'Adient Assende (Belgium) WK.17'!$B:KL,LQ$1,0),0)</f>
        <v>100</v>
      </c>
      <c r="LQ17" s="140">
        <f>IFERROR(VLOOKUP($D17,'Adient Arendal (Malzia) WK.12'!$B:KM,LQ$1,0),0)</f>
        <v>0</v>
      </c>
      <c r="LR17" s="140">
        <f>IFERROR(VLOOKUP($D17,'Adient Taizhou (China) WK.16'!$B:KP,LQ$1,0),0)</f>
        <v>0</v>
      </c>
      <c r="LS17" s="128">
        <v>0</v>
      </c>
      <c r="LT17" s="32">
        <v>0</v>
      </c>
      <c r="LU17" s="100">
        <f t="shared" si="268"/>
        <v>100</v>
      </c>
      <c r="LW17" s="37">
        <f t="shared" si="201"/>
        <v>100</v>
      </c>
      <c r="LX17" s="141">
        <f>IFERROR(VLOOKUP($D17,'Adient Assende (Belgium) WK.17'!$B:KT,LY$1,0),0)</f>
        <v>0</v>
      </c>
      <c r="LY17" s="140">
        <f>IFERROR(VLOOKUP($D17,'Adient Arendal (Malzia) WK.12'!$B:KU,LY$1,0),0)</f>
        <v>0</v>
      </c>
      <c r="LZ17" s="140">
        <f>IFERROR(VLOOKUP($D17,'Adient Taizhou (China) WK.16'!$B:KX,LY$1,0),0)</f>
        <v>0</v>
      </c>
      <c r="MA17" s="128">
        <v>0</v>
      </c>
      <c r="MB17" s="32">
        <v>0</v>
      </c>
      <c r="MC17" s="100">
        <f t="shared" si="269"/>
        <v>100</v>
      </c>
      <c r="ME17" s="37">
        <f t="shared" si="202"/>
        <v>100</v>
      </c>
      <c r="MF17" s="154">
        <f>IFERROR(VLOOKUP($D17,'Adient Assende (Belgium) WK.17'!$B:LB,MG$1,0),0)</f>
        <v>0</v>
      </c>
      <c r="MG17" s="140">
        <f>IFERROR(VLOOKUP($D17,'Adient Arendal (Malzia) WK.12'!$B:LC,MG$1,0),0)</f>
        <v>0</v>
      </c>
      <c r="MH17" s="140">
        <f>IFERROR(VLOOKUP($D17,'Adient Taizhou (China) WK.16'!$B:LF,MG$1,0),0)</f>
        <v>0</v>
      </c>
      <c r="MI17" s="128">
        <v>0</v>
      </c>
      <c r="MJ17" s="32">
        <v>0</v>
      </c>
      <c r="MK17" s="100">
        <f t="shared" si="270"/>
        <v>100</v>
      </c>
      <c r="MM17" s="37">
        <f t="shared" si="203"/>
        <v>100</v>
      </c>
      <c r="MN17" s="141">
        <f>IFERROR(VLOOKUP($D17,'Adient Assende (Belgium) WK.17'!$B:LJ,MO$1,0),0)</f>
        <v>0</v>
      </c>
      <c r="MO17" s="140">
        <f>IFERROR(VLOOKUP($D17,'Adient Arendal (Malzia) WK.12'!$B:LK,MO$1,0),0)</f>
        <v>0</v>
      </c>
      <c r="MP17" s="140">
        <f>IFERROR(VLOOKUP($D17,'Adient Taizhou (China) WK.16'!$B:LN,MO$1,0),0)</f>
        <v>0</v>
      </c>
      <c r="MQ17" s="128">
        <v>0</v>
      </c>
      <c r="MR17" s="32">
        <v>0</v>
      </c>
      <c r="MS17" s="100">
        <f t="shared" si="271"/>
        <v>100</v>
      </c>
      <c r="MU17" s="37">
        <f t="shared" si="204"/>
        <v>100</v>
      </c>
      <c r="MV17" s="141">
        <f>IFERROR(VLOOKUP($D17,'Adient Assende (Belgium) WK.17'!$B:LR,MW$1,0),0)</f>
        <v>0</v>
      </c>
      <c r="MW17" s="140">
        <f>IFERROR(VLOOKUP($D17,'Adient Arendal (Malzia) WK.12'!$B:LS,MW$1,0),0)</f>
        <v>0</v>
      </c>
      <c r="MX17" s="140">
        <f>IFERROR(VLOOKUP($D17,'Adient Taizhou (China) WK.16'!$B:LV,MW$1,0),0)</f>
        <v>0</v>
      </c>
      <c r="MY17" s="128">
        <v>0</v>
      </c>
      <c r="MZ17" s="32">
        <v>0</v>
      </c>
      <c r="NA17" s="100">
        <f t="shared" si="272"/>
        <v>100</v>
      </c>
      <c r="NC17" s="37">
        <f t="shared" si="205"/>
        <v>100</v>
      </c>
      <c r="ND17" s="141">
        <f>IFERROR(VLOOKUP($D17,'Adient Assende (Belgium) WK.17'!$B:LZ,NE$1,0),0)</f>
        <v>100</v>
      </c>
      <c r="NE17" s="140">
        <f>IFERROR(VLOOKUP($D17,'Adient Arendal (Malzia) WK.12'!$B:MA,NE$1,0),0)</f>
        <v>0</v>
      </c>
      <c r="NF17" s="140">
        <f>IFERROR(VLOOKUP($D17,'Adient Taizhou (China) WK.16'!$B:MD,NE$1,0),0)</f>
        <v>0</v>
      </c>
      <c r="NG17" s="128">
        <v>0</v>
      </c>
      <c r="NH17" s="32">
        <v>0</v>
      </c>
      <c r="NI17" s="100">
        <f t="shared" si="273"/>
        <v>0</v>
      </c>
      <c r="NK17" s="37">
        <f t="shared" si="206"/>
        <v>0</v>
      </c>
      <c r="NL17" s="141">
        <f>IFERROR(VLOOKUP($D17,'Adient Assende (Belgium) WK.17'!$B:MH,NM$1,0),0)</f>
        <v>0</v>
      </c>
      <c r="NM17" s="140">
        <f>IFERROR(VLOOKUP($D17,'Adient Arendal (Malzia) WK.12'!$B:MI,NM$1,0),0)</f>
        <v>0</v>
      </c>
      <c r="NN17" s="140">
        <f>IFERROR(VLOOKUP($D17,'Adient Taizhou (China) WK.16'!$B:ML,NM$1,0),0)</f>
        <v>0</v>
      </c>
      <c r="NO17" s="128">
        <v>0</v>
      </c>
      <c r="NP17" s="32">
        <v>0</v>
      </c>
      <c r="NQ17" s="100">
        <f t="shared" si="274"/>
        <v>0</v>
      </c>
      <c r="NS17" s="37">
        <f t="shared" si="207"/>
        <v>0</v>
      </c>
      <c r="NT17" s="141">
        <f>IFERROR(VLOOKUP($D17,'Adient Assende (Belgium) WK.17'!$B:MP,NU$1,0),0)</f>
        <v>0</v>
      </c>
      <c r="NU17" s="140">
        <f>IFERROR(VLOOKUP($D17,'Adient Arendal (Malzia) WK.12'!$B:MQ,NU$1,0),0)</f>
        <v>0</v>
      </c>
      <c r="NV17" s="140">
        <f>IFERROR(VLOOKUP($D17,'Adient Taizhou (China) WK.16'!$B:MT,NU$1,0),0)</f>
        <v>0</v>
      </c>
      <c r="NW17" s="128">
        <v>0</v>
      </c>
      <c r="NX17" s="32">
        <v>0</v>
      </c>
      <c r="NY17" s="100">
        <f t="shared" si="275"/>
        <v>0</v>
      </c>
      <c r="OA17" s="37">
        <f t="shared" si="208"/>
        <v>0</v>
      </c>
      <c r="OB17" s="141">
        <f>IFERROR(VLOOKUP($D17,'Adient Assende (Belgium) WK.17'!$B:MX,OC$1,0),0)</f>
        <v>0</v>
      </c>
      <c r="OC17" s="140">
        <f>IFERROR(VLOOKUP($D17,'Adient Arendal (Malzia) WK.12'!$B:MY,OC$1,0),0)</f>
        <v>0</v>
      </c>
      <c r="OD17" s="140">
        <f>IFERROR(VLOOKUP($D17,'Adient Taizhou (China) WK.16'!$B:NB,OC$1,0),0)</f>
        <v>0</v>
      </c>
      <c r="OE17" s="128">
        <v>0</v>
      </c>
      <c r="OF17" s="32">
        <v>0</v>
      </c>
      <c r="OG17" s="100">
        <f t="shared" si="276"/>
        <v>0</v>
      </c>
      <c r="OI17" s="37">
        <f t="shared" si="209"/>
        <v>0</v>
      </c>
      <c r="OJ17" s="141">
        <f>IFERROR(VLOOKUP($D17,'Adient Assende (Belgium) WK.17'!$B:NF,OK$1,0),0)</f>
        <v>100</v>
      </c>
      <c r="OK17" s="140">
        <f>IFERROR(VLOOKUP($D17,'Adient Arendal (Malzia) WK.12'!$B:NG,OK$1,0),0)</f>
        <v>0</v>
      </c>
      <c r="OL17" s="140">
        <f>IFERROR(VLOOKUP($D17,'Adient Taizhou (China) WK.16'!$B:NJ,OK$1,0),0)</f>
        <v>0</v>
      </c>
      <c r="OM17" s="128">
        <v>0</v>
      </c>
      <c r="ON17" s="32">
        <v>0</v>
      </c>
      <c r="OO17" s="100">
        <f t="shared" si="277"/>
        <v>-100</v>
      </c>
      <c r="OQ17" s="37">
        <f t="shared" si="210"/>
        <v>-100</v>
      </c>
      <c r="OR17" s="141">
        <f>IFERROR(VLOOKUP($D17,'Adient Assende (Belgium) WK.17'!$B:NN,OS$1,0),0)</f>
        <v>0</v>
      </c>
      <c r="OS17" s="140">
        <f>IFERROR(VLOOKUP($D17,'Adient Arendal (Malzia) WK.12'!$B:NO,OS$1,0),0)</f>
        <v>0</v>
      </c>
      <c r="OT17" s="140">
        <f>IFERROR(VLOOKUP($D17,'Adient Taizhou (China) WK.16'!$B:NR,OS$1,0),0)</f>
        <v>0</v>
      </c>
      <c r="OU17" s="128">
        <v>0</v>
      </c>
      <c r="OV17" s="32">
        <v>0</v>
      </c>
      <c r="OW17" s="100">
        <f t="shared" si="278"/>
        <v>-100</v>
      </c>
      <c r="OY17" s="37">
        <f t="shared" si="211"/>
        <v>-100</v>
      </c>
      <c r="OZ17" s="141">
        <f>IFERROR(VLOOKUP($D17,'Adient Assende (Belgium) WK.17'!$B:NV,PA$1,0),0)</f>
        <v>0</v>
      </c>
      <c r="PA17" s="140">
        <f>IFERROR(VLOOKUP($D17,'Adient Arendal (Malzia) WK.12'!$B:NW,PA$1,0),0)</f>
        <v>0</v>
      </c>
      <c r="PB17" s="140">
        <f>IFERROR(VLOOKUP($D17,'Adient Taizhou (China) WK.16'!$B:NZ,PA$1,0),0)</f>
        <v>0</v>
      </c>
      <c r="PC17" s="128">
        <v>0</v>
      </c>
      <c r="PD17" s="32">
        <v>0</v>
      </c>
      <c r="PE17" s="100">
        <f t="shared" si="279"/>
        <v>-100</v>
      </c>
      <c r="PG17" s="37">
        <f t="shared" si="212"/>
        <v>-100</v>
      </c>
      <c r="PH17" s="141">
        <f>IFERROR(VLOOKUP($D17,'Adient Assende (Belgium) WK.17'!$B:OD,PI$1,0),0)</f>
        <v>0</v>
      </c>
      <c r="PI17" s="140">
        <f>IFERROR(VLOOKUP($D17,'Adient Arendal (Malzia) WK.12'!$B:OE,PI$1,0),0)</f>
        <v>0</v>
      </c>
      <c r="PJ17" s="140">
        <f>IFERROR(VLOOKUP($D17,'Adient Taizhou (China) WK.16'!$B:OH,PI$1,0),0)</f>
        <v>0</v>
      </c>
      <c r="PK17" s="128">
        <v>0</v>
      </c>
      <c r="PL17" s="32">
        <v>0</v>
      </c>
      <c r="PM17" s="100">
        <f t="shared" si="280"/>
        <v>-100</v>
      </c>
      <c r="PO17" s="37">
        <f t="shared" si="213"/>
        <v>-100</v>
      </c>
      <c r="PP17" s="141">
        <f>IFERROR(VLOOKUP($D17,'Adient Assende (Belgium) WK.17'!$B:OL,PQ$1,0),0)</f>
        <v>0</v>
      </c>
      <c r="PQ17" s="140">
        <f>IFERROR(VLOOKUP($D17,'Adient Arendal (Malzia) WK.12'!$B:OM,PQ$1,0),0)</f>
        <v>0</v>
      </c>
      <c r="PR17" s="140">
        <f>IFERROR(VLOOKUP($D17,'Adient Taizhou (China) WK.16'!$B:OP,PQ$1,0),0)</f>
        <v>0</v>
      </c>
      <c r="PS17" s="128">
        <v>0</v>
      </c>
      <c r="PT17" s="32">
        <v>0</v>
      </c>
      <c r="PU17" s="100">
        <f t="shared" si="281"/>
        <v>-100</v>
      </c>
      <c r="PW17" s="37">
        <f t="shared" si="214"/>
        <v>-100</v>
      </c>
      <c r="PX17" s="141">
        <f>IFERROR(VLOOKUP($D17,'Adient Assende (Belgium) WK.17'!$B:OT,PY$1,0),0)</f>
        <v>0</v>
      </c>
      <c r="PY17" s="140">
        <f>IFERROR(VLOOKUP($D17,'Adient Arendal (Malzia) WK.12'!$B:OU,PY$1,0),0)</f>
        <v>0</v>
      </c>
      <c r="PZ17" s="140">
        <f>IFERROR(VLOOKUP($D17,'Adient Taizhou (China) WK.16'!$B:OX,PY$1,0),0)</f>
        <v>0</v>
      </c>
      <c r="QA17" s="128">
        <v>0</v>
      </c>
      <c r="QB17" s="32">
        <v>0</v>
      </c>
      <c r="QC17" s="100">
        <f t="shared" si="282"/>
        <v>-100</v>
      </c>
      <c r="QE17" s="37">
        <f t="shared" si="215"/>
        <v>-100</v>
      </c>
      <c r="QF17" s="141">
        <f>IFERROR(VLOOKUP($D17,'Adient Assende (Belgium) WK.17'!$B:PB,QG$1,0),0)</f>
        <v>0</v>
      </c>
      <c r="QG17" s="140">
        <f>IFERROR(VLOOKUP($D17,'Adient Arendal (Malzia) WK.12'!$B:PC,QG$1,0),0)</f>
        <v>0</v>
      </c>
      <c r="QH17" s="140">
        <f>IFERROR(VLOOKUP($D17,'Adient Taizhou (China) WK.16'!$B:PF,QG$1,0),0)</f>
        <v>0</v>
      </c>
      <c r="QI17" s="128">
        <v>0</v>
      </c>
      <c r="QJ17" s="32">
        <v>0</v>
      </c>
      <c r="QK17" s="100">
        <f t="shared" si="283"/>
        <v>-100</v>
      </c>
      <c r="QM17" s="37">
        <f t="shared" si="216"/>
        <v>-100</v>
      </c>
      <c r="QN17" s="141">
        <f>IFERROR(VLOOKUP($D17,'Adient Assende (Belgium) WK.17'!$B:PJ,QO$1,0),0)</f>
        <v>0</v>
      </c>
      <c r="QO17" s="140">
        <f>IFERROR(VLOOKUP($D17,'Adient Arendal (Malzia) WK.12'!$B:PK,QO$1,0),0)</f>
        <v>0</v>
      </c>
      <c r="QP17" s="140">
        <f>IFERROR(VLOOKUP($D17,'Adient Taizhou (China) WK.16'!$B:PN,QO$1,0),0)</f>
        <v>0</v>
      </c>
      <c r="QQ17" s="128">
        <v>0</v>
      </c>
      <c r="QR17" s="32">
        <v>0</v>
      </c>
      <c r="QS17" s="100">
        <f t="shared" si="284"/>
        <v>-100</v>
      </c>
      <c r="QU17" s="37">
        <f t="shared" si="217"/>
        <v>-100</v>
      </c>
      <c r="QV17" s="141">
        <f>IFERROR(VLOOKUP($D17,'Adient Assende (Belgium) WK.17'!$B:PR,QW$1,0),0)</f>
        <v>30</v>
      </c>
      <c r="QW17" s="140">
        <f>IFERROR(VLOOKUP($D17,'Adient Arendal (Malzia) WK.12'!$B:PS,QW$1,0),0)</f>
        <v>0</v>
      </c>
      <c r="QX17" s="140">
        <f>IFERROR(VLOOKUP($D17,'Adient Taizhou (China) WK.16'!$B:PV,QW$1,0),0)</f>
        <v>0</v>
      </c>
      <c r="QY17" s="128">
        <v>0</v>
      </c>
      <c r="QZ17" s="32">
        <v>0</v>
      </c>
      <c r="RA17" s="100">
        <f t="shared" si="285"/>
        <v>-130</v>
      </c>
      <c r="RC17" s="37">
        <f t="shared" si="218"/>
        <v>-130</v>
      </c>
      <c r="RD17" s="141">
        <f>IFERROR(VLOOKUP($D17,'Adient Assende (Belgium) WK.17'!$B:PZ,RE$1,0),0)</f>
        <v>30</v>
      </c>
      <c r="RE17" s="140">
        <f>IFERROR(VLOOKUP($D17,'Adient Arendal (Malzia) WK.12'!$B:QA,RE$1,0),0)</f>
        <v>0</v>
      </c>
      <c r="RF17" s="140">
        <f>IFERROR(VLOOKUP($D17,'Adient Taizhou (China) WK.16'!$B:QD,RE$1,0),0)</f>
        <v>0</v>
      </c>
      <c r="RG17" s="128">
        <v>0</v>
      </c>
      <c r="RH17" s="32">
        <v>0</v>
      </c>
      <c r="RI17" s="100">
        <f t="shared" si="286"/>
        <v>-160</v>
      </c>
      <c r="RK17" s="37">
        <f t="shared" si="219"/>
        <v>-160</v>
      </c>
      <c r="RL17" s="141">
        <f>IFERROR(VLOOKUP($D17,'Adient Assende (Belgium) WK.17'!$B:QH,RM$1,0),0)</f>
        <v>30</v>
      </c>
      <c r="RM17" s="140">
        <f>IFERROR(VLOOKUP($D17,'Adient Arendal (Malzia) WK.12'!$B:QI,RM$1,0),0)</f>
        <v>0</v>
      </c>
      <c r="RN17" s="140">
        <f>IFERROR(VLOOKUP($D17,'Adient Taizhou (China) WK.16'!$B:QL,RM$1,0),0)</f>
        <v>0</v>
      </c>
      <c r="RO17" s="128">
        <v>0</v>
      </c>
      <c r="RP17" s="32">
        <v>0</v>
      </c>
      <c r="RQ17" s="100">
        <f t="shared" si="287"/>
        <v>-190</v>
      </c>
      <c r="RS17" s="37">
        <f t="shared" si="220"/>
        <v>-190</v>
      </c>
      <c r="RT17" s="141">
        <f>IFERROR(VLOOKUP($D17,'Adient Assende (Belgium) WK.17'!$B:QP,RU$1,0),0)</f>
        <v>10</v>
      </c>
      <c r="RU17" s="140">
        <f>IFERROR(VLOOKUP($D17,'Adient Arendal (Malzia) WK.12'!$B:QQ,RU$1,0),0)</f>
        <v>0</v>
      </c>
      <c r="RV17" s="140">
        <f>IFERROR(VLOOKUP($D17,'Adient Taizhou (China) WK.16'!$B:QT,RU$1,0),0)</f>
        <v>0</v>
      </c>
      <c r="RW17" s="128">
        <v>0</v>
      </c>
      <c r="RX17" s="32">
        <v>0</v>
      </c>
      <c r="RY17" s="100">
        <f t="shared" si="288"/>
        <v>-200</v>
      </c>
      <c r="SA17" s="37">
        <f t="shared" si="221"/>
        <v>-200</v>
      </c>
      <c r="SB17" s="141">
        <f>IFERROR(VLOOKUP($D17,'Adient Assende (Belgium) WK.17'!$B:QX,SC$1,0),0)</f>
        <v>30</v>
      </c>
      <c r="SC17" s="140">
        <f>IFERROR(VLOOKUP($D17,'Adient Arendal (Malzia) WK.12'!$B:QY,SC$1,0),0)</f>
        <v>0</v>
      </c>
      <c r="SD17" s="140">
        <f>IFERROR(VLOOKUP($D17,'Adient Taizhou (China) WK.16'!$B:RB,SC$1,0),0)</f>
        <v>0</v>
      </c>
      <c r="SE17" s="128">
        <v>0</v>
      </c>
      <c r="SF17" s="32">
        <v>0</v>
      </c>
      <c r="SG17" s="100">
        <f t="shared" si="289"/>
        <v>-230</v>
      </c>
      <c r="SI17" s="37">
        <f t="shared" si="222"/>
        <v>-230</v>
      </c>
      <c r="SJ17" s="141">
        <f>IFERROR(VLOOKUP($D17,'Adient Assende (Belgium) WK.17'!$B:RF,SK$1,0),0)</f>
        <v>30</v>
      </c>
      <c r="SK17" s="140">
        <f>IFERROR(VLOOKUP($D17,'Adient Arendal (Malzia) WK.12'!$B:RG,SK$1,0),0)</f>
        <v>0</v>
      </c>
      <c r="SL17" s="140">
        <f>IFERROR(VLOOKUP($D17,'Adient Taizhou (China) WK.16'!$B:RJ,SK$1,0),0)</f>
        <v>0</v>
      </c>
      <c r="SM17" s="128">
        <v>0</v>
      </c>
      <c r="SN17" s="32">
        <v>0</v>
      </c>
      <c r="SO17" s="100">
        <f t="shared" si="290"/>
        <v>-260</v>
      </c>
      <c r="SQ17" s="37">
        <f t="shared" si="223"/>
        <v>-260</v>
      </c>
      <c r="SR17" s="141">
        <f>IFERROR(VLOOKUP($D17,'Adient Assende (Belgium) WK.17'!$B:RN,SS$1,0),0)</f>
        <v>30</v>
      </c>
      <c r="SS17" s="140">
        <f>IFERROR(VLOOKUP($D17,'Adient Arendal (Malzia) WK.12'!$B:RO,SS$1,0),0)</f>
        <v>0</v>
      </c>
      <c r="ST17" s="140">
        <f>IFERROR(VLOOKUP($D17,'Adient Taizhou (China) WK.16'!$B:RR,SS$1,0),0)</f>
        <v>0</v>
      </c>
      <c r="SU17" s="128">
        <v>0</v>
      </c>
      <c r="SV17" s="32">
        <v>0</v>
      </c>
      <c r="SW17" s="100">
        <f t="shared" si="291"/>
        <v>-290</v>
      </c>
      <c r="SY17" s="37">
        <f t="shared" si="224"/>
        <v>-290</v>
      </c>
      <c r="SZ17" s="141">
        <f>IFERROR(VLOOKUP($D17,'Adient Assende (Belgium) WK.17'!$B:RV,TA$1,0),0)</f>
        <v>10</v>
      </c>
      <c r="TA17" s="140">
        <f>IFERROR(VLOOKUP($D17,'Adient Arendal (Malzia) WK.12'!$B:RW,TA$1,0),0)</f>
        <v>0</v>
      </c>
      <c r="TB17" s="140">
        <f>IFERROR(VLOOKUP($D17,'Adient Taizhou (China) WK.16'!$B:RZ,TA$1,0),0)</f>
        <v>0</v>
      </c>
      <c r="TC17" s="128">
        <v>0</v>
      </c>
      <c r="TD17" s="32">
        <v>0</v>
      </c>
      <c r="TE17" s="100">
        <f t="shared" si="292"/>
        <v>-300</v>
      </c>
      <c r="TG17" s="37">
        <f t="shared" si="225"/>
        <v>-300</v>
      </c>
      <c r="TH17" s="141">
        <f>IFERROR(VLOOKUP($D17,'Adient Assende (Belgium) WK.17'!$B:SD,TI$1,0),0)</f>
        <v>0</v>
      </c>
      <c r="TI17" s="140">
        <f>IFERROR(VLOOKUP($D17,'Adient Arendal (Malzia) WK.12'!$B:SE,TI$1,0),0)</f>
        <v>0</v>
      </c>
      <c r="TJ17" s="140">
        <f>IFERROR(VLOOKUP($D17,'Adient Taizhou (China) WK.16'!$B:SH,TI$1,0),0)</f>
        <v>0</v>
      </c>
      <c r="TK17" s="128">
        <v>0</v>
      </c>
      <c r="TL17" s="32">
        <v>0</v>
      </c>
      <c r="TM17" s="100">
        <f t="shared" si="293"/>
        <v>-300</v>
      </c>
      <c r="TO17" s="37">
        <f t="shared" si="226"/>
        <v>-300</v>
      </c>
      <c r="TP17" s="141">
        <f>IFERROR(VLOOKUP($D17,'Adient Assende (Belgium) WK.17'!$B:SL,TQ$1,0),0)</f>
        <v>0</v>
      </c>
      <c r="TQ17" s="140">
        <f>IFERROR(VLOOKUP($D17,'Adient Arendal (Malzia) WK.12'!$B:SM,TQ$1,0),0)</f>
        <v>0</v>
      </c>
      <c r="TR17" s="140">
        <f>IFERROR(VLOOKUP($D17,'Adient Taizhou (China) WK.16'!$B:SP,TQ$1,0),0)</f>
        <v>0</v>
      </c>
      <c r="TS17" s="128">
        <v>0</v>
      </c>
      <c r="TT17" s="32">
        <v>0</v>
      </c>
      <c r="TU17" s="100">
        <f t="shared" si="294"/>
        <v>-300</v>
      </c>
      <c r="TW17" s="37">
        <f t="shared" si="227"/>
        <v>-300</v>
      </c>
      <c r="TX17" s="141">
        <f>IFERROR(VLOOKUP($D17,'Adient Assende (Belgium) WK.17'!$B:ST,TY$1,0),0)</f>
        <v>0</v>
      </c>
      <c r="TY17" s="140">
        <f>IFERROR(VLOOKUP($D17,'Adient Arendal (Malzia) WK.12'!$B:SU,TY$1,0),0)</f>
        <v>0</v>
      </c>
      <c r="TZ17" s="140">
        <f>IFERROR(VLOOKUP($D17,'Adient Taizhou (China) WK.16'!$B:SX,TY$1,0),0)</f>
        <v>0</v>
      </c>
      <c r="UA17" s="128">
        <v>0</v>
      </c>
      <c r="UB17" s="32">
        <v>0</v>
      </c>
      <c r="UC17" s="100">
        <f t="shared" si="295"/>
        <v>-300</v>
      </c>
      <c r="UE17" s="37">
        <f t="shared" si="228"/>
        <v>-300</v>
      </c>
      <c r="UF17" s="141">
        <f>IFERROR(VLOOKUP($D17,'Adient Assende (Belgium) WK.17'!$B:TB,UG$1,0),0)</f>
        <v>0</v>
      </c>
      <c r="UG17" s="140">
        <f>IFERROR(VLOOKUP($D17,'Adient Arendal (Malzia) WK.12'!$B:TC,UG$1,0),0)</f>
        <v>0</v>
      </c>
      <c r="UH17" s="140">
        <f>IFERROR(VLOOKUP($D17,'Adient Taizhou (China) WK.16'!$B:TF,UG$1,0),0)</f>
        <v>0</v>
      </c>
      <c r="UI17" s="128">
        <v>0</v>
      </c>
      <c r="UJ17" s="32">
        <v>0</v>
      </c>
      <c r="UK17" s="100">
        <f t="shared" si="296"/>
        <v>-300</v>
      </c>
      <c r="UM17" s="37">
        <f t="shared" si="229"/>
        <v>-300</v>
      </c>
      <c r="UN17" s="141">
        <f>IFERROR(VLOOKUP($D17,'Adient Assende (Belgium) WK.17'!$B:TJ,UO$1,0),0)</f>
        <v>0</v>
      </c>
      <c r="UO17" s="140">
        <f>IFERROR(VLOOKUP($D17,'Adient Arendal (Malzia) WK.12'!$B:TK,UO$1,0),0)</f>
        <v>0</v>
      </c>
      <c r="UP17" s="140">
        <f>IFERROR(VLOOKUP($D17,'Adient Taizhou (China) WK.16'!$B:TN,UO$1,0),0)</f>
        <v>0</v>
      </c>
      <c r="UQ17" s="128">
        <v>0</v>
      </c>
      <c r="UR17" s="32">
        <v>0</v>
      </c>
      <c r="US17" s="100">
        <f t="shared" si="297"/>
        <v>-300</v>
      </c>
      <c r="UU17" s="37">
        <f t="shared" si="230"/>
        <v>-300</v>
      </c>
      <c r="UV17" s="141">
        <f>IFERROR(VLOOKUP($D17,'Adient Assende (Belgium) WK.17'!$B:TR,UW$1,0),0)</f>
        <v>0</v>
      </c>
      <c r="UW17" s="140">
        <f>IFERROR(VLOOKUP($D17,'Adient Arendal (Malzia) WK.12'!$B:TS,UW$1,0),0)</f>
        <v>0</v>
      </c>
      <c r="UX17" s="140">
        <f>IFERROR(VLOOKUP($D17,'Adient Taizhou (China) WK.16'!$B:TV,UW$1,0),0)</f>
        <v>0</v>
      </c>
      <c r="UY17" s="128">
        <v>0</v>
      </c>
      <c r="UZ17" s="32">
        <v>0</v>
      </c>
      <c r="VA17" s="100">
        <f t="shared" si="298"/>
        <v>-300</v>
      </c>
      <c r="VC17" s="37">
        <f t="shared" si="231"/>
        <v>-300</v>
      </c>
      <c r="VD17" s="141">
        <f>IFERROR(VLOOKUP($D17,'Adient Assende (Belgium) WK.17'!$B:TZ,VE$1,0),0)</f>
        <v>0</v>
      </c>
      <c r="VE17" s="140">
        <f>IFERROR(VLOOKUP($D17,'Adient Arendal (Malzia) WK.12'!$B:UA,VE$1,0),0)</f>
        <v>0</v>
      </c>
      <c r="VF17" s="140">
        <f>IFERROR(VLOOKUP($D17,'Adient Taizhou (China) WK.16'!$B:UD,VE$1,0),0)</f>
        <v>0</v>
      </c>
      <c r="VG17" s="128">
        <v>0</v>
      </c>
      <c r="VH17" s="32">
        <v>0</v>
      </c>
      <c r="VI17" s="100">
        <f t="shared" si="299"/>
        <v>-300</v>
      </c>
      <c r="VK17" s="37">
        <f t="shared" si="232"/>
        <v>-300</v>
      </c>
      <c r="VL17" s="141">
        <f>IFERROR(VLOOKUP($D17,'Adient Assende (Belgium) WK.17'!$B:UH,VM$1,0),0)</f>
        <v>0</v>
      </c>
      <c r="VM17" s="140">
        <f>IFERROR(VLOOKUP($D17,'Adient Arendal (Malzia) WK.12'!$B:UI,VM$1,0),0)</f>
        <v>0</v>
      </c>
      <c r="VN17" s="140">
        <f>IFERROR(VLOOKUP($D17,'Adient Taizhou (China) WK.16'!$B:UL,VM$1,0),0)</f>
        <v>0</v>
      </c>
      <c r="VO17" s="128">
        <v>0</v>
      </c>
      <c r="VP17" s="32">
        <v>0</v>
      </c>
      <c r="VQ17" s="100">
        <f t="shared" si="300"/>
        <v>-300</v>
      </c>
    </row>
    <row r="18" spans="1:589" x14ac:dyDescent="0.25">
      <c r="A18" s="10" t="s">
        <v>18</v>
      </c>
      <c r="B18" s="11" t="s">
        <v>19</v>
      </c>
      <c r="C18" s="87">
        <v>32288787</v>
      </c>
      <c r="D18" s="81">
        <v>5073058</v>
      </c>
      <c r="E18" s="11">
        <v>25</v>
      </c>
      <c r="F18" s="12"/>
      <c r="H18" s="122">
        <v>1775</v>
      </c>
      <c r="I18" s="125">
        <f>IFERROR(VLOOKUP($D18,'Adient Assende (Belgium) WK.17'!$B:C,J$1,0),0)</f>
        <v>100</v>
      </c>
      <c r="J18" s="55">
        <f>IFERROR(VLOOKUP($D18,'Adient Arendal (Malzia) WK.12'!$B:C,J$1,0),0)</f>
        <v>0</v>
      </c>
      <c r="K18" s="55">
        <f>IFERROR(VLOOKUP($D18,'Adient Taizhou (China) WK.16'!$B:C,J$1,0),0)</f>
        <v>0</v>
      </c>
      <c r="L18" s="128">
        <v>200</v>
      </c>
      <c r="M18" s="32">
        <v>0</v>
      </c>
      <c r="N18" s="106">
        <f t="shared" si="233"/>
        <v>1575</v>
      </c>
      <c r="P18" s="37">
        <f t="shared" si="234"/>
        <v>1575</v>
      </c>
      <c r="Q18" s="125">
        <f>IFERROR(VLOOKUP($D18,'Adient Assende (Belgium) WK.17'!$B:K,R$1,0),0)</f>
        <v>200</v>
      </c>
      <c r="R18" s="55">
        <f>IFERROR(VLOOKUP($D18,'Adient Arendal (Malzia) WK.12'!$B:K,R$1,0),0)</f>
        <v>0</v>
      </c>
      <c r="S18" s="55">
        <f>IFERROR(VLOOKUP($D18,'Adient Taizhou (China) WK.16'!$B:K,R$1,0),0)</f>
        <v>0</v>
      </c>
      <c r="T18" s="41">
        <v>200</v>
      </c>
      <c r="U18" s="32">
        <v>0</v>
      </c>
      <c r="V18" s="106">
        <f t="shared" si="235"/>
        <v>1375</v>
      </c>
      <c r="X18" s="37">
        <f t="shared" si="236"/>
        <v>1375</v>
      </c>
      <c r="Y18" s="125">
        <f>IFERROR(VLOOKUP($D18,'Adient Assende (Belgium) WK.17'!$B:S,Z$1,0),0)</f>
        <v>200</v>
      </c>
      <c r="Z18" s="55">
        <f>IFERROR(VLOOKUP($D18,'Adient Arendal (Malzia) WK.12'!$B:S,Z$1,0),0)</f>
        <v>0</v>
      </c>
      <c r="AA18" s="55">
        <f>IFERROR(VLOOKUP($D18,'Adient Taizhou (China) WK.16'!$B:S,Z$1,0),0)</f>
        <v>0</v>
      </c>
      <c r="AB18" s="41">
        <v>0</v>
      </c>
      <c r="AC18" s="32">
        <v>0</v>
      </c>
      <c r="AD18" s="106">
        <f t="shared" si="237"/>
        <v>1375</v>
      </c>
      <c r="AF18" s="37">
        <f t="shared" si="238"/>
        <v>1375</v>
      </c>
      <c r="AG18" s="125">
        <f>IFERROR(VLOOKUP($D18,'Adient Assende (Belgium) WK.17'!$B:AA,AH$1,0),0)</f>
        <v>0</v>
      </c>
      <c r="AH18" s="55">
        <f>IFERROR(VLOOKUP($D18,'Adient Arendal (Malzia) WK.12'!$B:AA,AH$1,0),0)</f>
        <v>0</v>
      </c>
      <c r="AI18" s="55">
        <f>IFERROR(VLOOKUP($D18,'Adient Taizhou (China) WK.16'!$B:AA,AH$1,0),0)</f>
        <v>0</v>
      </c>
      <c r="AJ18" s="41">
        <v>200</v>
      </c>
      <c r="AK18" s="32">
        <v>0</v>
      </c>
      <c r="AL18" s="106">
        <f t="shared" si="239"/>
        <v>1175</v>
      </c>
      <c r="AN18" s="37">
        <f t="shared" si="164"/>
        <v>1175</v>
      </c>
      <c r="AO18" s="125">
        <f>IFERROR(VLOOKUP($D18,'Adient Assende (Belgium) WK.17'!$B:AI,AP$1,0),0)</f>
        <v>200</v>
      </c>
      <c r="AP18" s="55">
        <f>IFERROR(VLOOKUP($D18,'Adient Arendal (Malzia) WK.12'!$B:AI,AP$1,0),0)</f>
        <v>0</v>
      </c>
      <c r="AQ18" s="55">
        <f>IFERROR(VLOOKUP($D18,'Adient Taizhou (China) WK.16'!$B:AI,AP$1,0),0)</f>
        <v>0</v>
      </c>
      <c r="AR18" s="60">
        <v>0</v>
      </c>
      <c r="AS18" s="41">
        <v>100</v>
      </c>
      <c r="AT18" s="32">
        <v>0</v>
      </c>
      <c r="AU18" s="106">
        <f t="shared" si="240"/>
        <v>1075</v>
      </c>
      <c r="AW18" s="37">
        <f t="shared" si="165"/>
        <v>1075</v>
      </c>
      <c r="AX18" s="125">
        <f>IFERROR(VLOOKUP($D18,'Adient Assende (Belgium) WK.17'!$B:AR,AY$1,0),0)</f>
        <v>100</v>
      </c>
      <c r="AY18" s="55">
        <f>IFERROR(VLOOKUP($D18,'Adient Arendal (Malzia) WK.12'!$B:AR,AY$1,0),0)</f>
        <v>0</v>
      </c>
      <c r="AZ18" s="55">
        <f>IFERROR(VLOOKUP($D18,'Adient Taizhou (China) WK.16'!$B:AU,AY$1,0),0)</f>
        <v>0</v>
      </c>
      <c r="BA18" s="41">
        <v>200</v>
      </c>
      <c r="BB18" s="32">
        <v>0</v>
      </c>
      <c r="BC18" s="106">
        <f t="shared" si="241"/>
        <v>875</v>
      </c>
      <c r="BE18" s="37">
        <f t="shared" si="166"/>
        <v>875</v>
      </c>
      <c r="BF18" s="125">
        <f>IFERROR(VLOOKUP($D18,'Adient Assende (Belgium) WK.17'!$B:AX,BG$1,0),0)</f>
        <v>200</v>
      </c>
      <c r="BG18" s="55">
        <f>IFERROR(VLOOKUP($D18,'Adient Arendal (Malzia) WK.12'!$B:AZ,BG$1,0),0)</f>
        <v>0</v>
      </c>
      <c r="BH18" s="55">
        <f>IFERROR(VLOOKUP($D18,'Adient Taizhou (China) WK.16'!$B:BB,BG$1,0),0)</f>
        <v>0</v>
      </c>
      <c r="BI18" s="60">
        <v>0</v>
      </c>
      <c r="BJ18" s="60">
        <v>0</v>
      </c>
      <c r="BK18" s="41">
        <v>100</v>
      </c>
      <c r="BL18" s="32">
        <v>0</v>
      </c>
      <c r="BM18" s="106">
        <f t="shared" si="242"/>
        <v>775</v>
      </c>
      <c r="BN18" s="8"/>
      <c r="BO18" s="37">
        <f t="shared" si="167"/>
        <v>775</v>
      </c>
      <c r="BP18" s="125">
        <f>IFERROR(VLOOKUP($D18,'Adient Assende (Belgium) WK.17'!$B:BH,BQ$1,0),0)</f>
        <v>100</v>
      </c>
      <c r="BQ18" s="55">
        <f>IFERROR(VLOOKUP($D18,'Adient Arendal (Malzia) WK.12'!$B:BI,BQ$1,0),0)</f>
        <v>0</v>
      </c>
      <c r="BR18" s="55">
        <f>IFERROR(VLOOKUP($D18,'Adient Taizhou (China) WK.16'!$B:BL,BQ$1,0),0)</f>
        <v>0</v>
      </c>
      <c r="BS18" s="60">
        <v>75</v>
      </c>
      <c r="BT18" s="60">
        <v>0</v>
      </c>
      <c r="BU18" s="60">
        <v>0</v>
      </c>
      <c r="BV18" s="41">
        <v>200</v>
      </c>
      <c r="BW18" s="32">
        <v>0</v>
      </c>
      <c r="BX18" s="106">
        <f t="shared" si="243"/>
        <v>650</v>
      </c>
      <c r="BY18" s="8"/>
      <c r="BZ18" s="37">
        <f t="shared" si="168"/>
        <v>650</v>
      </c>
      <c r="CA18" s="125">
        <f>IFERROR(VLOOKUP($D18,'Adient Assende (Belgium) WK.17'!$B:BS,CB$1,0),0)</f>
        <v>200</v>
      </c>
      <c r="CB18" s="55">
        <f>IFERROR(VLOOKUP($D18,'Adient Arendal (Malzia) WK.12'!$B:BT,CB$1,0),0)</f>
        <v>0</v>
      </c>
      <c r="CC18" s="55">
        <f>IFERROR(VLOOKUP($D18,'Adient Taizhou (China) WK.16'!$B:BW,CB$1,0),0)</f>
        <v>0</v>
      </c>
      <c r="CD18" s="60">
        <v>0</v>
      </c>
      <c r="CE18" s="60">
        <v>0</v>
      </c>
      <c r="CF18" s="41">
        <v>400</v>
      </c>
      <c r="CG18" s="32">
        <v>0</v>
      </c>
      <c r="CH18" s="106">
        <f t="shared" si="244"/>
        <v>250</v>
      </c>
      <c r="CI18" s="8"/>
      <c r="CJ18" s="37">
        <f t="shared" si="169"/>
        <v>250</v>
      </c>
      <c r="CK18" s="125">
        <f>IFERROR(VLOOKUP($D18,'Adient Assende (Belgium) WK.17'!$B:CC,CL$1,0),0)</f>
        <v>400</v>
      </c>
      <c r="CL18" s="55">
        <f>IFERROR(VLOOKUP($D18,'Adient Arendal (Malzia) WK.12'!$B:CD,CL$1,0),0)</f>
        <v>0</v>
      </c>
      <c r="CM18" s="55">
        <f>IFERROR(VLOOKUP($D18,'Adient Taizhou (China) WK.16'!$B:CG,CL$1,0),0)</f>
        <v>0</v>
      </c>
      <c r="CN18" s="60">
        <v>200</v>
      </c>
      <c r="CO18" s="149">
        <v>0</v>
      </c>
      <c r="CP18" s="32">
        <v>0</v>
      </c>
      <c r="CQ18" s="106">
        <f t="shared" si="245"/>
        <v>450</v>
      </c>
      <c r="CR18" s="8"/>
      <c r="CS18" s="122">
        <f t="shared" si="170"/>
        <v>450</v>
      </c>
      <c r="CT18" s="154">
        <f>IFERROR(VLOOKUP($D18,'Adient Assende (Belgium) WK.17'!$B:CL,CU$1,0),0)</f>
        <v>0</v>
      </c>
      <c r="CU18" s="55">
        <f>IFERROR(VLOOKUP($D18,'Adient Arendal (Malzia) WK.12'!$B:CM,CU$1,0),0)</f>
        <v>0</v>
      </c>
      <c r="CV18" s="55">
        <f>IFERROR(VLOOKUP($D18,'Adient Taizhou (China) WK.16'!$B:CP,CU$1,0),0)</f>
        <v>0</v>
      </c>
      <c r="CW18" s="60">
        <v>0</v>
      </c>
      <c r="CX18" s="60">
        <v>200</v>
      </c>
      <c r="CY18" s="128">
        <v>200</v>
      </c>
      <c r="CZ18" s="32">
        <v>0</v>
      </c>
      <c r="DA18" s="106">
        <f t="shared" si="246"/>
        <v>450</v>
      </c>
      <c r="DB18" s="8"/>
      <c r="DC18" s="37">
        <f t="shared" si="171"/>
        <v>450</v>
      </c>
      <c r="DD18" s="125">
        <f>IFERROR(VLOOKUP($D18,'Adient Assende (Belgium) WK.17'!$B:CS,DE$1,0),0)</f>
        <v>200</v>
      </c>
      <c r="DE18" s="55">
        <f>IFERROR(VLOOKUP($D18,'Adient Arendal (Malzia) WK.12'!$B:CU,DE$1,0),0)</f>
        <v>0</v>
      </c>
      <c r="DF18" s="55">
        <f>IFERROR(VLOOKUP($D18,'Adient Taizhou (China) WK.16'!$B:CX,DE$1,0),0)</f>
        <v>0</v>
      </c>
      <c r="DG18" s="60">
        <v>375</v>
      </c>
      <c r="DH18" s="128">
        <v>100</v>
      </c>
      <c r="DI18" s="32">
        <v>0</v>
      </c>
      <c r="DJ18" s="106">
        <f t="shared" si="247"/>
        <v>725</v>
      </c>
      <c r="DL18" s="37">
        <f t="shared" si="172"/>
        <v>725</v>
      </c>
      <c r="DM18" s="125">
        <f>IFERROR(VLOOKUP($D18,'Adient Assende (Belgium) WK.17'!$B:DB,DN$1,0),0)</f>
        <v>100</v>
      </c>
      <c r="DN18" s="55">
        <f>IFERROR(VLOOKUP($D18,'Adient Arendal (Malzia) WK.12'!$B:DC,DN$1,0),0)</f>
        <v>0</v>
      </c>
      <c r="DO18" s="55">
        <f>IFERROR(VLOOKUP($D18,'Adient Taizhou (China) WK.16'!$B:DF,DN$1,0),0)</f>
        <v>0</v>
      </c>
      <c r="DP18" s="128">
        <v>300</v>
      </c>
      <c r="DQ18" s="32">
        <v>0</v>
      </c>
      <c r="DR18" s="106">
        <f t="shared" si="173"/>
        <v>425</v>
      </c>
      <c r="DS18" s="8"/>
      <c r="DT18" s="37">
        <f t="shared" si="174"/>
        <v>425</v>
      </c>
      <c r="DU18" s="125">
        <f>IFERROR(VLOOKUP($D18,'Adient Assende (Belgium) WK.17'!$B:DJ,DV$1,0),0)</f>
        <v>300</v>
      </c>
      <c r="DV18" s="55">
        <f>IFERROR(VLOOKUP($D18,'Adient Arendal (Malzia) WK.12'!$B:DK,DV$1,0),0)</f>
        <v>0</v>
      </c>
      <c r="DW18" s="55">
        <f>IFERROR(VLOOKUP($D18,'Adient Taizhou (China) WK.16'!$B:DN,DV$1,0),0)</f>
        <v>0</v>
      </c>
      <c r="DX18" s="60">
        <v>225</v>
      </c>
      <c r="DY18" s="60">
        <v>575</v>
      </c>
      <c r="DZ18" s="128">
        <v>200</v>
      </c>
      <c r="EA18" s="32">
        <v>0</v>
      </c>
      <c r="EB18" s="106">
        <f t="shared" si="248"/>
        <v>1025</v>
      </c>
      <c r="EC18" s="8"/>
      <c r="ED18" s="37">
        <f t="shared" si="175"/>
        <v>1025</v>
      </c>
      <c r="EE18" s="125">
        <f>IFERROR(VLOOKUP($D18,'Adient Assende (Belgium) WK.17'!$B:DR,EF$1,0),0)</f>
        <v>200</v>
      </c>
      <c r="EF18" s="55">
        <f>IFERROR(VLOOKUP($D18,'Adient Arendal (Malzia) WK.12'!$B:DS,EF$1,0),0)</f>
        <v>0</v>
      </c>
      <c r="EG18" s="55">
        <f>IFERROR(VLOOKUP($D18,'Adient Taizhou (China) WK.16'!$B:DV,EF$1,0),0)</f>
        <v>0</v>
      </c>
      <c r="EH18" s="60">
        <v>0</v>
      </c>
      <c r="EI18" s="128">
        <v>200</v>
      </c>
      <c r="EJ18" s="32">
        <v>0</v>
      </c>
      <c r="EK18" s="106">
        <f t="shared" si="249"/>
        <v>825</v>
      </c>
      <c r="EM18" s="37">
        <f t="shared" si="176"/>
        <v>825</v>
      </c>
      <c r="EN18" s="125">
        <f>IFERROR(VLOOKUP($D18,'Adient Assende (Belgium) WK.17'!$B:DZ,EO$1,0),0)</f>
        <v>200</v>
      </c>
      <c r="EO18" s="55">
        <f>IFERROR(VLOOKUP($D18,'Adient Arendal (Malzia) WK.12'!$B:EA,EO$1,0),0)</f>
        <v>0</v>
      </c>
      <c r="EP18" s="55">
        <f>IFERROR(VLOOKUP($D18,'Adient Taizhou (China) WK.16'!$B:ED,EO$1,0),0)</f>
        <v>0</v>
      </c>
      <c r="EQ18" s="128">
        <v>0</v>
      </c>
      <c r="ER18" s="32">
        <v>0</v>
      </c>
      <c r="ES18" s="106">
        <f t="shared" si="250"/>
        <v>825</v>
      </c>
      <c r="EU18" s="37">
        <f t="shared" si="177"/>
        <v>825</v>
      </c>
      <c r="EV18" s="125">
        <f>IFERROR(VLOOKUP($D18,'Adient Assende (Belgium) WK.17'!$B:EH,EW$1,0),0)</f>
        <v>0</v>
      </c>
      <c r="EW18" s="55">
        <f>IFERROR(VLOOKUP($D18,'Adient Arendal (Malzia) WK.12'!$B:EI,EW$1,0),0)</f>
        <v>0</v>
      </c>
      <c r="EX18" s="55">
        <f>IFERROR(VLOOKUP($D18,'Adient Taizhou (China) WK.16'!$B:EL,EW$1,0),0)</f>
        <v>0</v>
      </c>
      <c r="EY18" s="128">
        <v>0</v>
      </c>
      <c r="EZ18" s="32">
        <v>0</v>
      </c>
      <c r="FA18" s="106">
        <f t="shared" si="251"/>
        <v>825</v>
      </c>
      <c r="FC18" s="37">
        <f t="shared" si="178"/>
        <v>825</v>
      </c>
      <c r="FD18" s="154">
        <f>IFERROR(VLOOKUP($D18,'Adient Assende (Belgium) WK.17'!$B:EP,FE$1,0),0)</f>
        <v>0</v>
      </c>
      <c r="FE18" s="154">
        <f>IFERROR(VLOOKUP($D18,'Adient Arendal (Malzia) WK.12'!$B:EQ,FE$1,0),0)</f>
        <v>0</v>
      </c>
      <c r="FF18" s="154">
        <f>IFERROR(VLOOKUP($D18,'Adient Taizhou (China) WK.16'!$B:ET,FE$1,0),0)</f>
        <v>0</v>
      </c>
      <c r="FG18" s="128">
        <v>0</v>
      </c>
      <c r="FH18" s="32">
        <v>0</v>
      </c>
      <c r="FI18" s="106">
        <f t="shared" si="252"/>
        <v>825</v>
      </c>
      <c r="FK18" s="37">
        <f t="shared" si="179"/>
        <v>825</v>
      </c>
      <c r="FL18" s="125">
        <f>IFERROR(VLOOKUP($D18,'Adient Assende (Belgium) WK.17'!$B:EX,FM$1,0),0)</f>
        <v>0</v>
      </c>
      <c r="FM18" s="55">
        <f>IFERROR(VLOOKUP($D18,'Adient Arendal (Malzia) WK.12'!$B:EY,FM$1,0),0)</f>
        <v>0</v>
      </c>
      <c r="FN18" s="55">
        <f>IFERROR(VLOOKUP($D18,'Adient Taizhou (China) WK.16'!$B:FB,FM$1,0),0)</f>
        <v>0</v>
      </c>
      <c r="FO18" s="128">
        <v>200</v>
      </c>
      <c r="FP18" s="32">
        <v>0</v>
      </c>
      <c r="FQ18" s="106">
        <f t="shared" si="253"/>
        <v>625</v>
      </c>
      <c r="FR18" s="8"/>
      <c r="FS18" s="37">
        <f t="shared" si="180"/>
        <v>625</v>
      </c>
      <c r="FT18" s="125">
        <f>IFERROR(VLOOKUP($D18,'Adient Assende (Belgium) WK.17'!$B:FF,FU$1,0),0)</f>
        <v>200</v>
      </c>
      <c r="FU18" s="55">
        <f>IFERROR(VLOOKUP($D18,'Adient Arendal (Malzia) WK.12'!$B:FG,FU$1,0),0)</f>
        <v>0</v>
      </c>
      <c r="FV18" s="55">
        <f>IFERROR(VLOOKUP($D18,'Adient Taizhou (China) WK.16'!$B:FJ,FU$1,0),0)</f>
        <v>0</v>
      </c>
      <c r="FW18" s="60">
        <v>0</v>
      </c>
      <c r="FX18" s="60">
        <v>0</v>
      </c>
      <c r="FY18" s="60">
        <v>0</v>
      </c>
      <c r="FZ18" s="60">
        <v>0</v>
      </c>
      <c r="GA18" s="60">
        <v>150</v>
      </c>
      <c r="GB18" s="128">
        <v>100</v>
      </c>
      <c r="GC18" s="32">
        <v>0</v>
      </c>
      <c r="GD18" s="106">
        <f t="shared" si="254"/>
        <v>675</v>
      </c>
      <c r="GF18" s="37">
        <f t="shared" si="181"/>
        <v>675</v>
      </c>
      <c r="GG18" s="125">
        <f>IFERROR(VLOOKUP($D18,'Adient Assende (Belgium) WK.17'!$B:FN,GH$1,0),0)</f>
        <v>100</v>
      </c>
      <c r="GH18" s="55">
        <f>IFERROR(VLOOKUP($D18,'Adient Arendal (Malzia) WK.12'!$B:FO,GH$1,0),0)</f>
        <v>0</v>
      </c>
      <c r="GI18" s="55">
        <f>IFERROR(VLOOKUP($D18,'Adient Taizhou (China) WK.16'!$B:FR,GH$1,0),0)</f>
        <v>0</v>
      </c>
      <c r="GJ18" s="60">
        <v>0</v>
      </c>
      <c r="GK18" s="128">
        <v>100</v>
      </c>
      <c r="GL18" s="32">
        <v>0</v>
      </c>
      <c r="GM18" s="106">
        <f t="shared" si="255"/>
        <v>575</v>
      </c>
      <c r="GO18" s="37">
        <f t="shared" si="182"/>
        <v>575</v>
      </c>
      <c r="GP18" s="125">
        <f>IFERROR(VLOOKUP($D18,'Adient Assende (Belgium) WK.17'!$B:FV,GQ$1,0),0)</f>
        <v>100</v>
      </c>
      <c r="GQ18" s="55">
        <f>IFERROR(VLOOKUP($D18,'Adient Arendal (Malzia) WK.12'!$B:FW,GQ$1,0),0)</f>
        <v>0</v>
      </c>
      <c r="GR18" s="55">
        <f>IFERROR(VLOOKUP($D18,'Adient Taizhou (China) WK.16'!$B:FZ,GQ$1,0),0)</f>
        <v>0</v>
      </c>
      <c r="GS18" s="60">
        <v>0</v>
      </c>
      <c r="GT18" s="128">
        <v>100</v>
      </c>
      <c r="GU18" s="32">
        <v>0</v>
      </c>
      <c r="GV18" s="106">
        <f t="shared" si="256"/>
        <v>475</v>
      </c>
      <c r="GW18" s="8"/>
      <c r="GX18" s="37">
        <f t="shared" si="183"/>
        <v>475</v>
      </c>
      <c r="GY18" s="125">
        <f>IFERROR(VLOOKUP($D18,'Adient Assende (Belgium) WK.17'!$B:GD,GZ$1,0),0)</f>
        <v>100</v>
      </c>
      <c r="GZ18" s="55">
        <f>IFERROR(VLOOKUP($D18,'Adient Arendal (Malzia) WK.12'!$B:GE,GZ$1,0),0)</f>
        <v>0</v>
      </c>
      <c r="HA18" s="55">
        <f>IFERROR(VLOOKUP($D18,'Adient Taizhou (China) WK.16'!$B:GH,GZ$1,0),0)</f>
        <v>0</v>
      </c>
      <c r="HB18" s="60">
        <v>0</v>
      </c>
      <c r="HC18" s="128">
        <v>100</v>
      </c>
      <c r="HD18" s="32">
        <v>0</v>
      </c>
      <c r="HE18" s="106">
        <f t="shared" si="257"/>
        <v>375</v>
      </c>
      <c r="HF18" s="8"/>
      <c r="HG18" s="37">
        <f t="shared" si="184"/>
        <v>375</v>
      </c>
      <c r="HH18" s="125">
        <f>IFERROR(VLOOKUP($D18,'Adient Assende (Belgium) WK.17'!$B:GL,HI$1,0),0)</f>
        <v>100</v>
      </c>
      <c r="HI18" s="55">
        <f>IFERROR(VLOOKUP($D18,'Adient Arendal (Malzia) WK.12'!$B:GM,HI$1,0),0)</f>
        <v>0</v>
      </c>
      <c r="HJ18" s="55">
        <f>IFERROR(VLOOKUP($D18,'Adient Taizhou (China) WK.16'!$B:GP,HI$1,0),0)</f>
        <v>0</v>
      </c>
      <c r="HK18" s="60">
        <v>525</v>
      </c>
      <c r="HL18" s="128">
        <v>0</v>
      </c>
      <c r="HM18" s="32">
        <v>0</v>
      </c>
      <c r="HN18" s="106">
        <f t="shared" si="258"/>
        <v>900</v>
      </c>
      <c r="HO18" s="8"/>
      <c r="HP18" s="37">
        <f t="shared" si="185"/>
        <v>900</v>
      </c>
      <c r="HQ18" s="125">
        <f>IFERROR(VLOOKUP($D18,'Adient Assende (Belgium) WK.17'!$B:GT,HR$1,0),0)</f>
        <v>0</v>
      </c>
      <c r="HR18" s="55">
        <f>IFERROR(VLOOKUP($D18,'Adient Arendal (Malzia) WK.12'!$B:GU,HR$1,0),0)</f>
        <v>0</v>
      </c>
      <c r="HS18" s="55">
        <f>IFERROR(VLOOKUP($D18,'Adient Taizhou (China) WK.16'!$B:GX,HR$1,0),0)</f>
        <v>0</v>
      </c>
      <c r="HT18" s="60">
        <v>0</v>
      </c>
      <c r="HU18" s="128">
        <v>0</v>
      </c>
      <c r="HV18" s="32">
        <v>0</v>
      </c>
      <c r="HW18" s="106">
        <f t="shared" si="259"/>
        <v>900</v>
      </c>
      <c r="HX18" s="8"/>
      <c r="HY18" s="37">
        <f t="shared" si="186"/>
        <v>900</v>
      </c>
      <c r="HZ18" s="125">
        <f>IFERROR(VLOOKUP($D18,'Adient Assende (Belgium) WK.17'!$B:HB,IA$1,0),0)</f>
        <v>0</v>
      </c>
      <c r="IA18" s="55">
        <f>IFERROR(VLOOKUP($D18,'Adient Arendal (Malzia) WK.12'!$B:HC,IA$1,0),0)</f>
        <v>0</v>
      </c>
      <c r="IB18" s="55">
        <f>IFERROR(VLOOKUP($D18,'Adient Taizhou (China) WK.16'!$B:HF,IA$1,0),0)</f>
        <v>0</v>
      </c>
      <c r="IC18" s="60">
        <v>200</v>
      </c>
      <c r="ID18" s="128">
        <v>100</v>
      </c>
      <c r="IE18" s="32">
        <v>0</v>
      </c>
      <c r="IF18" s="106">
        <f t="shared" si="260"/>
        <v>1000</v>
      </c>
      <c r="IG18" s="8"/>
      <c r="IH18" s="37">
        <f t="shared" si="187"/>
        <v>1000</v>
      </c>
      <c r="II18" s="125">
        <f>IFERROR(VLOOKUP($D18,'Adient Assende (Belgium) WK.17'!$B:HJ,IJ$1,0),0)</f>
        <v>100</v>
      </c>
      <c r="IJ18" s="55">
        <f>IFERROR(VLOOKUP($D18,'Adient Arendal (Malzia) WK.12'!$B:HK,IJ$1,0),0)</f>
        <v>0</v>
      </c>
      <c r="IK18" s="55">
        <f>IFERROR(VLOOKUP($D18,'Adient Taizhou (China) WK.16'!$B:HN,IJ$1,0),0)</f>
        <v>0</v>
      </c>
      <c r="IL18" s="128">
        <v>100</v>
      </c>
      <c r="IM18" s="32">
        <v>0</v>
      </c>
      <c r="IN18" s="106">
        <f t="shared" si="188"/>
        <v>900</v>
      </c>
      <c r="IO18" s="8"/>
      <c r="IP18" s="37">
        <f t="shared" si="189"/>
        <v>900</v>
      </c>
      <c r="IQ18" s="125">
        <f>IFERROR(VLOOKUP($D18,'Adient Assende (Belgium) WK.17'!$B:HR,IR$1,0),0)</f>
        <v>100</v>
      </c>
      <c r="IR18" s="55">
        <f>IFERROR(VLOOKUP($D18,'Adient Arendal (Malzia) WK.12'!$B:HS,IR$1,0),0)</f>
        <v>0</v>
      </c>
      <c r="IS18" s="55">
        <f>IFERROR(VLOOKUP($D18,'Adient Taizhou (China) WK.16'!$B:HV,IR$1,0),0)</f>
        <v>0</v>
      </c>
      <c r="IT18" s="60">
        <v>0</v>
      </c>
      <c r="IU18" s="128">
        <v>100</v>
      </c>
      <c r="IV18" s="32">
        <v>0</v>
      </c>
      <c r="IW18" s="106">
        <f t="shared" si="261"/>
        <v>800</v>
      </c>
      <c r="IX18" s="8"/>
      <c r="IY18" s="37">
        <f t="shared" si="190"/>
        <v>800</v>
      </c>
      <c r="IZ18" s="125">
        <f>IFERROR(VLOOKUP($D18,'Adient Assende (Belgium) WK.17'!$B:HZ,JA$1,0),0)</f>
        <v>100</v>
      </c>
      <c r="JA18" s="55">
        <f>IFERROR(VLOOKUP($D18,'Adient Arendal (Malzia) WK.12'!$B:IA,JA$1,0),0)</f>
        <v>0</v>
      </c>
      <c r="JB18" s="55">
        <f>IFERROR(VLOOKUP($D18,'Adient Taizhou (China) WK.16'!$B:ID,JA$1,0),0)</f>
        <v>0</v>
      </c>
      <c r="JC18" s="128">
        <v>100</v>
      </c>
      <c r="JD18" s="32">
        <v>0</v>
      </c>
      <c r="JE18" s="106">
        <f t="shared" si="191"/>
        <v>700</v>
      </c>
      <c r="JF18" s="8"/>
      <c r="JG18" s="37">
        <f t="shared" si="192"/>
        <v>700</v>
      </c>
      <c r="JH18" s="125">
        <f>IFERROR(VLOOKUP($D18,'Adient Assende (Belgium) WK.17'!$B:IH,JI$1,0),0)</f>
        <v>100</v>
      </c>
      <c r="JI18" s="55">
        <f>IFERROR(VLOOKUP($D18,'Adient Arendal (Malzia) WK.12'!$B:II,JI$1,0),0)</f>
        <v>0</v>
      </c>
      <c r="JJ18" s="55">
        <f>IFERROR(VLOOKUP($D18,'Adient Taizhou (China) WK.16'!$B:IL,JI$1,0),0)</f>
        <v>0</v>
      </c>
      <c r="JK18" s="60">
        <v>0</v>
      </c>
      <c r="JL18" s="128">
        <v>300</v>
      </c>
      <c r="JM18" s="32">
        <v>0</v>
      </c>
      <c r="JN18" s="106">
        <f t="shared" si="262"/>
        <v>400</v>
      </c>
      <c r="JO18" s="8"/>
      <c r="JP18" s="37">
        <f t="shared" si="193"/>
        <v>400</v>
      </c>
      <c r="JQ18" s="125">
        <f>IFERROR(VLOOKUP($D18,'Adient Assende (Belgium) WK.17'!$B:IP,JR$1,0),0)</f>
        <v>300</v>
      </c>
      <c r="JR18" s="55">
        <f>IFERROR(VLOOKUP($D18,'Adient Arendal (Malzia) WK.12'!$B:IQ,JR$1,0),0)</f>
        <v>0</v>
      </c>
      <c r="JS18" s="55">
        <f>IFERROR(VLOOKUP($D18,'Adient Taizhou (China) WK.16'!$B:IT,JR$1,0),0)</f>
        <v>0</v>
      </c>
      <c r="JT18" s="128">
        <v>0</v>
      </c>
      <c r="JU18" s="32">
        <v>0</v>
      </c>
      <c r="JV18" s="106">
        <f t="shared" si="194"/>
        <v>400</v>
      </c>
      <c r="JW18" s="8"/>
      <c r="JX18" s="37">
        <f t="shared" si="195"/>
        <v>400</v>
      </c>
      <c r="JY18" s="154">
        <f>IFERROR(VLOOKUP($D18,'Adient Assende (Belgium) WK.17'!$B:IX,JZ$1,0),0)</f>
        <v>0</v>
      </c>
      <c r="JZ18" s="55">
        <f>IFERROR(VLOOKUP($D18,'Adient Arendal (Malzia) WK.12'!$B:IY,JZ$1,0),0)</f>
        <v>0</v>
      </c>
      <c r="KA18" s="55">
        <f>IFERROR(VLOOKUP($D18,'Adient Taizhou (China) WK.16'!$B:JB,JZ$1,0),0)</f>
        <v>0</v>
      </c>
      <c r="KB18" s="128">
        <v>100</v>
      </c>
      <c r="KC18" s="32">
        <v>0</v>
      </c>
      <c r="KD18" s="106">
        <f t="shared" si="263"/>
        <v>300</v>
      </c>
      <c r="KE18" s="8"/>
      <c r="KF18" s="37">
        <f t="shared" si="196"/>
        <v>300</v>
      </c>
      <c r="KG18" s="125">
        <f>IFERROR(VLOOKUP($D18,'Adient Assende (Belgium) WK.17'!$B:JF,KH$1,0),0)</f>
        <v>100</v>
      </c>
      <c r="KH18" s="55">
        <f>IFERROR(VLOOKUP($D18,'Adient Arendal (Malzia) WK.12'!$B:JG,KH$1,0),0)</f>
        <v>0</v>
      </c>
      <c r="KI18" s="55">
        <f>IFERROR(VLOOKUP($D18,'Adient Taizhou (China) WK.16'!$B:JJ,KH$1,0),0)</f>
        <v>0</v>
      </c>
      <c r="KJ18" s="60">
        <v>0</v>
      </c>
      <c r="KK18" s="128">
        <v>100</v>
      </c>
      <c r="KL18" s="32">
        <v>0</v>
      </c>
      <c r="KM18" s="106">
        <f t="shared" si="264"/>
        <v>200</v>
      </c>
      <c r="KN18" s="8"/>
      <c r="KO18" s="37">
        <f t="shared" si="197"/>
        <v>200</v>
      </c>
      <c r="KP18" s="141">
        <f>IFERROR(VLOOKUP($D18,'Adient Assende (Belgium) WK.17'!$B:JN,KQ$1,0),0)</f>
        <v>100</v>
      </c>
      <c r="KQ18" s="140">
        <f>IFERROR(VLOOKUP($D18,'Adient Arendal (Malzia) WK.12'!$B:JO,KQ$1,0),0)</f>
        <v>0</v>
      </c>
      <c r="KR18" s="140">
        <f>IFERROR(VLOOKUP($D18,'Adient Taizhou (China) WK.16'!$B:JR,KQ$1,0),0)</f>
        <v>0</v>
      </c>
      <c r="KS18" s="60">
        <v>425</v>
      </c>
      <c r="KT18" s="128">
        <v>100</v>
      </c>
      <c r="KU18" s="32">
        <v>0</v>
      </c>
      <c r="KV18" s="106">
        <f t="shared" si="265"/>
        <v>525</v>
      </c>
      <c r="KX18" s="37">
        <f t="shared" si="198"/>
        <v>525</v>
      </c>
      <c r="KY18" s="141">
        <f>IFERROR(VLOOKUP($D18,'Adient Assende (Belgium) WK.17'!$B:JV,KZ$1,0),0)</f>
        <v>100</v>
      </c>
      <c r="KZ18" s="140">
        <f>IFERROR(VLOOKUP($D18,'Adient Arendal (Malzia) WK.12'!$B:JW,KZ$1,0),0)</f>
        <v>0</v>
      </c>
      <c r="LA18" s="140">
        <f>IFERROR(VLOOKUP($D18,'Adient Taizhou (China) WK.16'!$B:JZ,KZ$1,0),0)</f>
        <v>0</v>
      </c>
      <c r="LB18" s="128">
        <v>0</v>
      </c>
      <c r="LC18" s="32">
        <v>0</v>
      </c>
      <c r="LD18" s="106">
        <f t="shared" si="266"/>
        <v>525</v>
      </c>
      <c r="LF18" s="37">
        <f t="shared" si="199"/>
        <v>525</v>
      </c>
      <c r="LG18" s="141">
        <f>IFERROR(VLOOKUP($D18,'Adient Assende (Belgium) WK.17'!$B:KD,LH$1,0),0)</f>
        <v>100</v>
      </c>
      <c r="LH18" s="140">
        <f>IFERROR(VLOOKUP($D18,'Adient Arendal (Malzia) WK.12'!$B:KE,LH$1,0),0)</f>
        <v>0</v>
      </c>
      <c r="LI18" s="140">
        <f>IFERROR(VLOOKUP($D18,'Adient Taizhou (China) WK.16'!$B:KH,LH$1,0),0)</f>
        <v>0</v>
      </c>
      <c r="LJ18" s="60">
        <v>0</v>
      </c>
      <c r="LK18" s="128">
        <v>0</v>
      </c>
      <c r="LL18" s="32">
        <v>0</v>
      </c>
      <c r="LM18" s="100">
        <f t="shared" si="267"/>
        <v>425</v>
      </c>
      <c r="LO18" s="37">
        <f t="shared" si="200"/>
        <v>425</v>
      </c>
      <c r="LP18" s="141">
        <f>IFERROR(VLOOKUP($D18,'Adient Assende (Belgium) WK.17'!$B:KL,LQ$1,0),0)</f>
        <v>200</v>
      </c>
      <c r="LQ18" s="140">
        <f>IFERROR(VLOOKUP($D18,'Adient Arendal (Malzia) WK.12'!$B:KM,LQ$1,0),0)</f>
        <v>0</v>
      </c>
      <c r="LR18" s="140">
        <f>IFERROR(VLOOKUP($D18,'Adient Taizhou (China) WK.16'!$B:KP,LQ$1,0),0)</f>
        <v>0</v>
      </c>
      <c r="LS18" s="128">
        <v>0</v>
      </c>
      <c r="LT18" s="32">
        <v>0</v>
      </c>
      <c r="LU18" s="100">
        <f t="shared" si="268"/>
        <v>225</v>
      </c>
      <c r="LW18" s="37">
        <f t="shared" si="201"/>
        <v>225</v>
      </c>
      <c r="LX18" s="141">
        <f>IFERROR(VLOOKUP($D18,'Adient Assende (Belgium) WK.17'!$B:KT,LY$1,0),0)</f>
        <v>200</v>
      </c>
      <c r="LY18" s="140">
        <f>IFERROR(VLOOKUP($D18,'Adient Arendal (Malzia) WK.12'!$B:KU,LY$1,0),0)</f>
        <v>0</v>
      </c>
      <c r="LZ18" s="140">
        <f>IFERROR(VLOOKUP($D18,'Adient Taizhou (China) WK.16'!$B:KX,LY$1,0),0)</f>
        <v>0</v>
      </c>
      <c r="MA18" s="128">
        <v>0</v>
      </c>
      <c r="MB18" s="32">
        <v>0</v>
      </c>
      <c r="MC18" s="100">
        <f t="shared" si="269"/>
        <v>25</v>
      </c>
      <c r="ME18" s="37">
        <f t="shared" si="202"/>
        <v>25</v>
      </c>
      <c r="MF18" s="154">
        <f>IFERROR(VLOOKUP($D18,'Adient Assende (Belgium) WK.17'!$B:LB,MG$1,0),0)</f>
        <v>0</v>
      </c>
      <c r="MG18" s="140">
        <f>IFERROR(VLOOKUP($D18,'Adient Arendal (Malzia) WK.12'!$B:LC,MG$1,0),0)</f>
        <v>0</v>
      </c>
      <c r="MH18" s="140">
        <f>IFERROR(VLOOKUP($D18,'Adient Taizhou (China) WK.16'!$B:LF,MG$1,0),0)</f>
        <v>0</v>
      </c>
      <c r="MI18" s="128">
        <v>0</v>
      </c>
      <c r="MJ18" s="32">
        <v>0</v>
      </c>
      <c r="MK18" s="100">
        <f t="shared" si="270"/>
        <v>25</v>
      </c>
      <c r="MM18" s="37">
        <f t="shared" si="203"/>
        <v>25</v>
      </c>
      <c r="MN18" s="141">
        <f>IFERROR(VLOOKUP($D18,'Adient Assende (Belgium) WK.17'!$B:LJ,MO$1,0),0)</f>
        <v>200</v>
      </c>
      <c r="MO18" s="140">
        <f>IFERROR(VLOOKUP($D18,'Adient Arendal (Malzia) WK.12'!$B:LK,MO$1,0),0)</f>
        <v>0</v>
      </c>
      <c r="MP18" s="140">
        <f>IFERROR(VLOOKUP($D18,'Adient Taizhou (China) WK.16'!$B:LN,MO$1,0),0)</f>
        <v>0</v>
      </c>
      <c r="MQ18" s="128">
        <v>0</v>
      </c>
      <c r="MR18" s="32">
        <v>0</v>
      </c>
      <c r="MS18" s="100">
        <f t="shared" si="271"/>
        <v>-175</v>
      </c>
      <c r="MU18" s="37">
        <f t="shared" si="204"/>
        <v>-175</v>
      </c>
      <c r="MV18" s="141">
        <f>IFERROR(VLOOKUP($D18,'Adient Assende (Belgium) WK.17'!$B:LR,MW$1,0),0)</f>
        <v>100</v>
      </c>
      <c r="MW18" s="140">
        <f>IFERROR(VLOOKUP($D18,'Adient Arendal (Malzia) WK.12'!$B:LS,MW$1,0),0)</f>
        <v>0</v>
      </c>
      <c r="MX18" s="140">
        <f>IFERROR(VLOOKUP($D18,'Adient Taizhou (China) WK.16'!$B:LV,MW$1,0),0)</f>
        <v>0</v>
      </c>
      <c r="MY18" s="128">
        <v>0</v>
      </c>
      <c r="MZ18" s="32">
        <v>0</v>
      </c>
      <c r="NA18" s="100">
        <f t="shared" si="272"/>
        <v>-275</v>
      </c>
      <c r="NC18" s="37">
        <f t="shared" si="205"/>
        <v>-275</v>
      </c>
      <c r="ND18" s="141">
        <f>IFERROR(VLOOKUP($D18,'Adient Assende (Belgium) WK.17'!$B:LZ,NE$1,0),0)</f>
        <v>200</v>
      </c>
      <c r="NE18" s="140">
        <f>IFERROR(VLOOKUP($D18,'Adient Arendal (Malzia) WK.12'!$B:MA,NE$1,0),0)</f>
        <v>0</v>
      </c>
      <c r="NF18" s="140">
        <f>IFERROR(VLOOKUP($D18,'Adient Taizhou (China) WK.16'!$B:MD,NE$1,0),0)</f>
        <v>0</v>
      </c>
      <c r="NG18" s="128">
        <v>0</v>
      </c>
      <c r="NH18" s="32">
        <v>0</v>
      </c>
      <c r="NI18" s="100">
        <f t="shared" si="273"/>
        <v>-475</v>
      </c>
      <c r="NK18" s="37">
        <f t="shared" si="206"/>
        <v>-475</v>
      </c>
      <c r="NL18" s="141">
        <f>IFERROR(VLOOKUP($D18,'Adient Assende (Belgium) WK.17'!$B:MH,NM$1,0),0)</f>
        <v>100</v>
      </c>
      <c r="NM18" s="140">
        <f>IFERROR(VLOOKUP($D18,'Adient Arendal (Malzia) WK.12'!$B:MI,NM$1,0),0)</f>
        <v>0</v>
      </c>
      <c r="NN18" s="140">
        <f>IFERROR(VLOOKUP($D18,'Adient Taizhou (China) WK.16'!$B:ML,NM$1,0),0)</f>
        <v>0</v>
      </c>
      <c r="NO18" s="128">
        <v>0</v>
      </c>
      <c r="NP18" s="32">
        <v>0</v>
      </c>
      <c r="NQ18" s="100">
        <f t="shared" si="274"/>
        <v>-575</v>
      </c>
      <c r="NS18" s="37">
        <f t="shared" si="207"/>
        <v>-575</v>
      </c>
      <c r="NT18" s="141">
        <f>IFERROR(VLOOKUP($D18,'Adient Assende (Belgium) WK.17'!$B:MP,NU$1,0),0)</f>
        <v>200</v>
      </c>
      <c r="NU18" s="140">
        <f>IFERROR(VLOOKUP($D18,'Adient Arendal (Malzia) WK.12'!$B:MQ,NU$1,0),0)</f>
        <v>0</v>
      </c>
      <c r="NV18" s="140">
        <f>IFERROR(VLOOKUP($D18,'Adient Taizhou (China) WK.16'!$B:MT,NU$1,0),0)</f>
        <v>0</v>
      </c>
      <c r="NW18" s="128">
        <v>0</v>
      </c>
      <c r="NX18" s="32">
        <v>0</v>
      </c>
      <c r="NY18" s="100">
        <f t="shared" si="275"/>
        <v>-775</v>
      </c>
      <c r="OA18" s="37">
        <f t="shared" si="208"/>
        <v>-775</v>
      </c>
      <c r="OB18" s="141">
        <f>IFERROR(VLOOKUP($D18,'Adient Assende (Belgium) WK.17'!$B:MX,OC$1,0),0)</f>
        <v>100</v>
      </c>
      <c r="OC18" s="140">
        <f>IFERROR(VLOOKUP($D18,'Adient Arendal (Malzia) WK.12'!$B:MY,OC$1,0),0)</f>
        <v>0</v>
      </c>
      <c r="OD18" s="140">
        <f>IFERROR(VLOOKUP($D18,'Adient Taizhou (China) WK.16'!$B:NB,OC$1,0),0)</f>
        <v>0</v>
      </c>
      <c r="OE18" s="128">
        <v>0</v>
      </c>
      <c r="OF18" s="32">
        <v>0</v>
      </c>
      <c r="OG18" s="100">
        <f t="shared" si="276"/>
        <v>-875</v>
      </c>
      <c r="OI18" s="37">
        <f t="shared" si="209"/>
        <v>-875</v>
      </c>
      <c r="OJ18" s="141">
        <f>IFERROR(VLOOKUP($D18,'Adient Assende (Belgium) WK.17'!$B:NF,OK$1,0),0)</f>
        <v>200</v>
      </c>
      <c r="OK18" s="140">
        <f>IFERROR(VLOOKUP($D18,'Adient Arendal (Malzia) WK.12'!$B:NG,OK$1,0),0)</f>
        <v>0</v>
      </c>
      <c r="OL18" s="140">
        <f>IFERROR(VLOOKUP($D18,'Adient Taizhou (China) WK.16'!$B:NJ,OK$1,0),0)</f>
        <v>0</v>
      </c>
      <c r="OM18" s="128">
        <v>0</v>
      </c>
      <c r="ON18" s="32">
        <v>0</v>
      </c>
      <c r="OO18" s="100">
        <f t="shared" si="277"/>
        <v>-1075</v>
      </c>
      <c r="OQ18" s="37">
        <f t="shared" si="210"/>
        <v>-1075</v>
      </c>
      <c r="OR18" s="141">
        <f>IFERROR(VLOOKUP($D18,'Adient Assende (Belgium) WK.17'!$B:NN,OS$1,0),0)</f>
        <v>0</v>
      </c>
      <c r="OS18" s="140">
        <f>IFERROR(VLOOKUP($D18,'Adient Arendal (Malzia) WK.12'!$B:NO,OS$1,0),0)</f>
        <v>0</v>
      </c>
      <c r="OT18" s="140">
        <f>IFERROR(VLOOKUP($D18,'Adient Taizhou (China) WK.16'!$B:NR,OS$1,0),0)</f>
        <v>0</v>
      </c>
      <c r="OU18" s="128">
        <v>0</v>
      </c>
      <c r="OV18" s="32">
        <v>0</v>
      </c>
      <c r="OW18" s="100">
        <f t="shared" si="278"/>
        <v>-1075</v>
      </c>
      <c r="OY18" s="37">
        <f t="shared" si="211"/>
        <v>-1075</v>
      </c>
      <c r="OZ18" s="141">
        <f>IFERROR(VLOOKUP($D18,'Adient Assende (Belgium) WK.17'!$B:NV,PA$1,0),0)</f>
        <v>0</v>
      </c>
      <c r="PA18" s="140">
        <f>IFERROR(VLOOKUP($D18,'Adient Arendal (Malzia) WK.12'!$B:NW,PA$1,0),0)</f>
        <v>0</v>
      </c>
      <c r="PB18" s="140">
        <f>IFERROR(VLOOKUP($D18,'Adient Taizhou (China) WK.16'!$B:NZ,PA$1,0),0)</f>
        <v>0</v>
      </c>
      <c r="PC18" s="128">
        <v>0</v>
      </c>
      <c r="PD18" s="32">
        <v>0</v>
      </c>
      <c r="PE18" s="100">
        <f t="shared" si="279"/>
        <v>-1075</v>
      </c>
      <c r="PG18" s="37">
        <f t="shared" si="212"/>
        <v>-1075</v>
      </c>
      <c r="PH18" s="141">
        <f>IFERROR(VLOOKUP($D18,'Adient Assende (Belgium) WK.17'!$B:OD,PI$1,0),0)</f>
        <v>0</v>
      </c>
      <c r="PI18" s="140">
        <f>IFERROR(VLOOKUP($D18,'Adient Arendal (Malzia) WK.12'!$B:OE,PI$1,0),0)</f>
        <v>0</v>
      </c>
      <c r="PJ18" s="140">
        <f>IFERROR(VLOOKUP($D18,'Adient Taizhou (China) WK.16'!$B:OH,PI$1,0),0)</f>
        <v>0</v>
      </c>
      <c r="PK18" s="128">
        <v>0</v>
      </c>
      <c r="PL18" s="32">
        <v>0</v>
      </c>
      <c r="PM18" s="100">
        <f t="shared" si="280"/>
        <v>-1075</v>
      </c>
      <c r="PO18" s="37">
        <f t="shared" si="213"/>
        <v>-1075</v>
      </c>
      <c r="PP18" s="141">
        <f>IFERROR(VLOOKUP($D18,'Adient Assende (Belgium) WK.17'!$B:OL,PQ$1,0),0)</f>
        <v>0</v>
      </c>
      <c r="PQ18" s="140">
        <f>IFERROR(VLOOKUP($D18,'Adient Arendal (Malzia) WK.12'!$B:OM,PQ$1,0),0)</f>
        <v>0</v>
      </c>
      <c r="PR18" s="140">
        <f>IFERROR(VLOOKUP($D18,'Adient Taizhou (China) WK.16'!$B:OP,PQ$1,0),0)</f>
        <v>0</v>
      </c>
      <c r="PS18" s="128">
        <v>0</v>
      </c>
      <c r="PT18" s="32">
        <v>0</v>
      </c>
      <c r="PU18" s="100">
        <f t="shared" si="281"/>
        <v>-1075</v>
      </c>
      <c r="PW18" s="37">
        <f t="shared" si="214"/>
        <v>-1075</v>
      </c>
      <c r="PX18" s="141">
        <f>IFERROR(VLOOKUP($D18,'Adient Assende (Belgium) WK.17'!$B:OT,PY$1,0),0)</f>
        <v>100</v>
      </c>
      <c r="PY18" s="140">
        <f>IFERROR(VLOOKUP($D18,'Adient Arendal (Malzia) WK.12'!$B:OU,PY$1,0),0)</f>
        <v>0</v>
      </c>
      <c r="PZ18" s="140">
        <f>IFERROR(VLOOKUP($D18,'Adient Taizhou (China) WK.16'!$B:OX,PY$1,0),0)</f>
        <v>0</v>
      </c>
      <c r="QA18" s="128">
        <v>0</v>
      </c>
      <c r="QB18" s="32">
        <v>0</v>
      </c>
      <c r="QC18" s="100">
        <f t="shared" si="282"/>
        <v>-1175</v>
      </c>
      <c r="QE18" s="37">
        <f t="shared" si="215"/>
        <v>-1175</v>
      </c>
      <c r="QF18" s="141">
        <f>IFERROR(VLOOKUP($D18,'Adient Assende (Belgium) WK.17'!$B:PB,QG$1,0),0)</f>
        <v>200</v>
      </c>
      <c r="QG18" s="140">
        <f>IFERROR(VLOOKUP($D18,'Adient Arendal (Malzia) WK.12'!$B:PC,QG$1,0),0)</f>
        <v>0</v>
      </c>
      <c r="QH18" s="140">
        <f>IFERROR(VLOOKUP($D18,'Adient Taizhou (China) WK.16'!$B:PF,QG$1,0),0)</f>
        <v>0</v>
      </c>
      <c r="QI18" s="128">
        <v>0</v>
      </c>
      <c r="QJ18" s="32">
        <v>0</v>
      </c>
      <c r="QK18" s="100">
        <f t="shared" si="283"/>
        <v>-1375</v>
      </c>
      <c r="QM18" s="37">
        <f t="shared" si="216"/>
        <v>-1375</v>
      </c>
      <c r="QN18" s="141">
        <f>IFERROR(VLOOKUP($D18,'Adient Assende (Belgium) WK.17'!$B:PJ,QO$1,0),0)</f>
        <v>100</v>
      </c>
      <c r="QO18" s="140">
        <f>IFERROR(VLOOKUP($D18,'Adient Arendal (Malzia) WK.12'!$B:PK,QO$1,0),0)</f>
        <v>0</v>
      </c>
      <c r="QP18" s="140">
        <f>IFERROR(VLOOKUP($D18,'Adient Taizhou (China) WK.16'!$B:PN,QO$1,0),0)</f>
        <v>0</v>
      </c>
      <c r="QQ18" s="128">
        <v>0</v>
      </c>
      <c r="QR18" s="32">
        <v>0</v>
      </c>
      <c r="QS18" s="100">
        <f t="shared" si="284"/>
        <v>-1475</v>
      </c>
      <c r="QU18" s="37">
        <f t="shared" si="217"/>
        <v>-1475</v>
      </c>
      <c r="QV18" s="141">
        <f>IFERROR(VLOOKUP($D18,'Adient Assende (Belgium) WK.17'!$B:PR,QW$1,0),0)</f>
        <v>130</v>
      </c>
      <c r="QW18" s="140">
        <f>IFERROR(VLOOKUP($D18,'Adient Arendal (Malzia) WK.12'!$B:PS,QW$1,0),0)</f>
        <v>0</v>
      </c>
      <c r="QX18" s="140">
        <f>IFERROR(VLOOKUP($D18,'Adient Taizhou (China) WK.16'!$B:PV,QW$1,0),0)</f>
        <v>0</v>
      </c>
      <c r="QY18" s="128">
        <v>0</v>
      </c>
      <c r="QZ18" s="32">
        <v>0</v>
      </c>
      <c r="RA18" s="100">
        <f t="shared" si="285"/>
        <v>-1605</v>
      </c>
      <c r="RC18" s="37">
        <f t="shared" si="218"/>
        <v>-1605</v>
      </c>
      <c r="RD18" s="141">
        <f>IFERROR(VLOOKUP($D18,'Adient Assende (Belgium) WK.17'!$B:PZ,RE$1,0),0)</f>
        <v>130</v>
      </c>
      <c r="RE18" s="140">
        <f>IFERROR(VLOOKUP($D18,'Adient Arendal (Malzia) WK.12'!$B:QA,RE$1,0),0)</f>
        <v>0</v>
      </c>
      <c r="RF18" s="140">
        <f>IFERROR(VLOOKUP($D18,'Adient Taizhou (China) WK.16'!$B:QD,RE$1,0),0)</f>
        <v>0</v>
      </c>
      <c r="RG18" s="128">
        <v>0</v>
      </c>
      <c r="RH18" s="32">
        <v>0</v>
      </c>
      <c r="RI18" s="100">
        <f t="shared" si="286"/>
        <v>-1735</v>
      </c>
      <c r="RK18" s="37">
        <f t="shared" si="219"/>
        <v>-1735</v>
      </c>
      <c r="RL18" s="141">
        <f>IFERROR(VLOOKUP($D18,'Adient Assende (Belgium) WK.17'!$B:QH,RM$1,0),0)</f>
        <v>130</v>
      </c>
      <c r="RM18" s="140">
        <f>IFERROR(VLOOKUP($D18,'Adient Arendal (Malzia) WK.12'!$B:QI,RM$1,0),0)</f>
        <v>0</v>
      </c>
      <c r="RN18" s="140">
        <f>IFERROR(VLOOKUP($D18,'Adient Taizhou (China) WK.16'!$B:QL,RM$1,0),0)</f>
        <v>0</v>
      </c>
      <c r="RO18" s="128">
        <v>0</v>
      </c>
      <c r="RP18" s="32">
        <v>0</v>
      </c>
      <c r="RQ18" s="100">
        <f t="shared" si="287"/>
        <v>-1865</v>
      </c>
      <c r="RS18" s="37">
        <f t="shared" si="220"/>
        <v>-1865</v>
      </c>
      <c r="RT18" s="141">
        <f>IFERROR(VLOOKUP($D18,'Adient Assende (Belgium) WK.17'!$B:QP,RU$1,0),0)</f>
        <v>110</v>
      </c>
      <c r="RU18" s="140">
        <f>IFERROR(VLOOKUP($D18,'Adient Arendal (Malzia) WK.12'!$B:QQ,RU$1,0),0)</f>
        <v>0</v>
      </c>
      <c r="RV18" s="140">
        <f>IFERROR(VLOOKUP($D18,'Adient Taizhou (China) WK.16'!$B:QT,RU$1,0),0)</f>
        <v>0</v>
      </c>
      <c r="RW18" s="128">
        <v>0</v>
      </c>
      <c r="RX18" s="32">
        <v>0</v>
      </c>
      <c r="RY18" s="100">
        <f t="shared" si="288"/>
        <v>-1975</v>
      </c>
      <c r="SA18" s="37">
        <f t="shared" si="221"/>
        <v>-1975</v>
      </c>
      <c r="SB18" s="141">
        <f>IFERROR(VLOOKUP($D18,'Adient Assende (Belgium) WK.17'!$B:QX,SC$1,0),0)</f>
        <v>80</v>
      </c>
      <c r="SC18" s="140">
        <f>IFERROR(VLOOKUP($D18,'Adient Arendal (Malzia) WK.12'!$B:QY,SC$1,0),0)</f>
        <v>0</v>
      </c>
      <c r="SD18" s="140">
        <f>IFERROR(VLOOKUP($D18,'Adient Taizhou (China) WK.16'!$B:RB,SC$1,0),0)</f>
        <v>0</v>
      </c>
      <c r="SE18" s="128">
        <v>0</v>
      </c>
      <c r="SF18" s="32">
        <v>0</v>
      </c>
      <c r="SG18" s="100">
        <f t="shared" si="289"/>
        <v>-2055</v>
      </c>
      <c r="SI18" s="37">
        <f t="shared" si="222"/>
        <v>-2055</v>
      </c>
      <c r="SJ18" s="141">
        <f>IFERROR(VLOOKUP($D18,'Adient Assende (Belgium) WK.17'!$B:RF,SK$1,0),0)</f>
        <v>80</v>
      </c>
      <c r="SK18" s="140">
        <f>IFERROR(VLOOKUP($D18,'Adient Arendal (Malzia) WK.12'!$B:RG,SK$1,0),0)</f>
        <v>0</v>
      </c>
      <c r="SL18" s="140">
        <f>IFERROR(VLOOKUP($D18,'Adient Taizhou (China) WK.16'!$B:RJ,SK$1,0),0)</f>
        <v>0</v>
      </c>
      <c r="SM18" s="128">
        <v>0</v>
      </c>
      <c r="SN18" s="32">
        <v>0</v>
      </c>
      <c r="SO18" s="100">
        <f t="shared" si="290"/>
        <v>-2135</v>
      </c>
      <c r="SQ18" s="37">
        <f t="shared" si="223"/>
        <v>-2135</v>
      </c>
      <c r="SR18" s="141">
        <f>IFERROR(VLOOKUP($D18,'Adient Assende (Belgium) WK.17'!$B:RN,SS$1,0),0)</f>
        <v>80</v>
      </c>
      <c r="SS18" s="140">
        <f>IFERROR(VLOOKUP($D18,'Adient Arendal (Malzia) WK.12'!$B:RO,SS$1,0),0)</f>
        <v>0</v>
      </c>
      <c r="ST18" s="140">
        <f>IFERROR(VLOOKUP($D18,'Adient Taizhou (China) WK.16'!$B:RR,SS$1,0),0)</f>
        <v>0</v>
      </c>
      <c r="SU18" s="128">
        <v>0</v>
      </c>
      <c r="SV18" s="32">
        <v>0</v>
      </c>
      <c r="SW18" s="100">
        <f t="shared" si="291"/>
        <v>-2215</v>
      </c>
      <c r="SY18" s="37">
        <f t="shared" si="224"/>
        <v>-2215</v>
      </c>
      <c r="SZ18" s="141">
        <f>IFERROR(VLOOKUP($D18,'Adient Assende (Belgium) WK.17'!$B:RV,TA$1,0),0)</f>
        <v>60</v>
      </c>
      <c r="TA18" s="140">
        <f>IFERROR(VLOOKUP($D18,'Adient Arendal (Malzia) WK.12'!$B:RW,TA$1,0),0)</f>
        <v>0</v>
      </c>
      <c r="TB18" s="140">
        <f>IFERROR(VLOOKUP($D18,'Adient Taizhou (China) WK.16'!$B:RZ,TA$1,0),0)</f>
        <v>0</v>
      </c>
      <c r="TC18" s="128">
        <v>0</v>
      </c>
      <c r="TD18" s="32">
        <v>0</v>
      </c>
      <c r="TE18" s="100">
        <f t="shared" si="292"/>
        <v>-2275</v>
      </c>
      <c r="TG18" s="37">
        <f t="shared" si="225"/>
        <v>-2275</v>
      </c>
      <c r="TH18" s="141">
        <f>IFERROR(VLOOKUP($D18,'Adient Assende (Belgium) WK.17'!$B:SD,TI$1,0),0)</f>
        <v>40</v>
      </c>
      <c r="TI18" s="140">
        <f>IFERROR(VLOOKUP($D18,'Adient Arendal (Malzia) WK.12'!$B:SE,TI$1,0),0)</f>
        <v>0</v>
      </c>
      <c r="TJ18" s="140">
        <f>IFERROR(VLOOKUP($D18,'Adient Taizhou (China) WK.16'!$B:SH,TI$1,0),0)</f>
        <v>0</v>
      </c>
      <c r="TK18" s="128">
        <v>0</v>
      </c>
      <c r="TL18" s="32">
        <v>0</v>
      </c>
      <c r="TM18" s="100">
        <f t="shared" si="293"/>
        <v>-2315</v>
      </c>
      <c r="TO18" s="37">
        <f t="shared" si="226"/>
        <v>-2315</v>
      </c>
      <c r="TP18" s="141">
        <f>IFERROR(VLOOKUP($D18,'Adient Assende (Belgium) WK.17'!$B:SL,TQ$1,0),0)</f>
        <v>40</v>
      </c>
      <c r="TQ18" s="140">
        <f>IFERROR(VLOOKUP($D18,'Adient Arendal (Malzia) WK.12'!$B:SM,TQ$1,0),0)</f>
        <v>0</v>
      </c>
      <c r="TR18" s="140">
        <f>IFERROR(VLOOKUP($D18,'Adient Taizhou (China) WK.16'!$B:SP,TQ$1,0),0)</f>
        <v>0</v>
      </c>
      <c r="TS18" s="128">
        <v>0</v>
      </c>
      <c r="TT18" s="32">
        <v>0</v>
      </c>
      <c r="TU18" s="100">
        <f t="shared" si="294"/>
        <v>-2355</v>
      </c>
      <c r="TW18" s="37">
        <f t="shared" si="227"/>
        <v>-2355</v>
      </c>
      <c r="TX18" s="141">
        <f>IFERROR(VLOOKUP($D18,'Adient Assende (Belgium) WK.17'!$B:ST,TY$1,0),0)</f>
        <v>40</v>
      </c>
      <c r="TY18" s="140">
        <f>IFERROR(VLOOKUP($D18,'Adient Arendal (Malzia) WK.12'!$B:SU,TY$1,0),0)</f>
        <v>0</v>
      </c>
      <c r="TZ18" s="140">
        <f>IFERROR(VLOOKUP($D18,'Adient Taizhou (China) WK.16'!$B:SX,TY$1,0),0)</f>
        <v>0</v>
      </c>
      <c r="UA18" s="128">
        <v>0</v>
      </c>
      <c r="UB18" s="32">
        <v>0</v>
      </c>
      <c r="UC18" s="100">
        <f t="shared" si="295"/>
        <v>-2395</v>
      </c>
      <c r="UE18" s="37">
        <f t="shared" si="228"/>
        <v>-2395</v>
      </c>
      <c r="UF18" s="141">
        <f>IFERROR(VLOOKUP($D18,'Adient Assende (Belgium) WK.17'!$B:TB,UG$1,0),0)</f>
        <v>40</v>
      </c>
      <c r="UG18" s="140">
        <f>IFERROR(VLOOKUP($D18,'Adient Arendal (Malzia) WK.12'!$B:TC,UG$1,0),0)</f>
        <v>0</v>
      </c>
      <c r="UH18" s="140">
        <f>IFERROR(VLOOKUP($D18,'Adient Taizhou (China) WK.16'!$B:TF,UG$1,0),0)</f>
        <v>0</v>
      </c>
      <c r="UI18" s="128">
        <v>0</v>
      </c>
      <c r="UJ18" s="32">
        <v>0</v>
      </c>
      <c r="UK18" s="100">
        <f t="shared" si="296"/>
        <v>-2435</v>
      </c>
      <c r="UM18" s="37">
        <f t="shared" si="229"/>
        <v>-2435</v>
      </c>
      <c r="UN18" s="141">
        <f>IFERROR(VLOOKUP($D18,'Adient Assende (Belgium) WK.17'!$B:TJ,UO$1,0),0)</f>
        <v>40</v>
      </c>
      <c r="UO18" s="140">
        <f>IFERROR(VLOOKUP($D18,'Adient Arendal (Malzia) WK.12'!$B:TK,UO$1,0),0)</f>
        <v>0</v>
      </c>
      <c r="UP18" s="140">
        <f>IFERROR(VLOOKUP($D18,'Adient Taizhou (China) WK.16'!$B:TN,UO$1,0),0)</f>
        <v>0</v>
      </c>
      <c r="UQ18" s="128">
        <v>0</v>
      </c>
      <c r="UR18" s="32">
        <v>0</v>
      </c>
      <c r="US18" s="100">
        <f t="shared" si="297"/>
        <v>-2475</v>
      </c>
      <c r="UU18" s="37">
        <f t="shared" si="230"/>
        <v>-2475</v>
      </c>
      <c r="UV18" s="141">
        <f>IFERROR(VLOOKUP($D18,'Adient Assende (Belgium) WK.17'!$B:TR,UW$1,0),0)</f>
        <v>50</v>
      </c>
      <c r="UW18" s="140">
        <f>IFERROR(VLOOKUP($D18,'Adient Arendal (Malzia) WK.12'!$B:TS,UW$1,0),0)</f>
        <v>0</v>
      </c>
      <c r="UX18" s="140">
        <f>IFERROR(VLOOKUP($D18,'Adient Taizhou (China) WK.16'!$B:TV,UW$1,0),0)</f>
        <v>0</v>
      </c>
      <c r="UY18" s="128">
        <v>0</v>
      </c>
      <c r="UZ18" s="32">
        <v>0</v>
      </c>
      <c r="VA18" s="100">
        <f t="shared" si="298"/>
        <v>-2525</v>
      </c>
      <c r="VC18" s="37">
        <f t="shared" si="231"/>
        <v>-2525</v>
      </c>
      <c r="VD18" s="141">
        <f>IFERROR(VLOOKUP($D18,'Adient Assende (Belgium) WK.17'!$B:TZ,VE$1,0),0)</f>
        <v>50</v>
      </c>
      <c r="VE18" s="140">
        <f>IFERROR(VLOOKUP($D18,'Adient Arendal (Malzia) WK.12'!$B:UA,VE$1,0),0)</f>
        <v>0</v>
      </c>
      <c r="VF18" s="140">
        <f>IFERROR(VLOOKUP($D18,'Adient Taizhou (China) WK.16'!$B:UD,VE$1,0),0)</f>
        <v>0</v>
      </c>
      <c r="VG18" s="128">
        <v>0</v>
      </c>
      <c r="VH18" s="32">
        <v>0</v>
      </c>
      <c r="VI18" s="100">
        <f t="shared" si="299"/>
        <v>-2575</v>
      </c>
      <c r="VK18" s="37">
        <f t="shared" si="232"/>
        <v>-2575</v>
      </c>
      <c r="VL18" s="141">
        <f>IFERROR(VLOOKUP($D18,'Adient Assende (Belgium) WK.17'!$B:UH,VM$1,0),0)</f>
        <v>0</v>
      </c>
      <c r="VM18" s="140">
        <f>IFERROR(VLOOKUP($D18,'Adient Arendal (Malzia) WK.12'!$B:UI,VM$1,0),0)</f>
        <v>0</v>
      </c>
      <c r="VN18" s="140">
        <f>IFERROR(VLOOKUP($D18,'Adient Taizhou (China) WK.16'!$B:UL,VM$1,0),0)</f>
        <v>0</v>
      </c>
      <c r="VO18" s="128">
        <v>0</v>
      </c>
      <c r="VP18" s="32">
        <v>0</v>
      </c>
      <c r="VQ18" s="100">
        <f t="shared" si="300"/>
        <v>-2575</v>
      </c>
    </row>
    <row r="19" spans="1:589" x14ac:dyDescent="0.25">
      <c r="A19" s="10" t="s">
        <v>18</v>
      </c>
      <c r="B19" s="11" t="s">
        <v>19</v>
      </c>
      <c r="C19" s="87">
        <v>32248192</v>
      </c>
      <c r="D19" s="81">
        <v>4172770</v>
      </c>
      <c r="E19" s="11">
        <v>20</v>
      </c>
      <c r="F19" s="12"/>
      <c r="H19" s="122">
        <v>3040</v>
      </c>
      <c r="I19" s="125">
        <f>IFERROR(VLOOKUP($D19,'Adient Assende (Belgium) WK.17'!$B:C,J$1,0),0)</f>
        <v>1360</v>
      </c>
      <c r="J19" s="55">
        <f>IFERROR(VLOOKUP($D19,'Adient Arendal (Malzia) WK.12'!$B:C,J$1,0),0)</f>
        <v>0</v>
      </c>
      <c r="K19" s="55">
        <f>IFERROR(VLOOKUP($D19,'Adient Taizhou (China) WK.16'!$B:C,J$1,0),0)</f>
        <v>0</v>
      </c>
      <c r="L19" s="128">
        <v>240</v>
      </c>
      <c r="M19" s="32">
        <v>0</v>
      </c>
      <c r="N19" s="106">
        <f t="shared" si="233"/>
        <v>2800</v>
      </c>
      <c r="P19" s="37">
        <f t="shared" si="234"/>
        <v>2800</v>
      </c>
      <c r="Q19" s="125">
        <f>IFERROR(VLOOKUP($D19,'Adient Assende (Belgium) WK.17'!$B:K,R$1,0),0)</f>
        <v>240</v>
      </c>
      <c r="R19" s="55">
        <f>IFERROR(VLOOKUP($D19,'Adient Arendal (Malzia) WK.12'!$B:K,R$1,0),0)</f>
        <v>0</v>
      </c>
      <c r="S19" s="55">
        <f>IFERROR(VLOOKUP($D19,'Adient Taizhou (China) WK.16'!$B:K,R$1,0),0)</f>
        <v>0</v>
      </c>
      <c r="T19" s="41">
        <v>480</v>
      </c>
      <c r="U19" s="32">
        <v>0</v>
      </c>
      <c r="V19" s="106">
        <f t="shared" si="235"/>
        <v>2320</v>
      </c>
      <c r="X19" s="37">
        <f t="shared" si="236"/>
        <v>2320</v>
      </c>
      <c r="Y19" s="125">
        <f>IFERROR(VLOOKUP($D19,'Adient Assende (Belgium) WK.17'!$B:S,Z$1,0),0)</f>
        <v>480</v>
      </c>
      <c r="Z19" s="55">
        <f>IFERROR(VLOOKUP($D19,'Adient Arendal (Malzia) WK.12'!$B:S,Z$1,0),0)</f>
        <v>0</v>
      </c>
      <c r="AA19" s="55">
        <f>IFERROR(VLOOKUP($D19,'Adient Taizhou (China) WK.16'!$B:S,Z$1,0),0)</f>
        <v>0</v>
      </c>
      <c r="AB19" s="41">
        <v>400</v>
      </c>
      <c r="AC19" s="32">
        <v>0</v>
      </c>
      <c r="AD19" s="106">
        <f t="shared" si="237"/>
        <v>1920</v>
      </c>
      <c r="AF19" s="37">
        <f t="shared" si="238"/>
        <v>1920</v>
      </c>
      <c r="AG19" s="125">
        <f>IFERROR(VLOOKUP($D19,'Adient Assende (Belgium) WK.17'!$B:AA,AH$1,0),0)</f>
        <v>400</v>
      </c>
      <c r="AH19" s="55">
        <f>IFERROR(VLOOKUP($D19,'Adient Arendal (Malzia) WK.12'!$B:AA,AH$1,0),0)</f>
        <v>0</v>
      </c>
      <c r="AI19" s="55">
        <f>IFERROR(VLOOKUP($D19,'Adient Taizhou (China) WK.16'!$B:AA,AH$1,0),0)</f>
        <v>0</v>
      </c>
      <c r="AJ19" s="41">
        <v>400</v>
      </c>
      <c r="AK19" s="32">
        <v>0</v>
      </c>
      <c r="AL19" s="106">
        <f t="shared" si="239"/>
        <v>1520</v>
      </c>
      <c r="AN19" s="37">
        <f t="shared" si="164"/>
        <v>1520</v>
      </c>
      <c r="AO19" s="125">
        <f>IFERROR(VLOOKUP($D19,'Adient Assende (Belgium) WK.17'!$B:AI,AP$1,0),0)</f>
        <v>400</v>
      </c>
      <c r="AP19" s="55">
        <f>IFERROR(VLOOKUP($D19,'Adient Arendal (Malzia) WK.12'!$B:AI,AP$1,0),0)</f>
        <v>0</v>
      </c>
      <c r="AQ19" s="55">
        <f>IFERROR(VLOOKUP($D19,'Adient Taizhou (China) WK.16'!$B:AI,AP$1,0),0)</f>
        <v>0</v>
      </c>
      <c r="AR19" s="60">
        <v>120</v>
      </c>
      <c r="AS19" s="41">
        <v>400</v>
      </c>
      <c r="AT19" s="32">
        <v>0</v>
      </c>
      <c r="AU19" s="106">
        <f t="shared" si="240"/>
        <v>1240</v>
      </c>
      <c r="AW19" s="37">
        <f t="shared" si="165"/>
        <v>1240</v>
      </c>
      <c r="AX19" s="125">
        <f>IFERROR(VLOOKUP($D19,'Adient Assende (Belgium) WK.17'!$B:AR,AY$1,0),0)</f>
        <v>400</v>
      </c>
      <c r="AY19" s="55">
        <f>IFERROR(VLOOKUP($D19,'Adient Arendal (Malzia) WK.12'!$B:AR,AY$1,0),0)</f>
        <v>0</v>
      </c>
      <c r="AZ19" s="55">
        <f>IFERROR(VLOOKUP($D19,'Adient Taizhou (China) WK.16'!$B:AU,AY$1,0),0)</f>
        <v>0</v>
      </c>
      <c r="BA19" s="41">
        <v>400</v>
      </c>
      <c r="BB19" s="32">
        <v>0</v>
      </c>
      <c r="BC19" s="106">
        <f t="shared" si="241"/>
        <v>840</v>
      </c>
      <c r="BE19" s="37">
        <f t="shared" si="166"/>
        <v>840</v>
      </c>
      <c r="BF19" s="125">
        <f>IFERROR(VLOOKUP($D19,'Adient Assende (Belgium) WK.17'!$B:AX,BG$1,0),0)</f>
        <v>400</v>
      </c>
      <c r="BG19" s="55">
        <f>IFERROR(VLOOKUP($D19,'Adient Arendal (Malzia) WK.12'!$B:AZ,BG$1,0),0)</f>
        <v>0</v>
      </c>
      <c r="BH19" s="55">
        <f>IFERROR(VLOOKUP($D19,'Adient Taizhou (China) WK.16'!$B:BB,BG$1,0),0)</f>
        <v>0</v>
      </c>
      <c r="BI19" s="60">
        <v>140</v>
      </c>
      <c r="BJ19" s="60">
        <v>20</v>
      </c>
      <c r="BK19" s="41">
        <v>320</v>
      </c>
      <c r="BL19" s="32">
        <v>0</v>
      </c>
      <c r="BM19" s="106">
        <f t="shared" si="242"/>
        <v>680</v>
      </c>
      <c r="BN19" s="8"/>
      <c r="BO19" s="37">
        <f t="shared" si="167"/>
        <v>680</v>
      </c>
      <c r="BP19" s="125">
        <f>IFERROR(VLOOKUP($D19,'Adient Assende (Belgium) WK.17'!$B:BH,BQ$1,0),0)</f>
        <v>320</v>
      </c>
      <c r="BQ19" s="55">
        <f>IFERROR(VLOOKUP($D19,'Adient Arendal (Malzia) WK.12'!$B:BI,BQ$1,0),0)</f>
        <v>0</v>
      </c>
      <c r="BR19" s="55">
        <f>IFERROR(VLOOKUP($D19,'Adient Taizhou (China) WK.16'!$B:BL,BQ$1,0),0)</f>
        <v>0</v>
      </c>
      <c r="BS19" s="60">
        <v>880</v>
      </c>
      <c r="BT19" s="60">
        <v>300</v>
      </c>
      <c r="BU19" s="60">
        <v>0</v>
      </c>
      <c r="BV19" s="41">
        <v>640</v>
      </c>
      <c r="BW19" s="32">
        <v>0</v>
      </c>
      <c r="BX19" s="106">
        <f t="shared" si="243"/>
        <v>1220</v>
      </c>
      <c r="BY19" s="8"/>
      <c r="BZ19" s="37">
        <f t="shared" si="168"/>
        <v>1220</v>
      </c>
      <c r="CA19" s="125">
        <f>IFERROR(VLOOKUP($D19,'Adient Assende (Belgium) WK.17'!$B:BS,CB$1,0),0)</f>
        <v>640</v>
      </c>
      <c r="CB19" s="55">
        <f>IFERROR(VLOOKUP($D19,'Adient Arendal (Malzia) WK.12'!$B:BT,CB$1,0),0)</f>
        <v>0</v>
      </c>
      <c r="CC19" s="55">
        <f>IFERROR(VLOOKUP($D19,'Adient Taizhou (China) WK.16'!$B:BW,CB$1,0),0)</f>
        <v>0</v>
      </c>
      <c r="CD19" s="60">
        <v>0</v>
      </c>
      <c r="CE19" s="60">
        <v>0</v>
      </c>
      <c r="CF19" s="41">
        <v>880</v>
      </c>
      <c r="CG19" s="32">
        <v>0</v>
      </c>
      <c r="CH19" s="106">
        <f t="shared" si="244"/>
        <v>340</v>
      </c>
      <c r="CI19" s="8"/>
      <c r="CJ19" s="37">
        <f t="shared" si="169"/>
        <v>340</v>
      </c>
      <c r="CK19" s="125">
        <f>IFERROR(VLOOKUP($D19,'Adient Assende (Belgium) WK.17'!$B:CC,CL$1,0),0)</f>
        <v>880</v>
      </c>
      <c r="CL19" s="55">
        <f>IFERROR(VLOOKUP($D19,'Adient Arendal (Malzia) WK.12'!$B:CD,CL$1,0),0)</f>
        <v>0</v>
      </c>
      <c r="CM19" s="55">
        <f>IFERROR(VLOOKUP($D19,'Adient Taizhou (China) WK.16'!$B:CG,CL$1,0),0)</f>
        <v>0</v>
      </c>
      <c r="CN19" s="60">
        <v>960</v>
      </c>
      <c r="CO19" s="149">
        <v>0</v>
      </c>
      <c r="CP19" s="32">
        <v>0</v>
      </c>
      <c r="CQ19" s="106">
        <f t="shared" si="245"/>
        <v>1300</v>
      </c>
      <c r="CR19" s="8"/>
      <c r="CS19" s="122">
        <f t="shared" si="170"/>
        <v>1300</v>
      </c>
      <c r="CT19" s="154">
        <f>IFERROR(VLOOKUP($D19,'Adient Assende (Belgium) WK.17'!$B:CL,CU$1,0),0)</f>
        <v>0</v>
      </c>
      <c r="CU19" s="55">
        <f>IFERROR(VLOOKUP($D19,'Adient Arendal (Malzia) WK.12'!$B:CM,CU$1,0),0)</f>
        <v>0</v>
      </c>
      <c r="CV19" s="55">
        <f>IFERROR(VLOOKUP($D19,'Adient Taizhou (China) WK.16'!$B:CP,CU$1,0),0)</f>
        <v>0</v>
      </c>
      <c r="CW19" s="60">
        <v>0</v>
      </c>
      <c r="CX19" s="60">
        <v>880</v>
      </c>
      <c r="CY19" s="128">
        <v>640</v>
      </c>
      <c r="CZ19" s="32">
        <v>0</v>
      </c>
      <c r="DA19" s="106">
        <f t="shared" si="246"/>
        <v>1540</v>
      </c>
      <c r="DB19" s="8"/>
      <c r="DC19" s="37">
        <f t="shared" si="171"/>
        <v>1540</v>
      </c>
      <c r="DD19" s="125">
        <f>IFERROR(VLOOKUP($D19,'Adient Assende (Belgium) WK.17'!$B:CS,DE$1,0),0)</f>
        <v>640</v>
      </c>
      <c r="DE19" s="55">
        <f>IFERROR(VLOOKUP($D19,'Adient Arendal (Malzia) WK.12'!$B:CU,DE$1,0),0)</f>
        <v>0</v>
      </c>
      <c r="DF19" s="55">
        <f>IFERROR(VLOOKUP($D19,'Adient Taizhou (China) WK.16'!$B:CX,DE$1,0),0)</f>
        <v>0</v>
      </c>
      <c r="DG19" s="60">
        <v>280</v>
      </c>
      <c r="DH19" s="128">
        <v>400</v>
      </c>
      <c r="DI19" s="32">
        <v>0</v>
      </c>
      <c r="DJ19" s="106">
        <f t="shared" si="247"/>
        <v>1420</v>
      </c>
      <c r="DL19" s="37">
        <f t="shared" si="172"/>
        <v>1420</v>
      </c>
      <c r="DM19" s="125">
        <f>IFERROR(VLOOKUP($D19,'Adient Assende (Belgium) WK.17'!$B:DB,DN$1,0),0)</f>
        <v>400</v>
      </c>
      <c r="DN19" s="55">
        <f>IFERROR(VLOOKUP($D19,'Adient Arendal (Malzia) WK.12'!$B:DC,DN$1,0),0)</f>
        <v>0</v>
      </c>
      <c r="DO19" s="55">
        <f>IFERROR(VLOOKUP($D19,'Adient Taizhou (China) WK.16'!$B:DF,DN$1,0),0)</f>
        <v>0</v>
      </c>
      <c r="DP19" s="128">
        <v>240</v>
      </c>
      <c r="DQ19" s="32">
        <v>0</v>
      </c>
      <c r="DR19" s="106">
        <f t="shared" si="173"/>
        <v>1180</v>
      </c>
      <c r="DS19" s="8"/>
      <c r="DT19" s="37">
        <f t="shared" si="174"/>
        <v>1180</v>
      </c>
      <c r="DU19" s="125">
        <f>IFERROR(VLOOKUP($D19,'Adient Assende (Belgium) WK.17'!$B:DJ,DV$1,0),0)</f>
        <v>240</v>
      </c>
      <c r="DV19" s="55">
        <f>IFERROR(VLOOKUP($D19,'Adient Arendal (Malzia) WK.12'!$B:DK,DV$1,0),0)</f>
        <v>0</v>
      </c>
      <c r="DW19" s="55">
        <f>IFERROR(VLOOKUP($D19,'Adient Taizhou (China) WK.16'!$B:DN,DV$1,0),0)</f>
        <v>0</v>
      </c>
      <c r="DX19" s="60">
        <v>620</v>
      </c>
      <c r="DY19" s="60">
        <v>540</v>
      </c>
      <c r="DZ19" s="128">
        <v>240</v>
      </c>
      <c r="EA19" s="32">
        <v>0</v>
      </c>
      <c r="EB19" s="106">
        <f t="shared" si="248"/>
        <v>2100</v>
      </c>
      <c r="EC19" s="8"/>
      <c r="ED19" s="37">
        <f t="shared" si="175"/>
        <v>2100</v>
      </c>
      <c r="EE19" s="125">
        <f>IFERROR(VLOOKUP($D19,'Adient Assende (Belgium) WK.17'!$B:DR,EF$1,0),0)</f>
        <v>240</v>
      </c>
      <c r="EF19" s="55">
        <f>IFERROR(VLOOKUP($D19,'Adient Arendal (Malzia) WK.12'!$B:DS,EF$1,0),0)</f>
        <v>0</v>
      </c>
      <c r="EG19" s="55">
        <f>IFERROR(VLOOKUP($D19,'Adient Taizhou (China) WK.16'!$B:DV,EF$1,0),0)</f>
        <v>0</v>
      </c>
      <c r="EH19" s="60">
        <v>760</v>
      </c>
      <c r="EI19" s="128">
        <v>640</v>
      </c>
      <c r="EJ19" s="32">
        <v>0</v>
      </c>
      <c r="EK19" s="106">
        <f t="shared" si="249"/>
        <v>2220</v>
      </c>
      <c r="EM19" s="37">
        <f t="shared" si="176"/>
        <v>2220</v>
      </c>
      <c r="EN19" s="125">
        <f>IFERROR(VLOOKUP($D19,'Adient Assende (Belgium) WK.17'!$B:DZ,EO$1,0),0)</f>
        <v>640</v>
      </c>
      <c r="EO19" s="55">
        <f>IFERROR(VLOOKUP($D19,'Adient Arendal (Malzia) WK.12'!$B:EA,EO$1,0),0)</f>
        <v>0</v>
      </c>
      <c r="EP19" s="55">
        <f>IFERROR(VLOOKUP($D19,'Adient Taizhou (China) WK.16'!$B:ED,EO$1,0),0)</f>
        <v>0</v>
      </c>
      <c r="EQ19" s="128">
        <v>1040</v>
      </c>
      <c r="ER19" s="32">
        <v>0</v>
      </c>
      <c r="ES19" s="106">
        <f t="shared" si="250"/>
        <v>1180</v>
      </c>
      <c r="EU19" s="37">
        <f t="shared" si="177"/>
        <v>1180</v>
      </c>
      <c r="EV19" s="125">
        <f>IFERROR(VLOOKUP($D19,'Adient Assende (Belgium) WK.17'!$B:EH,EW$1,0),0)</f>
        <v>1040</v>
      </c>
      <c r="EW19" s="55">
        <f>IFERROR(VLOOKUP($D19,'Adient Arendal (Malzia) WK.12'!$B:EI,EW$1,0),0)</f>
        <v>0</v>
      </c>
      <c r="EX19" s="55">
        <f>IFERROR(VLOOKUP($D19,'Adient Taizhou (China) WK.16'!$B:EL,EW$1,0),0)</f>
        <v>0</v>
      </c>
      <c r="EY19" s="128">
        <v>0</v>
      </c>
      <c r="EZ19" s="32">
        <v>0</v>
      </c>
      <c r="FA19" s="106">
        <f t="shared" si="251"/>
        <v>1180</v>
      </c>
      <c r="FC19" s="37">
        <f t="shared" si="178"/>
        <v>1180</v>
      </c>
      <c r="FD19" s="154">
        <f>IFERROR(VLOOKUP($D19,'Adient Assende (Belgium) WK.17'!$B:EP,FE$1,0),0)</f>
        <v>0</v>
      </c>
      <c r="FE19" s="154">
        <f>IFERROR(VLOOKUP($D19,'Adient Arendal (Malzia) WK.12'!$B:EQ,FE$1,0),0)</f>
        <v>0</v>
      </c>
      <c r="FF19" s="154">
        <f>IFERROR(VLOOKUP($D19,'Adient Taizhou (China) WK.16'!$B:ET,FE$1,0),0)</f>
        <v>0</v>
      </c>
      <c r="FG19" s="128">
        <v>0</v>
      </c>
      <c r="FH19" s="32">
        <v>0</v>
      </c>
      <c r="FI19" s="106">
        <f t="shared" si="252"/>
        <v>1180</v>
      </c>
      <c r="FK19" s="37">
        <f t="shared" si="179"/>
        <v>1180</v>
      </c>
      <c r="FL19" s="125">
        <f>IFERROR(VLOOKUP($D19,'Adient Assende (Belgium) WK.17'!$B:EX,FM$1,0),0)</f>
        <v>0</v>
      </c>
      <c r="FM19" s="55">
        <f>IFERROR(VLOOKUP($D19,'Adient Arendal (Malzia) WK.12'!$B:EY,FM$1,0),0)</f>
        <v>0</v>
      </c>
      <c r="FN19" s="55">
        <f>IFERROR(VLOOKUP($D19,'Adient Taizhou (China) WK.16'!$B:FB,FM$1,0),0)</f>
        <v>0</v>
      </c>
      <c r="FO19" s="128">
        <v>960</v>
      </c>
      <c r="FP19" s="32">
        <v>0</v>
      </c>
      <c r="FQ19" s="106">
        <f t="shared" si="253"/>
        <v>220</v>
      </c>
      <c r="FR19" s="8"/>
      <c r="FS19" s="37">
        <f t="shared" si="180"/>
        <v>220</v>
      </c>
      <c r="FT19" s="125">
        <f>IFERROR(VLOOKUP($D19,'Adient Assende (Belgium) WK.17'!$B:FF,FU$1,0),0)</f>
        <v>960</v>
      </c>
      <c r="FU19" s="55">
        <f>IFERROR(VLOOKUP($D19,'Adient Arendal (Malzia) WK.12'!$B:FG,FU$1,0),0)</f>
        <v>0</v>
      </c>
      <c r="FV19" s="55">
        <f>IFERROR(VLOOKUP($D19,'Adient Taizhou (China) WK.16'!$B:FJ,FU$1,0),0)</f>
        <v>0</v>
      </c>
      <c r="FW19" s="60">
        <v>1080</v>
      </c>
      <c r="FX19" s="60">
        <v>100</v>
      </c>
      <c r="FY19" s="60">
        <v>1060</v>
      </c>
      <c r="FZ19" s="60">
        <v>1120</v>
      </c>
      <c r="GA19" s="60">
        <v>1140</v>
      </c>
      <c r="GB19" s="128">
        <v>800</v>
      </c>
      <c r="GC19" s="32">
        <v>0</v>
      </c>
      <c r="GD19" s="106">
        <f t="shared" si="254"/>
        <v>3920</v>
      </c>
      <c r="GF19" s="37">
        <f t="shared" si="181"/>
        <v>3920</v>
      </c>
      <c r="GG19" s="125">
        <f>IFERROR(VLOOKUP($D19,'Adient Assende (Belgium) WK.17'!$B:FN,GH$1,0),0)</f>
        <v>800</v>
      </c>
      <c r="GH19" s="55">
        <f>IFERROR(VLOOKUP($D19,'Adient Arendal (Malzia) WK.12'!$B:FO,GH$1,0),0)</f>
        <v>0</v>
      </c>
      <c r="GI19" s="55">
        <f>IFERROR(VLOOKUP($D19,'Adient Taizhou (China) WK.16'!$B:FR,GH$1,0),0)</f>
        <v>0</v>
      </c>
      <c r="GJ19" s="60">
        <v>1300</v>
      </c>
      <c r="GK19" s="128">
        <v>960</v>
      </c>
      <c r="GL19" s="32">
        <v>0</v>
      </c>
      <c r="GM19" s="106">
        <f t="shared" si="255"/>
        <v>4260</v>
      </c>
      <c r="GO19" s="37">
        <f t="shared" si="182"/>
        <v>4260</v>
      </c>
      <c r="GP19" s="125">
        <f>IFERROR(VLOOKUP($D19,'Adient Assende (Belgium) WK.17'!$B:FV,GQ$1,0),0)</f>
        <v>960</v>
      </c>
      <c r="GQ19" s="55">
        <f>IFERROR(VLOOKUP($D19,'Adient Arendal (Malzia) WK.12'!$B:FW,GQ$1,0),0)</f>
        <v>0</v>
      </c>
      <c r="GR19" s="55">
        <f>IFERROR(VLOOKUP($D19,'Adient Taizhou (China) WK.16'!$B:FZ,GQ$1,0),0)</f>
        <v>0</v>
      </c>
      <c r="GS19" s="60">
        <v>1220</v>
      </c>
      <c r="GT19" s="128">
        <v>960</v>
      </c>
      <c r="GU19" s="32">
        <v>0</v>
      </c>
      <c r="GV19" s="106">
        <f t="shared" si="256"/>
        <v>4520</v>
      </c>
      <c r="GW19" s="8"/>
      <c r="GX19" s="37">
        <f t="shared" si="183"/>
        <v>4520</v>
      </c>
      <c r="GY19" s="125">
        <f>IFERROR(VLOOKUP($D19,'Adient Assende (Belgium) WK.17'!$B:GD,GZ$1,0),0)</f>
        <v>960</v>
      </c>
      <c r="GZ19" s="55">
        <f>IFERROR(VLOOKUP($D19,'Adient Arendal (Malzia) WK.12'!$B:GE,GZ$1,0),0)</f>
        <v>0</v>
      </c>
      <c r="HA19" s="55">
        <f>IFERROR(VLOOKUP($D19,'Adient Taizhou (China) WK.16'!$B:GH,GZ$1,0),0)</f>
        <v>0</v>
      </c>
      <c r="HB19" s="60">
        <v>0</v>
      </c>
      <c r="HC19" s="128">
        <v>960</v>
      </c>
      <c r="HD19" s="32">
        <v>0</v>
      </c>
      <c r="HE19" s="106">
        <f t="shared" si="257"/>
        <v>3560</v>
      </c>
      <c r="HF19" s="8"/>
      <c r="HG19" s="37">
        <f t="shared" si="184"/>
        <v>3560</v>
      </c>
      <c r="HH19" s="125">
        <f>IFERROR(VLOOKUP($D19,'Adient Assende (Belgium) WK.17'!$B:GL,HI$1,0),0)</f>
        <v>960</v>
      </c>
      <c r="HI19" s="55">
        <f>IFERROR(VLOOKUP($D19,'Adient Arendal (Malzia) WK.12'!$B:GM,HI$1,0),0)</f>
        <v>0</v>
      </c>
      <c r="HJ19" s="55">
        <f>IFERROR(VLOOKUP($D19,'Adient Taizhou (China) WK.16'!$B:GP,HI$1,0),0)</f>
        <v>0</v>
      </c>
      <c r="HK19" s="60">
        <v>100</v>
      </c>
      <c r="HL19" s="128">
        <v>800</v>
      </c>
      <c r="HM19" s="32">
        <v>0</v>
      </c>
      <c r="HN19" s="106">
        <f t="shared" si="258"/>
        <v>2860</v>
      </c>
      <c r="HO19" s="8"/>
      <c r="HP19" s="37">
        <f t="shared" si="185"/>
        <v>2860</v>
      </c>
      <c r="HQ19" s="125">
        <f>IFERROR(VLOOKUP($D19,'Adient Assende (Belgium) WK.17'!$B:GT,HR$1,0),0)</f>
        <v>800</v>
      </c>
      <c r="HR19" s="55">
        <f>IFERROR(VLOOKUP($D19,'Adient Arendal (Malzia) WK.12'!$B:GU,HR$1,0),0)</f>
        <v>0</v>
      </c>
      <c r="HS19" s="55">
        <f>IFERROR(VLOOKUP($D19,'Adient Taizhou (China) WK.16'!$B:GX,HR$1,0),0)</f>
        <v>0</v>
      </c>
      <c r="HT19" s="60">
        <v>300</v>
      </c>
      <c r="HU19" s="128">
        <v>880</v>
      </c>
      <c r="HV19" s="32">
        <v>0</v>
      </c>
      <c r="HW19" s="106">
        <f t="shared" si="259"/>
        <v>2280</v>
      </c>
      <c r="HX19" s="8"/>
      <c r="HY19" s="37">
        <f t="shared" si="186"/>
        <v>2280</v>
      </c>
      <c r="HZ19" s="125">
        <f>IFERROR(VLOOKUP($D19,'Adient Assende (Belgium) WK.17'!$B:HB,IA$1,0),0)</f>
        <v>880</v>
      </c>
      <c r="IA19" s="55">
        <f>IFERROR(VLOOKUP($D19,'Adient Arendal (Malzia) WK.12'!$B:HC,IA$1,0),0)</f>
        <v>0</v>
      </c>
      <c r="IB19" s="55">
        <f>IFERROR(VLOOKUP($D19,'Adient Taizhou (China) WK.16'!$B:HF,IA$1,0),0)</f>
        <v>0</v>
      </c>
      <c r="IC19" s="60">
        <v>300</v>
      </c>
      <c r="ID19" s="128">
        <v>480</v>
      </c>
      <c r="IE19" s="32">
        <v>0</v>
      </c>
      <c r="IF19" s="106">
        <f t="shared" si="260"/>
        <v>2100</v>
      </c>
      <c r="IG19" s="8"/>
      <c r="IH19" s="37">
        <f t="shared" si="187"/>
        <v>2100</v>
      </c>
      <c r="II19" s="125">
        <f>IFERROR(VLOOKUP($D19,'Adient Assende (Belgium) WK.17'!$B:HJ,IJ$1,0),0)</f>
        <v>480</v>
      </c>
      <c r="IJ19" s="55">
        <f>IFERROR(VLOOKUP($D19,'Adient Arendal (Malzia) WK.12'!$B:HK,IJ$1,0),0)</f>
        <v>0</v>
      </c>
      <c r="IK19" s="55">
        <f>IFERROR(VLOOKUP($D19,'Adient Taizhou (China) WK.16'!$B:HN,IJ$1,0),0)</f>
        <v>0</v>
      </c>
      <c r="IL19" s="128">
        <v>400</v>
      </c>
      <c r="IM19" s="32">
        <v>0</v>
      </c>
      <c r="IN19" s="106">
        <f t="shared" si="188"/>
        <v>1700</v>
      </c>
      <c r="IO19" s="8"/>
      <c r="IP19" s="37">
        <f t="shared" si="189"/>
        <v>1700</v>
      </c>
      <c r="IQ19" s="125">
        <f>IFERROR(VLOOKUP($D19,'Adient Assende (Belgium) WK.17'!$B:HR,IR$1,0),0)</f>
        <v>400</v>
      </c>
      <c r="IR19" s="55">
        <f>IFERROR(VLOOKUP($D19,'Adient Arendal (Malzia) WK.12'!$B:HS,IR$1,0),0)</f>
        <v>0</v>
      </c>
      <c r="IS19" s="55">
        <f>IFERROR(VLOOKUP($D19,'Adient Taizhou (China) WK.16'!$B:HV,IR$1,0),0)</f>
        <v>0</v>
      </c>
      <c r="IT19" s="60">
        <v>100</v>
      </c>
      <c r="IU19" s="128">
        <v>320</v>
      </c>
      <c r="IV19" s="32">
        <v>0</v>
      </c>
      <c r="IW19" s="106">
        <f t="shared" si="261"/>
        <v>1480</v>
      </c>
      <c r="IX19" s="8"/>
      <c r="IY19" s="37">
        <f t="shared" si="190"/>
        <v>1480</v>
      </c>
      <c r="IZ19" s="125">
        <f>IFERROR(VLOOKUP($D19,'Adient Assende (Belgium) WK.17'!$B:HZ,JA$1,0),0)</f>
        <v>320</v>
      </c>
      <c r="JA19" s="55">
        <f>IFERROR(VLOOKUP($D19,'Adient Arendal (Malzia) WK.12'!$B:IA,JA$1,0),0)</f>
        <v>0</v>
      </c>
      <c r="JB19" s="55">
        <f>IFERROR(VLOOKUP($D19,'Adient Taizhou (China) WK.16'!$B:ID,JA$1,0),0)</f>
        <v>0</v>
      </c>
      <c r="JC19" s="128">
        <v>240</v>
      </c>
      <c r="JD19" s="32">
        <v>0</v>
      </c>
      <c r="JE19" s="106">
        <f t="shared" si="191"/>
        <v>1240</v>
      </c>
      <c r="JF19" s="8"/>
      <c r="JG19" s="37">
        <f t="shared" si="192"/>
        <v>1240</v>
      </c>
      <c r="JH19" s="125">
        <f>IFERROR(VLOOKUP($D19,'Adient Assende (Belgium) WK.17'!$B:IH,JI$1,0),0)</f>
        <v>240</v>
      </c>
      <c r="JI19" s="55">
        <f>IFERROR(VLOOKUP($D19,'Adient Arendal (Malzia) WK.12'!$B:II,JI$1,0),0)</f>
        <v>0</v>
      </c>
      <c r="JJ19" s="55">
        <f>IFERROR(VLOOKUP($D19,'Adient Taizhou (China) WK.16'!$B:IL,JI$1,0),0)</f>
        <v>0</v>
      </c>
      <c r="JK19" s="60">
        <v>200</v>
      </c>
      <c r="JL19" s="128">
        <v>1040</v>
      </c>
      <c r="JM19" s="32">
        <v>0</v>
      </c>
      <c r="JN19" s="106">
        <f t="shared" si="262"/>
        <v>400</v>
      </c>
      <c r="JO19" s="8"/>
      <c r="JP19" s="37">
        <f t="shared" si="193"/>
        <v>400</v>
      </c>
      <c r="JQ19" s="125">
        <f>IFERROR(VLOOKUP($D19,'Adient Assende (Belgium) WK.17'!$B:IP,JR$1,0),0)</f>
        <v>1040</v>
      </c>
      <c r="JR19" s="55">
        <f>IFERROR(VLOOKUP($D19,'Adient Arendal (Malzia) WK.12'!$B:IQ,JR$1,0),0)</f>
        <v>0</v>
      </c>
      <c r="JS19" s="55">
        <f>IFERROR(VLOOKUP($D19,'Adient Taizhou (China) WK.16'!$B:IT,JR$1,0),0)</f>
        <v>0</v>
      </c>
      <c r="JT19" s="128">
        <v>0</v>
      </c>
      <c r="JU19" s="32">
        <v>0</v>
      </c>
      <c r="JV19" s="106">
        <f t="shared" si="194"/>
        <v>400</v>
      </c>
      <c r="JW19" s="8"/>
      <c r="JX19" s="37">
        <f t="shared" si="195"/>
        <v>400</v>
      </c>
      <c r="JY19" s="154">
        <f>IFERROR(VLOOKUP($D19,'Adient Assende (Belgium) WK.17'!$B:IX,JZ$1,0),0)</f>
        <v>0</v>
      </c>
      <c r="JZ19" s="55">
        <f>IFERROR(VLOOKUP($D19,'Adient Arendal (Malzia) WK.12'!$B:IY,JZ$1,0),0)</f>
        <v>0</v>
      </c>
      <c r="KA19" s="55">
        <f>IFERROR(VLOOKUP($D19,'Adient Taizhou (China) WK.16'!$B:JB,JZ$1,0),0)</f>
        <v>0</v>
      </c>
      <c r="KB19" s="128">
        <v>400</v>
      </c>
      <c r="KC19" s="32">
        <v>0</v>
      </c>
      <c r="KD19" s="106">
        <f t="shared" si="263"/>
        <v>0</v>
      </c>
      <c r="KE19" s="8"/>
      <c r="KF19" s="37">
        <f t="shared" si="196"/>
        <v>0</v>
      </c>
      <c r="KG19" s="125">
        <f>IFERROR(VLOOKUP($D19,'Adient Assende (Belgium) WK.17'!$B:JF,KH$1,0),0)</f>
        <v>400</v>
      </c>
      <c r="KH19" s="55">
        <f>IFERROR(VLOOKUP($D19,'Adient Arendal (Malzia) WK.12'!$B:JG,KH$1,0),0)</f>
        <v>0</v>
      </c>
      <c r="KI19" s="55">
        <f>IFERROR(VLOOKUP($D19,'Adient Taizhou (China) WK.16'!$B:JJ,KH$1,0),0)</f>
        <v>0</v>
      </c>
      <c r="KJ19" s="60">
        <v>0</v>
      </c>
      <c r="KK19" s="128">
        <v>0</v>
      </c>
      <c r="KL19" s="32">
        <v>0</v>
      </c>
      <c r="KM19" s="106">
        <f t="shared" si="264"/>
        <v>0</v>
      </c>
      <c r="KN19" s="8"/>
      <c r="KO19" s="37">
        <f t="shared" si="197"/>
        <v>0</v>
      </c>
      <c r="KP19" s="141">
        <f>IFERROR(VLOOKUP($D19,'Adient Assende (Belgium) WK.17'!$B:JN,KQ$1,0),0)</f>
        <v>0</v>
      </c>
      <c r="KQ19" s="140">
        <f>IFERROR(VLOOKUP($D19,'Adient Arendal (Malzia) WK.12'!$B:JO,KQ$1,0),0)</f>
        <v>0</v>
      </c>
      <c r="KR19" s="140">
        <f>IFERROR(VLOOKUP($D19,'Adient Taizhou (China) WK.16'!$B:JR,KQ$1,0),0)</f>
        <v>0</v>
      </c>
      <c r="KS19" s="60">
        <v>0</v>
      </c>
      <c r="KT19" s="128">
        <v>0</v>
      </c>
      <c r="KU19" s="32">
        <v>0</v>
      </c>
      <c r="KV19" s="106">
        <f t="shared" si="265"/>
        <v>0</v>
      </c>
      <c r="KX19" s="37">
        <f t="shared" si="198"/>
        <v>0</v>
      </c>
      <c r="KY19" s="141">
        <f>IFERROR(VLOOKUP($D19,'Adient Assende (Belgium) WK.17'!$B:JV,KZ$1,0),0)</f>
        <v>0</v>
      </c>
      <c r="KZ19" s="140">
        <f>IFERROR(VLOOKUP($D19,'Adient Arendal (Malzia) WK.12'!$B:JW,KZ$1,0),0)</f>
        <v>0</v>
      </c>
      <c r="LA19" s="140">
        <f>IFERROR(VLOOKUP($D19,'Adient Taizhou (China) WK.16'!$B:JZ,KZ$1,0),0)</f>
        <v>0</v>
      </c>
      <c r="LB19" s="128">
        <v>0</v>
      </c>
      <c r="LC19" s="32">
        <v>0</v>
      </c>
      <c r="LD19" s="106">
        <f t="shared" si="266"/>
        <v>0</v>
      </c>
      <c r="LF19" s="37">
        <f t="shared" si="199"/>
        <v>0</v>
      </c>
      <c r="LG19" s="141">
        <f>IFERROR(VLOOKUP($D19,'Adient Assende (Belgium) WK.17'!$B:KD,LH$1,0),0)</f>
        <v>0</v>
      </c>
      <c r="LH19" s="140">
        <f>IFERROR(VLOOKUP($D19,'Adient Arendal (Malzia) WK.12'!$B:KE,LH$1,0),0)</f>
        <v>0</v>
      </c>
      <c r="LI19" s="140">
        <f>IFERROR(VLOOKUP($D19,'Adient Taizhou (China) WK.16'!$B:KH,LH$1,0),0)</f>
        <v>0</v>
      </c>
      <c r="LJ19" s="60">
        <v>0</v>
      </c>
      <c r="LK19" s="128">
        <v>0</v>
      </c>
      <c r="LL19" s="32">
        <v>0</v>
      </c>
      <c r="LM19" s="100">
        <f t="shared" si="267"/>
        <v>0</v>
      </c>
      <c r="LO19" s="37">
        <f t="shared" si="200"/>
        <v>0</v>
      </c>
      <c r="LP19" s="141">
        <f>IFERROR(VLOOKUP($D19,'Adient Assende (Belgium) WK.17'!$B:KL,LQ$1,0),0)</f>
        <v>0</v>
      </c>
      <c r="LQ19" s="140">
        <f>IFERROR(VLOOKUP($D19,'Adient Arendal (Malzia) WK.12'!$B:KM,LQ$1,0),0)</f>
        <v>0</v>
      </c>
      <c r="LR19" s="140">
        <f>IFERROR(VLOOKUP($D19,'Adient Taizhou (China) WK.16'!$B:KP,LQ$1,0),0)</f>
        <v>0</v>
      </c>
      <c r="LS19" s="128">
        <v>0</v>
      </c>
      <c r="LT19" s="32">
        <v>0</v>
      </c>
      <c r="LU19" s="100">
        <f t="shared" si="268"/>
        <v>0</v>
      </c>
      <c r="LW19" s="37">
        <f t="shared" si="201"/>
        <v>0</v>
      </c>
      <c r="LX19" s="141">
        <f>IFERROR(VLOOKUP($D19,'Adient Assende (Belgium) WK.17'!$B:KT,LY$1,0),0)</f>
        <v>0</v>
      </c>
      <c r="LY19" s="140">
        <f>IFERROR(VLOOKUP($D19,'Adient Arendal (Malzia) WK.12'!$B:KU,LY$1,0),0)</f>
        <v>0</v>
      </c>
      <c r="LZ19" s="140">
        <f>IFERROR(VLOOKUP($D19,'Adient Taizhou (China) WK.16'!$B:KX,LY$1,0),0)</f>
        <v>0</v>
      </c>
      <c r="MA19" s="128">
        <v>0</v>
      </c>
      <c r="MB19" s="32">
        <v>0</v>
      </c>
      <c r="MC19" s="100">
        <f t="shared" si="269"/>
        <v>0</v>
      </c>
      <c r="ME19" s="37">
        <f t="shared" si="202"/>
        <v>0</v>
      </c>
      <c r="MF19" s="154">
        <f>IFERROR(VLOOKUP($D19,'Adient Assende (Belgium) WK.17'!$B:LB,MG$1,0),0)</f>
        <v>0</v>
      </c>
      <c r="MG19" s="140">
        <f>IFERROR(VLOOKUP($D19,'Adient Arendal (Malzia) WK.12'!$B:LC,MG$1,0),0)</f>
        <v>0</v>
      </c>
      <c r="MH19" s="140">
        <f>IFERROR(VLOOKUP($D19,'Adient Taizhou (China) WK.16'!$B:LF,MG$1,0),0)</f>
        <v>0</v>
      </c>
      <c r="MI19" s="128">
        <v>0</v>
      </c>
      <c r="MJ19" s="32">
        <v>0</v>
      </c>
      <c r="MK19" s="100">
        <f t="shared" si="270"/>
        <v>0</v>
      </c>
      <c r="MM19" s="37">
        <f t="shared" si="203"/>
        <v>0</v>
      </c>
      <c r="MN19" s="141">
        <f>IFERROR(VLOOKUP($D19,'Adient Assende (Belgium) WK.17'!$B:LJ,MO$1,0),0)</f>
        <v>0</v>
      </c>
      <c r="MO19" s="140">
        <f>IFERROR(VLOOKUP($D19,'Adient Arendal (Malzia) WK.12'!$B:LK,MO$1,0),0)</f>
        <v>0</v>
      </c>
      <c r="MP19" s="140">
        <f>IFERROR(VLOOKUP($D19,'Adient Taizhou (China) WK.16'!$B:LN,MO$1,0),0)</f>
        <v>0</v>
      </c>
      <c r="MQ19" s="128">
        <v>0</v>
      </c>
      <c r="MR19" s="32">
        <v>0</v>
      </c>
      <c r="MS19" s="100">
        <f t="shared" si="271"/>
        <v>0</v>
      </c>
      <c r="MU19" s="37">
        <f t="shared" si="204"/>
        <v>0</v>
      </c>
      <c r="MV19" s="141">
        <f>IFERROR(VLOOKUP($D19,'Adient Assende (Belgium) WK.17'!$B:LR,MW$1,0),0)</f>
        <v>0</v>
      </c>
      <c r="MW19" s="140">
        <f>IFERROR(VLOOKUP($D19,'Adient Arendal (Malzia) WK.12'!$B:LS,MW$1,0),0)</f>
        <v>0</v>
      </c>
      <c r="MX19" s="140">
        <f>IFERROR(VLOOKUP($D19,'Adient Taizhou (China) WK.16'!$B:LV,MW$1,0),0)</f>
        <v>0</v>
      </c>
      <c r="MY19" s="128">
        <v>0</v>
      </c>
      <c r="MZ19" s="32">
        <v>0</v>
      </c>
      <c r="NA19" s="100">
        <f t="shared" si="272"/>
        <v>0</v>
      </c>
      <c r="NC19" s="37">
        <f t="shared" si="205"/>
        <v>0</v>
      </c>
      <c r="ND19" s="141">
        <f>IFERROR(VLOOKUP($D19,'Adient Assende (Belgium) WK.17'!$B:LZ,NE$1,0),0)</f>
        <v>0</v>
      </c>
      <c r="NE19" s="140">
        <f>IFERROR(VLOOKUP($D19,'Adient Arendal (Malzia) WK.12'!$B:MA,NE$1,0),0)</f>
        <v>0</v>
      </c>
      <c r="NF19" s="140">
        <f>IFERROR(VLOOKUP($D19,'Adient Taizhou (China) WK.16'!$B:MD,NE$1,0),0)</f>
        <v>0</v>
      </c>
      <c r="NG19" s="128">
        <v>0</v>
      </c>
      <c r="NH19" s="32">
        <v>0</v>
      </c>
      <c r="NI19" s="100">
        <f t="shared" si="273"/>
        <v>0</v>
      </c>
      <c r="NK19" s="37">
        <f t="shared" si="206"/>
        <v>0</v>
      </c>
      <c r="NL19" s="141">
        <f>IFERROR(VLOOKUP($D19,'Adient Assende (Belgium) WK.17'!$B:MH,NM$1,0),0)</f>
        <v>0</v>
      </c>
      <c r="NM19" s="140">
        <f>IFERROR(VLOOKUP($D19,'Adient Arendal (Malzia) WK.12'!$B:MI,NM$1,0),0)</f>
        <v>0</v>
      </c>
      <c r="NN19" s="140">
        <f>IFERROR(VLOOKUP($D19,'Adient Taizhou (China) WK.16'!$B:ML,NM$1,0),0)</f>
        <v>0</v>
      </c>
      <c r="NO19" s="128">
        <v>0</v>
      </c>
      <c r="NP19" s="32">
        <v>0</v>
      </c>
      <c r="NQ19" s="100">
        <f t="shared" si="274"/>
        <v>0</v>
      </c>
      <c r="NS19" s="37">
        <f t="shared" si="207"/>
        <v>0</v>
      </c>
      <c r="NT19" s="141">
        <f>IFERROR(VLOOKUP($D19,'Adient Assende (Belgium) WK.17'!$B:MP,NU$1,0),0)</f>
        <v>0</v>
      </c>
      <c r="NU19" s="140">
        <f>IFERROR(VLOOKUP($D19,'Adient Arendal (Malzia) WK.12'!$B:MQ,NU$1,0),0)</f>
        <v>0</v>
      </c>
      <c r="NV19" s="140">
        <f>IFERROR(VLOOKUP($D19,'Adient Taizhou (China) WK.16'!$B:MT,NU$1,0),0)</f>
        <v>0</v>
      </c>
      <c r="NW19" s="128">
        <v>0</v>
      </c>
      <c r="NX19" s="32">
        <v>0</v>
      </c>
      <c r="NY19" s="100">
        <f t="shared" si="275"/>
        <v>0</v>
      </c>
      <c r="OA19" s="37">
        <f t="shared" si="208"/>
        <v>0</v>
      </c>
      <c r="OB19" s="141">
        <f>IFERROR(VLOOKUP($D19,'Adient Assende (Belgium) WK.17'!$B:MX,OC$1,0),0)</f>
        <v>0</v>
      </c>
      <c r="OC19" s="140">
        <f>IFERROR(VLOOKUP($D19,'Adient Arendal (Malzia) WK.12'!$B:MY,OC$1,0),0)</f>
        <v>0</v>
      </c>
      <c r="OD19" s="140">
        <f>IFERROR(VLOOKUP($D19,'Adient Taizhou (China) WK.16'!$B:NB,OC$1,0),0)</f>
        <v>0</v>
      </c>
      <c r="OE19" s="128">
        <v>0</v>
      </c>
      <c r="OF19" s="32">
        <v>0</v>
      </c>
      <c r="OG19" s="100">
        <f t="shared" si="276"/>
        <v>0</v>
      </c>
      <c r="OI19" s="37">
        <f t="shared" si="209"/>
        <v>0</v>
      </c>
      <c r="OJ19" s="141">
        <f>IFERROR(VLOOKUP($D19,'Adient Assende (Belgium) WK.17'!$B:NF,OK$1,0),0)</f>
        <v>0</v>
      </c>
      <c r="OK19" s="140">
        <f>IFERROR(VLOOKUP($D19,'Adient Arendal (Malzia) WK.12'!$B:NG,OK$1,0),0)</f>
        <v>0</v>
      </c>
      <c r="OL19" s="140">
        <f>IFERROR(VLOOKUP($D19,'Adient Taizhou (China) WK.16'!$B:NJ,OK$1,0),0)</f>
        <v>0</v>
      </c>
      <c r="OM19" s="128">
        <v>0</v>
      </c>
      <c r="ON19" s="32">
        <v>0</v>
      </c>
      <c r="OO19" s="100">
        <f t="shared" si="277"/>
        <v>0</v>
      </c>
      <c r="OQ19" s="37">
        <f t="shared" si="210"/>
        <v>0</v>
      </c>
      <c r="OR19" s="141">
        <f>IFERROR(VLOOKUP($D19,'Adient Assende (Belgium) WK.17'!$B:NN,OS$1,0),0)</f>
        <v>0</v>
      </c>
      <c r="OS19" s="140">
        <f>IFERROR(VLOOKUP($D19,'Adient Arendal (Malzia) WK.12'!$B:NO,OS$1,0),0)</f>
        <v>0</v>
      </c>
      <c r="OT19" s="140">
        <f>IFERROR(VLOOKUP($D19,'Adient Taizhou (China) WK.16'!$B:NR,OS$1,0),0)</f>
        <v>0</v>
      </c>
      <c r="OU19" s="128">
        <v>0</v>
      </c>
      <c r="OV19" s="32">
        <v>0</v>
      </c>
      <c r="OW19" s="100">
        <f t="shared" si="278"/>
        <v>0</v>
      </c>
      <c r="OY19" s="37">
        <f t="shared" si="211"/>
        <v>0</v>
      </c>
      <c r="OZ19" s="141">
        <f>IFERROR(VLOOKUP($D19,'Adient Assende (Belgium) WK.17'!$B:NV,PA$1,0),0)</f>
        <v>0</v>
      </c>
      <c r="PA19" s="140">
        <f>IFERROR(VLOOKUP($D19,'Adient Arendal (Malzia) WK.12'!$B:NW,PA$1,0),0)</f>
        <v>0</v>
      </c>
      <c r="PB19" s="140">
        <f>IFERROR(VLOOKUP($D19,'Adient Taizhou (China) WK.16'!$B:NZ,PA$1,0),0)</f>
        <v>0</v>
      </c>
      <c r="PC19" s="128">
        <v>0</v>
      </c>
      <c r="PD19" s="32">
        <v>0</v>
      </c>
      <c r="PE19" s="100">
        <f t="shared" si="279"/>
        <v>0</v>
      </c>
      <c r="PG19" s="37">
        <f t="shared" si="212"/>
        <v>0</v>
      </c>
      <c r="PH19" s="141">
        <f>IFERROR(VLOOKUP($D19,'Adient Assende (Belgium) WK.17'!$B:OD,PI$1,0),0)</f>
        <v>0</v>
      </c>
      <c r="PI19" s="140">
        <f>IFERROR(VLOOKUP($D19,'Adient Arendal (Malzia) WK.12'!$B:OE,PI$1,0),0)</f>
        <v>0</v>
      </c>
      <c r="PJ19" s="140">
        <f>IFERROR(VLOOKUP($D19,'Adient Taizhou (China) WK.16'!$B:OH,PI$1,0),0)</f>
        <v>0</v>
      </c>
      <c r="PK19" s="128">
        <v>0</v>
      </c>
      <c r="PL19" s="32">
        <v>0</v>
      </c>
      <c r="PM19" s="100">
        <f t="shared" si="280"/>
        <v>0</v>
      </c>
      <c r="PO19" s="37">
        <f t="shared" si="213"/>
        <v>0</v>
      </c>
      <c r="PP19" s="141">
        <f>IFERROR(VLOOKUP($D19,'Adient Assende (Belgium) WK.17'!$B:OL,PQ$1,0),0)</f>
        <v>0</v>
      </c>
      <c r="PQ19" s="140">
        <f>IFERROR(VLOOKUP($D19,'Adient Arendal (Malzia) WK.12'!$B:OM,PQ$1,0),0)</f>
        <v>0</v>
      </c>
      <c r="PR19" s="140">
        <f>IFERROR(VLOOKUP($D19,'Adient Taizhou (China) WK.16'!$B:OP,PQ$1,0),0)</f>
        <v>0</v>
      </c>
      <c r="PS19" s="128">
        <v>0</v>
      </c>
      <c r="PT19" s="32">
        <v>0</v>
      </c>
      <c r="PU19" s="100">
        <f t="shared" si="281"/>
        <v>0</v>
      </c>
      <c r="PW19" s="37">
        <f t="shared" si="214"/>
        <v>0</v>
      </c>
      <c r="PX19" s="141">
        <f>IFERROR(VLOOKUP($D19,'Adient Assende (Belgium) WK.17'!$B:OT,PY$1,0),0)</f>
        <v>0</v>
      </c>
      <c r="PY19" s="140">
        <f>IFERROR(VLOOKUP($D19,'Adient Arendal (Malzia) WK.12'!$B:OU,PY$1,0),0)</f>
        <v>0</v>
      </c>
      <c r="PZ19" s="140">
        <f>IFERROR(VLOOKUP($D19,'Adient Taizhou (China) WK.16'!$B:OX,PY$1,0),0)</f>
        <v>0</v>
      </c>
      <c r="QA19" s="128">
        <v>0</v>
      </c>
      <c r="QB19" s="32">
        <v>0</v>
      </c>
      <c r="QC19" s="100">
        <f t="shared" si="282"/>
        <v>0</v>
      </c>
      <c r="QE19" s="37">
        <f t="shared" si="215"/>
        <v>0</v>
      </c>
      <c r="QF19" s="141">
        <f>IFERROR(VLOOKUP($D19,'Adient Assende (Belgium) WK.17'!$B:PB,QG$1,0),0)</f>
        <v>0</v>
      </c>
      <c r="QG19" s="140">
        <f>IFERROR(VLOOKUP($D19,'Adient Arendal (Malzia) WK.12'!$B:PC,QG$1,0),0)</f>
        <v>0</v>
      </c>
      <c r="QH19" s="140">
        <f>IFERROR(VLOOKUP($D19,'Adient Taizhou (China) WK.16'!$B:PF,QG$1,0),0)</f>
        <v>0</v>
      </c>
      <c r="QI19" s="128">
        <v>0</v>
      </c>
      <c r="QJ19" s="32">
        <v>0</v>
      </c>
      <c r="QK19" s="100">
        <f t="shared" si="283"/>
        <v>0</v>
      </c>
      <c r="QM19" s="37">
        <f t="shared" si="216"/>
        <v>0</v>
      </c>
      <c r="QN19" s="141">
        <f>IFERROR(VLOOKUP($D19,'Adient Assende (Belgium) WK.17'!$B:PJ,QO$1,0),0)</f>
        <v>0</v>
      </c>
      <c r="QO19" s="140">
        <f>IFERROR(VLOOKUP($D19,'Adient Arendal (Malzia) WK.12'!$B:PK,QO$1,0),0)</f>
        <v>0</v>
      </c>
      <c r="QP19" s="140">
        <f>IFERROR(VLOOKUP($D19,'Adient Taizhou (China) WK.16'!$B:PN,QO$1,0),0)</f>
        <v>0</v>
      </c>
      <c r="QQ19" s="128">
        <v>0</v>
      </c>
      <c r="QR19" s="32">
        <v>0</v>
      </c>
      <c r="QS19" s="100">
        <f t="shared" si="284"/>
        <v>0</v>
      </c>
      <c r="QU19" s="37">
        <f t="shared" si="217"/>
        <v>0</v>
      </c>
      <c r="QV19" s="141">
        <f>IFERROR(VLOOKUP($D19,'Adient Assende (Belgium) WK.17'!$B:PR,QW$1,0),0)</f>
        <v>0</v>
      </c>
      <c r="QW19" s="140">
        <f>IFERROR(VLOOKUP($D19,'Adient Arendal (Malzia) WK.12'!$B:PS,QW$1,0),0)</f>
        <v>0</v>
      </c>
      <c r="QX19" s="140">
        <f>IFERROR(VLOOKUP($D19,'Adient Taizhou (China) WK.16'!$B:PV,QW$1,0),0)</f>
        <v>0</v>
      </c>
      <c r="QY19" s="128">
        <v>0</v>
      </c>
      <c r="QZ19" s="32">
        <v>0</v>
      </c>
      <c r="RA19" s="100">
        <f t="shared" si="285"/>
        <v>0</v>
      </c>
      <c r="RC19" s="37">
        <f t="shared" si="218"/>
        <v>0</v>
      </c>
      <c r="RD19" s="141">
        <f>IFERROR(VLOOKUP($D19,'Adient Assende (Belgium) WK.17'!$B:PZ,RE$1,0),0)</f>
        <v>0</v>
      </c>
      <c r="RE19" s="140">
        <f>IFERROR(VLOOKUP($D19,'Adient Arendal (Malzia) WK.12'!$B:QA,RE$1,0),0)</f>
        <v>0</v>
      </c>
      <c r="RF19" s="140">
        <f>IFERROR(VLOOKUP($D19,'Adient Taizhou (China) WK.16'!$B:QD,RE$1,0),0)</f>
        <v>0</v>
      </c>
      <c r="RG19" s="128">
        <v>0</v>
      </c>
      <c r="RH19" s="32">
        <v>0</v>
      </c>
      <c r="RI19" s="100">
        <f t="shared" si="286"/>
        <v>0</v>
      </c>
      <c r="RK19" s="37">
        <f t="shared" si="219"/>
        <v>0</v>
      </c>
      <c r="RL19" s="141">
        <f>IFERROR(VLOOKUP($D19,'Adient Assende (Belgium) WK.17'!$B:QH,RM$1,0),0)</f>
        <v>0</v>
      </c>
      <c r="RM19" s="140">
        <f>IFERROR(VLOOKUP($D19,'Adient Arendal (Malzia) WK.12'!$B:QI,RM$1,0),0)</f>
        <v>0</v>
      </c>
      <c r="RN19" s="140">
        <f>IFERROR(VLOOKUP($D19,'Adient Taizhou (China) WK.16'!$B:QL,RM$1,0),0)</f>
        <v>0</v>
      </c>
      <c r="RO19" s="128">
        <v>0</v>
      </c>
      <c r="RP19" s="32">
        <v>0</v>
      </c>
      <c r="RQ19" s="100">
        <f t="shared" si="287"/>
        <v>0</v>
      </c>
      <c r="RS19" s="37">
        <f t="shared" si="220"/>
        <v>0</v>
      </c>
      <c r="RT19" s="141">
        <f>IFERROR(VLOOKUP($D19,'Adient Assende (Belgium) WK.17'!$B:QP,RU$1,0),0)</f>
        <v>0</v>
      </c>
      <c r="RU19" s="140">
        <f>IFERROR(VLOOKUP($D19,'Adient Arendal (Malzia) WK.12'!$B:QQ,RU$1,0),0)</f>
        <v>0</v>
      </c>
      <c r="RV19" s="140">
        <f>IFERROR(VLOOKUP($D19,'Adient Taizhou (China) WK.16'!$B:QT,RU$1,0),0)</f>
        <v>0</v>
      </c>
      <c r="RW19" s="128">
        <v>0</v>
      </c>
      <c r="RX19" s="32">
        <v>0</v>
      </c>
      <c r="RY19" s="100">
        <f t="shared" si="288"/>
        <v>0</v>
      </c>
      <c r="SA19" s="37">
        <f t="shared" si="221"/>
        <v>0</v>
      </c>
      <c r="SB19" s="141">
        <f>IFERROR(VLOOKUP($D19,'Adient Assende (Belgium) WK.17'!$B:QX,SC$1,0),0)</f>
        <v>0</v>
      </c>
      <c r="SC19" s="140">
        <f>IFERROR(VLOOKUP($D19,'Adient Arendal (Malzia) WK.12'!$B:QY,SC$1,0),0)</f>
        <v>0</v>
      </c>
      <c r="SD19" s="140">
        <f>IFERROR(VLOOKUP($D19,'Adient Taizhou (China) WK.16'!$B:RB,SC$1,0),0)</f>
        <v>0</v>
      </c>
      <c r="SE19" s="128">
        <v>0</v>
      </c>
      <c r="SF19" s="32">
        <v>0</v>
      </c>
      <c r="SG19" s="100">
        <f t="shared" si="289"/>
        <v>0</v>
      </c>
      <c r="SI19" s="37">
        <f t="shared" si="222"/>
        <v>0</v>
      </c>
      <c r="SJ19" s="141">
        <f>IFERROR(VLOOKUP($D19,'Adient Assende (Belgium) WK.17'!$B:RF,SK$1,0),0)</f>
        <v>0</v>
      </c>
      <c r="SK19" s="140">
        <f>IFERROR(VLOOKUP($D19,'Adient Arendal (Malzia) WK.12'!$B:RG,SK$1,0),0)</f>
        <v>0</v>
      </c>
      <c r="SL19" s="140">
        <f>IFERROR(VLOOKUP($D19,'Adient Taizhou (China) WK.16'!$B:RJ,SK$1,0),0)</f>
        <v>0</v>
      </c>
      <c r="SM19" s="128">
        <v>0</v>
      </c>
      <c r="SN19" s="32">
        <v>0</v>
      </c>
      <c r="SO19" s="100">
        <f t="shared" si="290"/>
        <v>0</v>
      </c>
      <c r="SQ19" s="37">
        <f t="shared" si="223"/>
        <v>0</v>
      </c>
      <c r="SR19" s="141">
        <f>IFERROR(VLOOKUP($D19,'Adient Assende (Belgium) WK.17'!$B:RN,SS$1,0),0)</f>
        <v>0</v>
      </c>
      <c r="SS19" s="140">
        <f>IFERROR(VLOOKUP($D19,'Adient Arendal (Malzia) WK.12'!$B:RO,SS$1,0),0)</f>
        <v>0</v>
      </c>
      <c r="ST19" s="140">
        <f>IFERROR(VLOOKUP($D19,'Adient Taizhou (China) WK.16'!$B:RR,SS$1,0),0)</f>
        <v>0</v>
      </c>
      <c r="SU19" s="128">
        <v>0</v>
      </c>
      <c r="SV19" s="32">
        <v>0</v>
      </c>
      <c r="SW19" s="100">
        <f t="shared" si="291"/>
        <v>0</v>
      </c>
      <c r="SY19" s="37">
        <f t="shared" si="224"/>
        <v>0</v>
      </c>
      <c r="SZ19" s="141">
        <f>IFERROR(VLOOKUP($D19,'Adient Assende (Belgium) WK.17'!$B:RV,TA$1,0),0)</f>
        <v>0</v>
      </c>
      <c r="TA19" s="140">
        <f>IFERROR(VLOOKUP($D19,'Adient Arendal (Malzia) WK.12'!$B:RW,TA$1,0),0)</f>
        <v>0</v>
      </c>
      <c r="TB19" s="140">
        <f>IFERROR(VLOOKUP($D19,'Adient Taizhou (China) WK.16'!$B:RZ,TA$1,0),0)</f>
        <v>0</v>
      </c>
      <c r="TC19" s="128">
        <v>0</v>
      </c>
      <c r="TD19" s="32">
        <v>0</v>
      </c>
      <c r="TE19" s="100">
        <f t="shared" si="292"/>
        <v>0</v>
      </c>
      <c r="TG19" s="37">
        <f t="shared" si="225"/>
        <v>0</v>
      </c>
      <c r="TH19" s="141">
        <f>IFERROR(VLOOKUP($D19,'Adient Assende (Belgium) WK.17'!$B:SD,TI$1,0),0)</f>
        <v>0</v>
      </c>
      <c r="TI19" s="140">
        <f>IFERROR(VLOOKUP($D19,'Adient Arendal (Malzia) WK.12'!$B:SE,TI$1,0),0)</f>
        <v>0</v>
      </c>
      <c r="TJ19" s="140">
        <f>IFERROR(VLOOKUP($D19,'Adient Taizhou (China) WK.16'!$B:SH,TI$1,0),0)</f>
        <v>0</v>
      </c>
      <c r="TK19" s="128">
        <v>0</v>
      </c>
      <c r="TL19" s="32">
        <v>0</v>
      </c>
      <c r="TM19" s="100">
        <f t="shared" si="293"/>
        <v>0</v>
      </c>
      <c r="TO19" s="37">
        <f t="shared" si="226"/>
        <v>0</v>
      </c>
      <c r="TP19" s="141">
        <f>IFERROR(VLOOKUP($D19,'Adient Assende (Belgium) WK.17'!$B:SL,TQ$1,0),0)</f>
        <v>0</v>
      </c>
      <c r="TQ19" s="140">
        <f>IFERROR(VLOOKUP($D19,'Adient Arendal (Malzia) WK.12'!$B:SM,TQ$1,0),0)</f>
        <v>0</v>
      </c>
      <c r="TR19" s="140">
        <f>IFERROR(VLOOKUP($D19,'Adient Taizhou (China) WK.16'!$B:SP,TQ$1,0),0)</f>
        <v>0</v>
      </c>
      <c r="TS19" s="128">
        <v>0</v>
      </c>
      <c r="TT19" s="32">
        <v>0</v>
      </c>
      <c r="TU19" s="100">
        <f t="shared" si="294"/>
        <v>0</v>
      </c>
      <c r="TW19" s="37">
        <f t="shared" si="227"/>
        <v>0</v>
      </c>
      <c r="TX19" s="141">
        <f>IFERROR(VLOOKUP($D19,'Adient Assende (Belgium) WK.17'!$B:ST,TY$1,0),0)</f>
        <v>0</v>
      </c>
      <c r="TY19" s="140">
        <f>IFERROR(VLOOKUP($D19,'Adient Arendal (Malzia) WK.12'!$B:SU,TY$1,0),0)</f>
        <v>0</v>
      </c>
      <c r="TZ19" s="140">
        <f>IFERROR(VLOOKUP($D19,'Adient Taizhou (China) WK.16'!$B:SX,TY$1,0),0)</f>
        <v>0</v>
      </c>
      <c r="UA19" s="128">
        <v>0</v>
      </c>
      <c r="UB19" s="32">
        <v>0</v>
      </c>
      <c r="UC19" s="100">
        <f t="shared" si="295"/>
        <v>0</v>
      </c>
      <c r="UE19" s="37">
        <f t="shared" si="228"/>
        <v>0</v>
      </c>
      <c r="UF19" s="141">
        <f>IFERROR(VLOOKUP($D19,'Adient Assende (Belgium) WK.17'!$B:TB,UG$1,0),0)</f>
        <v>0</v>
      </c>
      <c r="UG19" s="140">
        <f>IFERROR(VLOOKUP($D19,'Adient Arendal (Malzia) WK.12'!$B:TC,UG$1,0),0)</f>
        <v>0</v>
      </c>
      <c r="UH19" s="140">
        <f>IFERROR(VLOOKUP($D19,'Adient Taizhou (China) WK.16'!$B:TF,UG$1,0),0)</f>
        <v>0</v>
      </c>
      <c r="UI19" s="128">
        <v>0</v>
      </c>
      <c r="UJ19" s="32">
        <v>0</v>
      </c>
      <c r="UK19" s="100">
        <f t="shared" si="296"/>
        <v>0</v>
      </c>
      <c r="UM19" s="37">
        <f t="shared" si="229"/>
        <v>0</v>
      </c>
      <c r="UN19" s="141">
        <f>IFERROR(VLOOKUP($D19,'Adient Assende (Belgium) WK.17'!$B:TJ,UO$1,0),0)</f>
        <v>0</v>
      </c>
      <c r="UO19" s="140">
        <f>IFERROR(VLOOKUP($D19,'Adient Arendal (Malzia) WK.12'!$B:TK,UO$1,0),0)</f>
        <v>0</v>
      </c>
      <c r="UP19" s="140">
        <f>IFERROR(VLOOKUP($D19,'Adient Taizhou (China) WK.16'!$B:TN,UO$1,0),0)</f>
        <v>0</v>
      </c>
      <c r="UQ19" s="128">
        <v>0</v>
      </c>
      <c r="UR19" s="32">
        <v>0</v>
      </c>
      <c r="US19" s="100">
        <f t="shared" si="297"/>
        <v>0</v>
      </c>
      <c r="UU19" s="37">
        <f t="shared" si="230"/>
        <v>0</v>
      </c>
      <c r="UV19" s="141">
        <f>IFERROR(VLOOKUP($D19,'Adient Assende (Belgium) WK.17'!$B:TR,UW$1,0),0)</f>
        <v>0</v>
      </c>
      <c r="UW19" s="140">
        <f>IFERROR(VLOOKUP($D19,'Adient Arendal (Malzia) WK.12'!$B:TS,UW$1,0),0)</f>
        <v>0</v>
      </c>
      <c r="UX19" s="140">
        <f>IFERROR(VLOOKUP($D19,'Adient Taizhou (China) WK.16'!$B:TV,UW$1,0),0)</f>
        <v>0</v>
      </c>
      <c r="UY19" s="128">
        <v>0</v>
      </c>
      <c r="UZ19" s="32">
        <v>0</v>
      </c>
      <c r="VA19" s="100">
        <f t="shared" si="298"/>
        <v>0</v>
      </c>
      <c r="VC19" s="37">
        <f t="shared" si="231"/>
        <v>0</v>
      </c>
      <c r="VD19" s="141">
        <f>IFERROR(VLOOKUP($D19,'Adient Assende (Belgium) WK.17'!$B:TZ,VE$1,0),0)</f>
        <v>0</v>
      </c>
      <c r="VE19" s="140">
        <f>IFERROR(VLOOKUP($D19,'Adient Arendal (Malzia) WK.12'!$B:UA,VE$1,0),0)</f>
        <v>0</v>
      </c>
      <c r="VF19" s="140">
        <f>IFERROR(VLOOKUP($D19,'Adient Taizhou (China) WK.16'!$B:UD,VE$1,0),0)</f>
        <v>0</v>
      </c>
      <c r="VG19" s="128">
        <v>0</v>
      </c>
      <c r="VH19" s="32">
        <v>0</v>
      </c>
      <c r="VI19" s="100">
        <f t="shared" si="299"/>
        <v>0</v>
      </c>
      <c r="VK19" s="37">
        <f t="shared" si="232"/>
        <v>0</v>
      </c>
      <c r="VL19" s="141">
        <f>IFERROR(VLOOKUP($D19,'Adient Assende (Belgium) WK.17'!$B:UH,VM$1,0),0)</f>
        <v>0</v>
      </c>
      <c r="VM19" s="140">
        <f>IFERROR(VLOOKUP($D19,'Adient Arendal (Malzia) WK.12'!$B:UI,VM$1,0),0)</f>
        <v>0</v>
      </c>
      <c r="VN19" s="140">
        <f>IFERROR(VLOOKUP($D19,'Adient Taizhou (China) WK.16'!$B:UL,VM$1,0),0)</f>
        <v>0</v>
      </c>
      <c r="VO19" s="128">
        <v>0</v>
      </c>
      <c r="VP19" s="32">
        <v>0</v>
      </c>
      <c r="VQ19" s="100">
        <f t="shared" si="300"/>
        <v>0</v>
      </c>
    </row>
    <row r="20" spans="1:589" x14ac:dyDescent="0.25">
      <c r="A20" s="10" t="s">
        <v>18</v>
      </c>
      <c r="B20" s="11" t="s">
        <v>19</v>
      </c>
      <c r="C20" s="87">
        <v>32272708</v>
      </c>
      <c r="D20" s="81">
        <v>4817100</v>
      </c>
      <c r="E20" s="11">
        <v>20</v>
      </c>
      <c r="F20" s="12"/>
      <c r="H20" s="122">
        <v>8140</v>
      </c>
      <c r="I20" s="125">
        <f>IFERROR(VLOOKUP($D20,'Adient Assende (Belgium) WK.17'!$B:C,J$1,0),0)</f>
        <v>320</v>
      </c>
      <c r="J20" s="55">
        <f>IFERROR(VLOOKUP($D20,'Adient Arendal (Malzia) WK.12'!$B:C,J$1,0),0)</f>
        <v>0</v>
      </c>
      <c r="K20" s="55">
        <f>IFERROR(VLOOKUP($D20,'Adient Taizhou (China) WK.16'!$B:C,J$1,0),0)</f>
        <v>0</v>
      </c>
      <c r="L20" s="128">
        <v>1040</v>
      </c>
      <c r="M20" s="32">
        <v>0</v>
      </c>
      <c r="N20" s="106">
        <f t="shared" si="233"/>
        <v>7100</v>
      </c>
      <c r="P20" s="37">
        <f t="shared" si="234"/>
        <v>7100</v>
      </c>
      <c r="Q20" s="125">
        <f>IFERROR(VLOOKUP($D20,'Adient Assende (Belgium) WK.17'!$B:K,R$1,0),0)</f>
        <v>1040</v>
      </c>
      <c r="R20" s="55">
        <f>IFERROR(VLOOKUP($D20,'Adient Arendal (Malzia) WK.12'!$B:K,R$1,0),0)</f>
        <v>0</v>
      </c>
      <c r="S20" s="55">
        <f>IFERROR(VLOOKUP($D20,'Adient Taizhou (China) WK.16'!$B:K,R$1,0),0)</f>
        <v>0</v>
      </c>
      <c r="T20" s="41">
        <v>1200</v>
      </c>
      <c r="U20" s="32">
        <v>0</v>
      </c>
      <c r="V20" s="106">
        <f t="shared" si="235"/>
        <v>5900</v>
      </c>
      <c r="X20" s="37">
        <f t="shared" si="236"/>
        <v>5900</v>
      </c>
      <c r="Y20" s="125">
        <f>IFERROR(VLOOKUP($D20,'Adient Assende (Belgium) WK.17'!$B:S,Z$1,0),0)</f>
        <v>1200</v>
      </c>
      <c r="Z20" s="55">
        <f>IFERROR(VLOOKUP($D20,'Adient Arendal (Malzia) WK.12'!$B:S,Z$1,0),0)</f>
        <v>0</v>
      </c>
      <c r="AA20" s="55">
        <f>IFERROR(VLOOKUP($D20,'Adient Taizhou (China) WK.16'!$B:S,Z$1,0),0)</f>
        <v>0</v>
      </c>
      <c r="AB20" s="41">
        <v>1040</v>
      </c>
      <c r="AC20" s="32">
        <v>0</v>
      </c>
      <c r="AD20" s="106">
        <f t="shared" si="237"/>
        <v>4860</v>
      </c>
      <c r="AF20" s="37">
        <f t="shared" si="238"/>
        <v>4860</v>
      </c>
      <c r="AG20" s="125">
        <f>IFERROR(VLOOKUP($D20,'Adient Assende (Belgium) WK.17'!$B:AA,AH$1,0),0)</f>
        <v>1040</v>
      </c>
      <c r="AH20" s="55">
        <f>IFERROR(VLOOKUP($D20,'Adient Arendal (Malzia) WK.12'!$B:AA,AH$1,0),0)</f>
        <v>0</v>
      </c>
      <c r="AI20" s="55">
        <f>IFERROR(VLOOKUP($D20,'Adient Taizhou (China) WK.16'!$B:AA,AH$1,0),0)</f>
        <v>0</v>
      </c>
      <c r="AJ20" s="41">
        <v>800</v>
      </c>
      <c r="AK20" s="32">
        <v>0</v>
      </c>
      <c r="AL20" s="106">
        <f t="shared" si="239"/>
        <v>4060</v>
      </c>
      <c r="AN20" s="37">
        <f t="shared" si="164"/>
        <v>4060</v>
      </c>
      <c r="AO20" s="125">
        <f>IFERROR(VLOOKUP($D20,'Adient Assende (Belgium) WK.17'!$B:AI,AP$1,0),0)</f>
        <v>800</v>
      </c>
      <c r="AP20" s="55">
        <f>IFERROR(VLOOKUP($D20,'Adient Arendal (Malzia) WK.12'!$B:AI,AP$1,0),0)</f>
        <v>0</v>
      </c>
      <c r="AQ20" s="55">
        <f>IFERROR(VLOOKUP($D20,'Adient Taizhou (China) WK.16'!$B:AI,AP$1,0),0)</f>
        <v>0</v>
      </c>
      <c r="AR20" s="60">
        <v>0</v>
      </c>
      <c r="AS20" s="41">
        <v>720</v>
      </c>
      <c r="AT20" s="32">
        <v>0</v>
      </c>
      <c r="AU20" s="106">
        <f t="shared" si="240"/>
        <v>3340</v>
      </c>
      <c r="AW20" s="37">
        <f t="shared" si="165"/>
        <v>3340</v>
      </c>
      <c r="AX20" s="125">
        <f>IFERROR(VLOOKUP($D20,'Adient Assende (Belgium) WK.17'!$B:AR,AY$1,0),0)</f>
        <v>720</v>
      </c>
      <c r="AY20" s="55">
        <f>IFERROR(VLOOKUP($D20,'Adient Arendal (Malzia) WK.12'!$B:AR,AY$1,0),0)</f>
        <v>0</v>
      </c>
      <c r="AZ20" s="55">
        <f>IFERROR(VLOOKUP($D20,'Adient Taizhou (China) WK.16'!$B:AU,AY$1,0),0)</f>
        <v>0</v>
      </c>
      <c r="BA20" s="41">
        <v>800</v>
      </c>
      <c r="BB20" s="32">
        <v>0</v>
      </c>
      <c r="BC20" s="106">
        <f t="shared" si="241"/>
        <v>2540</v>
      </c>
      <c r="BE20" s="37">
        <f t="shared" si="166"/>
        <v>2540</v>
      </c>
      <c r="BF20" s="125">
        <f>IFERROR(VLOOKUP($D20,'Adient Assende (Belgium) WK.17'!$B:AX,BG$1,0),0)</f>
        <v>800</v>
      </c>
      <c r="BG20" s="55">
        <f>IFERROR(VLOOKUP($D20,'Adient Arendal (Malzia) WK.12'!$B:AZ,BG$1,0),0)</f>
        <v>0</v>
      </c>
      <c r="BH20" s="55">
        <f>IFERROR(VLOOKUP($D20,'Adient Taizhou (China) WK.16'!$B:BB,BG$1,0),0)</f>
        <v>0</v>
      </c>
      <c r="BI20" s="60">
        <v>20</v>
      </c>
      <c r="BJ20" s="60">
        <v>60</v>
      </c>
      <c r="BK20" s="41">
        <v>560</v>
      </c>
      <c r="BL20" s="32">
        <v>0</v>
      </c>
      <c r="BM20" s="106">
        <f t="shared" si="242"/>
        <v>2060</v>
      </c>
      <c r="BN20" s="8"/>
      <c r="BO20" s="37">
        <f t="shared" si="167"/>
        <v>2060</v>
      </c>
      <c r="BP20" s="125">
        <f>IFERROR(VLOOKUP($D20,'Adient Assende (Belgium) WK.17'!$B:BH,BQ$1,0),0)</f>
        <v>560</v>
      </c>
      <c r="BQ20" s="55">
        <f>IFERROR(VLOOKUP($D20,'Adient Arendal (Malzia) WK.12'!$B:BI,BQ$1,0),0)</f>
        <v>0</v>
      </c>
      <c r="BR20" s="55">
        <f>IFERROR(VLOOKUP($D20,'Adient Taizhou (China) WK.16'!$B:BL,BQ$1,0),0)</f>
        <v>0</v>
      </c>
      <c r="BS20" s="60">
        <v>240</v>
      </c>
      <c r="BT20" s="60">
        <v>40</v>
      </c>
      <c r="BU20" s="60">
        <v>0</v>
      </c>
      <c r="BV20" s="41">
        <v>960</v>
      </c>
      <c r="BW20" s="32">
        <v>0</v>
      </c>
      <c r="BX20" s="106">
        <f t="shared" si="243"/>
        <v>1380</v>
      </c>
      <c r="BY20" s="8"/>
      <c r="BZ20" s="37">
        <f t="shared" si="168"/>
        <v>1380</v>
      </c>
      <c r="CA20" s="125">
        <f>IFERROR(VLOOKUP($D20,'Adient Assende (Belgium) WK.17'!$B:BS,CB$1,0),0)</f>
        <v>960</v>
      </c>
      <c r="CB20" s="55">
        <f>IFERROR(VLOOKUP($D20,'Adient Arendal (Malzia) WK.12'!$B:BT,CB$1,0),0)</f>
        <v>0</v>
      </c>
      <c r="CC20" s="55">
        <f>IFERROR(VLOOKUP($D20,'Adient Taizhou (China) WK.16'!$B:BW,CB$1,0),0)</f>
        <v>0</v>
      </c>
      <c r="CD20" s="60">
        <v>0</v>
      </c>
      <c r="CE20" s="60">
        <v>0</v>
      </c>
      <c r="CF20" s="41">
        <v>1040</v>
      </c>
      <c r="CG20" s="32">
        <v>0</v>
      </c>
      <c r="CH20" s="106">
        <f t="shared" si="244"/>
        <v>340</v>
      </c>
      <c r="CI20" s="8"/>
      <c r="CJ20" s="37">
        <f t="shared" si="169"/>
        <v>340</v>
      </c>
      <c r="CK20" s="125">
        <f>IFERROR(VLOOKUP($D20,'Adient Assende (Belgium) WK.17'!$B:CC,CL$1,0),0)</f>
        <v>1040</v>
      </c>
      <c r="CL20" s="55">
        <f>IFERROR(VLOOKUP($D20,'Adient Arendal (Malzia) WK.12'!$B:CD,CL$1,0),0)</f>
        <v>0</v>
      </c>
      <c r="CM20" s="55">
        <f>IFERROR(VLOOKUP($D20,'Adient Taizhou (China) WK.16'!$B:CG,CL$1,0),0)</f>
        <v>0</v>
      </c>
      <c r="CN20" s="60">
        <v>1480</v>
      </c>
      <c r="CO20" s="149">
        <v>0</v>
      </c>
      <c r="CP20" s="32">
        <v>0</v>
      </c>
      <c r="CQ20" s="106">
        <f t="shared" si="245"/>
        <v>1820</v>
      </c>
      <c r="CR20" s="8"/>
      <c r="CS20" s="122">
        <f t="shared" si="170"/>
        <v>1820</v>
      </c>
      <c r="CT20" s="154">
        <f>IFERROR(VLOOKUP($D20,'Adient Assende (Belgium) WK.17'!$B:CL,CU$1,0),0)</f>
        <v>0</v>
      </c>
      <c r="CU20" s="55">
        <f>IFERROR(VLOOKUP($D20,'Adient Arendal (Malzia) WK.12'!$B:CM,CU$1,0),0)</f>
        <v>0</v>
      </c>
      <c r="CV20" s="55">
        <f>IFERROR(VLOOKUP($D20,'Adient Taizhou (China) WK.16'!$B:CP,CU$1,0),0)</f>
        <v>0</v>
      </c>
      <c r="CW20" s="60">
        <v>0</v>
      </c>
      <c r="CX20" s="60">
        <v>2500</v>
      </c>
      <c r="CY20" s="128">
        <v>800</v>
      </c>
      <c r="CZ20" s="32">
        <v>0</v>
      </c>
      <c r="DA20" s="106">
        <f t="shared" si="246"/>
        <v>3520</v>
      </c>
      <c r="DB20" s="8"/>
      <c r="DC20" s="37">
        <f t="shared" si="171"/>
        <v>3520</v>
      </c>
      <c r="DD20" s="125">
        <f>IFERROR(VLOOKUP($D20,'Adient Assende (Belgium) WK.17'!$B:CS,DE$1,0),0)</f>
        <v>800</v>
      </c>
      <c r="DE20" s="55">
        <f>IFERROR(VLOOKUP($D20,'Adient Arendal (Malzia) WK.12'!$B:CU,DE$1,0),0)</f>
        <v>0</v>
      </c>
      <c r="DF20" s="55">
        <f>IFERROR(VLOOKUP($D20,'Adient Taizhou (China) WK.16'!$B:CX,DE$1,0),0)</f>
        <v>0</v>
      </c>
      <c r="DG20" s="60">
        <v>20</v>
      </c>
      <c r="DH20" s="128">
        <v>880</v>
      </c>
      <c r="DI20" s="32">
        <v>0</v>
      </c>
      <c r="DJ20" s="106">
        <f t="shared" si="247"/>
        <v>2660</v>
      </c>
      <c r="DL20" s="37">
        <f t="shared" si="172"/>
        <v>2660</v>
      </c>
      <c r="DM20" s="125">
        <f>IFERROR(VLOOKUP($D20,'Adient Assende (Belgium) WK.17'!$B:DB,DN$1,0),0)</f>
        <v>880</v>
      </c>
      <c r="DN20" s="55">
        <f>IFERROR(VLOOKUP($D20,'Adient Arendal (Malzia) WK.12'!$B:DC,DN$1,0),0)</f>
        <v>0</v>
      </c>
      <c r="DO20" s="55">
        <f>IFERROR(VLOOKUP($D20,'Adient Taizhou (China) WK.16'!$B:DF,DN$1,0),0)</f>
        <v>0</v>
      </c>
      <c r="DP20" s="128">
        <v>1200</v>
      </c>
      <c r="DQ20" s="32">
        <v>0</v>
      </c>
      <c r="DR20" s="106">
        <f t="shared" si="173"/>
        <v>1460</v>
      </c>
      <c r="DS20" s="8"/>
      <c r="DT20" s="37">
        <f t="shared" si="174"/>
        <v>1460</v>
      </c>
      <c r="DU20" s="125">
        <f>IFERROR(VLOOKUP($D20,'Adient Assende (Belgium) WK.17'!$B:DJ,DV$1,0),0)</f>
        <v>1200</v>
      </c>
      <c r="DV20" s="55">
        <f>IFERROR(VLOOKUP($D20,'Adient Arendal (Malzia) WK.12'!$B:DK,DV$1,0),0)</f>
        <v>0</v>
      </c>
      <c r="DW20" s="55">
        <f>IFERROR(VLOOKUP($D20,'Adient Taizhou (China) WK.16'!$B:DN,DV$1,0),0)</f>
        <v>0</v>
      </c>
      <c r="DX20" s="60">
        <v>520</v>
      </c>
      <c r="DY20" s="60">
        <v>1420</v>
      </c>
      <c r="DZ20" s="128">
        <v>960</v>
      </c>
      <c r="EA20" s="32">
        <v>0</v>
      </c>
      <c r="EB20" s="106">
        <f t="shared" si="248"/>
        <v>2440</v>
      </c>
      <c r="EC20" s="8"/>
      <c r="ED20" s="37">
        <f t="shared" si="175"/>
        <v>2440</v>
      </c>
      <c r="EE20" s="125">
        <f>IFERROR(VLOOKUP($D20,'Adient Assende (Belgium) WK.17'!$B:DR,EF$1,0),0)</f>
        <v>960</v>
      </c>
      <c r="EF20" s="55">
        <f>IFERROR(VLOOKUP($D20,'Adient Arendal (Malzia) WK.12'!$B:DS,EF$1,0),0)</f>
        <v>0</v>
      </c>
      <c r="EG20" s="55">
        <f>IFERROR(VLOOKUP($D20,'Adient Taizhou (China) WK.16'!$B:DV,EF$1,0),0)</f>
        <v>0</v>
      </c>
      <c r="EH20" s="60">
        <v>640</v>
      </c>
      <c r="EI20" s="128">
        <v>800</v>
      </c>
      <c r="EJ20" s="32">
        <v>0</v>
      </c>
      <c r="EK20" s="106">
        <f t="shared" si="249"/>
        <v>2280</v>
      </c>
      <c r="EM20" s="37">
        <f t="shared" si="176"/>
        <v>2280</v>
      </c>
      <c r="EN20" s="125">
        <f>IFERROR(VLOOKUP($D20,'Adient Assende (Belgium) WK.17'!$B:DZ,EO$1,0),0)</f>
        <v>800</v>
      </c>
      <c r="EO20" s="55">
        <f>IFERROR(VLOOKUP($D20,'Adient Arendal (Malzia) WK.12'!$B:EA,EO$1,0),0)</f>
        <v>0</v>
      </c>
      <c r="EP20" s="55">
        <f>IFERROR(VLOOKUP($D20,'Adient Taizhou (China) WK.16'!$B:ED,EO$1,0),0)</f>
        <v>0</v>
      </c>
      <c r="EQ20" s="128">
        <v>720</v>
      </c>
      <c r="ER20" s="32">
        <v>0</v>
      </c>
      <c r="ES20" s="106">
        <f t="shared" si="250"/>
        <v>1560</v>
      </c>
      <c r="EU20" s="37">
        <f t="shared" si="177"/>
        <v>1560</v>
      </c>
      <c r="EV20" s="125">
        <f>IFERROR(VLOOKUP($D20,'Adient Assende (Belgium) WK.17'!$B:EH,EW$1,0),0)</f>
        <v>720</v>
      </c>
      <c r="EW20" s="55">
        <f>IFERROR(VLOOKUP($D20,'Adient Arendal (Malzia) WK.12'!$B:EI,EW$1,0),0)</f>
        <v>0</v>
      </c>
      <c r="EX20" s="55">
        <f>IFERROR(VLOOKUP($D20,'Adient Taizhou (China) WK.16'!$B:EL,EW$1,0),0)</f>
        <v>0</v>
      </c>
      <c r="EY20" s="128">
        <v>0</v>
      </c>
      <c r="EZ20" s="32">
        <v>0</v>
      </c>
      <c r="FA20" s="106">
        <f t="shared" si="251"/>
        <v>1560</v>
      </c>
      <c r="FC20" s="37">
        <f t="shared" si="178"/>
        <v>1560</v>
      </c>
      <c r="FD20" s="154">
        <f>IFERROR(VLOOKUP($D20,'Adient Assende (Belgium) WK.17'!$B:EP,FE$1,0),0)</f>
        <v>0</v>
      </c>
      <c r="FE20" s="154">
        <f>IFERROR(VLOOKUP($D20,'Adient Arendal (Malzia) WK.12'!$B:EQ,FE$1,0),0)</f>
        <v>0</v>
      </c>
      <c r="FF20" s="154">
        <f>IFERROR(VLOOKUP($D20,'Adient Taizhou (China) WK.16'!$B:ET,FE$1,0),0)</f>
        <v>0</v>
      </c>
      <c r="FG20" s="128">
        <v>0</v>
      </c>
      <c r="FH20" s="32">
        <v>0</v>
      </c>
      <c r="FI20" s="106">
        <f t="shared" si="252"/>
        <v>1560</v>
      </c>
      <c r="FK20" s="37">
        <f t="shared" si="179"/>
        <v>1560</v>
      </c>
      <c r="FL20" s="125">
        <f>IFERROR(VLOOKUP($D20,'Adient Assende (Belgium) WK.17'!$B:EX,FM$1,0),0)</f>
        <v>0</v>
      </c>
      <c r="FM20" s="55">
        <f>IFERROR(VLOOKUP($D20,'Adient Arendal (Malzia) WK.12'!$B:EY,FM$1,0),0)</f>
        <v>0</v>
      </c>
      <c r="FN20" s="55">
        <f>IFERROR(VLOOKUP($D20,'Adient Taizhou (China) WK.16'!$B:FB,FM$1,0),0)</f>
        <v>0</v>
      </c>
      <c r="FO20" s="128">
        <v>640</v>
      </c>
      <c r="FP20" s="32">
        <v>0</v>
      </c>
      <c r="FQ20" s="106">
        <f t="shared" si="253"/>
        <v>920</v>
      </c>
      <c r="FR20" s="8"/>
      <c r="FS20" s="37">
        <f t="shared" si="180"/>
        <v>920</v>
      </c>
      <c r="FT20" s="125">
        <f>IFERROR(VLOOKUP($D20,'Adient Assende (Belgium) WK.17'!$B:FF,FU$1,0),0)</f>
        <v>640</v>
      </c>
      <c r="FU20" s="55">
        <f>IFERROR(VLOOKUP($D20,'Adient Arendal (Malzia) WK.12'!$B:FG,FU$1,0),0)</f>
        <v>0</v>
      </c>
      <c r="FV20" s="55">
        <f>IFERROR(VLOOKUP($D20,'Adient Taizhou (China) WK.16'!$B:FJ,FU$1,0),0)</f>
        <v>0</v>
      </c>
      <c r="FW20" s="60">
        <v>360</v>
      </c>
      <c r="FX20" s="60">
        <v>0</v>
      </c>
      <c r="FY20" s="60">
        <v>460</v>
      </c>
      <c r="FZ20" s="60">
        <v>980</v>
      </c>
      <c r="GA20" s="60">
        <v>1520</v>
      </c>
      <c r="GB20" s="128">
        <v>560</v>
      </c>
      <c r="GC20" s="32">
        <v>0</v>
      </c>
      <c r="GD20" s="106">
        <f t="shared" si="254"/>
        <v>3680</v>
      </c>
      <c r="GF20" s="37">
        <f t="shared" si="181"/>
        <v>3680</v>
      </c>
      <c r="GG20" s="125">
        <f>IFERROR(VLOOKUP($D20,'Adient Assende (Belgium) WK.17'!$B:FN,GH$1,0),0)</f>
        <v>560</v>
      </c>
      <c r="GH20" s="55">
        <f>IFERROR(VLOOKUP($D20,'Adient Arendal (Malzia) WK.12'!$B:FO,GH$1,0),0)</f>
        <v>0</v>
      </c>
      <c r="GI20" s="55">
        <f>IFERROR(VLOOKUP($D20,'Adient Taizhou (China) WK.16'!$B:FR,GH$1,0),0)</f>
        <v>0</v>
      </c>
      <c r="GJ20" s="60">
        <v>280</v>
      </c>
      <c r="GK20" s="128">
        <v>560</v>
      </c>
      <c r="GL20" s="32">
        <v>0</v>
      </c>
      <c r="GM20" s="106">
        <f t="shared" si="255"/>
        <v>3400</v>
      </c>
      <c r="GO20" s="37">
        <f t="shared" si="182"/>
        <v>3400</v>
      </c>
      <c r="GP20" s="125">
        <f>IFERROR(VLOOKUP($D20,'Adient Assende (Belgium) WK.17'!$B:FV,GQ$1,0),0)</f>
        <v>560</v>
      </c>
      <c r="GQ20" s="55">
        <f>IFERROR(VLOOKUP($D20,'Adient Arendal (Malzia) WK.12'!$B:FW,GQ$1,0),0)</f>
        <v>0</v>
      </c>
      <c r="GR20" s="55">
        <f>IFERROR(VLOOKUP($D20,'Adient Taizhou (China) WK.16'!$B:FZ,GQ$1,0),0)</f>
        <v>0</v>
      </c>
      <c r="GS20" s="60">
        <v>820</v>
      </c>
      <c r="GT20" s="128">
        <v>720</v>
      </c>
      <c r="GU20" s="32">
        <v>0</v>
      </c>
      <c r="GV20" s="106">
        <f t="shared" si="256"/>
        <v>3500</v>
      </c>
      <c r="GW20" s="8"/>
      <c r="GX20" s="37">
        <f t="shared" si="183"/>
        <v>3500</v>
      </c>
      <c r="GY20" s="125">
        <f>IFERROR(VLOOKUP($D20,'Adient Assende (Belgium) WK.17'!$B:GD,GZ$1,0),0)</f>
        <v>720</v>
      </c>
      <c r="GZ20" s="55">
        <f>IFERROR(VLOOKUP($D20,'Adient Arendal (Malzia) WK.12'!$B:GE,GZ$1,0),0)</f>
        <v>0</v>
      </c>
      <c r="HA20" s="55">
        <f>IFERROR(VLOOKUP($D20,'Adient Taizhou (China) WK.16'!$B:GH,GZ$1,0),0)</f>
        <v>0</v>
      </c>
      <c r="HB20" s="60">
        <v>220</v>
      </c>
      <c r="HC20" s="128">
        <v>560</v>
      </c>
      <c r="HD20" s="32">
        <v>0</v>
      </c>
      <c r="HE20" s="106">
        <f t="shared" si="257"/>
        <v>3160</v>
      </c>
      <c r="HF20" s="8"/>
      <c r="HG20" s="37">
        <f t="shared" si="184"/>
        <v>3160</v>
      </c>
      <c r="HH20" s="125">
        <f>IFERROR(VLOOKUP($D20,'Adient Assende (Belgium) WK.17'!$B:GL,HI$1,0),0)</f>
        <v>560</v>
      </c>
      <c r="HI20" s="55">
        <f>IFERROR(VLOOKUP($D20,'Adient Arendal (Malzia) WK.12'!$B:GM,HI$1,0),0)</f>
        <v>0</v>
      </c>
      <c r="HJ20" s="55">
        <f>IFERROR(VLOOKUP($D20,'Adient Taizhou (China) WK.16'!$B:GP,HI$1,0),0)</f>
        <v>0</v>
      </c>
      <c r="HK20" s="60">
        <v>1380</v>
      </c>
      <c r="HL20" s="128">
        <v>640</v>
      </c>
      <c r="HM20" s="32">
        <v>0</v>
      </c>
      <c r="HN20" s="106">
        <f t="shared" si="258"/>
        <v>3900</v>
      </c>
      <c r="HO20" s="8"/>
      <c r="HP20" s="37">
        <f t="shared" si="185"/>
        <v>3900</v>
      </c>
      <c r="HQ20" s="125">
        <f>IFERROR(VLOOKUP($D20,'Adient Assende (Belgium) WK.17'!$B:GT,HR$1,0),0)</f>
        <v>640</v>
      </c>
      <c r="HR20" s="55">
        <f>IFERROR(VLOOKUP($D20,'Adient Arendal (Malzia) WK.12'!$B:GU,HR$1,0),0)</f>
        <v>0</v>
      </c>
      <c r="HS20" s="55">
        <f>IFERROR(VLOOKUP($D20,'Adient Taizhou (China) WK.16'!$B:GX,HR$1,0),0)</f>
        <v>0</v>
      </c>
      <c r="HT20" s="60">
        <v>760</v>
      </c>
      <c r="HU20" s="128">
        <v>800</v>
      </c>
      <c r="HV20" s="32">
        <v>0</v>
      </c>
      <c r="HW20" s="106">
        <f t="shared" si="259"/>
        <v>3860</v>
      </c>
      <c r="HX20" s="8"/>
      <c r="HY20" s="37">
        <f t="shared" si="186"/>
        <v>3860</v>
      </c>
      <c r="HZ20" s="125">
        <f>IFERROR(VLOOKUP($D20,'Adient Assende (Belgium) WK.17'!$B:HB,IA$1,0),0)</f>
        <v>800</v>
      </c>
      <c r="IA20" s="55">
        <f>IFERROR(VLOOKUP($D20,'Adient Arendal (Malzia) WK.12'!$B:HC,IA$1,0),0)</f>
        <v>0</v>
      </c>
      <c r="IB20" s="55">
        <f>IFERROR(VLOOKUP($D20,'Adient Taizhou (China) WK.16'!$B:HF,IA$1,0),0)</f>
        <v>0</v>
      </c>
      <c r="IC20" s="60">
        <v>1400</v>
      </c>
      <c r="ID20" s="128">
        <v>880</v>
      </c>
      <c r="IE20" s="32">
        <v>0</v>
      </c>
      <c r="IF20" s="106">
        <f t="shared" si="260"/>
        <v>4380</v>
      </c>
      <c r="IG20" s="8"/>
      <c r="IH20" s="37">
        <f t="shared" si="187"/>
        <v>4380</v>
      </c>
      <c r="II20" s="125">
        <f>IFERROR(VLOOKUP($D20,'Adient Assende (Belgium) WK.17'!$B:HJ,IJ$1,0),0)</f>
        <v>880</v>
      </c>
      <c r="IJ20" s="55">
        <f>IFERROR(VLOOKUP($D20,'Adient Arendal (Malzia) WK.12'!$B:HK,IJ$1,0),0)</f>
        <v>0</v>
      </c>
      <c r="IK20" s="55">
        <f>IFERROR(VLOOKUP($D20,'Adient Taizhou (China) WK.16'!$B:HN,IJ$1,0),0)</f>
        <v>0</v>
      </c>
      <c r="IL20" s="128">
        <v>800</v>
      </c>
      <c r="IM20" s="32">
        <v>0</v>
      </c>
      <c r="IN20" s="106">
        <f t="shared" si="188"/>
        <v>3580</v>
      </c>
      <c r="IO20" s="8"/>
      <c r="IP20" s="37">
        <f t="shared" si="189"/>
        <v>3580</v>
      </c>
      <c r="IQ20" s="125">
        <f>IFERROR(VLOOKUP($D20,'Adient Assende (Belgium) WK.17'!$B:HR,IR$1,0),0)</f>
        <v>800</v>
      </c>
      <c r="IR20" s="55">
        <f>IFERROR(VLOOKUP($D20,'Adient Arendal (Malzia) WK.12'!$B:HS,IR$1,0),0)</f>
        <v>0</v>
      </c>
      <c r="IS20" s="55">
        <f>IFERROR(VLOOKUP($D20,'Adient Taizhou (China) WK.16'!$B:HV,IR$1,0),0)</f>
        <v>0</v>
      </c>
      <c r="IT20" s="60">
        <v>400</v>
      </c>
      <c r="IU20" s="128">
        <v>720</v>
      </c>
      <c r="IV20" s="32">
        <v>0</v>
      </c>
      <c r="IW20" s="106">
        <f t="shared" si="261"/>
        <v>3260</v>
      </c>
      <c r="IX20" s="8"/>
      <c r="IY20" s="37">
        <f t="shared" si="190"/>
        <v>3260</v>
      </c>
      <c r="IZ20" s="125">
        <f>IFERROR(VLOOKUP($D20,'Adient Assende (Belgium) WK.17'!$B:HZ,JA$1,0),0)</f>
        <v>720</v>
      </c>
      <c r="JA20" s="55">
        <f>IFERROR(VLOOKUP($D20,'Adient Arendal (Malzia) WK.12'!$B:IA,JA$1,0),0)</f>
        <v>0</v>
      </c>
      <c r="JB20" s="55">
        <f>IFERROR(VLOOKUP($D20,'Adient Taizhou (China) WK.16'!$B:ID,JA$1,0),0)</f>
        <v>0</v>
      </c>
      <c r="JC20" s="128">
        <v>400</v>
      </c>
      <c r="JD20" s="32">
        <v>0</v>
      </c>
      <c r="JE20" s="106">
        <f t="shared" si="191"/>
        <v>2860</v>
      </c>
      <c r="JF20" s="8"/>
      <c r="JG20" s="37">
        <f t="shared" si="192"/>
        <v>2860</v>
      </c>
      <c r="JH20" s="125">
        <f>IFERROR(VLOOKUP($D20,'Adient Assende (Belgium) WK.17'!$B:IH,JI$1,0),0)</f>
        <v>400</v>
      </c>
      <c r="JI20" s="55">
        <f>IFERROR(VLOOKUP($D20,'Adient Arendal (Malzia) WK.12'!$B:II,JI$1,0),0)</f>
        <v>0</v>
      </c>
      <c r="JJ20" s="55">
        <f>IFERROR(VLOOKUP($D20,'Adient Taizhou (China) WK.16'!$B:IL,JI$1,0),0)</f>
        <v>0</v>
      </c>
      <c r="JK20" s="60">
        <v>660</v>
      </c>
      <c r="JL20" s="128">
        <v>1440</v>
      </c>
      <c r="JM20" s="32">
        <v>0</v>
      </c>
      <c r="JN20" s="106">
        <f t="shared" si="262"/>
        <v>2080</v>
      </c>
      <c r="JO20" s="8"/>
      <c r="JP20" s="37">
        <f t="shared" si="193"/>
        <v>2080</v>
      </c>
      <c r="JQ20" s="125">
        <f>IFERROR(VLOOKUP($D20,'Adient Assende (Belgium) WK.17'!$B:IP,JR$1,0),0)</f>
        <v>1440</v>
      </c>
      <c r="JR20" s="55">
        <f>IFERROR(VLOOKUP($D20,'Adient Arendal (Malzia) WK.12'!$B:IQ,JR$1,0),0)</f>
        <v>0</v>
      </c>
      <c r="JS20" s="55">
        <f>IFERROR(VLOOKUP($D20,'Adient Taizhou (China) WK.16'!$B:IT,JR$1,0),0)</f>
        <v>0</v>
      </c>
      <c r="JT20" s="128">
        <v>0</v>
      </c>
      <c r="JU20" s="32">
        <v>0</v>
      </c>
      <c r="JV20" s="106">
        <f t="shared" si="194"/>
        <v>2080</v>
      </c>
      <c r="JW20" s="8"/>
      <c r="JX20" s="37">
        <f t="shared" si="195"/>
        <v>2080</v>
      </c>
      <c r="JY20" s="154">
        <f>IFERROR(VLOOKUP($D20,'Adient Assende (Belgium) WK.17'!$B:IX,JZ$1,0),0)</f>
        <v>0</v>
      </c>
      <c r="JZ20" s="55">
        <f>IFERROR(VLOOKUP($D20,'Adient Arendal (Malzia) WK.12'!$B:IY,JZ$1,0),0)</f>
        <v>0</v>
      </c>
      <c r="KA20" s="55">
        <f>IFERROR(VLOOKUP($D20,'Adient Taizhou (China) WK.16'!$B:JB,JZ$1,0),0)</f>
        <v>0</v>
      </c>
      <c r="KB20" s="128">
        <v>720</v>
      </c>
      <c r="KC20" s="32">
        <v>0</v>
      </c>
      <c r="KD20" s="106">
        <f t="shared" si="263"/>
        <v>1360</v>
      </c>
      <c r="KE20" s="8"/>
      <c r="KF20" s="37">
        <f t="shared" si="196"/>
        <v>1360</v>
      </c>
      <c r="KG20" s="125">
        <f>IFERROR(VLOOKUP($D20,'Adient Assende (Belgium) WK.17'!$B:JF,KH$1,0),0)</f>
        <v>720</v>
      </c>
      <c r="KH20" s="55">
        <f>IFERROR(VLOOKUP($D20,'Adient Arendal (Malzia) WK.12'!$B:JG,KH$1,0),0)</f>
        <v>0</v>
      </c>
      <c r="KI20" s="55">
        <f>IFERROR(VLOOKUP($D20,'Adient Taizhou (China) WK.16'!$B:JJ,KH$1,0),0)</f>
        <v>0</v>
      </c>
      <c r="KJ20" s="60">
        <v>400</v>
      </c>
      <c r="KK20" s="128">
        <v>960</v>
      </c>
      <c r="KL20" s="32">
        <v>0</v>
      </c>
      <c r="KM20" s="106">
        <f t="shared" si="264"/>
        <v>800</v>
      </c>
      <c r="KN20" s="8"/>
      <c r="KO20" s="37">
        <f t="shared" si="197"/>
        <v>800</v>
      </c>
      <c r="KP20" s="141">
        <f>IFERROR(VLOOKUP($D20,'Adient Assende (Belgium) WK.17'!$B:JN,KQ$1,0),0)</f>
        <v>960</v>
      </c>
      <c r="KQ20" s="140">
        <f>IFERROR(VLOOKUP($D20,'Adient Arendal (Malzia) WK.12'!$B:JO,KQ$1,0),0)</f>
        <v>0</v>
      </c>
      <c r="KR20" s="140">
        <f>IFERROR(VLOOKUP($D20,'Adient Taizhou (China) WK.16'!$B:JR,KQ$1,0),0)</f>
        <v>0</v>
      </c>
      <c r="KS20" s="60">
        <v>1860</v>
      </c>
      <c r="KT20" s="128">
        <v>480</v>
      </c>
      <c r="KU20" s="32">
        <v>0</v>
      </c>
      <c r="KV20" s="106">
        <f t="shared" si="265"/>
        <v>2180</v>
      </c>
      <c r="KX20" s="37">
        <f t="shared" si="198"/>
        <v>2180</v>
      </c>
      <c r="KY20" s="141">
        <f>IFERROR(VLOOKUP($D20,'Adient Assende (Belgium) WK.17'!$B:JV,KZ$1,0),0)</f>
        <v>480</v>
      </c>
      <c r="KZ20" s="140">
        <f>IFERROR(VLOOKUP($D20,'Adient Arendal (Malzia) WK.12'!$B:JW,KZ$1,0),0)</f>
        <v>0</v>
      </c>
      <c r="LA20" s="140">
        <f>IFERROR(VLOOKUP($D20,'Adient Taizhou (China) WK.16'!$B:JZ,KZ$1,0),0)</f>
        <v>0</v>
      </c>
      <c r="LB20" s="128">
        <v>0</v>
      </c>
      <c r="LC20" s="32">
        <v>0</v>
      </c>
      <c r="LD20" s="106">
        <f t="shared" si="266"/>
        <v>2180</v>
      </c>
      <c r="LF20" s="37">
        <f t="shared" si="199"/>
        <v>2180</v>
      </c>
      <c r="LG20" s="141">
        <f>IFERROR(VLOOKUP($D20,'Adient Assende (Belgium) WK.17'!$B:KD,LH$1,0),0)</f>
        <v>880</v>
      </c>
      <c r="LH20" s="140">
        <f>IFERROR(VLOOKUP($D20,'Adient Arendal (Malzia) WK.12'!$B:KE,LH$1,0),0)</f>
        <v>0</v>
      </c>
      <c r="LI20" s="140">
        <f>IFERROR(VLOOKUP($D20,'Adient Taizhou (China) WK.16'!$B:KH,LH$1,0),0)</f>
        <v>0</v>
      </c>
      <c r="LJ20" s="60">
        <v>0</v>
      </c>
      <c r="LK20" s="128">
        <v>0</v>
      </c>
      <c r="LL20" s="32">
        <v>0</v>
      </c>
      <c r="LM20" s="100">
        <f t="shared" si="267"/>
        <v>1300</v>
      </c>
      <c r="LO20" s="37">
        <f t="shared" si="200"/>
        <v>1300</v>
      </c>
      <c r="LP20" s="141">
        <f>IFERROR(VLOOKUP($D20,'Adient Assende (Belgium) WK.17'!$B:KL,LQ$1,0),0)</f>
        <v>640</v>
      </c>
      <c r="LQ20" s="140">
        <f>IFERROR(VLOOKUP($D20,'Adient Arendal (Malzia) WK.12'!$B:KM,LQ$1,0),0)</f>
        <v>0</v>
      </c>
      <c r="LR20" s="140">
        <f>IFERROR(VLOOKUP($D20,'Adient Taizhou (China) WK.16'!$B:KP,LQ$1,0),0)</f>
        <v>0</v>
      </c>
      <c r="LS20" s="128">
        <v>0</v>
      </c>
      <c r="LT20" s="32">
        <v>0</v>
      </c>
      <c r="LU20" s="100">
        <f t="shared" si="268"/>
        <v>660</v>
      </c>
      <c r="LW20" s="37">
        <f t="shared" si="201"/>
        <v>660</v>
      </c>
      <c r="LX20" s="141">
        <f>IFERROR(VLOOKUP($D20,'Adient Assende (Belgium) WK.17'!$B:KT,LY$1,0),0)</f>
        <v>1600</v>
      </c>
      <c r="LY20" s="140">
        <f>IFERROR(VLOOKUP($D20,'Adient Arendal (Malzia) WK.12'!$B:KU,LY$1,0),0)</f>
        <v>0</v>
      </c>
      <c r="LZ20" s="140">
        <f>IFERROR(VLOOKUP($D20,'Adient Taizhou (China) WK.16'!$B:KX,LY$1,0),0)</f>
        <v>0</v>
      </c>
      <c r="MA20" s="128">
        <v>0</v>
      </c>
      <c r="MB20" s="32">
        <v>0</v>
      </c>
      <c r="MC20" s="100">
        <f t="shared" si="269"/>
        <v>-940</v>
      </c>
      <c r="ME20" s="37">
        <f t="shared" si="202"/>
        <v>-940</v>
      </c>
      <c r="MF20" s="154">
        <f>IFERROR(VLOOKUP($D20,'Adient Assende (Belgium) WK.17'!$B:LB,MG$1,0),0)</f>
        <v>0</v>
      </c>
      <c r="MG20" s="140">
        <f>IFERROR(VLOOKUP($D20,'Adient Arendal (Malzia) WK.12'!$B:LC,MG$1,0),0)</f>
        <v>0</v>
      </c>
      <c r="MH20" s="140">
        <f>IFERROR(VLOOKUP($D20,'Adient Taizhou (China) WK.16'!$B:LF,MG$1,0),0)</f>
        <v>0</v>
      </c>
      <c r="MI20" s="128">
        <v>0</v>
      </c>
      <c r="MJ20" s="32">
        <v>0</v>
      </c>
      <c r="MK20" s="100">
        <f t="shared" si="270"/>
        <v>-940</v>
      </c>
      <c r="MM20" s="37">
        <f t="shared" si="203"/>
        <v>-940</v>
      </c>
      <c r="MN20" s="141">
        <f>IFERROR(VLOOKUP($D20,'Adient Assende (Belgium) WK.17'!$B:LJ,MO$1,0),0)</f>
        <v>880</v>
      </c>
      <c r="MO20" s="140">
        <f>IFERROR(VLOOKUP($D20,'Adient Arendal (Malzia) WK.12'!$B:LK,MO$1,0),0)</f>
        <v>0</v>
      </c>
      <c r="MP20" s="140">
        <f>IFERROR(VLOOKUP($D20,'Adient Taizhou (China) WK.16'!$B:LN,MO$1,0),0)</f>
        <v>0</v>
      </c>
      <c r="MQ20" s="128">
        <v>0</v>
      </c>
      <c r="MR20" s="32">
        <v>0</v>
      </c>
      <c r="MS20" s="100">
        <f t="shared" si="271"/>
        <v>-1820</v>
      </c>
      <c r="MU20" s="37">
        <f t="shared" si="204"/>
        <v>-1820</v>
      </c>
      <c r="MV20" s="141">
        <f>IFERROR(VLOOKUP($D20,'Adient Assende (Belgium) WK.17'!$B:LR,MW$1,0),0)</f>
        <v>960</v>
      </c>
      <c r="MW20" s="140">
        <f>IFERROR(VLOOKUP($D20,'Adient Arendal (Malzia) WK.12'!$B:LS,MW$1,0),0)</f>
        <v>0</v>
      </c>
      <c r="MX20" s="140">
        <f>IFERROR(VLOOKUP($D20,'Adient Taizhou (China) WK.16'!$B:LV,MW$1,0),0)</f>
        <v>0</v>
      </c>
      <c r="MY20" s="128">
        <v>0</v>
      </c>
      <c r="MZ20" s="32">
        <v>0</v>
      </c>
      <c r="NA20" s="100">
        <f t="shared" si="272"/>
        <v>-2780</v>
      </c>
      <c r="NC20" s="37">
        <f t="shared" si="205"/>
        <v>-2780</v>
      </c>
      <c r="ND20" s="141">
        <f>IFERROR(VLOOKUP($D20,'Adient Assende (Belgium) WK.17'!$B:LZ,NE$1,0),0)</f>
        <v>960</v>
      </c>
      <c r="NE20" s="140">
        <f>IFERROR(VLOOKUP($D20,'Adient Arendal (Malzia) WK.12'!$B:MA,NE$1,0),0)</f>
        <v>0</v>
      </c>
      <c r="NF20" s="140">
        <f>IFERROR(VLOOKUP($D20,'Adient Taizhou (China) WK.16'!$B:MD,NE$1,0),0)</f>
        <v>0</v>
      </c>
      <c r="NG20" s="128">
        <v>0</v>
      </c>
      <c r="NH20" s="32">
        <v>0</v>
      </c>
      <c r="NI20" s="100">
        <f t="shared" si="273"/>
        <v>-3740</v>
      </c>
      <c r="NK20" s="37">
        <f t="shared" si="206"/>
        <v>-3740</v>
      </c>
      <c r="NL20" s="141">
        <f>IFERROR(VLOOKUP($D20,'Adient Assende (Belgium) WK.17'!$B:MH,NM$1,0),0)</f>
        <v>480</v>
      </c>
      <c r="NM20" s="140">
        <f>IFERROR(VLOOKUP($D20,'Adient Arendal (Malzia) WK.12'!$B:MI,NM$1,0),0)</f>
        <v>0</v>
      </c>
      <c r="NN20" s="140">
        <f>IFERROR(VLOOKUP($D20,'Adient Taizhou (China) WK.16'!$B:ML,NM$1,0),0)</f>
        <v>0</v>
      </c>
      <c r="NO20" s="128">
        <v>0</v>
      </c>
      <c r="NP20" s="32">
        <v>0</v>
      </c>
      <c r="NQ20" s="100">
        <f t="shared" si="274"/>
        <v>-4220</v>
      </c>
      <c r="NS20" s="37">
        <f t="shared" si="207"/>
        <v>-4220</v>
      </c>
      <c r="NT20" s="141">
        <f>IFERROR(VLOOKUP($D20,'Adient Assende (Belgium) WK.17'!$B:MP,NU$1,0),0)</f>
        <v>640</v>
      </c>
      <c r="NU20" s="140">
        <f>IFERROR(VLOOKUP($D20,'Adient Arendal (Malzia) WK.12'!$B:MQ,NU$1,0),0)</f>
        <v>0</v>
      </c>
      <c r="NV20" s="140">
        <f>IFERROR(VLOOKUP($D20,'Adient Taizhou (China) WK.16'!$B:MT,NU$1,0),0)</f>
        <v>0</v>
      </c>
      <c r="NW20" s="128">
        <v>0</v>
      </c>
      <c r="NX20" s="32">
        <v>0</v>
      </c>
      <c r="NY20" s="100">
        <f t="shared" si="275"/>
        <v>-4860</v>
      </c>
      <c r="OA20" s="37">
        <f t="shared" si="208"/>
        <v>-4860</v>
      </c>
      <c r="OB20" s="141">
        <f>IFERROR(VLOOKUP($D20,'Adient Assende (Belgium) WK.17'!$B:MX,OC$1,0),0)</f>
        <v>560</v>
      </c>
      <c r="OC20" s="140">
        <f>IFERROR(VLOOKUP($D20,'Adient Arendal (Malzia) WK.12'!$B:MY,OC$1,0),0)</f>
        <v>0</v>
      </c>
      <c r="OD20" s="140">
        <f>IFERROR(VLOOKUP($D20,'Adient Taizhou (China) WK.16'!$B:NB,OC$1,0),0)</f>
        <v>0</v>
      </c>
      <c r="OE20" s="128">
        <v>0</v>
      </c>
      <c r="OF20" s="32">
        <v>0</v>
      </c>
      <c r="OG20" s="100">
        <f t="shared" si="276"/>
        <v>-5420</v>
      </c>
      <c r="OI20" s="37">
        <f t="shared" si="209"/>
        <v>-5420</v>
      </c>
      <c r="OJ20" s="141">
        <f>IFERROR(VLOOKUP($D20,'Adient Assende (Belgium) WK.17'!$B:NF,OK$1,0),0)</f>
        <v>1200</v>
      </c>
      <c r="OK20" s="140">
        <f>IFERROR(VLOOKUP($D20,'Adient Arendal (Malzia) WK.12'!$B:NG,OK$1,0),0)</f>
        <v>0</v>
      </c>
      <c r="OL20" s="140">
        <f>IFERROR(VLOOKUP($D20,'Adient Taizhou (China) WK.16'!$B:NJ,OK$1,0),0)</f>
        <v>0</v>
      </c>
      <c r="OM20" s="128">
        <v>0</v>
      </c>
      <c r="ON20" s="32">
        <v>0</v>
      </c>
      <c r="OO20" s="100">
        <f t="shared" si="277"/>
        <v>-6620</v>
      </c>
      <c r="OQ20" s="37">
        <f t="shared" si="210"/>
        <v>-6620</v>
      </c>
      <c r="OR20" s="141">
        <f>IFERROR(VLOOKUP($D20,'Adient Assende (Belgium) WK.17'!$B:NN,OS$1,0),0)</f>
        <v>0</v>
      </c>
      <c r="OS20" s="140">
        <f>IFERROR(VLOOKUP($D20,'Adient Arendal (Malzia) WK.12'!$B:NO,OS$1,0),0)</f>
        <v>0</v>
      </c>
      <c r="OT20" s="140">
        <f>IFERROR(VLOOKUP($D20,'Adient Taizhou (China) WK.16'!$B:NR,OS$1,0),0)</f>
        <v>0</v>
      </c>
      <c r="OU20" s="128">
        <v>0</v>
      </c>
      <c r="OV20" s="32">
        <v>0</v>
      </c>
      <c r="OW20" s="100">
        <f t="shared" si="278"/>
        <v>-6620</v>
      </c>
      <c r="OY20" s="37">
        <f t="shared" si="211"/>
        <v>-6620</v>
      </c>
      <c r="OZ20" s="141">
        <f>IFERROR(VLOOKUP($D20,'Adient Assende (Belgium) WK.17'!$B:NV,PA$1,0),0)</f>
        <v>0</v>
      </c>
      <c r="PA20" s="140">
        <f>IFERROR(VLOOKUP($D20,'Adient Arendal (Malzia) WK.12'!$B:NW,PA$1,0),0)</f>
        <v>0</v>
      </c>
      <c r="PB20" s="140">
        <f>IFERROR(VLOOKUP($D20,'Adient Taizhou (China) WK.16'!$B:NZ,PA$1,0),0)</f>
        <v>0</v>
      </c>
      <c r="PC20" s="128">
        <v>0</v>
      </c>
      <c r="PD20" s="32">
        <v>0</v>
      </c>
      <c r="PE20" s="100">
        <f t="shared" si="279"/>
        <v>-6620</v>
      </c>
      <c r="PG20" s="37">
        <f t="shared" si="212"/>
        <v>-6620</v>
      </c>
      <c r="PH20" s="141">
        <f>IFERROR(VLOOKUP($D20,'Adient Assende (Belgium) WK.17'!$B:OD,PI$1,0),0)</f>
        <v>0</v>
      </c>
      <c r="PI20" s="140">
        <f>IFERROR(VLOOKUP($D20,'Adient Arendal (Malzia) WK.12'!$B:OE,PI$1,0),0)</f>
        <v>0</v>
      </c>
      <c r="PJ20" s="140">
        <f>IFERROR(VLOOKUP($D20,'Adient Taizhou (China) WK.16'!$B:OH,PI$1,0),0)</f>
        <v>0</v>
      </c>
      <c r="PK20" s="128">
        <v>0</v>
      </c>
      <c r="PL20" s="32">
        <v>0</v>
      </c>
      <c r="PM20" s="100">
        <f t="shared" si="280"/>
        <v>-6620</v>
      </c>
      <c r="PO20" s="37">
        <f t="shared" si="213"/>
        <v>-6620</v>
      </c>
      <c r="PP20" s="141">
        <f>IFERROR(VLOOKUP($D20,'Adient Assende (Belgium) WK.17'!$B:OL,PQ$1,0),0)</f>
        <v>0</v>
      </c>
      <c r="PQ20" s="140">
        <f>IFERROR(VLOOKUP($D20,'Adient Arendal (Malzia) WK.12'!$B:OM,PQ$1,0),0)</f>
        <v>0</v>
      </c>
      <c r="PR20" s="140">
        <f>IFERROR(VLOOKUP($D20,'Adient Taizhou (China) WK.16'!$B:OP,PQ$1,0),0)</f>
        <v>0</v>
      </c>
      <c r="PS20" s="128">
        <v>0</v>
      </c>
      <c r="PT20" s="32">
        <v>0</v>
      </c>
      <c r="PU20" s="100">
        <f t="shared" si="281"/>
        <v>-6620</v>
      </c>
      <c r="PW20" s="37">
        <f t="shared" si="214"/>
        <v>-6620</v>
      </c>
      <c r="PX20" s="141">
        <f>IFERROR(VLOOKUP($D20,'Adient Assende (Belgium) WK.17'!$B:OT,PY$1,0),0)</f>
        <v>640</v>
      </c>
      <c r="PY20" s="140">
        <f>IFERROR(VLOOKUP($D20,'Adient Arendal (Malzia) WK.12'!$B:OU,PY$1,0),0)</f>
        <v>0</v>
      </c>
      <c r="PZ20" s="140">
        <f>IFERROR(VLOOKUP($D20,'Adient Taizhou (China) WK.16'!$B:OX,PY$1,0),0)</f>
        <v>0</v>
      </c>
      <c r="QA20" s="128">
        <v>0</v>
      </c>
      <c r="QB20" s="32">
        <v>0</v>
      </c>
      <c r="QC20" s="100">
        <f t="shared" si="282"/>
        <v>-7260</v>
      </c>
      <c r="QE20" s="37">
        <f t="shared" si="215"/>
        <v>-7260</v>
      </c>
      <c r="QF20" s="141">
        <f>IFERROR(VLOOKUP($D20,'Adient Assende (Belgium) WK.17'!$B:PB,QG$1,0),0)</f>
        <v>720</v>
      </c>
      <c r="QG20" s="140">
        <f>IFERROR(VLOOKUP($D20,'Adient Arendal (Malzia) WK.12'!$B:PC,QG$1,0),0)</f>
        <v>0</v>
      </c>
      <c r="QH20" s="140">
        <f>IFERROR(VLOOKUP($D20,'Adient Taizhou (China) WK.16'!$B:PF,QG$1,0),0)</f>
        <v>0</v>
      </c>
      <c r="QI20" s="128">
        <v>0</v>
      </c>
      <c r="QJ20" s="32">
        <v>0</v>
      </c>
      <c r="QK20" s="100">
        <f t="shared" si="283"/>
        <v>-7980</v>
      </c>
      <c r="QM20" s="37">
        <f t="shared" si="216"/>
        <v>-7980</v>
      </c>
      <c r="QN20" s="141">
        <f>IFERROR(VLOOKUP($D20,'Adient Assende (Belgium) WK.17'!$B:PJ,QO$1,0),0)</f>
        <v>720</v>
      </c>
      <c r="QO20" s="140">
        <f>IFERROR(VLOOKUP($D20,'Adient Arendal (Malzia) WK.12'!$B:PK,QO$1,0),0)</f>
        <v>0</v>
      </c>
      <c r="QP20" s="140">
        <f>IFERROR(VLOOKUP($D20,'Adient Taizhou (China) WK.16'!$B:PN,QO$1,0),0)</f>
        <v>0</v>
      </c>
      <c r="QQ20" s="128">
        <v>0</v>
      </c>
      <c r="QR20" s="32">
        <v>0</v>
      </c>
      <c r="QS20" s="100">
        <f t="shared" si="284"/>
        <v>-8700</v>
      </c>
      <c r="QU20" s="37">
        <f t="shared" si="217"/>
        <v>-8700</v>
      </c>
      <c r="QV20" s="141">
        <f>IFERROR(VLOOKUP($D20,'Adient Assende (Belgium) WK.17'!$B:PR,QW$1,0),0)</f>
        <v>720</v>
      </c>
      <c r="QW20" s="140">
        <f>IFERROR(VLOOKUP($D20,'Adient Arendal (Malzia) WK.12'!$B:PS,QW$1,0),0)</f>
        <v>0</v>
      </c>
      <c r="QX20" s="140">
        <f>IFERROR(VLOOKUP($D20,'Adient Taizhou (China) WK.16'!$B:PV,QW$1,0),0)</f>
        <v>0</v>
      </c>
      <c r="QY20" s="128">
        <v>0</v>
      </c>
      <c r="QZ20" s="32">
        <v>0</v>
      </c>
      <c r="RA20" s="100">
        <f t="shared" si="285"/>
        <v>-9420</v>
      </c>
      <c r="RC20" s="37">
        <f t="shared" si="218"/>
        <v>-9420</v>
      </c>
      <c r="RD20" s="141">
        <f>IFERROR(VLOOKUP($D20,'Adient Assende (Belgium) WK.17'!$B:PZ,RE$1,0),0)</f>
        <v>720</v>
      </c>
      <c r="RE20" s="140">
        <f>IFERROR(VLOOKUP($D20,'Adient Arendal (Malzia) WK.12'!$B:QA,RE$1,0),0)</f>
        <v>0</v>
      </c>
      <c r="RF20" s="140">
        <f>IFERROR(VLOOKUP($D20,'Adient Taizhou (China) WK.16'!$B:QD,RE$1,0),0)</f>
        <v>0</v>
      </c>
      <c r="RG20" s="128">
        <v>0</v>
      </c>
      <c r="RH20" s="32">
        <v>0</v>
      </c>
      <c r="RI20" s="100">
        <f t="shared" si="286"/>
        <v>-10140</v>
      </c>
      <c r="RK20" s="37">
        <f t="shared" si="219"/>
        <v>-10140</v>
      </c>
      <c r="RL20" s="141">
        <f>IFERROR(VLOOKUP($D20,'Adient Assende (Belgium) WK.17'!$B:QH,RM$1,0),0)</f>
        <v>720</v>
      </c>
      <c r="RM20" s="140">
        <f>IFERROR(VLOOKUP($D20,'Adient Arendal (Malzia) WK.12'!$B:QI,RM$1,0),0)</f>
        <v>0</v>
      </c>
      <c r="RN20" s="140">
        <f>IFERROR(VLOOKUP($D20,'Adient Taizhou (China) WK.16'!$B:QL,RM$1,0),0)</f>
        <v>0</v>
      </c>
      <c r="RO20" s="128">
        <v>0</v>
      </c>
      <c r="RP20" s="32">
        <v>0</v>
      </c>
      <c r="RQ20" s="100">
        <f t="shared" si="287"/>
        <v>-10860</v>
      </c>
      <c r="RS20" s="37">
        <f t="shared" si="220"/>
        <v>-10860</v>
      </c>
      <c r="RT20" s="141">
        <f>IFERROR(VLOOKUP($D20,'Adient Assende (Belgium) WK.17'!$B:QP,RU$1,0),0)</f>
        <v>720</v>
      </c>
      <c r="RU20" s="140">
        <f>IFERROR(VLOOKUP($D20,'Adient Arendal (Malzia) WK.12'!$B:QQ,RU$1,0),0)</f>
        <v>0</v>
      </c>
      <c r="RV20" s="140">
        <f>IFERROR(VLOOKUP($D20,'Adient Taizhou (China) WK.16'!$B:QT,RU$1,0),0)</f>
        <v>0</v>
      </c>
      <c r="RW20" s="128">
        <v>0</v>
      </c>
      <c r="RX20" s="32">
        <v>0</v>
      </c>
      <c r="RY20" s="100">
        <f t="shared" si="288"/>
        <v>-11580</v>
      </c>
      <c r="SA20" s="37">
        <f t="shared" si="221"/>
        <v>-11580</v>
      </c>
      <c r="SB20" s="141">
        <f>IFERROR(VLOOKUP($D20,'Adient Assende (Belgium) WK.17'!$B:QX,SC$1,0),0)</f>
        <v>540</v>
      </c>
      <c r="SC20" s="140">
        <f>IFERROR(VLOOKUP($D20,'Adient Arendal (Malzia) WK.12'!$B:QY,SC$1,0),0)</f>
        <v>0</v>
      </c>
      <c r="SD20" s="140">
        <f>IFERROR(VLOOKUP($D20,'Adient Taizhou (China) WK.16'!$B:RB,SC$1,0),0)</f>
        <v>0</v>
      </c>
      <c r="SE20" s="128">
        <v>0</v>
      </c>
      <c r="SF20" s="32">
        <v>0</v>
      </c>
      <c r="SG20" s="100">
        <f t="shared" si="289"/>
        <v>-12120</v>
      </c>
      <c r="SI20" s="37">
        <f t="shared" si="222"/>
        <v>-12120</v>
      </c>
      <c r="SJ20" s="141">
        <f>IFERROR(VLOOKUP($D20,'Adient Assende (Belgium) WK.17'!$B:RF,SK$1,0),0)</f>
        <v>540</v>
      </c>
      <c r="SK20" s="140">
        <f>IFERROR(VLOOKUP($D20,'Adient Arendal (Malzia) WK.12'!$B:RG,SK$1,0),0)</f>
        <v>0</v>
      </c>
      <c r="SL20" s="140">
        <f>IFERROR(VLOOKUP($D20,'Adient Taizhou (China) WK.16'!$B:RJ,SK$1,0),0)</f>
        <v>0</v>
      </c>
      <c r="SM20" s="128">
        <v>0</v>
      </c>
      <c r="SN20" s="32">
        <v>0</v>
      </c>
      <c r="SO20" s="100">
        <f t="shared" si="290"/>
        <v>-12660</v>
      </c>
      <c r="SQ20" s="37">
        <f t="shared" si="223"/>
        <v>-12660</v>
      </c>
      <c r="SR20" s="141">
        <f>IFERROR(VLOOKUP($D20,'Adient Assende (Belgium) WK.17'!$B:RN,SS$1,0),0)</f>
        <v>540</v>
      </c>
      <c r="SS20" s="140">
        <f>IFERROR(VLOOKUP($D20,'Adient Arendal (Malzia) WK.12'!$B:RO,SS$1,0),0)</f>
        <v>0</v>
      </c>
      <c r="ST20" s="140">
        <f>IFERROR(VLOOKUP($D20,'Adient Taizhou (China) WK.16'!$B:RR,SS$1,0),0)</f>
        <v>0</v>
      </c>
      <c r="SU20" s="128">
        <v>0</v>
      </c>
      <c r="SV20" s="32">
        <v>0</v>
      </c>
      <c r="SW20" s="100">
        <f t="shared" si="291"/>
        <v>-13200</v>
      </c>
      <c r="SY20" s="37">
        <f t="shared" si="224"/>
        <v>-13200</v>
      </c>
      <c r="SZ20" s="141">
        <f>IFERROR(VLOOKUP($D20,'Adient Assende (Belgium) WK.17'!$B:RV,TA$1,0),0)</f>
        <v>540</v>
      </c>
      <c r="TA20" s="140">
        <f>IFERROR(VLOOKUP($D20,'Adient Arendal (Malzia) WK.12'!$B:RW,TA$1,0),0)</f>
        <v>0</v>
      </c>
      <c r="TB20" s="140">
        <f>IFERROR(VLOOKUP($D20,'Adient Taizhou (China) WK.16'!$B:RZ,TA$1,0),0)</f>
        <v>0</v>
      </c>
      <c r="TC20" s="128">
        <v>0</v>
      </c>
      <c r="TD20" s="32">
        <v>0</v>
      </c>
      <c r="TE20" s="100">
        <f t="shared" si="292"/>
        <v>-13740</v>
      </c>
      <c r="TG20" s="37">
        <f t="shared" si="225"/>
        <v>-13740</v>
      </c>
      <c r="TH20" s="141">
        <f>IFERROR(VLOOKUP($D20,'Adient Assende (Belgium) WK.17'!$B:SD,TI$1,0),0)</f>
        <v>580</v>
      </c>
      <c r="TI20" s="140">
        <f>IFERROR(VLOOKUP($D20,'Adient Arendal (Malzia) WK.12'!$B:SE,TI$1,0),0)</f>
        <v>0</v>
      </c>
      <c r="TJ20" s="140">
        <f>IFERROR(VLOOKUP($D20,'Adient Taizhou (China) WK.16'!$B:SH,TI$1,0),0)</f>
        <v>0</v>
      </c>
      <c r="TK20" s="128">
        <v>0</v>
      </c>
      <c r="TL20" s="32">
        <v>0</v>
      </c>
      <c r="TM20" s="100">
        <f t="shared" si="293"/>
        <v>-14320</v>
      </c>
      <c r="TO20" s="37">
        <f t="shared" si="226"/>
        <v>-14320</v>
      </c>
      <c r="TP20" s="141">
        <f>IFERROR(VLOOKUP($D20,'Adient Assende (Belgium) WK.17'!$B:SL,TQ$1,0),0)</f>
        <v>580</v>
      </c>
      <c r="TQ20" s="140">
        <f>IFERROR(VLOOKUP($D20,'Adient Arendal (Malzia) WK.12'!$B:SM,TQ$1,0),0)</f>
        <v>0</v>
      </c>
      <c r="TR20" s="140">
        <f>IFERROR(VLOOKUP($D20,'Adient Taizhou (China) WK.16'!$B:SP,TQ$1,0),0)</f>
        <v>0</v>
      </c>
      <c r="TS20" s="128">
        <v>0</v>
      </c>
      <c r="TT20" s="32">
        <v>0</v>
      </c>
      <c r="TU20" s="100">
        <f t="shared" si="294"/>
        <v>-14900</v>
      </c>
      <c r="TW20" s="37">
        <f t="shared" si="227"/>
        <v>-14900</v>
      </c>
      <c r="TX20" s="141">
        <f>IFERROR(VLOOKUP($D20,'Adient Assende (Belgium) WK.17'!$B:ST,TY$1,0),0)</f>
        <v>580</v>
      </c>
      <c r="TY20" s="140">
        <f>IFERROR(VLOOKUP($D20,'Adient Arendal (Malzia) WK.12'!$B:SU,TY$1,0),0)</f>
        <v>0</v>
      </c>
      <c r="TZ20" s="140">
        <f>IFERROR(VLOOKUP($D20,'Adient Taizhou (China) WK.16'!$B:SX,TY$1,0),0)</f>
        <v>0</v>
      </c>
      <c r="UA20" s="128">
        <v>0</v>
      </c>
      <c r="UB20" s="32">
        <v>0</v>
      </c>
      <c r="UC20" s="100">
        <f t="shared" si="295"/>
        <v>-15480</v>
      </c>
      <c r="UE20" s="37">
        <f t="shared" si="228"/>
        <v>-15480</v>
      </c>
      <c r="UF20" s="141">
        <f>IFERROR(VLOOKUP($D20,'Adient Assende (Belgium) WK.17'!$B:TB,UG$1,0),0)</f>
        <v>580</v>
      </c>
      <c r="UG20" s="140">
        <f>IFERROR(VLOOKUP($D20,'Adient Arendal (Malzia) WK.12'!$B:TC,UG$1,0),0)</f>
        <v>0</v>
      </c>
      <c r="UH20" s="140">
        <f>IFERROR(VLOOKUP($D20,'Adient Taizhou (China) WK.16'!$B:TF,UG$1,0),0)</f>
        <v>0</v>
      </c>
      <c r="UI20" s="128">
        <v>0</v>
      </c>
      <c r="UJ20" s="32">
        <v>0</v>
      </c>
      <c r="UK20" s="100">
        <f t="shared" si="296"/>
        <v>-16060</v>
      </c>
      <c r="UM20" s="37">
        <f t="shared" si="229"/>
        <v>-16060</v>
      </c>
      <c r="UN20" s="141">
        <f>IFERROR(VLOOKUP($D20,'Adient Assende (Belgium) WK.17'!$B:TJ,UO$1,0),0)</f>
        <v>560</v>
      </c>
      <c r="UO20" s="140">
        <f>IFERROR(VLOOKUP($D20,'Adient Arendal (Malzia) WK.12'!$B:TK,UO$1,0),0)</f>
        <v>0</v>
      </c>
      <c r="UP20" s="140">
        <f>IFERROR(VLOOKUP($D20,'Adient Taizhou (China) WK.16'!$B:TN,UO$1,0),0)</f>
        <v>0</v>
      </c>
      <c r="UQ20" s="128">
        <v>0</v>
      </c>
      <c r="UR20" s="32">
        <v>0</v>
      </c>
      <c r="US20" s="100">
        <f t="shared" si="297"/>
        <v>-16620</v>
      </c>
      <c r="UU20" s="37">
        <f t="shared" si="230"/>
        <v>-16620</v>
      </c>
      <c r="UV20" s="141">
        <f>IFERROR(VLOOKUP($D20,'Adient Assende (Belgium) WK.17'!$B:TR,UW$1,0),0)</f>
        <v>600</v>
      </c>
      <c r="UW20" s="140">
        <f>IFERROR(VLOOKUP($D20,'Adient Arendal (Malzia) WK.12'!$B:TS,UW$1,0),0)</f>
        <v>0</v>
      </c>
      <c r="UX20" s="140">
        <f>IFERROR(VLOOKUP($D20,'Adient Taizhou (China) WK.16'!$B:TV,UW$1,0),0)</f>
        <v>0</v>
      </c>
      <c r="UY20" s="128">
        <v>0</v>
      </c>
      <c r="UZ20" s="32">
        <v>0</v>
      </c>
      <c r="VA20" s="100">
        <f t="shared" si="298"/>
        <v>-17220</v>
      </c>
      <c r="VC20" s="37">
        <f t="shared" si="231"/>
        <v>-17220</v>
      </c>
      <c r="VD20" s="141">
        <f>IFERROR(VLOOKUP($D20,'Adient Assende (Belgium) WK.17'!$B:TZ,VE$1,0),0)</f>
        <v>600</v>
      </c>
      <c r="VE20" s="140">
        <f>IFERROR(VLOOKUP($D20,'Adient Arendal (Malzia) WK.12'!$B:UA,VE$1,0),0)</f>
        <v>0</v>
      </c>
      <c r="VF20" s="140">
        <f>IFERROR(VLOOKUP($D20,'Adient Taizhou (China) WK.16'!$B:UD,VE$1,0),0)</f>
        <v>0</v>
      </c>
      <c r="VG20" s="128">
        <v>0</v>
      </c>
      <c r="VH20" s="32">
        <v>0</v>
      </c>
      <c r="VI20" s="100">
        <f t="shared" si="299"/>
        <v>-17820</v>
      </c>
      <c r="VK20" s="37">
        <f t="shared" si="232"/>
        <v>-17820</v>
      </c>
      <c r="VL20" s="141">
        <f>IFERROR(VLOOKUP($D20,'Adient Assende (Belgium) WK.17'!$B:UH,VM$1,0),0)</f>
        <v>0</v>
      </c>
      <c r="VM20" s="140">
        <f>IFERROR(VLOOKUP($D20,'Adient Arendal (Malzia) WK.12'!$B:UI,VM$1,0),0)</f>
        <v>0</v>
      </c>
      <c r="VN20" s="140">
        <f>IFERROR(VLOOKUP($D20,'Adient Taizhou (China) WK.16'!$B:UL,VM$1,0),0)</f>
        <v>0</v>
      </c>
      <c r="VO20" s="128">
        <v>0</v>
      </c>
      <c r="VP20" s="32">
        <v>0</v>
      </c>
      <c r="VQ20" s="100">
        <f t="shared" si="300"/>
        <v>-17820</v>
      </c>
    </row>
    <row r="21" spans="1:589" x14ac:dyDescent="0.25">
      <c r="A21" s="10" t="s">
        <v>18</v>
      </c>
      <c r="B21" s="11" t="s">
        <v>19</v>
      </c>
      <c r="C21" s="87">
        <v>32272710</v>
      </c>
      <c r="D21" s="81">
        <v>4817103</v>
      </c>
      <c r="E21" s="11">
        <v>20</v>
      </c>
      <c r="F21" s="12"/>
      <c r="H21" s="122">
        <v>5120</v>
      </c>
      <c r="I21" s="125">
        <f>IFERROR(VLOOKUP($D21,'Adient Assende (Belgium) WK.17'!$B:C,J$1,0),0)</f>
        <v>240</v>
      </c>
      <c r="J21" s="55">
        <f>IFERROR(VLOOKUP($D21,'Adient Arendal (Malzia) WK.12'!$B:C,J$1,0),0)</f>
        <v>0</v>
      </c>
      <c r="K21" s="55">
        <f>IFERROR(VLOOKUP($D21,'Adient Taizhou (China) WK.16'!$B:C,J$1,0),0)</f>
        <v>0</v>
      </c>
      <c r="L21" s="128">
        <v>240</v>
      </c>
      <c r="M21" s="32">
        <v>0</v>
      </c>
      <c r="N21" s="106">
        <f t="shared" si="233"/>
        <v>4880</v>
      </c>
      <c r="P21" s="37">
        <f t="shared" si="234"/>
        <v>4880</v>
      </c>
      <c r="Q21" s="125">
        <f>IFERROR(VLOOKUP($D21,'Adient Assende (Belgium) WK.17'!$B:K,R$1,0),0)</f>
        <v>240</v>
      </c>
      <c r="R21" s="55">
        <f>IFERROR(VLOOKUP($D21,'Adient Arendal (Malzia) WK.12'!$B:K,R$1,0),0)</f>
        <v>0</v>
      </c>
      <c r="S21" s="55">
        <f>IFERROR(VLOOKUP($D21,'Adient Taizhou (China) WK.16'!$B:K,R$1,0),0)</f>
        <v>0</v>
      </c>
      <c r="T21" s="41">
        <v>800</v>
      </c>
      <c r="U21" s="32">
        <v>0</v>
      </c>
      <c r="V21" s="106">
        <f t="shared" si="235"/>
        <v>4080</v>
      </c>
      <c r="X21" s="37">
        <f t="shared" si="236"/>
        <v>4080</v>
      </c>
      <c r="Y21" s="125">
        <f>IFERROR(VLOOKUP($D21,'Adient Assende (Belgium) WK.17'!$B:S,Z$1,0),0)</f>
        <v>800</v>
      </c>
      <c r="Z21" s="55">
        <f>IFERROR(VLOOKUP($D21,'Adient Arendal (Malzia) WK.12'!$B:S,Z$1,0),0)</f>
        <v>0</v>
      </c>
      <c r="AA21" s="55">
        <f>IFERROR(VLOOKUP($D21,'Adient Taizhou (China) WK.16'!$B:S,Z$1,0),0)</f>
        <v>0</v>
      </c>
      <c r="AB21" s="41">
        <v>720</v>
      </c>
      <c r="AC21" s="32">
        <v>0</v>
      </c>
      <c r="AD21" s="106">
        <f t="shared" si="237"/>
        <v>3360</v>
      </c>
      <c r="AF21" s="37">
        <f t="shared" si="238"/>
        <v>3360</v>
      </c>
      <c r="AG21" s="125">
        <f>IFERROR(VLOOKUP($D21,'Adient Assende (Belgium) WK.17'!$B:AA,AH$1,0),0)</f>
        <v>720</v>
      </c>
      <c r="AH21" s="55">
        <f>IFERROR(VLOOKUP($D21,'Adient Arendal (Malzia) WK.12'!$B:AA,AH$1,0),0)</f>
        <v>0</v>
      </c>
      <c r="AI21" s="55">
        <f>IFERROR(VLOOKUP($D21,'Adient Taizhou (China) WK.16'!$B:AA,AH$1,0),0)</f>
        <v>0</v>
      </c>
      <c r="AJ21" s="41">
        <v>560</v>
      </c>
      <c r="AK21" s="32">
        <v>0</v>
      </c>
      <c r="AL21" s="106">
        <f t="shared" si="239"/>
        <v>2800</v>
      </c>
      <c r="AN21" s="37">
        <f t="shared" si="164"/>
        <v>2800</v>
      </c>
      <c r="AO21" s="125">
        <f>IFERROR(VLOOKUP($D21,'Adient Assende (Belgium) WK.17'!$B:AI,AP$1,0),0)</f>
        <v>560</v>
      </c>
      <c r="AP21" s="55">
        <f>IFERROR(VLOOKUP($D21,'Adient Arendal (Malzia) WK.12'!$B:AI,AP$1,0),0)</f>
        <v>0</v>
      </c>
      <c r="AQ21" s="55">
        <f>IFERROR(VLOOKUP($D21,'Adient Taizhou (China) WK.16'!$B:AI,AP$1,0),0)</f>
        <v>0</v>
      </c>
      <c r="AR21" s="60">
        <v>0</v>
      </c>
      <c r="AS21" s="41">
        <v>480</v>
      </c>
      <c r="AT21" s="32">
        <v>0</v>
      </c>
      <c r="AU21" s="106">
        <f t="shared" si="240"/>
        <v>2320</v>
      </c>
      <c r="AW21" s="37">
        <f t="shared" si="165"/>
        <v>2320</v>
      </c>
      <c r="AX21" s="125">
        <f>IFERROR(VLOOKUP($D21,'Adient Assende (Belgium) WK.17'!$B:AR,AY$1,0),0)</f>
        <v>480</v>
      </c>
      <c r="AY21" s="55">
        <f>IFERROR(VLOOKUP($D21,'Adient Arendal (Malzia) WK.12'!$B:AR,AY$1,0),0)</f>
        <v>0</v>
      </c>
      <c r="AZ21" s="55">
        <f>IFERROR(VLOOKUP($D21,'Adient Taizhou (China) WK.16'!$B:AU,AY$1,0),0)</f>
        <v>0</v>
      </c>
      <c r="BA21" s="41">
        <v>480</v>
      </c>
      <c r="BB21" s="32">
        <v>0</v>
      </c>
      <c r="BC21" s="106">
        <f t="shared" si="241"/>
        <v>1840</v>
      </c>
      <c r="BE21" s="37">
        <f t="shared" si="166"/>
        <v>1840</v>
      </c>
      <c r="BF21" s="125">
        <f>IFERROR(VLOOKUP($D21,'Adient Assende (Belgium) WK.17'!$B:AX,BG$1,0),0)</f>
        <v>480</v>
      </c>
      <c r="BG21" s="55">
        <f>IFERROR(VLOOKUP($D21,'Adient Arendal (Malzia) WK.12'!$B:AZ,BG$1,0),0)</f>
        <v>0</v>
      </c>
      <c r="BH21" s="55">
        <f>IFERROR(VLOOKUP($D21,'Adient Taizhou (China) WK.16'!$B:BB,BG$1,0),0)</f>
        <v>0</v>
      </c>
      <c r="BI21" s="60">
        <v>0</v>
      </c>
      <c r="BJ21" s="60">
        <v>120</v>
      </c>
      <c r="BK21" s="41">
        <v>480</v>
      </c>
      <c r="BL21" s="32">
        <v>0</v>
      </c>
      <c r="BM21" s="106">
        <f t="shared" si="242"/>
        <v>1480</v>
      </c>
      <c r="BN21" s="8"/>
      <c r="BO21" s="37">
        <f t="shared" si="167"/>
        <v>1480</v>
      </c>
      <c r="BP21" s="125">
        <f>IFERROR(VLOOKUP($D21,'Adient Assende (Belgium) WK.17'!$B:BH,BQ$1,0),0)</f>
        <v>480</v>
      </c>
      <c r="BQ21" s="55">
        <f>IFERROR(VLOOKUP($D21,'Adient Arendal (Malzia) WK.12'!$B:BI,BQ$1,0),0)</f>
        <v>0</v>
      </c>
      <c r="BR21" s="55">
        <f>IFERROR(VLOOKUP($D21,'Adient Taizhou (China) WK.16'!$B:BL,BQ$1,0),0)</f>
        <v>0</v>
      </c>
      <c r="BS21" s="60">
        <v>80</v>
      </c>
      <c r="BT21" s="60">
        <v>0</v>
      </c>
      <c r="BU21" s="60">
        <v>0</v>
      </c>
      <c r="BV21" s="41">
        <v>480</v>
      </c>
      <c r="BW21" s="32">
        <v>0</v>
      </c>
      <c r="BX21" s="106">
        <f t="shared" si="243"/>
        <v>1080</v>
      </c>
      <c r="BY21" s="8"/>
      <c r="BZ21" s="37">
        <f t="shared" si="168"/>
        <v>1080</v>
      </c>
      <c r="CA21" s="125">
        <f>IFERROR(VLOOKUP($D21,'Adient Assende (Belgium) WK.17'!$B:BS,CB$1,0),0)</f>
        <v>480</v>
      </c>
      <c r="CB21" s="55">
        <f>IFERROR(VLOOKUP($D21,'Adient Arendal (Malzia) WK.12'!$B:BT,CB$1,0),0)</f>
        <v>0</v>
      </c>
      <c r="CC21" s="55">
        <f>IFERROR(VLOOKUP($D21,'Adient Taizhou (China) WK.16'!$B:BW,CB$1,0),0)</f>
        <v>0</v>
      </c>
      <c r="CD21" s="60">
        <v>0</v>
      </c>
      <c r="CE21" s="60">
        <v>0</v>
      </c>
      <c r="CF21" s="41">
        <v>880</v>
      </c>
      <c r="CG21" s="32">
        <v>0</v>
      </c>
      <c r="CH21" s="106">
        <f t="shared" si="244"/>
        <v>200</v>
      </c>
      <c r="CI21" s="8"/>
      <c r="CJ21" s="37">
        <f t="shared" si="169"/>
        <v>200</v>
      </c>
      <c r="CK21" s="125">
        <f>IFERROR(VLOOKUP($D21,'Adient Assende (Belgium) WK.17'!$B:CC,CL$1,0),0)</f>
        <v>880</v>
      </c>
      <c r="CL21" s="55">
        <f>IFERROR(VLOOKUP($D21,'Adient Arendal (Malzia) WK.12'!$B:CD,CL$1,0),0)</f>
        <v>0</v>
      </c>
      <c r="CM21" s="55">
        <f>IFERROR(VLOOKUP($D21,'Adient Taizhou (China) WK.16'!$B:CG,CL$1,0),0)</f>
        <v>0</v>
      </c>
      <c r="CN21" s="60">
        <v>920</v>
      </c>
      <c r="CO21" s="149">
        <v>0</v>
      </c>
      <c r="CP21" s="32">
        <v>0</v>
      </c>
      <c r="CQ21" s="106">
        <f t="shared" si="245"/>
        <v>1120</v>
      </c>
      <c r="CR21" s="8"/>
      <c r="CS21" s="122">
        <f t="shared" si="170"/>
        <v>1120</v>
      </c>
      <c r="CT21" s="154">
        <f>IFERROR(VLOOKUP($D21,'Adient Assende (Belgium) WK.17'!$B:CL,CU$1,0),0)</f>
        <v>0</v>
      </c>
      <c r="CU21" s="55">
        <f>IFERROR(VLOOKUP($D21,'Adient Arendal (Malzia) WK.12'!$B:CM,CU$1,0),0)</f>
        <v>0</v>
      </c>
      <c r="CV21" s="55">
        <f>IFERROR(VLOOKUP($D21,'Adient Taizhou (China) WK.16'!$B:CP,CU$1,0),0)</f>
        <v>0</v>
      </c>
      <c r="CW21" s="60">
        <v>0</v>
      </c>
      <c r="CX21" s="60">
        <v>220</v>
      </c>
      <c r="CY21" s="128">
        <v>480</v>
      </c>
      <c r="CZ21" s="32">
        <v>0</v>
      </c>
      <c r="DA21" s="106">
        <f t="shared" si="246"/>
        <v>860</v>
      </c>
      <c r="DB21" s="8"/>
      <c r="DC21" s="37">
        <f t="shared" si="171"/>
        <v>860</v>
      </c>
      <c r="DD21" s="125">
        <f>IFERROR(VLOOKUP($D21,'Adient Assende (Belgium) WK.17'!$B:CS,DE$1,0),0)</f>
        <v>480</v>
      </c>
      <c r="DE21" s="55">
        <f>IFERROR(VLOOKUP($D21,'Adient Arendal (Malzia) WK.12'!$B:CU,DE$1,0),0)</f>
        <v>0</v>
      </c>
      <c r="DF21" s="55">
        <f>IFERROR(VLOOKUP($D21,'Adient Taizhou (China) WK.16'!$B:CX,DE$1,0),0)</f>
        <v>0</v>
      </c>
      <c r="DG21" s="60">
        <v>1060</v>
      </c>
      <c r="DH21" s="128">
        <v>320</v>
      </c>
      <c r="DI21" s="32">
        <v>0</v>
      </c>
      <c r="DJ21" s="106">
        <f t="shared" si="247"/>
        <v>1600</v>
      </c>
      <c r="DL21" s="37">
        <f t="shared" si="172"/>
        <v>1600</v>
      </c>
      <c r="DM21" s="125">
        <f>IFERROR(VLOOKUP($D21,'Adient Assende (Belgium) WK.17'!$B:DB,DN$1,0),0)</f>
        <v>320</v>
      </c>
      <c r="DN21" s="55">
        <f>IFERROR(VLOOKUP($D21,'Adient Arendal (Malzia) WK.12'!$B:DC,DN$1,0),0)</f>
        <v>0</v>
      </c>
      <c r="DO21" s="55">
        <f>IFERROR(VLOOKUP($D21,'Adient Taizhou (China) WK.16'!$B:DF,DN$1,0),0)</f>
        <v>0</v>
      </c>
      <c r="DP21" s="128">
        <v>480</v>
      </c>
      <c r="DQ21" s="32">
        <v>0</v>
      </c>
      <c r="DR21" s="106">
        <f t="shared" si="173"/>
        <v>1120</v>
      </c>
      <c r="DS21" s="8"/>
      <c r="DT21" s="37">
        <f t="shared" si="174"/>
        <v>1120</v>
      </c>
      <c r="DU21" s="125">
        <f>IFERROR(VLOOKUP($D21,'Adient Assende (Belgium) WK.17'!$B:DJ,DV$1,0),0)</f>
        <v>480</v>
      </c>
      <c r="DV21" s="55">
        <f>IFERROR(VLOOKUP($D21,'Adient Arendal (Malzia) WK.12'!$B:DK,DV$1,0),0)</f>
        <v>0</v>
      </c>
      <c r="DW21" s="55">
        <f>IFERROR(VLOOKUP($D21,'Adient Taizhou (China) WK.16'!$B:DN,DV$1,0),0)</f>
        <v>0</v>
      </c>
      <c r="DX21" s="60">
        <v>1160</v>
      </c>
      <c r="DY21" s="60">
        <v>20</v>
      </c>
      <c r="DZ21" s="128">
        <v>560</v>
      </c>
      <c r="EA21" s="32">
        <v>0</v>
      </c>
      <c r="EB21" s="106">
        <f t="shared" si="248"/>
        <v>1740</v>
      </c>
      <c r="EC21" s="8"/>
      <c r="ED21" s="37">
        <f t="shared" si="175"/>
        <v>1740</v>
      </c>
      <c r="EE21" s="125">
        <f>IFERROR(VLOOKUP($D21,'Adient Assende (Belgium) WK.17'!$B:DR,EF$1,0),0)</f>
        <v>560</v>
      </c>
      <c r="EF21" s="55">
        <f>IFERROR(VLOOKUP($D21,'Adient Arendal (Malzia) WK.12'!$B:DS,EF$1,0),0)</f>
        <v>0</v>
      </c>
      <c r="EG21" s="55">
        <f>IFERROR(VLOOKUP($D21,'Adient Taizhou (China) WK.16'!$B:DV,EF$1,0),0)</f>
        <v>0</v>
      </c>
      <c r="EH21" s="60">
        <v>1500</v>
      </c>
      <c r="EI21" s="128">
        <v>640</v>
      </c>
      <c r="EJ21" s="32">
        <v>0</v>
      </c>
      <c r="EK21" s="106">
        <f t="shared" si="249"/>
        <v>2600</v>
      </c>
      <c r="EM21" s="37">
        <f t="shared" si="176"/>
        <v>2600</v>
      </c>
      <c r="EN21" s="125">
        <f>IFERROR(VLOOKUP($D21,'Adient Assende (Belgium) WK.17'!$B:DZ,EO$1,0),0)</f>
        <v>640</v>
      </c>
      <c r="EO21" s="55">
        <f>IFERROR(VLOOKUP($D21,'Adient Arendal (Malzia) WK.12'!$B:EA,EO$1,0),0)</f>
        <v>0</v>
      </c>
      <c r="EP21" s="55">
        <f>IFERROR(VLOOKUP($D21,'Adient Taizhou (China) WK.16'!$B:ED,EO$1,0),0)</f>
        <v>0</v>
      </c>
      <c r="EQ21" s="128">
        <v>560</v>
      </c>
      <c r="ER21" s="32">
        <v>0</v>
      </c>
      <c r="ES21" s="106">
        <f t="shared" si="250"/>
        <v>2040</v>
      </c>
      <c r="EU21" s="37">
        <f t="shared" si="177"/>
        <v>2040</v>
      </c>
      <c r="EV21" s="125">
        <f>IFERROR(VLOOKUP($D21,'Adient Assende (Belgium) WK.17'!$B:EH,EW$1,0),0)</f>
        <v>560</v>
      </c>
      <c r="EW21" s="55">
        <f>IFERROR(VLOOKUP($D21,'Adient Arendal (Malzia) WK.12'!$B:EI,EW$1,0),0)</f>
        <v>0</v>
      </c>
      <c r="EX21" s="55">
        <f>IFERROR(VLOOKUP($D21,'Adient Taizhou (China) WK.16'!$B:EL,EW$1,0),0)</f>
        <v>0</v>
      </c>
      <c r="EY21" s="128">
        <v>0</v>
      </c>
      <c r="EZ21" s="32">
        <v>0</v>
      </c>
      <c r="FA21" s="106">
        <f t="shared" si="251"/>
        <v>2040</v>
      </c>
      <c r="FC21" s="37">
        <f t="shared" si="178"/>
        <v>2040</v>
      </c>
      <c r="FD21" s="154">
        <f>IFERROR(VLOOKUP($D21,'Adient Assende (Belgium) WK.17'!$B:EP,FE$1,0),0)</f>
        <v>0</v>
      </c>
      <c r="FE21" s="154">
        <f>IFERROR(VLOOKUP($D21,'Adient Arendal (Malzia) WK.12'!$B:EQ,FE$1,0),0)</f>
        <v>0</v>
      </c>
      <c r="FF21" s="154">
        <f>IFERROR(VLOOKUP($D21,'Adient Taizhou (China) WK.16'!$B:ET,FE$1,0),0)</f>
        <v>0</v>
      </c>
      <c r="FG21" s="128">
        <v>0</v>
      </c>
      <c r="FH21" s="32">
        <v>0</v>
      </c>
      <c r="FI21" s="106">
        <f t="shared" si="252"/>
        <v>2040</v>
      </c>
      <c r="FK21" s="37">
        <f t="shared" si="179"/>
        <v>2040</v>
      </c>
      <c r="FL21" s="125">
        <f>IFERROR(VLOOKUP($D21,'Adient Assende (Belgium) WK.17'!$B:EX,FM$1,0),0)</f>
        <v>0</v>
      </c>
      <c r="FM21" s="55">
        <f>IFERROR(VLOOKUP($D21,'Adient Arendal (Malzia) WK.12'!$B:EY,FM$1,0),0)</f>
        <v>0</v>
      </c>
      <c r="FN21" s="55">
        <f>IFERROR(VLOOKUP($D21,'Adient Taizhou (China) WK.16'!$B:FB,FM$1,0),0)</f>
        <v>0</v>
      </c>
      <c r="FO21" s="128">
        <v>720</v>
      </c>
      <c r="FP21" s="32">
        <v>0</v>
      </c>
      <c r="FQ21" s="106">
        <f t="shared" si="253"/>
        <v>1320</v>
      </c>
      <c r="FR21" s="8"/>
      <c r="FS21" s="37">
        <f t="shared" si="180"/>
        <v>1320</v>
      </c>
      <c r="FT21" s="125">
        <f>IFERROR(VLOOKUP($D21,'Adient Assende (Belgium) WK.17'!$B:FF,FU$1,0),0)</f>
        <v>720</v>
      </c>
      <c r="FU21" s="55">
        <f>IFERROR(VLOOKUP($D21,'Adient Arendal (Malzia) WK.12'!$B:FG,FU$1,0),0)</f>
        <v>0</v>
      </c>
      <c r="FV21" s="55">
        <f>IFERROR(VLOOKUP($D21,'Adient Taizhou (China) WK.16'!$B:FJ,FU$1,0),0)</f>
        <v>0</v>
      </c>
      <c r="FW21" s="60">
        <v>440</v>
      </c>
      <c r="FX21" s="60">
        <v>180</v>
      </c>
      <c r="FY21" s="60">
        <v>960</v>
      </c>
      <c r="FZ21" s="60">
        <v>120</v>
      </c>
      <c r="GA21" s="60">
        <v>300</v>
      </c>
      <c r="GB21" s="128">
        <v>720</v>
      </c>
      <c r="GC21" s="32">
        <v>0</v>
      </c>
      <c r="GD21" s="106">
        <f t="shared" si="254"/>
        <v>2600</v>
      </c>
      <c r="GF21" s="37">
        <f t="shared" si="181"/>
        <v>2600</v>
      </c>
      <c r="GG21" s="125">
        <f>IFERROR(VLOOKUP($D21,'Adient Assende (Belgium) WK.17'!$B:FN,GH$1,0),0)</f>
        <v>720</v>
      </c>
      <c r="GH21" s="55">
        <f>IFERROR(VLOOKUP($D21,'Adient Arendal (Malzia) WK.12'!$B:FO,GH$1,0),0)</f>
        <v>0</v>
      </c>
      <c r="GI21" s="55">
        <f>IFERROR(VLOOKUP($D21,'Adient Taizhou (China) WK.16'!$B:FR,GH$1,0),0)</f>
        <v>0</v>
      </c>
      <c r="GJ21" s="60">
        <v>520</v>
      </c>
      <c r="GK21" s="128">
        <v>480</v>
      </c>
      <c r="GL21" s="32">
        <v>0</v>
      </c>
      <c r="GM21" s="106">
        <f t="shared" si="255"/>
        <v>2640</v>
      </c>
      <c r="GO21" s="37">
        <f t="shared" si="182"/>
        <v>2640</v>
      </c>
      <c r="GP21" s="125">
        <f>IFERROR(VLOOKUP($D21,'Adient Assende (Belgium) WK.17'!$B:FV,GQ$1,0),0)</f>
        <v>480</v>
      </c>
      <c r="GQ21" s="55">
        <f>IFERROR(VLOOKUP($D21,'Adient Arendal (Malzia) WK.12'!$B:FW,GQ$1,0),0)</f>
        <v>0</v>
      </c>
      <c r="GR21" s="55">
        <f>IFERROR(VLOOKUP($D21,'Adient Taizhou (China) WK.16'!$B:FZ,GQ$1,0),0)</f>
        <v>0</v>
      </c>
      <c r="GS21" s="60">
        <v>520</v>
      </c>
      <c r="GT21" s="128">
        <v>640</v>
      </c>
      <c r="GU21" s="32">
        <v>0</v>
      </c>
      <c r="GV21" s="106">
        <f t="shared" si="256"/>
        <v>2520</v>
      </c>
      <c r="GW21" s="8"/>
      <c r="GX21" s="37">
        <f t="shared" si="183"/>
        <v>2520</v>
      </c>
      <c r="GY21" s="125">
        <f>IFERROR(VLOOKUP($D21,'Adient Assende (Belgium) WK.17'!$B:GD,GZ$1,0),0)</f>
        <v>640</v>
      </c>
      <c r="GZ21" s="55">
        <f>IFERROR(VLOOKUP($D21,'Adient Arendal (Malzia) WK.12'!$B:GE,GZ$1,0),0)</f>
        <v>0</v>
      </c>
      <c r="HA21" s="55">
        <f>IFERROR(VLOOKUP($D21,'Adient Taizhou (China) WK.16'!$B:GH,GZ$1,0),0)</f>
        <v>0</v>
      </c>
      <c r="HB21" s="60">
        <v>960</v>
      </c>
      <c r="HC21" s="128">
        <v>640</v>
      </c>
      <c r="HD21" s="32">
        <v>0</v>
      </c>
      <c r="HE21" s="106">
        <f t="shared" si="257"/>
        <v>2840</v>
      </c>
      <c r="HF21" s="8"/>
      <c r="HG21" s="37">
        <f t="shared" si="184"/>
        <v>2840</v>
      </c>
      <c r="HH21" s="125">
        <f>IFERROR(VLOOKUP($D21,'Adient Assende (Belgium) WK.17'!$B:GL,HI$1,0),0)</f>
        <v>640</v>
      </c>
      <c r="HI21" s="55">
        <f>IFERROR(VLOOKUP($D21,'Adient Arendal (Malzia) WK.12'!$B:GM,HI$1,0),0)</f>
        <v>0</v>
      </c>
      <c r="HJ21" s="55">
        <f>IFERROR(VLOOKUP($D21,'Adient Taizhou (China) WK.16'!$B:GP,HI$1,0),0)</f>
        <v>0</v>
      </c>
      <c r="HK21" s="60">
        <v>800</v>
      </c>
      <c r="HL21" s="128">
        <v>560</v>
      </c>
      <c r="HM21" s="32">
        <v>0</v>
      </c>
      <c r="HN21" s="106">
        <f t="shared" si="258"/>
        <v>3080</v>
      </c>
      <c r="HO21" s="8"/>
      <c r="HP21" s="37">
        <f t="shared" si="185"/>
        <v>3080</v>
      </c>
      <c r="HQ21" s="125">
        <f>IFERROR(VLOOKUP($D21,'Adient Assende (Belgium) WK.17'!$B:GT,HR$1,0),0)</f>
        <v>560</v>
      </c>
      <c r="HR21" s="55">
        <f>IFERROR(VLOOKUP($D21,'Adient Arendal (Malzia) WK.12'!$B:GU,HR$1,0),0)</f>
        <v>0</v>
      </c>
      <c r="HS21" s="55">
        <f>IFERROR(VLOOKUP($D21,'Adient Taizhou (China) WK.16'!$B:GX,HR$1,0),0)</f>
        <v>0</v>
      </c>
      <c r="HT21" s="60">
        <v>1120</v>
      </c>
      <c r="HU21" s="128">
        <v>400</v>
      </c>
      <c r="HV21" s="32">
        <v>0</v>
      </c>
      <c r="HW21" s="106">
        <f t="shared" si="259"/>
        <v>3800</v>
      </c>
      <c r="HX21" s="8"/>
      <c r="HY21" s="37">
        <f t="shared" si="186"/>
        <v>3800</v>
      </c>
      <c r="HZ21" s="125">
        <f>IFERROR(VLOOKUP($D21,'Adient Assende (Belgium) WK.17'!$B:HB,IA$1,0),0)</f>
        <v>400</v>
      </c>
      <c r="IA21" s="55">
        <f>IFERROR(VLOOKUP($D21,'Adient Arendal (Malzia) WK.12'!$B:HC,IA$1,0),0)</f>
        <v>0</v>
      </c>
      <c r="IB21" s="55">
        <f>IFERROR(VLOOKUP($D21,'Adient Taizhou (China) WK.16'!$B:HF,IA$1,0),0)</f>
        <v>0</v>
      </c>
      <c r="IC21" s="60">
        <v>100</v>
      </c>
      <c r="ID21" s="128">
        <v>800</v>
      </c>
      <c r="IE21" s="32">
        <v>0</v>
      </c>
      <c r="IF21" s="106">
        <f t="shared" si="260"/>
        <v>3100</v>
      </c>
      <c r="IG21" s="8"/>
      <c r="IH21" s="37">
        <f t="shared" si="187"/>
        <v>3100</v>
      </c>
      <c r="II21" s="125">
        <f>IFERROR(VLOOKUP($D21,'Adient Assende (Belgium) WK.17'!$B:HJ,IJ$1,0),0)</f>
        <v>800</v>
      </c>
      <c r="IJ21" s="55">
        <f>IFERROR(VLOOKUP($D21,'Adient Arendal (Malzia) WK.12'!$B:HK,IJ$1,0),0)</f>
        <v>0</v>
      </c>
      <c r="IK21" s="55">
        <f>IFERROR(VLOOKUP($D21,'Adient Taizhou (China) WK.16'!$B:HN,IJ$1,0),0)</f>
        <v>0</v>
      </c>
      <c r="IL21" s="128">
        <v>880</v>
      </c>
      <c r="IM21" s="32">
        <v>0</v>
      </c>
      <c r="IN21" s="106">
        <f t="shared" si="188"/>
        <v>2220</v>
      </c>
      <c r="IO21" s="8"/>
      <c r="IP21" s="37">
        <f t="shared" si="189"/>
        <v>2220</v>
      </c>
      <c r="IQ21" s="125">
        <f>IFERROR(VLOOKUP($D21,'Adient Assende (Belgium) WK.17'!$B:HR,IR$1,0),0)</f>
        <v>880</v>
      </c>
      <c r="IR21" s="55">
        <f>IFERROR(VLOOKUP($D21,'Adient Arendal (Malzia) WK.12'!$B:HS,IR$1,0),0)</f>
        <v>0</v>
      </c>
      <c r="IS21" s="55">
        <f>IFERROR(VLOOKUP($D21,'Adient Taizhou (China) WK.16'!$B:HV,IR$1,0),0)</f>
        <v>0</v>
      </c>
      <c r="IT21" s="60">
        <v>1140</v>
      </c>
      <c r="IU21" s="128">
        <v>800</v>
      </c>
      <c r="IV21" s="32">
        <v>0</v>
      </c>
      <c r="IW21" s="106">
        <f t="shared" si="261"/>
        <v>2560</v>
      </c>
      <c r="IX21" s="8"/>
      <c r="IY21" s="37">
        <f t="shared" si="190"/>
        <v>2560</v>
      </c>
      <c r="IZ21" s="125">
        <f>IFERROR(VLOOKUP($D21,'Adient Assende (Belgium) WK.17'!$B:HZ,JA$1,0),0)</f>
        <v>800</v>
      </c>
      <c r="JA21" s="55">
        <f>IFERROR(VLOOKUP($D21,'Adient Arendal (Malzia) WK.12'!$B:IA,JA$1,0),0)</f>
        <v>0</v>
      </c>
      <c r="JB21" s="55">
        <f>IFERROR(VLOOKUP($D21,'Adient Taizhou (China) WK.16'!$B:ID,JA$1,0),0)</f>
        <v>0</v>
      </c>
      <c r="JC21" s="128">
        <v>400</v>
      </c>
      <c r="JD21" s="32">
        <v>0</v>
      </c>
      <c r="JE21" s="106">
        <f t="shared" si="191"/>
        <v>2160</v>
      </c>
      <c r="JF21" s="8"/>
      <c r="JG21" s="37">
        <f t="shared" si="192"/>
        <v>2160</v>
      </c>
      <c r="JH21" s="125">
        <f>IFERROR(VLOOKUP($D21,'Adient Assende (Belgium) WK.17'!$B:IH,JI$1,0),0)</f>
        <v>400</v>
      </c>
      <c r="JI21" s="55">
        <f>IFERROR(VLOOKUP($D21,'Adient Arendal (Malzia) WK.12'!$B:II,JI$1,0),0)</f>
        <v>0</v>
      </c>
      <c r="JJ21" s="55">
        <f>IFERROR(VLOOKUP($D21,'Adient Taizhou (China) WK.16'!$B:IL,JI$1,0),0)</f>
        <v>0</v>
      </c>
      <c r="JK21" s="60">
        <v>660</v>
      </c>
      <c r="JL21" s="128">
        <v>1520</v>
      </c>
      <c r="JM21" s="32">
        <v>0</v>
      </c>
      <c r="JN21" s="106">
        <f t="shared" si="262"/>
        <v>1300</v>
      </c>
      <c r="JO21" s="8"/>
      <c r="JP21" s="37">
        <f t="shared" si="193"/>
        <v>1300</v>
      </c>
      <c r="JQ21" s="125">
        <f>IFERROR(VLOOKUP($D21,'Adient Assende (Belgium) WK.17'!$B:IP,JR$1,0),0)</f>
        <v>1520</v>
      </c>
      <c r="JR21" s="55">
        <f>IFERROR(VLOOKUP($D21,'Adient Arendal (Malzia) WK.12'!$B:IQ,JR$1,0),0)</f>
        <v>0</v>
      </c>
      <c r="JS21" s="55">
        <f>IFERROR(VLOOKUP($D21,'Adient Taizhou (China) WK.16'!$B:IT,JR$1,0),0)</f>
        <v>0</v>
      </c>
      <c r="JT21" s="128">
        <v>0</v>
      </c>
      <c r="JU21" s="32">
        <v>0</v>
      </c>
      <c r="JV21" s="106">
        <f t="shared" si="194"/>
        <v>1300</v>
      </c>
      <c r="JW21" s="8"/>
      <c r="JX21" s="37">
        <f t="shared" si="195"/>
        <v>1300</v>
      </c>
      <c r="JY21" s="154">
        <f>IFERROR(VLOOKUP($D21,'Adient Assende (Belgium) WK.17'!$B:IX,JZ$1,0),0)</f>
        <v>0</v>
      </c>
      <c r="JZ21" s="55">
        <f>IFERROR(VLOOKUP($D21,'Adient Arendal (Malzia) WK.12'!$B:IY,JZ$1,0),0)</f>
        <v>0</v>
      </c>
      <c r="KA21" s="55">
        <f>IFERROR(VLOOKUP($D21,'Adient Taizhou (China) WK.16'!$B:JB,JZ$1,0),0)</f>
        <v>0</v>
      </c>
      <c r="KB21" s="128">
        <v>640</v>
      </c>
      <c r="KC21" s="32">
        <v>0</v>
      </c>
      <c r="KD21" s="106">
        <f t="shared" si="263"/>
        <v>660</v>
      </c>
      <c r="KE21" s="8"/>
      <c r="KF21" s="37">
        <f t="shared" si="196"/>
        <v>660</v>
      </c>
      <c r="KG21" s="125">
        <f>IFERROR(VLOOKUP($D21,'Adient Assende (Belgium) WK.17'!$B:JF,KH$1,0),0)</f>
        <v>640</v>
      </c>
      <c r="KH21" s="55">
        <f>IFERROR(VLOOKUP($D21,'Adient Arendal (Malzia) WK.12'!$B:JG,KH$1,0),0)</f>
        <v>0</v>
      </c>
      <c r="KI21" s="55">
        <f>IFERROR(VLOOKUP($D21,'Adient Taizhou (China) WK.16'!$B:JJ,KH$1,0),0)</f>
        <v>0</v>
      </c>
      <c r="KJ21" s="60">
        <v>780</v>
      </c>
      <c r="KK21" s="128">
        <v>560</v>
      </c>
      <c r="KL21" s="32">
        <v>0</v>
      </c>
      <c r="KM21" s="106">
        <f t="shared" si="264"/>
        <v>880</v>
      </c>
      <c r="KN21" s="8"/>
      <c r="KO21" s="37">
        <f t="shared" si="197"/>
        <v>880</v>
      </c>
      <c r="KP21" s="141">
        <f>IFERROR(VLOOKUP($D21,'Adient Assende (Belgium) WK.17'!$B:JN,KQ$1,0),0)</f>
        <v>560</v>
      </c>
      <c r="KQ21" s="140">
        <f>IFERROR(VLOOKUP($D21,'Adient Arendal (Malzia) WK.12'!$B:JO,KQ$1,0),0)</f>
        <v>0</v>
      </c>
      <c r="KR21" s="140">
        <f>IFERROR(VLOOKUP($D21,'Adient Taizhou (China) WK.16'!$B:JR,KQ$1,0),0)</f>
        <v>0</v>
      </c>
      <c r="KS21" s="60">
        <v>840</v>
      </c>
      <c r="KT21" s="128">
        <v>320</v>
      </c>
      <c r="KU21" s="32">
        <v>0</v>
      </c>
      <c r="KV21" s="106">
        <f t="shared" si="265"/>
        <v>1400</v>
      </c>
      <c r="KX21" s="37">
        <f t="shared" si="198"/>
        <v>1400</v>
      </c>
      <c r="KY21" s="141">
        <f>IFERROR(VLOOKUP($D21,'Adient Assende (Belgium) WK.17'!$B:JV,KZ$1,0),0)</f>
        <v>320</v>
      </c>
      <c r="KZ21" s="140">
        <f>IFERROR(VLOOKUP($D21,'Adient Arendal (Malzia) WK.12'!$B:JW,KZ$1,0),0)</f>
        <v>0</v>
      </c>
      <c r="LA21" s="140">
        <f>IFERROR(VLOOKUP($D21,'Adient Taizhou (China) WK.16'!$B:JZ,KZ$1,0),0)</f>
        <v>0</v>
      </c>
      <c r="LB21" s="128">
        <v>0</v>
      </c>
      <c r="LC21" s="32">
        <v>0</v>
      </c>
      <c r="LD21" s="106">
        <f t="shared" si="266"/>
        <v>1400</v>
      </c>
      <c r="LF21" s="37">
        <f t="shared" si="199"/>
        <v>1400</v>
      </c>
      <c r="LG21" s="141">
        <f>IFERROR(VLOOKUP($D21,'Adient Assende (Belgium) WK.17'!$B:KD,LH$1,0),0)</f>
        <v>320</v>
      </c>
      <c r="LH21" s="140">
        <f>IFERROR(VLOOKUP($D21,'Adient Arendal (Malzia) WK.12'!$B:KE,LH$1,0),0)</f>
        <v>0</v>
      </c>
      <c r="LI21" s="140">
        <f>IFERROR(VLOOKUP($D21,'Adient Taizhou (China) WK.16'!$B:KH,LH$1,0),0)</f>
        <v>0</v>
      </c>
      <c r="LJ21" s="60">
        <v>120</v>
      </c>
      <c r="LK21" s="128">
        <v>0</v>
      </c>
      <c r="LL21" s="32">
        <v>0</v>
      </c>
      <c r="LM21" s="100">
        <f t="shared" si="267"/>
        <v>1200</v>
      </c>
      <c r="LO21" s="37">
        <f t="shared" si="200"/>
        <v>1200</v>
      </c>
      <c r="LP21" s="141">
        <f>IFERROR(VLOOKUP($D21,'Adient Assende (Belgium) WK.17'!$B:KL,LQ$1,0),0)</f>
        <v>240</v>
      </c>
      <c r="LQ21" s="140">
        <f>IFERROR(VLOOKUP($D21,'Adient Arendal (Malzia) WK.12'!$B:KM,LQ$1,0),0)</f>
        <v>0</v>
      </c>
      <c r="LR21" s="140">
        <f>IFERROR(VLOOKUP($D21,'Adient Taizhou (China) WK.16'!$B:KP,LQ$1,0),0)</f>
        <v>0</v>
      </c>
      <c r="LS21" s="128">
        <v>0</v>
      </c>
      <c r="LT21" s="32">
        <v>0</v>
      </c>
      <c r="LU21" s="100">
        <f t="shared" si="268"/>
        <v>960</v>
      </c>
      <c r="LW21" s="37">
        <f t="shared" si="201"/>
        <v>960</v>
      </c>
      <c r="LX21" s="141">
        <f>IFERROR(VLOOKUP($D21,'Adient Assende (Belgium) WK.17'!$B:KT,LY$1,0),0)</f>
        <v>800</v>
      </c>
      <c r="LY21" s="140">
        <f>IFERROR(VLOOKUP($D21,'Adient Arendal (Malzia) WK.12'!$B:KU,LY$1,0),0)</f>
        <v>0</v>
      </c>
      <c r="LZ21" s="140">
        <f>IFERROR(VLOOKUP($D21,'Adient Taizhou (China) WK.16'!$B:KX,LY$1,0),0)</f>
        <v>0</v>
      </c>
      <c r="MA21" s="128">
        <v>0</v>
      </c>
      <c r="MB21" s="32">
        <v>0</v>
      </c>
      <c r="MC21" s="100">
        <f t="shared" si="269"/>
        <v>160</v>
      </c>
      <c r="ME21" s="37">
        <f t="shared" si="202"/>
        <v>160</v>
      </c>
      <c r="MF21" s="154">
        <f>IFERROR(VLOOKUP($D21,'Adient Assende (Belgium) WK.17'!$B:LB,MG$1,0),0)</f>
        <v>0</v>
      </c>
      <c r="MG21" s="140">
        <f>IFERROR(VLOOKUP($D21,'Adient Arendal (Malzia) WK.12'!$B:LC,MG$1,0),0)</f>
        <v>0</v>
      </c>
      <c r="MH21" s="140">
        <f>IFERROR(VLOOKUP($D21,'Adient Taizhou (China) WK.16'!$B:LF,MG$1,0),0)</f>
        <v>0</v>
      </c>
      <c r="MI21" s="128">
        <v>0</v>
      </c>
      <c r="MJ21" s="32">
        <v>0</v>
      </c>
      <c r="MK21" s="100">
        <f t="shared" si="270"/>
        <v>160</v>
      </c>
      <c r="MM21" s="37">
        <f t="shared" si="203"/>
        <v>160</v>
      </c>
      <c r="MN21" s="141">
        <f>IFERROR(VLOOKUP($D21,'Adient Assende (Belgium) WK.17'!$B:LJ,MO$1,0),0)</f>
        <v>640</v>
      </c>
      <c r="MO21" s="140">
        <f>IFERROR(VLOOKUP($D21,'Adient Arendal (Malzia) WK.12'!$B:LK,MO$1,0),0)</f>
        <v>0</v>
      </c>
      <c r="MP21" s="140">
        <f>IFERROR(VLOOKUP($D21,'Adient Taizhou (China) WK.16'!$B:LN,MO$1,0),0)</f>
        <v>0</v>
      </c>
      <c r="MQ21" s="128">
        <v>0</v>
      </c>
      <c r="MR21" s="32">
        <v>0</v>
      </c>
      <c r="MS21" s="100">
        <f t="shared" si="271"/>
        <v>-480</v>
      </c>
      <c r="MU21" s="37">
        <f t="shared" si="204"/>
        <v>-480</v>
      </c>
      <c r="MV21" s="141">
        <f>IFERROR(VLOOKUP($D21,'Adient Assende (Belgium) WK.17'!$B:LR,MW$1,0),0)</f>
        <v>720</v>
      </c>
      <c r="MW21" s="140">
        <f>IFERROR(VLOOKUP($D21,'Adient Arendal (Malzia) WK.12'!$B:LS,MW$1,0),0)</f>
        <v>0</v>
      </c>
      <c r="MX21" s="140">
        <f>IFERROR(VLOOKUP($D21,'Adient Taizhou (China) WK.16'!$B:LV,MW$1,0),0)</f>
        <v>0</v>
      </c>
      <c r="MY21" s="128">
        <v>0</v>
      </c>
      <c r="MZ21" s="32">
        <v>0</v>
      </c>
      <c r="NA21" s="100">
        <f t="shared" si="272"/>
        <v>-1200</v>
      </c>
      <c r="NC21" s="37">
        <f t="shared" si="205"/>
        <v>-1200</v>
      </c>
      <c r="ND21" s="141">
        <f>IFERROR(VLOOKUP($D21,'Adient Assende (Belgium) WK.17'!$B:LZ,NE$1,0),0)</f>
        <v>800</v>
      </c>
      <c r="NE21" s="140">
        <f>IFERROR(VLOOKUP($D21,'Adient Arendal (Malzia) WK.12'!$B:MA,NE$1,0),0)</f>
        <v>0</v>
      </c>
      <c r="NF21" s="140">
        <f>IFERROR(VLOOKUP($D21,'Adient Taizhou (China) WK.16'!$B:MD,NE$1,0),0)</f>
        <v>0</v>
      </c>
      <c r="NG21" s="128">
        <v>0</v>
      </c>
      <c r="NH21" s="32">
        <v>0</v>
      </c>
      <c r="NI21" s="100">
        <f t="shared" si="273"/>
        <v>-2000</v>
      </c>
      <c r="NK21" s="37">
        <f t="shared" si="206"/>
        <v>-2000</v>
      </c>
      <c r="NL21" s="141">
        <f>IFERROR(VLOOKUP($D21,'Adient Assende (Belgium) WK.17'!$B:MH,NM$1,0),0)</f>
        <v>720</v>
      </c>
      <c r="NM21" s="140">
        <f>IFERROR(VLOOKUP($D21,'Adient Arendal (Malzia) WK.12'!$B:MI,NM$1,0),0)</f>
        <v>0</v>
      </c>
      <c r="NN21" s="140">
        <f>IFERROR(VLOOKUP($D21,'Adient Taizhou (China) WK.16'!$B:ML,NM$1,0),0)</f>
        <v>0</v>
      </c>
      <c r="NO21" s="128">
        <v>0</v>
      </c>
      <c r="NP21" s="32">
        <v>0</v>
      </c>
      <c r="NQ21" s="100">
        <f t="shared" si="274"/>
        <v>-2720</v>
      </c>
      <c r="NS21" s="37">
        <f t="shared" si="207"/>
        <v>-2720</v>
      </c>
      <c r="NT21" s="141">
        <f>IFERROR(VLOOKUP($D21,'Adient Assende (Belgium) WK.17'!$B:MP,NU$1,0),0)</f>
        <v>800</v>
      </c>
      <c r="NU21" s="140">
        <f>IFERROR(VLOOKUP($D21,'Adient Arendal (Malzia) WK.12'!$B:MQ,NU$1,0),0)</f>
        <v>0</v>
      </c>
      <c r="NV21" s="140">
        <f>IFERROR(VLOOKUP($D21,'Adient Taizhou (China) WK.16'!$B:MT,NU$1,0),0)</f>
        <v>0</v>
      </c>
      <c r="NW21" s="128">
        <v>0</v>
      </c>
      <c r="NX21" s="32">
        <v>0</v>
      </c>
      <c r="NY21" s="100">
        <f t="shared" si="275"/>
        <v>-3520</v>
      </c>
      <c r="OA21" s="37">
        <f t="shared" si="208"/>
        <v>-3520</v>
      </c>
      <c r="OB21" s="141">
        <f>IFERROR(VLOOKUP($D21,'Adient Assende (Belgium) WK.17'!$B:MX,OC$1,0),0)</f>
        <v>720</v>
      </c>
      <c r="OC21" s="140">
        <f>IFERROR(VLOOKUP($D21,'Adient Arendal (Malzia) WK.12'!$B:MY,OC$1,0),0)</f>
        <v>0</v>
      </c>
      <c r="OD21" s="140">
        <f>IFERROR(VLOOKUP($D21,'Adient Taizhou (China) WK.16'!$B:NB,OC$1,0),0)</f>
        <v>0</v>
      </c>
      <c r="OE21" s="128">
        <v>0</v>
      </c>
      <c r="OF21" s="32">
        <v>0</v>
      </c>
      <c r="OG21" s="100">
        <f t="shared" si="276"/>
        <v>-4240</v>
      </c>
      <c r="OI21" s="37">
        <f t="shared" si="209"/>
        <v>-4240</v>
      </c>
      <c r="OJ21" s="141">
        <f>IFERROR(VLOOKUP($D21,'Adient Assende (Belgium) WK.17'!$B:NF,OK$1,0),0)</f>
        <v>1120</v>
      </c>
      <c r="OK21" s="140">
        <f>IFERROR(VLOOKUP($D21,'Adient Arendal (Malzia) WK.12'!$B:NG,OK$1,0),0)</f>
        <v>0</v>
      </c>
      <c r="OL21" s="140">
        <f>IFERROR(VLOOKUP($D21,'Adient Taizhou (China) WK.16'!$B:NJ,OK$1,0),0)</f>
        <v>0</v>
      </c>
      <c r="OM21" s="128">
        <v>0</v>
      </c>
      <c r="ON21" s="32">
        <v>0</v>
      </c>
      <c r="OO21" s="100">
        <f t="shared" si="277"/>
        <v>-5360</v>
      </c>
      <c r="OQ21" s="37">
        <f t="shared" si="210"/>
        <v>-5360</v>
      </c>
      <c r="OR21" s="141">
        <f>IFERROR(VLOOKUP($D21,'Adient Assende (Belgium) WK.17'!$B:NN,OS$1,0),0)</f>
        <v>0</v>
      </c>
      <c r="OS21" s="140">
        <f>IFERROR(VLOOKUP($D21,'Adient Arendal (Malzia) WK.12'!$B:NO,OS$1,0),0)</f>
        <v>0</v>
      </c>
      <c r="OT21" s="140">
        <f>IFERROR(VLOOKUP($D21,'Adient Taizhou (China) WK.16'!$B:NR,OS$1,0),0)</f>
        <v>0</v>
      </c>
      <c r="OU21" s="128">
        <v>0</v>
      </c>
      <c r="OV21" s="32">
        <v>0</v>
      </c>
      <c r="OW21" s="100">
        <f t="shared" si="278"/>
        <v>-5360</v>
      </c>
      <c r="OY21" s="37">
        <f t="shared" si="211"/>
        <v>-5360</v>
      </c>
      <c r="OZ21" s="141">
        <f>IFERROR(VLOOKUP($D21,'Adient Assende (Belgium) WK.17'!$B:NV,PA$1,0),0)</f>
        <v>0</v>
      </c>
      <c r="PA21" s="140">
        <f>IFERROR(VLOOKUP($D21,'Adient Arendal (Malzia) WK.12'!$B:NW,PA$1,0),0)</f>
        <v>0</v>
      </c>
      <c r="PB21" s="140">
        <f>IFERROR(VLOOKUP($D21,'Adient Taizhou (China) WK.16'!$B:NZ,PA$1,0),0)</f>
        <v>0</v>
      </c>
      <c r="PC21" s="128">
        <v>0</v>
      </c>
      <c r="PD21" s="32">
        <v>0</v>
      </c>
      <c r="PE21" s="100">
        <f t="shared" si="279"/>
        <v>-5360</v>
      </c>
      <c r="PG21" s="37">
        <f t="shared" si="212"/>
        <v>-5360</v>
      </c>
      <c r="PH21" s="141">
        <f>IFERROR(VLOOKUP($D21,'Adient Assende (Belgium) WK.17'!$B:OD,PI$1,0),0)</f>
        <v>0</v>
      </c>
      <c r="PI21" s="140">
        <f>IFERROR(VLOOKUP($D21,'Adient Arendal (Malzia) WK.12'!$B:OE,PI$1,0),0)</f>
        <v>0</v>
      </c>
      <c r="PJ21" s="140">
        <f>IFERROR(VLOOKUP($D21,'Adient Taizhou (China) WK.16'!$B:OH,PI$1,0),0)</f>
        <v>0</v>
      </c>
      <c r="PK21" s="128">
        <v>0</v>
      </c>
      <c r="PL21" s="32">
        <v>0</v>
      </c>
      <c r="PM21" s="100">
        <f t="shared" si="280"/>
        <v>-5360</v>
      </c>
      <c r="PO21" s="37">
        <f t="shared" si="213"/>
        <v>-5360</v>
      </c>
      <c r="PP21" s="141">
        <f>IFERROR(VLOOKUP($D21,'Adient Assende (Belgium) WK.17'!$B:OL,PQ$1,0),0)</f>
        <v>0</v>
      </c>
      <c r="PQ21" s="140">
        <f>IFERROR(VLOOKUP($D21,'Adient Arendal (Malzia) WK.12'!$B:OM,PQ$1,0),0)</f>
        <v>0</v>
      </c>
      <c r="PR21" s="140">
        <f>IFERROR(VLOOKUP($D21,'Adient Taizhou (China) WK.16'!$B:OP,PQ$1,0),0)</f>
        <v>0</v>
      </c>
      <c r="PS21" s="128">
        <v>0</v>
      </c>
      <c r="PT21" s="32">
        <v>0</v>
      </c>
      <c r="PU21" s="100">
        <f t="shared" si="281"/>
        <v>-5360</v>
      </c>
      <c r="PW21" s="37">
        <f t="shared" si="214"/>
        <v>-5360</v>
      </c>
      <c r="PX21" s="141">
        <f>IFERROR(VLOOKUP($D21,'Adient Assende (Belgium) WK.17'!$B:OT,PY$1,0),0)</f>
        <v>640</v>
      </c>
      <c r="PY21" s="140">
        <f>IFERROR(VLOOKUP($D21,'Adient Arendal (Malzia) WK.12'!$B:OU,PY$1,0),0)</f>
        <v>0</v>
      </c>
      <c r="PZ21" s="140">
        <f>IFERROR(VLOOKUP($D21,'Adient Taizhou (China) WK.16'!$B:OX,PY$1,0),0)</f>
        <v>0</v>
      </c>
      <c r="QA21" s="128">
        <v>0</v>
      </c>
      <c r="QB21" s="32">
        <v>0</v>
      </c>
      <c r="QC21" s="100">
        <f t="shared" si="282"/>
        <v>-6000</v>
      </c>
      <c r="QE21" s="37">
        <f t="shared" si="215"/>
        <v>-6000</v>
      </c>
      <c r="QF21" s="141">
        <f>IFERROR(VLOOKUP($D21,'Adient Assende (Belgium) WK.17'!$B:PB,QG$1,0),0)</f>
        <v>560</v>
      </c>
      <c r="QG21" s="140">
        <f>IFERROR(VLOOKUP($D21,'Adient Arendal (Malzia) WK.12'!$B:PC,QG$1,0),0)</f>
        <v>0</v>
      </c>
      <c r="QH21" s="140">
        <f>IFERROR(VLOOKUP($D21,'Adient Taizhou (China) WK.16'!$B:PF,QG$1,0),0)</f>
        <v>0</v>
      </c>
      <c r="QI21" s="128">
        <v>0</v>
      </c>
      <c r="QJ21" s="32">
        <v>0</v>
      </c>
      <c r="QK21" s="100">
        <f t="shared" si="283"/>
        <v>-6560</v>
      </c>
      <c r="QM21" s="37">
        <f t="shared" si="216"/>
        <v>-6560</v>
      </c>
      <c r="QN21" s="141">
        <f>IFERROR(VLOOKUP($D21,'Adient Assende (Belgium) WK.17'!$B:PJ,QO$1,0),0)</f>
        <v>560</v>
      </c>
      <c r="QO21" s="140">
        <f>IFERROR(VLOOKUP($D21,'Adient Arendal (Malzia) WK.12'!$B:PK,QO$1,0),0)</f>
        <v>0</v>
      </c>
      <c r="QP21" s="140">
        <f>IFERROR(VLOOKUP($D21,'Adient Taizhou (China) WK.16'!$B:PN,QO$1,0),0)</f>
        <v>0</v>
      </c>
      <c r="QQ21" s="128">
        <v>0</v>
      </c>
      <c r="QR21" s="32">
        <v>0</v>
      </c>
      <c r="QS21" s="100">
        <f t="shared" si="284"/>
        <v>-7120</v>
      </c>
      <c r="QU21" s="37">
        <f t="shared" si="217"/>
        <v>-7120</v>
      </c>
      <c r="QV21" s="141">
        <f>IFERROR(VLOOKUP($D21,'Adient Assende (Belgium) WK.17'!$B:PR,QW$1,0),0)</f>
        <v>620</v>
      </c>
      <c r="QW21" s="140">
        <f>IFERROR(VLOOKUP($D21,'Adient Arendal (Malzia) WK.12'!$B:PS,QW$1,0),0)</f>
        <v>0</v>
      </c>
      <c r="QX21" s="140">
        <f>IFERROR(VLOOKUP($D21,'Adient Taizhou (China) WK.16'!$B:PV,QW$1,0),0)</f>
        <v>0</v>
      </c>
      <c r="QY21" s="128">
        <v>0</v>
      </c>
      <c r="QZ21" s="32">
        <v>0</v>
      </c>
      <c r="RA21" s="100">
        <f t="shared" si="285"/>
        <v>-7740</v>
      </c>
      <c r="RC21" s="37">
        <f t="shared" si="218"/>
        <v>-7740</v>
      </c>
      <c r="RD21" s="141">
        <f>IFERROR(VLOOKUP($D21,'Adient Assende (Belgium) WK.17'!$B:PZ,RE$1,0),0)</f>
        <v>620</v>
      </c>
      <c r="RE21" s="140">
        <f>IFERROR(VLOOKUP($D21,'Adient Arendal (Malzia) WK.12'!$B:QA,RE$1,0),0)</f>
        <v>0</v>
      </c>
      <c r="RF21" s="140">
        <f>IFERROR(VLOOKUP($D21,'Adient Taizhou (China) WK.16'!$B:QD,RE$1,0),0)</f>
        <v>0</v>
      </c>
      <c r="RG21" s="128">
        <v>0</v>
      </c>
      <c r="RH21" s="32">
        <v>0</v>
      </c>
      <c r="RI21" s="100">
        <f t="shared" si="286"/>
        <v>-8360</v>
      </c>
      <c r="RK21" s="37">
        <f t="shared" si="219"/>
        <v>-8360</v>
      </c>
      <c r="RL21" s="141">
        <f>IFERROR(VLOOKUP($D21,'Adient Assende (Belgium) WK.17'!$B:QH,RM$1,0),0)</f>
        <v>620</v>
      </c>
      <c r="RM21" s="140">
        <f>IFERROR(VLOOKUP($D21,'Adient Arendal (Malzia) WK.12'!$B:QI,RM$1,0),0)</f>
        <v>0</v>
      </c>
      <c r="RN21" s="140">
        <f>IFERROR(VLOOKUP($D21,'Adient Taizhou (China) WK.16'!$B:QL,RM$1,0),0)</f>
        <v>0</v>
      </c>
      <c r="RO21" s="128">
        <v>0</v>
      </c>
      <c r="RP21" s="32">
        <v>0</v>
      </c>
      <c r="RQ21" s="100">
        <f t="shared" si="287"/>
        <v>-8980</v>
      </c>
      <c r="RS21" s="37">
        <f t="shared" si="220"/>
        <v>-8980</v>
      </c>
      <c r="RT21" s="141">
        <f>IFERROR(VLOOKUP($D21,'Adient Assende (Belgium) WK.17'!$B:QP,RU$1,0),0)</f>
        <v>620</v>
      </c>
      <c r="RU21" s="140">
        <f>IFERROR(VLOOKUP($D21,'Adient Arendal (Malzia) WK.12'!$B:QQ,RU$1,0),0)</f>
        <v>0</v>
      </c>
      <c r="RV21" s="140">
        <f>IFERROR(VLOOKUP($D21,'Adient Taizhou (China) WK.16'!$B:QT,RU$1,0),0)</f>
        <v>0</v>
      </c>
      <c r="RW21" s="128">
        <v>0</v>
      </c>
      <c r="RX21" s="32">
        <v>0</v>
      </c>
      <c r="RY21" s="100">
        <f t="shared" si="288"/>
        <v>-9600</v>
      </c>
      <c r="SA21" s="37">
        <f t="shared" si="221"/>
        <v>-9600</v>
      </c>
      <c r="SB21" s="141">
        <f>IFERROR(VLOOKUP($D21,'Adient Assende (Belgium) WK.17'!$B:QX,SC$1,0),0)</f>
        <v>540</v>
      </c>
      <c r="SC21" s="140">
        <f>IFERROR(VLOOKUP($D21,'Adient Arendal (Malzia) WK.12'!$B:QY,SC$1,0),0)</f>
        <v>0</v>
      </c>
      <c r="SD21" s="140">
        <f>IFERROR(VLOOKUP($D21,'Adient Taizhou (China) WK.16'!$B:RB,SC$1,0),0)</f>
        <v>0</v>
      </c>
      <c r="SE21" s="128">
        <v>0</v>
      </c>
      <c r="SF21" s="32">
        <v>0</v>
      </c>
      <c r="SG21" s="100">
        <f t="shared" si="289"/>
        <v>-10140</v>
      </c>
      <c r="SI21" s="37">
        <f t="shared" si="222"/>
        <v>-10140</v>
      </c>
      <c r="SJ21" s="141">
        <f>IFERROR(VLOOKUP($D21,'Adient Assende (Belgium) WK.17'!$B:RF,SK$1,0),0)</f>
        <v>540</v>
      </c>
      <c r="SK21" s="140">
        <f>IFERROR(VLOOKUP($D21,'Adient Arendal (Malzia) WK.12'!$B:RG,SK$1,0),0)</f>
        <v>0</v>
      </c>
      <c r="SL21" s="140">
        <f>IFERROR(VLOOKUP($D21,'Adient Taizhou (China) WK.16'!$B:RJ,SK$1,0),0)</f>
        <v>0</v>
      </c>
      <c r="SM21" s="128">
        <v>0</v>
      </c>
      <c r="SN21" s="32">
        <v>0</v>
      </c>
      <c r="SO21" s="100">
        <f t="shared" si="290"/>
        <v>-10680</v>
      </c>
      <c r="SQ21" s="37">
        <f t="shared" si="223"/>
        <v>-10680</v>
      </c>
      <c r="SR21" s="141">
        <f>IFERROR(VLOOKUP($D21,'Adient Assende (Belgium) WK.17'!$B:RN,SS$1,0),0)</f>
        <v>540</v>
      </c>
      <c r="SS21" s="140">
        <f>IFERROR(VLOOKUP($D21,'Adient Arendal (Malzia) WK.12'!$B:RO,SS$1,0),0)</f>
        <v>0</v>
      </c>
      <c r="ST21" s="140">
        <f>IFERROR(VLOOKUP($D21,'Adient Taizhou (China) WK.16'!$B:RR,SS$1,0),0)</f>
        <v>0</v>
      </c>
      <c r="SU21" s="128">
        <v>0</v>
      </c>
      <c r="SV21" s="32">
        <v>0</v>
      </c>
      <c r="SW21" s="100">
        <f t="shared" si="291"/>
        <v>-11220</v>
      </c>
      <c r="SY21" s="37">
        <f t="shared" si="224"/>
        <v>-11220</v>
      </c>
      <c r="SZ21" s="141">
        <f>IFERROR(VLOOKUP($D21,'Adient Assende (Belgium) WK.17'!$B:RV,TA$1,0),0)</f>
        <v>540</v>
      </c>
      <c r="TA21" s="140">
        <f>IFERROR(VLOOKUP($D21,'Adient Arendal (Malzia) WK.12'!$B:RW,TA$1,0),0)</f>
        <v>0</v>
      </c>
      <c r="TB21" s="140">
        <f>IFERROR(VLOOKUP($D21,'Adient Taizhou (China) WK.16'!$B:RZ,TA$1,0),0)</f>
        <v>0</v>
      </c>
      <c r="TC21" s="128">
        <v>0</v>
      </c>
      <c r="TD21" s="32">
        <v>0</v>
      </c>
      <c r="TE21" s="100">
        <f t="shared" si="292"/>
        <v>-11760</v>
      </c>
      <c r="TG21" s="37">
        <f t="shared" si="225"/>
        <v>-11760</v>
      </c>
      <c r="TH21" s="141">
        <f>IFERROR(VLOOKUP($D21,'Adient Assende (Belgium) WK.17'!$B:SD,TI$1,0),0)</f>
        <v>530</v>
      </c>
      <c r="TI21" s="140">
        <f>IFERROR(VLOOKUP($D21,'Adient Arendal (Malzia) WK.12'!$B:SE,TI$1,0),0)</f>
        <v>0</v>
      </c>
      <c r="TJ21" s="140">
        <f>IFERROR(VLOOKUP($D21,'Adient Taizhou (China) WK.16'!$B:SH,TI$1,0),0)</f>
        <v>0</v>
      </c>
      <c r="TK21" s="128">
        <v>0</v>
      </c>
      <c r="TL21" s="32">
        <v>0</v>
      </c>
      <c r="TM21" s="100">
        <f t="shared" si="293"/>
        <v>-12290</v>
      </c>
      <c r="TO21" s="37">
        <f t="shared" si="226"/>
        <v>-12290</v>
      </c>
      <c r="TP21" s="141">
        <f>IFERROR(VLOOKUP($D21,'Adient Assende (Belgium) WK.17'!$B:SL,TQ$1,0),0)</f>
        <v>530</v>
      </c>
      <c r="TQ21" s="140">
        <f>IFERROR(VLOOKUP($D21,'Adient Arendal (Malzia) WK.12'!$B:SM,TQ$1,0),0)</f>
        <v>0</v>
      </c>
      <c r="TR21" s="140">
        <f>IFERROR(VLOOKUP($D21,'Adient Taizhou (China) WK.16'!$B:SP,TQ$1,0),0)</f>
        <v>0</v>
      </c>
      <c r="TS21" s="128">
        <v>0</v>
      </c>
      <c r="TT21" s="32">
        <v>0</v>
      </c>
      <c r="TU21" s="100">
        <f t="shared" si="294"/>
        <v>-12820</v>
      </c>
      <c r="TW21" s="37">
        <f t="shared" si="227"/>
        <v>-12820</v>
      </c>
      <c r="TX21" s="141">
        <f>IFERROR(VLOOKUP($D21,'Adient Assende (Belgium) WK.17'!$B:ST,TY$1,0),0)</f>
        <v>530</v>
      </c>
      <c r="TY21" s="140">
        <f>IFERROR(VLOOKUP($D21,'Adient Arendal (Malzia) WK.12'!$B:SU,TY$1,0),0)</f>
        <v>0</v>
      </c>
      <c r="TZ21" s="140">
        <f>IFERROR(VLOOKUP($D21,'Adient Taizhou (China) WK.16'!$B:SX,TY$1,0),0)</f>
        <v>0</v>
      </c>
      <c r="UA21" s="128">
        <v>0</v>
      </c>
      <c r="UB21" s="32">
        <v>0</v>
      </c>
      <c r="UC21" s="100">
        <f t="shared" si="295"/>
        <v>-13350</v>
      </c>
      <c r="UE21" s="37">
        <f t="shared" si="228"/>
        <v>-13350</v>
      </c>
      <c r="UF21" s="141">
        <f>IFERROR(VLOOKUP($D21,'Adient Assende (Belgium) WK.17'!$B:TB,UG$1,0),0)</f>
        <v>530</v>
      </c>
      <c r="UG21" s="140">
        <f>IFERROR(VLOOKUP($D21,'Adient Arendal (Malzia) WK.12'!$B:TC,UG$1,0),0)</f>
        <v>0</v>
      </c>
      <c r="UH21" s="140">
        <f>IFERROR(VLOOKUP($D21,'Adient Taizhou (China) WK.16'!$B:TF,UG$1,0),0)</f>
        <v>0</v>
      </c>
      <c r="UI21" s="128">
        <v>0</v>
      </c>
      <c r="UJ21" s="32">
        <v>0</v>
      </c>
      <c r="UK21" s="100">
        <f t="shared" si="296"/>
        <v>-13880</v>
      </c>
      <c r="UM21" s="37">
        <f t="shared" si="229"/>
        <v>-13880</v>
      </c>
      <c r="UN21" s="141">
        <f>IFERROR(VLOOKUP($D21,'Adient Assende (Belgium) WK.17'!$B:TJ,UO$1,0),0)</f>
        <v>520</v>
      </c>
      <c r="UO21" s="140">
        <f>IFERROR(VLOOKUP($D21,'Adient Arendal (Malzia) WK.12'!$B:TK,UO$1,0),0)</f>
        <v>0</v>
      </c>
      <c r="UP21" s="140">
        <f>IFERROR(VLOOKUP($D21,'Adient Taizhou (China) WK.16'!$B:TN,UO$1,0),0)</f>
        <v>0</v>
      </c>
      <c r="UQ21" s="128">
        <v>0</v>
      </c>
      <c r="UR21" s="32">
        <v>0</v>
      </c>
      <c r="US21" s="100">
        <f t="shared" si="297"/>
        <v>-14400</v>
      </c>
      <c r="UU21" s="37">
        <f t="shared" si="230"/>
        <v>-14400</v>
      </c>
      <c r="UV21" s="141">
        <f>IFERROR(VLOOKUP($D21,'Adient Assende (Belgium) WK.17'!$B:TR,UW$1,0),0)</f>
        <v>520</v>
      </c>
      <c r="UW21" s="140">
        <f>IFERROR(VLOOKUP($D21,'Adient Arendal (Malzia) WK.12'!$B:TS,UW$1,0),0)</f>
        <v>0</v>
      </c>
      <c r="UX21" s="140">
        <f>IFERROR(VLOOKUP($D21,'Adient Taizhou (China) WK.16'!$B:TV,UW$1,0),0)</f>
        <v>0</v>
      </c>
      <c r="UY21" s="128">
        <v>0</v>
      </c>
      <c r="UZ21" s="32">
        <v>0</v>
      </c>
      <c r="VA21" s="100">
        <f t="shared" si="298"/>
        <v>-14920</v>
      </c>
      <c r="VC21" s="37">
        <f t="shared" si="231"/>
        <v>-14920</v>
      </c>
      <c r="VD21" s="141">
        <f>IFERROR(VLOOKUP($D21,'Adient Assende (Belgium) WK.17'!$B:TZ,VE$1,0),0)</f>
        <v>520</v>
      </c>
      <c r="VE21" s="140">
        <f>IFERROR(VLOOKUP($D21,'Adient Arendal (Malzia) WK.12'!$B:UA,VE$1,0),0)</f>
        <v>0</v>
      </c>
      <c r="VF21" s="140">
        <f>IFERROR(VLOOKUP($D21,'Adient Taizhou (China) WK.16'!$B:UD,VE$1,0),0)</f>
        <v>0</v>
      </c>
      <c r="VG21" s="128">
        <v>0</v>
      </c>
      <c r="VH21" s="32">
        <v>0</v>
      </c>
      <c r="VI21" s="100">
        <f t="shared" si="299"/>
        <v>-15440</v>
      </c>
      <c r="VK21" s="37">
        <f t="shared" si="232"/>
        <v>-15440</v>
      </c>
      <c r="VL21" s="141">
        <f>IFERROR(VLOOKUP($D21,'Adient Assende (Belgium) WK.17'!$B:UH,VM$1,0),0)</f>
        <v>0</v>
      </c>
      <c r="VM21" s="140">
        <f>IFERROR(VLOOKUP($D21,'Adient Arendal (Malzia) WK.12'!$B:UI,VM$1,0),0)</f>
        <v>0</v>
      </c>
      <c r="VN21" s="140">
        <f>IFERROR(VLOOKUP($D21,'Adient Taizhou (China) WK.16'!$B:UL,VM$1,0),0)</f>
        <v>0</v>
      </c>
      <c r="VO21" s="128">
        <v>0</v>
      </c>
      <c r="VP21" s="32">
        <v>0</v>
      </c>
      <c r="VQ21" s="100">
        <f t="shared" si="300"/>
        <v>-15440</v>
      </c>
    </row>
    <row r="22" spans="1:589" x14ac:dyDescent="0.25">
      <c r="A22" s="10" t="s">
        <v>18</v>
      </c>
      <c r="B22" s="11" t="s">
        <v>19</v>
      </c>
      <c r="C22" s="87">
        <v>32272714</v>
      </c>
      <c r="D22" s="81">
        <v>4817114</v>
      </c>
      <c r="E22" s="11">
        <v>20</v>
      </c>
      <c r="F22" s="12"/>
      <c r="H22" s="122">
        <v>980</v>
      </c>
      <c r="I22" s="125">
        <f>IFERROR(VLOOKUP($D22,'Adient Assende (Belgium) WK.17'!$B:C,J$1,0),0)</f>
        <v>80</v>
      </c>
      <c r="J22" s="55">
        <f>IFERROR(VLOOKUP($D22,'Adient Arendal (Malzia) WK.12'!$B:C,J$1,0),0)</f>
        <v>0</v>
      </c>
      <c r="K22" s="55">
        <f>IFERROR(VLOOKUP($D22,'Adient Taizhou (China) WK.16'!$B:C,J$1,0),0)</f>
        <v>0</v>
      </c>
      <c r="L22" s="128">
        <v>80</v>
      </c>
      <c r="M22" s="32">
        <v>0</v>
      </c>
      <c r="N22" s="106">
        <f t="shared" si="233"/>
        <v>900</v>
      </c>
      <c r="P22" s="37">
        <f t="shared" si="234"/>
        <v>900</v>
      </c>
      <c r="Q22" s="125">
        <f>IFERROR(VLOOKUP($D22,'Adient Assende (Belgium) WK.17'!$B:K,R$1,0),0)</f>
        <v>80</v>
      </c>
      <c r="R22" s="55">
        <f>IFERROR(VLOOKUP($D22,'Adient Arendal (Malzia) WK.12'!$B:K,R$1,0),0)</f>
        <v>0</v>
      </c>
      <c r="S22" s="55">
        <f>IFERROR(VLOOKUP($D22,'Adient Taizhou (China) WK.16'!$B:K,R$1,0),0)</f>
        <v>0</v>
      </c>
      <c r="T22" s="41">
        <v>160</v>
      </c>
      <c r="U22" s="32">
        <v>0</v>
      </c>
      <c r="V22" s="106">
        <f t="shared" si="235"/>
        <v>740</v>
      </c>
      <c r="X22" s="37">
        <f t="shared" si="236"/>
        <v>740</v>
      </c>
      <c r="Y22" s="125">
        <f>IFERROR(VLOOKUP($D22,'Adient Assende (Belgium) WK.17'!$B:S,Z$1,0),0)</f>
        <v>160</v>
      </c>
      <c r="Z22" s="55">
        <f>IFERROR(VLOOKUP($D22,'Adient Arendal (Malzia) WK.12'!$B:S,Z$1,0),0)</f>
        <v>0</v>
      </c>
      <c r="AA22" s="55">
        <f>IFERROR(VLOOKUP($D22,'Adient Taizhou (China) WK.16'!$B:S,Z$1,0),0)</f>
        <v>0</v>
      </c>
      <c r="AB22" s="41">
        <v>160</v>
      </c>
      <c r="AC22" s="32">
        <v>0</v>
      </c>
      <c r="AD22" s="106">
        <f t="shared" si="237"/>
        <v>580</v>
      </c>
      <c r="AF22" s="37">
        <f t="shared" si="238"/>
        <v>580</v>
      </c>
      <c r="AG22" s="125">
        <f>IFERROR(VLOOKUP($D22,'Adient Assende (Belgium) WK.17'!$B:AA,AH$1,0),0)</f>
        <v>160</v>
      </c>
      <c r="AH22" s="55">
        <f>IFERROR(VLOOKUP($D22,'Adient Arendal (Malzia) WK.12'!$B:AA,AH$1,0),0)</f>
        <v>0</v>
      </c>
      <c r="AI22" s="55">
        <f>IFERROR(VLOOKUP($D22,'Adient Taizhou (China) WK.16'!$B:AA,AH$1,0),0)</f>
        <v>0</v>
      </c>
      <c r="AJ22" s="41">
        <v>160</v>
      </c>
      <c r="AK22" s="32">
        <v>0</v>
      </c>
      <c r="AL22" s="106">
        <f t="shared" si="239"/>
        <v>420</v>
      </c>
      <c r="AN22" s="37">
        <f t="shared" si="164"/>
        <v>420</v>
      </c>
      <c r="AO22" s="125">
        <f>IFERROR(VLOOKUP($D22,'Adient Assende (Belgium) WK.17'!$B:AI,AP$1,0),0)</f>
        <v>160</v>
      </c>
      <c r="AP22" s="55">
        <f>IFERROR(VLOOKUP($D22,'Adient Arendal (Malzia) WK.12'!$B:AI,AP$1,0),0)</f>
        <v>0</v>
      </c>
      <c r="AQ22" s="55">
        <f>IFERROR(VLOOKUP($D22,'Adient Taizhou (China) WK.16'!$B:AI,AP$1,0),0)</f>
        <v>0</v>
      </c>
      <c r="AR22" s="60">
        <v>100</v>
      </c>
      <c r="AS22" s="41">
        <v>160</v>
      </c>
      <c r="AT22" s="32">
        <v>0</v>
      </c>
      <c r="AU22" s="106">
        <f t="shared" si="240"/>
        <v>360</v>
      </c>
      <c r="AW22" s="37">
        <f t="shared" si="165"/>
        <v>360</v>
      </c>
      <c r="AX22" s="125">
        <f>IFERROR(VLOOKUP($D22,'Adient Assende (Belgium) WK.17'!$B:AR,AY$1,0),0)</f>
        <v>160</v>
      </c>
      <c r="AY22" s="55">
        <f>IFERROR(VLOOKUP($D22,'Adient Arendal (Malzia) WK.12'!$B:AR,AY$1,0),0)</f>
        <v>0</v>
      </c>
      <c r="AZ22" s="55">
        <f>IFERROR(VLOOKUP($D22,'Adient Taizhou (China) WK.16'!$B:AU,AY$1,0),0)</f>
        <v>0</v>
      </c>
      <c r="BA22" s="41">
        <v>160</v>
      </c>
      <c r="BB22" s="32">
        <v>0</v>
      </c>
      <c r="BC22" s="106">
        <f t="shared" si="241"/>
        <v>200</v>
      </c>
      <c r="BE22" s="37">
        <f t="shared" si="166"/>
        <v>200</v>
      </c>
      <c r="BF22" s="125">
        <f>IFERROR(VLOOKUP($D22,'Adient Assende (Belgium) WK.17'!$B:AX,BG$1,0),0)</f>
        <v>160</v>
      </c>
      <c r="BG22" s="55">
        <f>IFERROR(VLOOKUP($D22,'Adient Arendal (Malzia) WK.12'!$B:AZ,BG$1,0),0)</f>
        <v>0</v>
      </c>
      <c r="BH22" s="55">
        <f>IFERROR(VLOOKUP($D22,'Adient Taizhou (China) WK.16'!$B:BB,BG$1,0),0)</f>
        <v>0</v>
      </c>
      <c r="BI22" s="60">
        <v>200</v>
      </c>
      <c r="BJ22" s="60">
        <v>0</v>
      </c>
      <c r="BK22" s="41">
        <v>240</v>
      </c>
      <c r="BL22" s="32">
        <v>0</v>
      </c>
      <c r="BM22" s="106">
        <f t="shared" si="242"/>
        <v>160</v>
      </c>
      <c r="BN22" s="8"/>
      <c r="BO22" s="37">
        <f t="shared" si="167"/>
        <v>160</v>
      </c>
      <c r="BP22" s="125">
        <f>IFERROR(VLOOKUP($D22,'Adient Assende (Belgium) WK.17'!$B:BH,BQ$1,0),0)</f>
        <v>240</v>
      </c>
      <c r="BQ22" s="55">
        <f>IFERROR(VLOOKUP($D22,'Adient Arendal (Malzia) WK.12'!$B:BI,BQ$1,0),0)</f>
        <v>0</v>
      </c>
      <c r="BR22" s="55">
        <f>IFERROR(VLOOKUP($D22,'Adient Taizhou (China) WK.16'!$B:BL,BQ$1,0),0)</f>
        <v>0</v>
      </c>
      <c r="BS22" s="60">
        <v>240</v>
      </c>
      <c r="BT22" s="60">
        <v>80</v>
      </c>
      <c r="BU22" s="60">
        <v>0</v>
      </c>
      <c r="BV22" s="41">
        <v>160</v>
      </c>
      <c r="BW22" s="32">
        <v>0</v>
      </c>
      <c r="BX22" s="106">
        <f t="shared" si="243"/>
        <v>320</v>
      </c>
      <c r="BY22" s="8"/>
      <c r="BZ22" s="37">
        <f t="shared" si="168"/>
        <v>320</v>
      </c>
      <c r="CA22" s="125">
        <f>IFERROR(VLOOKUP($D22,'Adient Assende (Belgium) WK.17'!$B:BS,CB$1,0),0)</f>
        <v>160</v>
      </c>
      <c r="CB22" s="55">
        <f>IFERROR(VLOOKUP($D22,'Adient Arendal (Malzia) WK.12'!$B:BT,CB$1,0),0)</f>
        <v>0</v>
      </c>
      <c r="CC22" s="55">
        <f>IFERROR(VLOOKUP($D22,'Adient Taizhou (China) WK.16'!$B:BW,CB$1,0),0)</f>
        <v>0</v>
      </c>
      <c r="CD22" s="60">
        <v>0</v>
      </c>
      <c r="CE22" s="60">
        <v>0</v>
      </c>
      <c r="CF22" s="41">
        <v>320</v>
      </c>
      <c r="CG22" s="32">
        <v>0</v>
      </c>
      <c r="CH22" s="106">
        <f t="shared" si="244"/>
        <v>0</v>
      </c>
      <c r="CI22" s="8"/>
      <c r="CJ22" s="37">
        <f t="shared" si="169"/>
        <v>0</v>
      </c>
      <c r="CK22" s="125">
        <f>IFERROR(VLOOKUP($D22,'Adient Assende (Belgium) WK.17'!$B:CC,CL$1,0),0)</f>
        <v>320</v>
      </c>
      <c r="CL22" s="55">
        <f>IFERROR(VLOOKUP($D22,'Adient Arendal (Malzia) WK.12'!$B:CD,CL$1,0),0)</f>
        <v>0</v>
      </c>
      <c r="CM22" s="55">
        <f>IFERROR(VLOOKUP($D22,'Adient Taizhou (China) WK.16'!$B:CG,CL$1,0),0)</f>
        <v>0</v>
      </c>
      <c r="CN22" s="60">
        <v>140</v>
      </c>
      <c r="CO22" s="149">
        <v>0</v>
      </c>
      <c r="CP22" s="32">
        <v>0</v>
      </c>
      <c r="CQ22" s="106">
        <f t="shared" si="245"/>
        <v>140</v>
      </c>
      <c r="CR22" s="8"/>
      <c r="CS22" s="122">
        <f t="shared" si="170"/>
        <v>140</v>
      </c>
      <c r="CT22" s="154">
        <f>IFERROR(VLOOKUP($D22,'Adient Assende (Belgium) WK.17'!$B:CL,CU$1,0),0)</f>
        <v>0</v>
      </c>
      <c r="CU22" s="55">
        <f>IFERROR(VLOOKUP($D22,'Adient Arendal (Malzia) WK.12'!$B:CM,CU$1,0),0)</f>
        <v>0</v>
      </c>
      <c r="CV22" s="55">
        <f>IFERROR(VLOOKUP($D22,'Adient Taizhou (China) WK.16'!$B:CP,CU$1,0),0)</f>
        <v>0</v>
      </c>
      <c r="CW22" s="60">
        <v>220</v>
      </c>
      <c r="CX22" s="60">
        <v>0</v>
      </c>
      <c r="CY22" s="128">
        <v>160</v>
      </c>
      <c r="CZ22" s="32">
        <v>0</v>
      </c>
      <c r="DA22" s="106">
        <f t="shared" si="246"/>
        <v>200</v>
      </c>
      <c r="DB22" s="8"/>
      <c r="DC22" s="37">
        <f t="shared" si="171"/>
        <v>200</v>
      </c>
      <c r="DD22" s="125">
        <f>IFERROR(VLOOKUP($D22,'Adient Assende (Belgium) WK.17'!$B:CS,DE$1,0),0)</f>
        <v>160</v>
      </c>
      <c r="DE22" s="55">
        <f>IFERROR(VLOOKUP($D22,'Adient Arendal (Malzia) WK.12'!$B:CU,DE$1,0),0)</f>
        <v>0</v>
      </c>
      <c r="DF22" s="55">
        <f>IFERROR(VLOOKUP($D22,'Adient Taizhou (China) WK.16'!$B:CX,DE$1,0),0)</f>
        <v>0</v>
      </c>
      <c r="DG22" s="60">
        <v>200</v>
      </c>
      <c r="DH22" s="128">
        <v>160</v>
      </c>
      <c r="DI22" s="32">
        <v>0</v>
      </c>
      <c r="DJ22" s="106">
        <f t="shared" si="247"/>
        <v>240</v>
      </c>
      <c r="DL22" s="37">
        <f t="shared" si="172"/>
        <v>240</v>
      </c>
      <c r="DM22" s="125">
        <f>IFERROR(VLOOKUP($D22,'Adient Assende (Belgium) WK.17'!$B:DB,DN$1,0),0)</f>
        <v>160</v>
      </c>
      <c r="DN22" s="55">
        <f>IFERROR(VLOOKUP($D22,'Adient Arendal (Malzia) WK.12'!$B:DC,DN$1,0),0)</f>
        <v>0</v>
      </c>
      <c r="DO22" s="55">
        <f>IFERROR(VLOOKUP($D22,'Adient Taizhou (China) WK.16'!$B:DF,DN$1,0),0)</f>
        <v>0</v>
      </c>
      <c r="DP22" s="128">
        <v>80</v>
      </c>
      <c r="DQ22" s="32">
        <v>0</v>
      </c>
      <c r="DR22" s="106">
        <f t="shared" si="173"/>
        <v>160</v>
      </c>
      <c r="DS22" s="8"/>
      <c r="DT22" s="37">
        <f t="shared" si="174"/>
        <v>160</v>
      </c>
      <c r="DU22" s="125">
        <f>IFERROR(VLOOKUP($D22,'Adient Assende (Belgium) WK.17'!$B:DJ,DV$1,0),0)</f>
        <v>80</v>
      </c>
      <c r="DV22" s="55">
        <f>IFERROR(VLOOKUP($D22,'Adient Arendal (Malzia) WK.12'!$B:DK,DV$1,0),0)</f>
        <v>0</v>
      </c>
      <c r="DW22" s="55">
        <f>IFERROR(VLOOKUP($D22,'Adient Taizhou (China) WK.16'!$B:DN,DV$1,0),0)</f>
        <v>0</v>
      </c>
      <c r="DX22" s="60">
        <v>680</v>
      </c>
      <c r="DY22" s="60">
        <v>420</v>
      </c>
      <c r="DZ22" s="128">
        <v>80</v>
      </c>
      <c r="EA22" s="32">
        <v>0</v>
      </c>
      <c r="EB22" s="106">
        <f t="shared" si="248"/>
        <v>1180</v>
      </c>
      <c r="EC22" s="8"/>
      <c r="ED22" s="37">
        <f t="shared" si="175"/>
        <v>1180</v>
      </c>
      <c r="EE22" s="125">
        <f>IFERROR(VLOOKUP($D22,'Adient Assende (Belgium) WK.17'!$B:DR,EF$1,0),0)</f>
        <v>80</v>
      </c>
      <c r="EF22" s="55">
        <f>IFERROR(VLOOKUP($D22,'Adient Arendal (Malzia) WK.12'!$B:DS,EF$1,0),0)</f>
        <v>0</v>
      </c>
      <c r="EG22" s="55">
        <f>IFERROR(VLOOKUP($D22,'Adient Taizhou (China) WK.16'!$B:DV,EF$1,0),0)</f>
        <v>0</v>
      </c>
      <c r="EH22" s="60">
        <v>320</v>
      </c>
      <c r="EI22" s="128">
        <v>400</v>
      </c>
      <c r="EJ22" s="32">
        <v>0</v>
      </c>
      <c r="EK22" s="106">
        <f t="shared" si="249"/>
        <v>1100</v>
      </c>
      <c r="EM22" s="37">
        <f t="shared" si="176"/>
        <v>1100</v>
      </c>
      <c r="EN22" s="125">
        <f>IFERROR(VLOOKUP($D22,'Adient Assende (Belgium) WK.17'!$B:DZ,EO$1,0),0)</f>
        <v>400</v>
      </c>
      <c r="EO22" s="55">
        <f>IFERROR(VLOOKUP($D22,'Adient Arendal (Malzia) WK.12'!$B:EA,EO$1,0),0)</f>
        <v>0</v>
      </c>
      <c r="EP22" s="55">
        <f>IFERROR(VLOOKUP($D22,'Adient Taizhou (China) WK.16'!$B:ED,EO$1,0),0)</f>
        <v>0</v>
      </c>
      <c r="EQ22" s="128">
        <v>240</v>
      </c>
      <c r="ER22" s="32">
        <v>0</v>
      </c>
      <c r="ES22" s="106">
        <f t="shared" si="250"/>
        <v>860</v>
      </c>
      <c r="EU22" s="37">
        <f t="shared" si="177"/>
        <v>860</v>
      </c>
      <c r="EV22" s="125">
        <f>IFERROR(VLOOKUP($D22,'Adient Assende (Belgium) WK.17'!$B:EH,EW$1,0),0)</f>
        <v>240</v>
      </c>
      <c r="EW22" s="55">
        <f>IFERROR(VLOOKUP($D22,'Adient Arendal (Malzia) WK.12'!$B:EI,EW$1,0),0)</f>
        <v>0</v>
      </c>
      <c r="EX22" s="55">
        <f>IFERROR(VLOOKUP($D22,'Adient Taizhou (China) WK.16'!$B:EL,EW$1,0),0)</f>
        <v>0</v>
      </c>
      <c r="EY22" s="128">
        <v>0</v>
      </c>
      <c r="EZ22" s="32">
        <v>0</v>
      </c>
      <c r="FA22" s="106">
        <f t="shared" si="251"/>
        <v>860</v>
      </c>
      <c r="FC22" s="37">
        <f t="shared" si="178"/>
        <v>860</v>
      </c>
      <c r="FD22" s="154">
        <f>IFERROR(VLOOKUP($D22,'Adient Assende (Belgium) WK.17'!$B:EP,FE$1,0),0)</f>
        <v>0</v>
      </c>
      <c r="FE22" s="154">
        <f>IFERROR(VLOOKUP($D22,'Adient Arendal (Malzia) WK.12'!$B:EQ,FE$1,0),0)</f>
        <v>0</v>
      </c>
      <c r="FF22" s="154">
        <f>IFERROR(VLOOKUP($D22,'Adient Taizhou (China) WK.16'!$B:ET,FE$1,0),0)</f>
        <v>0</v>
      </c>
      <c r="FG22" s="128">
        <v>0</v>
      </c>
      <c r="FH22" s="32">
        <v>0</v>
      </c>
      <c r="FI22" s="106">
        <f t="shared" si="252"/>
        <v>860</v>
      </c>
      <c r="FK22" s="37">
        <f t="shared" si="179"/>
        <v>860</v>
      </c>
      <c r="FL22" s="125">
        <f>IFERROR(VLOOKUP($D22,'Adient Assende (Belgium) WK.17'!$B:EX,FM$1,0),0)</f>
        <v>0</v>
      </c>
      <c r="FM22" s="55">
        <f>IFERROR(VLOOKUP($D22,'Adient Arendal (Malzia) WK.12'!$B:EY,FM$1,0),0)</f>
        <v>0</v>
      </c>
      <c r="FN22" s="55">
        <f>IFERROR(VLOOKUP($D22,'Adient Taizhou (China) WK.16'!$B:FB,FM$1,0),0)</f>
        <v>0</v>
      </c>
      <c r="FO22" s="128">
        <v>240</v>
      </c>
      <c r="FP22" s="32">
        <v>0</v>
      </c>
      <c r="FQ22" s="106">
        <f t="shared" si="253"/>
        <v>620</v>
      </c>
      <c r="FR22" s="8"/>
      <c r="FS22" s="37">
        <f t="shared" si="180"/>
        <v>620</v>
      </c>
      <c r="FT22" s="125">
        <f>IFERROR(VLOOKUP($D22,'Adient Assende (Belgium) WK.17'!$B:FF,FU$1,0),0)</f>
        <v>240</v>
      </c>
      <c r="FU22" s="55">
        <f>IFERROR(VLOOKUP($D22,'Adient Arendal (Malzia) WK.12'!$B:FG,FU$1,0),0)</f>
        <v>0</v>
      </c>
      <c r="FV22" s="55">
        <f>IFERROR(VLOOKUP($D22,'Adient Taizhou (China) WK.16'!$B:FJ,FU$1,0),0)</f>
        <v>0</v>
      </c>
      <c r="FW22" s="60">
        <v>0</v>
      </c>
      <c r="FX22" s="60">
        <v>0</v>
      </c>
      <c r="FY22" s="60">
        <v>600</v>
      </c>
      <c r="FZ22" s="60">
        <v>0</v>
      </c>
      <c r="GA22" s="60">
        <v>160</v>
      </c>
      <c r="GB22" s="128">
        <v>240</v>
      </c>
      <c r="GC22" s="32">
        <v>0</v>
      </c>
      <c r="GD22" s="106">
        <f t="shared" si="254"/>
        <v>1140</v>
      </c>
      <c r="GF22" s="37">
        <f t="shared" si="181"/>
        <v>1140</v>
      </c>
      <c r="GG22" s="125">
        <f>IFERROR(VLOOKUP($D22,'Adient Assende (Belgium) WK.17'!$B:FN,GH$1,0),0)</f>
        <v>240</v>
      </c>
      <c r="GH22" s="55">
        <f>IFERROR(VLOOKUP($D22,'Adient Arendal (Malzia) WK.12'!$B:FO,GH$1,0),0)</f>
        <v>0</v>
      </c>
      <c r="GI22" s="55">
        <f>IFERROR(VLOOKUP($D22,'Adient Taizhou (China) WK.16'!$B:FR,GH$1,0),0)</f>
        <v>0</v>
      </c>
      <c r="GJ22" s="60">
        <v>420</v>
      </c>
      <c r="GK22" s="128">
        <v>240</v>
      </c>
      <c r="GL22" s="32">
        <v>0</v>
      </c>
      <c r="GM22" s="106">
        <f t="shared" si="255"/>
        <v>1320</v>
      </c>
      <c r="GO22" s="37">
        <f t="shared" si="182"/>
        <v>1320</v>
      </c>
      <c r="GP22" s="125">
        <f>IFERROR(VLOOKUP($D22,'Adient Assende (Belgium) WK.17'!$B:FV,GQ$1,0),0)</f>
        <v>240</v>
      </c>
      <c r="GQ22" s="55">
        <f>IFERROR(VLOOKUP($D22,'Adient Arendal (Malzia) WK.12'!$B:FW,GQ$1,0),0)</f>
        <v>0</v>
      </c>
      <c r="GR22" s="55">
        <f>IFERROR(VLOOKUP($D22,'Adient Taizhou (China) WK.16'!$B:FZ,GQ$1,0),0)</f>
        <v>0</v>
      </c>
      <c r="GS22" s="60">
        <v>0</v>
      </c>
      <c r="GT22" s="128">
        <v>160</v>
      </c>
      <c r="GU22" s="32">
        <v>0</v>
      </c>
      <c r="GV22" s="106">
        <f t="shared" si="256"/>
        <v>1160</v>
      </c>
      <c r="GW22" s="8"/>
      <c r="GX22" s="37">
        <f t="shared" si="183"/>
        <v>1160</v>
      </c>
      <c r="GY22" s="125">
        <f>IFERROR(VLOOKUP($D22,'Adient Assende (Belgium) WK.17'!$B:GD,GZ$1,0),0)</f>
        <v>160</v>
      </c>
      <c r="GZ22" s="55">
        <f>IFERROR(VLOOKUP($D22,'Adient Arendal (Malzia) WK.12'!$B:GE,GZ$1,0),0)</f>
        <v>0</v>
      </c>
      <c r="HA22" s="55">
        <f>IFERROR(VLOOKUP($D22,'Adient Taizhou (China) WK.16'!$B:GH,GZ$1,0),0)</f>
        <v>0</v>
      </c>
      <c r="HB22" s="60">
        <v>240</v>
      </c>
      <c r="HC22" s="128">
        <v>80</v>
      </c>
      <c r="HD22" s="32">
        <v>0</v>
      </c>
      <c r="HE22" s="106">
        <f t="shared" si="257"/>
        <v>1320</v>
      </c>
      <c r="HF22" s="8"/>
      <c r="HG22" s="37">
        <f t="shared" si="184"/>
        <v>1320</v>
      </c>
      <c r="HH22" s="125">
        <f>IFERROR(VLOOKUP($D22,'Adient Assende (Belgium) WK.17'!$B:GL,HI$1,0),0)</f>
        <v>80</v>
      </c>
      <c r="HI22" s="55">
        <f>IFERROR(VLOOKUP($D22,'Adient Arendal (Malzia) WK.12'!$B:GM,HI$1,0),0)</f>
        <v>0</v>
      </c>
      <c r="HJ22" s="55">
        <f>IFERROR(VLOOKUP($D22,'Adient Taizhou (China) WK.16'!$B:GP,HI$1,0),0)</f>
        <v>0</v>
      </c>
      <c r="HK22" s="60">
        <v>0</v>
      </c>
      <c r="HL22" s="128">
        <v>320</v>
      </c>
      <c r="HM22" s="32">
        <v>0</v>
      </c>
      <c r="HN22" s="106">
        <f t="shared" si="258"/>
        <v>1000</v>
      </c>
      <c r="HO22" s="8"/>
      <c r="HP22" s="37">
        <f t="shared" si="185"/>
        <v>1000</v>
      </c>
      <c r="HQ22" s="125">
        <f>IFERROR(VLOOKUP($D22,'Adient Assende (Belgium) WK.17'!$B:GT,HR$1,0),0)</f>
        <v>320</v>
      </c>
      <c r="HR22" s="55">
        <f>IFERROR(VLOOKUP($D22,'Adient Arendal (Malzia) WK.12'!$B:GU,HR$1,0),0)</f>
        <v>0</v>
      </c>
      <c r="HS22" s="55">
        <f>IFERROR(VLOOKUP($D22,'Adient Taizhou (China) WK.16'!$B:GX,HR$1,0),0)</f>
        <v>0</v>
      </c>
      <c r="HT22" s="60">
        <v>0</v>
      </c>
      <c r="HU22" s="128">
        <v>80</v>
      </c>
      <c r="HV22" s="32">
        <v>0</v>
      </c>
      <c r="HW22" s="106">
        <f t="shared" si="259"/>
        <v>920</v>
      </c>
      <c r="HX22" s="8"/>
      <c r="HY22" s="37">
        <f t="shared" si="186"/>
        <v>920</v>
      </c>
      <c r="HZ22" s="125">
        <f>IFERROR(VLOOKUP($D22,'Adient Assende (Belgium) WK.17'!$B:HB,IA$1,0),0)</f>
        <v>80</v>
      </c>
      <c r="IA22" s="55">
        <f>IFERROR(VLOOKUP($D22,'Adient Arendal (Malzia) WK.12'!$B:HC,IA$1,0),0)</f>
        <v>0</v>
      </c>
      <c r="IB22" s="55">
        <f>IFERROR(VLOOKUP($D22,'Adient Taizhou (China) WK.16'!$B:HF,IA$1,0),0)</f>
        <v>0</v>
      </c>
      <c r="IC22" s="60">
        <v>0</v>
      </c>
      <c r="ID22" s="128">
        <v>0</v>
      </c>
      <c r="IE22" s="32">
        <v>0</v>
      </c>
      <c r="IF22" s="106">
        <f t="shared" si="260"/>
        <v>920</v>
      </c>
      <c r="IG22" s="8"/>
      <c r="IH22" s="37">
        <f t="shared" si="187"/>
        <v>920</v>
      </c>
      <c r="II22" s="125">
        <f>IFERROR(VLOOKUP($D22,'Adient Assende (Belgium) WK.17'!$B:HJ,IJ$1,0),0)</f>
        <v>0</v>
      </c>
      <c r="IJ22" s="55">
        <f>IFERROR(VLOOKUP($D22,'Adient Arendal (Malzia) WK.12'!$B:HK,IJ$1,0),0)</f>
        <v>0</v>
      </c>
      <c r="IK22" s="55">
        <f>IFERROR(VLOOKUP($D22,'Adient Taizhou (China) WK.16'!$B:HN,IJ$1,0),0)</f>
        <v>0</v>
      </c>
      <c r="IL22" s="128">
        <v>0</v>
      </c>
      <c r="IM22" s="32">
        <v>0</v>
      </c>
      <c r="IN22" s="106">
        <f t="shared" si="188"/>
        <v>920</v>
      </c>
      <c r="IO22" s="8"/>
      <c r="IP22" s="37">
        <f t="shared" si="189"/>
        <v>920</v>
      </c>
      <c r="IQ22" s="125">
        <f>IFERROR(VLOOKUP($D22,'Adient Assende (Belgium) WK.17'!$B:HR,IR$1,0),0)</f>
        <v>0</v>
      </c>
      <c r="IR22" s="55">
        <f>IFERROR(VLOOKUP($D22,'Adient Arendal (Malzia) WK.12'!$B:HS,IR$1,0),0)</f>
        <v>0</v>
      </c>
      <c r="IS22" s="55">
        <f>IFERROR(VLOOKUP($D22,'Adient Taizhou (China) WK.16'!$B:HV,IR$1,0),0)</f>
        <v>0</v>
      </c>
      <c r="IT22" s="60">
        <v>0</v>
      </c>
      <c r="IU22" s="128">
        <v>80</v>
      </c>
      <c r="IV22" s="32">
        <v>0</v>
      </c>
      <c r="IW22" s="106">
        <f t="shared" si="261"/>
        <v>840</v>
      </c>
      <c r="IX22" s="8"/>
      <c r="IY22" s="37">
        <f t="shared" si="190"/>
        <v>840</v>
      </c>
      <c r="IZ22" s="125">
        <f>IFERROR(VLOOKUP($D22,'Adient Assende (Belgium) WK.17'!$B:HZ,JA$1,0),0)</f>
        <v>80</v>
      </c>
      <c r="JA22" s="55">
        <f>IFERROR(VLOOKUP($D22,'Adient Arendal (Malzia) WK.12'!$B:IA,JA$1,0),0)</f>
        <v>0</v>
      </c>
      <c r="JB22" s="55">
        <f>IFERROR(VLOOKUP($D22,'Adient Taizhou (China) WK.16'!$B:ID,JA$1,0),0)</f>
        <v>0</v>
      </c>
      <c r="JC22" s="128">
        <v>0</v>
      </c>
      <c r="JD22" s="32">
        <v>0</v>
      </c>
      <c r="JE22" s="106">
        <f t="shared" si="191"/>
        <v>840</v>
      </c>
      <c r="JF22" s="8"/>
      <c r="JG22" s="37">
        <f t="shared" si="192"/>
        <v>840</v>
      </c>
      <c r="JH22" s="125">
        <f>IFERROR(VLOOKUP($D22,'Adient Assende (Belgium) WK.17'!$B:IH,JI$1,0),0)</f>
        <v>0</v>
      </c>
      <c r="JI22" s="55">
        <f>IFERROR(VLOOKUP($D22,'Adient Arendal (Malzia) WK.12'!$B:II,JI$1,0),0)</f>
        <v>0</v>
      </c>
      <c r="JJ22" s="55">
        <f>IFERROR(VLOOKUP($D22,'Adient Taizhou (China) WK.16'!$B:IL,JI$1,0),0)</f>
        <v>0</v>
      </c>
      <c r="JK22" s="60">
        <v>0</v>
      </c>
      <c r="JL22" s="128">
        <v>160</v>
      </c>
      <c r="JM22" s="32">
        <v>0</v>
      </c>
      <c r="JN22" s="106">
        <f t="shared" si="262"/>
        <v>680</v>
      </c>
      <c r="JO22" s="8"/>
      <c r="JP22" s="37">
        <f t="shared" si="193"/>
        <v>680</v>
      </c>
      <c r="JQ22" s="125">
        <f>IFERROR(VLOOKUP($D22,'Adient Assende (Belgium) WK.17'!$B:IP,JR$1,0),0)</f>
        <v>160</v>
      </c>
      <c r="JR22" s="55">
        <f>IFERROR(VLOOKUP($D22,'Adient Arendal (Malzia) WK.12'!$B:IQ,JR$1,0),0)</f>
        <v>0</v>
      </c>
      <c r="JS22" s="55">
        <f>IFERROR(VLOOKUP($D22,'Adient Taizhou (China) WK.16'!$B:IT,JR$1,0),0)</f>
        <v>0</v>
      </c>
      <c r="JT22" s="128">
        <v>0</v>
      </c>
      <c r="JU22" s="32">
        <v>0</v>
      </c>
      <c r="JV22" s="106">
        <f t="shared" si="194"/>
        <v>680</v>
      </c>
      <c r="JW22" s="8"/>
      <c r="JX22" s="189">
        <f>JV22-20</f>
        <v>660</v>
      </c>
      <c r="JY22" s="154">
        <f>IFERROR(VLOOKUP($D22,'Adient Assende (Belgium) WK.17'!$B:IX,JZ$1,0),0)</f>
        <v>0</v>
      </c>
      <c r="JZ22" s="55">
        <f>IFERROR(VLOOKUP($D22,'Adient Arendal (Malzia) WK.12'!$B:IY,JZ$1,0),0)</f>
        <v>0</v>
      </c>
      <c r="KA22" s="55">
        <f>IFERROR(VLOOKUP($D22,'Adient Taizhou (China) WK.16'!$B:JB,JZ$1,0),0)</f>
        <v>0</v>
      </c>
      <c r="KB22" s="128">
        <v>80</v>
      </c>
      <c r="KC22" s="32">
        <v>0</v>
      </c>
      <c r="KD22" s="106">
        <f t="shared" si="263"/>
        <v>580</v>
      </c>
      <c r="KE22" s="8"/>
      <c r="KF22" s="37">
        <f t="shared" si="196"/>
        <v>580</v>
      </c>
      <c r="KG22" s="125">
        <f>IFERROR(VLOOKUP($D22,'Adient Assende (Belgium) WK.17'!$B:JF,KH$1,0),0)</f>
        <v>80</v>
      </c>
      <c r="KH22" s="55">
        <f>IFERROR(VLOOKUP($D22,'Adient Arendal (Malzia) WK.12'!$B:JG,KH$1,0),0)</f>
        <v>0</v>
      </c>
      <c r="KI22" s="55">
        <f>IFERROR(VLOOKUP($D22,'Adient Taizhou (China) WK.16'!$B:JJ,KH$1,0),0)</f>
        <v>0</v>
      </c>
      <c r="KJ22" s="60">
        <v>0</v>
      </c>
      <c r="KK22" s="128">
        <v>240</v>
      </c>
      <c r="KL22" s="32">
        <v>0</v>
      </c>
      <c r="KM22" s="106">
        <f t="shared" si="264"/>
        <v>340</v>
      </c>
      <c r="KN22" s="8"/>
      <c r="KO22" s="37">
        <f t="shared" si="197"/>
        <v>340</v>
      </c>
      <c r="KP22" s="141">
        <f>IFERROR(VLOOKUP($D22,'Adient Assende (Belgium) WK.17'!$B:JN,KQ$1,0),0)</f>
        <v>240</v>
      </c>
      <c r="KQ22" s="140">
        <f>IFERROR(VLOOKUP($D22,'Adient Arendal (Malzia) WK.12'!$B:JO,KQ$1,0),0)</f>
        <v>0</v>
      </c>
      <c r="KR22" s="140">
        <f>IFERROR(VLOOKUP($D22,'Adient Taizhou (China) WK.16'!$B:JR,KQ$1,0),0)</f>
        <v>0</v>
      </c>
      <c r="KS22" s="60">
        <v>760</v>
      </c>
      <c r="KT22" s="128">
        <v>160</v>
      </c>
      <c r="KU22" s="32">
        <v>0</v>
      </c>
      <c r="KV22" s="106">
        <f t="shared" si="265"/>
        <v>940</v>
      </c>
      <c r="KX22" s="37">
        <f t="shared" si="198"/>
        <v>940</v>
      </c>
      <c r="KY22" s="141">
        <f>IFERROR(VLOOKUP($D22,'Adient Assende (Belgium) WK.17'!$B:JV,KZ$1,0),0)</f>
        <v>160</v>
      </c>
      <c r="KZ22" s="140">
        <f>IFERROR(VLOOKUP($D22,'Adient Arendal (Malzia) WK.12'!$B:JW,KZ$1,0),0)</f>
        <v>0</v>
      </c>
      <c r="LA22" s="140">
        <f>IFERROR(VLOOKUP($D22,'Adient Taizhou (China) WK.16'!$B:JZ,KZ$1,0),0)</f>
        <v>0</v>
      </c>
      <c r="LB22" s="128">
        <v>0</v>
      </c>
      <c r="LC22" s="32">
        <v>0</v>
      </c>
      <c r="LD22" s="106">
        <f t="shared" si="266"/>
        <v>940</v>
      </c>
      <c r="LF22" s="37">
        <f t="shared" si="199"/>
        <v>940</v>
      </c>
      <c r="LG22" s="141">
        <f>IFERROR(VLOOKUP($D22,'Adient Assende (Belgium) WK.17'!$B:KD,LH$1,0),0)</f>
        <v>80</v>
      </c>
      <c r="LH22" s="140">
        <f>IFERROR(VLOOKUP($D22,'Adient Arendal (Malzia) WK.12'!$B:KE,LH$1,0),0)</f>
        <v>0</v>
      </c>
      <c r="LI22" s="140">
        <f>IFERROR(VLOOKUP($D22,'Adient Taizhou (China) WK.16'!$B:KH,LH$1,0),0)</f>
        <v>0</v>
      </c>
      <c r="LJ22" s="60">
        <v>0</v>
      </c>
      <c r="LK22" s="128">
        <v>0</v>
      </c>
      <c r="LL22" s="32">
        <v>0</v>
      </c>
      <c r="LM22" s="100">
        <f t="shared" si="267"/>
        <v>860</v>
      </c>
      <c r="LO22" s="37">
        <f t="shared" si="200"/>
        <v>860</v>
      </c>
      <c r="LP22" s="141">
        <f>IFERROR(VLOOKUP($D22,'Adient Assende (Belgium) WK.17'!$B:KL,LQ$1,0),0)</f>
        <v>160</v>
      </c>
      <c r="LQ22" s="140">
        <f>IFERROR(VLOOKUP($D22,'Adient Arendal (Malzia) WK.12'!$B:KM,LQ$1,0),0)</f>
        <v>0</v>
      </c>
      <c r="LR22" s="140">
        <f>IFERROR(VLOOKUP($D22,'Adient Taizhou (China) WK.16'!$B:KP,LQ$1,0),0)</f>
        <v>0</v>
      </c>
      <c r="LS22" s="128">
        <v>0</v>
      </c>
      <c r="LT22" s="32">
        <v>0</v>
      </c>
      <c r="LU22" s="100">
        <f t="shared" si="268"/>
        <v>700</v>
      </c>
      <c r="LW22" s="37">
        <f t="shared" si="201"/>
        <v>700</v>
      </c>
      <c r="LX22" s="141">
        <f>IFERROR(VLOOKUP($D22,'Adient Assende (Belgium) WK.17'!$B:KT,LY$1,0),0)</f>
        <v>320</v>
      </c>
      <c r="LY22" s="140">
        <f>IFERROR(VLOOKUP($D22,'Adient Arendal (Malzia) WK.12'!$B:KU,LY$1,0),0)</f>
        <v>0</v>
      </c>
      <c r="LZ22" s="140">
        <f>IFERROR(VLOOKUP($D22,'Adient Taizhou (China) WK.16'!$B:KX,LY$1,0),0)</f>
        <v>0</v>
      </c>
      <c r="MA22" s="128">
        <v>0</v>
      </c>
      <c r="MB22" s="32">
        <v>0</v>
      </c>
      <c r="MC22" s="100">
        <f t="shared" si="269"/>
        <v>380</v>
      </c>
      <c r="ME22" s="37">
        <f t="shared" si="202"/>
        <v>380</v>
      </c>
      <c r="MF22" s="154">
        <f>IFERROR(VLOOKUP($D22,'Adient Assende (Belgium) WK.17'!$B:LB,MG$1,0),0)</f>
        <v>0</v>
      </c>
      <c r="MG22" s="140">
        <f>IFERROR(VLOOKUP($D22,'Adient Arendal (Malzia) WK.12'!$B:LC,MG$1,0),0)</f>
        <v>0</v>
      </c>
      <c r="MH22" s="140">
        <f>IFERROR(VLOOKUP($D22,'Adient Taizhou (China) WK.16'!$B:LF,MG$1,0),0)</f>
        <v>0</v>
      </c>
      <c r="MI22" s="128">
        <v>0</v>
      </c>
      <c r="MJ22" s="32">
        <v>0</v>
      </c>
      <c r="MK22" s="100">
        <f t="shared" si="270"/>
        <v>380</v>
      </c>
      <c r="MM22" s="37">
        <f t="shared" si="203"/>
        <v>380</v>
      </c>
      <c r="MN22" s="141">
        <f>IFERROR(VLOOKUP($D22,'Adient Assende (Belgium) WK.17'!$B:LJ,MO$1,0),0)</f>
        <v>160</v>
      </c>
      <c r="MO22" s="140">
        <f>IFERROR(VLOOKUP($D22,'Adient Arendal (Malzia) WK.12'!$B:LK,MO$1,0),0)</f>
        <v>0</v>
      </c>
      <c r="MP22" s="140">
        <f>IFERROR(VLOOKUP($D22,'Adient Taizhou (China) WK.16'!$B:LN,MO$1,0),0)</f>
        <v>0</v>
      </c>
      <c r="MQ22" s="128">
        <v>0</v>
      </c>
      <c r="MR22" s="32">
        <v>0</v>
      </c>
      <c r="MS22" s="100">
        <f t="shared" si="271"/>
        <v>220</v>
      </c>
      <c r="MU22" s="37">
        <f t="shared" si="204"/>
        <v>220</v>
      </c>
      <c r="MV22" s="141">
        <f>IFERROR(VLOOKUP($D22,'Adient Assende (Belgium) WK.17'!$B:LR,MW$1,0),0)</f>
        <v>160</v>
      </c>
      <c r="MW22" s="140">
        <f>IFERROR(VLOOKUP($D22,'Adient Arendal (Malzia) WK.12'!$B:LS,MW$1,0),0)</f>
        <v>0</v>
      </c>
      <c r="MX22" s="140">
        <f>IFERROR(VLOOKUP($D22,'Adient Taizhou (China) WK.16'!$B:LV,MW$1,0),0)</f>
        <v>0</v>
      </c>
      <c r="MY22" s="128">
        <v>0</v>
      </c>
      <c r="MZ22" s="32">
        <v>0</v>
      </c>
      <c r="NA22" s="100">
        <f t="shared" si="272"/>
        <v>60</v>
      </c>
      <c r="NC22" s="37">
        <f t="shared" si="205"/>
        <v>60</v>
      </c>
      <c r="ND22" s="141">
        <f>IFERROR(VLOOKUP($D22,'Adient Assende (Belgium) WK.17'!$B:LZ,NE$1,0),0)</f>
        <v>240</v>
      </c>
      <c r="NE22" s="140">
        <f>IFERROR(VLOOKUP($D22,'Adient Arendal (Malzia) WK.12'!$B:MA,NE$1,0),0)</f>
        <v>0</v>
      </c>
      <c r="NF22" s="140">
        <f>IFERROR(VLOOKUP($D22,'Adient Taizhou (China) WK.16'!$B:MD,NE$1,0),0)</f>
        <v>0</v>
      </c>
      <c r="NG22" s="128">
        <v>0</v>
      </c>
      <c r="NH22" s="32">
        <v>0</v>
      </c>
      <c r="NI22" s="100">
        <f t="shared" si="273"/>
        <v>-180</v>
      </c>
      <c r="NK22" s="37">
        <f t="shared" si="206"/>
        <v>-180</v>
      </c>
      <c r="NL22" s="141">
        <f>IFERROR(VLOOKUP($D22,'Adient Assende (Belgium) WK.17'!$B:MH,NM$1,0),0)</f>
        <v>240</v>
      </c>
      <c r="NM22" s="140">
        <f>IFERROR(VLOOKUP($D22,'Adient Arendal (Malzia) WK.12'!$B:MI,NM$1,0),0)</f>
        <v>0</v>
      </c>
      <c r="NN22" s="140">
        <f>IFERROR(VLOOKUP($D22,'Adient Taizhou (China) WK.16'!$B:ML,NM$1,0),0)</f>
        <v>0</v>
      </c>
      <c r="NO22" s="128">
        <v>0</v>
      </c>
      <c r="NP22" s="32">
        <v>0</v>
      </c>
      <c r="NQ22" s="100">
        <f t="shared" si="274"/>
        <v>-420</v>
      </c>
      <c r="NS22" s="37">
        <f t="shared" si="207"/>
        <v>-420</v>
      </c>
      <c r="NT22" s="141">
        <f>IFERROR(VLOOKUP($D22,'Adient Assende (Belgium) WK.17'!$B:MP,NU$1,0),0)</f>
        <v>240</v>
      </c>
      <c r="NU22" s="140">
        <f>IFERROR(VLOOKUP($D22,'Adient Arendal (Malzia) WK.12'!$B:MQ,NU$1,0),0)</f>
        <v>0</v>
      </c>
      <c r="NV22" s="140">
        <f>IFERROR(VLOOKUP($D22,'Adient Taizhou (China) WK.16'!$B:MT,NU$1,0),0)</f>
        <v>0</v>
      </c>
      <c r="NW22" s="128">
        <v>0</v>
      </c>
      <c r="NX22" s="32">
        <v>0</v>
      </c>
      <c r="NY22" s="100">
        <f t="shared" si="275"/>
        <v>-660</v>
      </c>
      <c r="OA22" s="37">
        <f t="shared" si="208"/>
        <v>-660</v>
      </c>
      <c r="OB22" s="141">
        <f>IFERROR(VLOOKUP($D22,'Adient Assende (Belgium) WK.17'!$B:MX,OC$1,0),0)</f>
        <v>240</v>
      </c>
      <c r="OC22" s="140">
        <f>IFERROR(VLOOKUP($D22,'Adient Arendal (Malzia) WK.12'!$B:MY,OC$1,0),0)</f>
        <v>0</v>
      </c>
      <c r="OD22" s="140">
        <f>IFERROR(VLOOKUP($D22,'Adient Taizhou (China) WK.16'!$B:NB,OC$1,0),0)</f>
        <v>0</v>
      </c>
      <c r="OE22" s="128">
        <v>0</v>
      </c>
      <c r="OF22" s="32">
        <v>0</v>
      </c>
      <c r="OG22" s="100">
        <f t="shared" si="276"/>
        <v>-900</v>
      </c>
      <c r="OI22" s="37">
        <f t="shared" si="209"/>
        <v>-900</v>
      </c>
      <c r="OJ22" s="141">
        <f>IFERROR(VLOOKUP($D22,'Adient Assende (Belgium) WK.17'!$B:NF,OK$1,0),0)</f>
        <v>320</v>
      </c>
      <c r="OK22" s="140">
        <f>IFERROR(VLOOKUP($D22,'Adient Arendal (Malzia) WK.12'!$B:NG,OK$1,0),0)</f>
        <v>0</v>
      </c>
      <c r="OL22" s="140">
        <f>IFERROR(VLOOKUP($D22,'Adient Taizhou (China) WK.16'!$B:NJ,OK$1,0),0)</f>
        <v>0</v>
      </c>
      <c r="OM22" s="128">
        <v>0</v>
      </c>
      <c r="ON22" s="32">
        <v>0</v>
      </c>
      <c r="OO22" s="100">
        <f t="shared" si="277"/>
        <v>-1220</v>
      </c>
      <c r="OQ22" s="37">
        <f t="shared" si="210"/>
        <v>-1220</v>
      </c>
      <c r="OR22" s="141">
        <f>IFERROR(VLOOKUP($D22,'Adient Assende (Belgium) WK.17'!$B:NN,OS$1,0),0)</f>
        <v>0</v>
      </c>
      <c r="OS22" s="140">
        <f>IFERROR(VLOOKUP($D22,'Adient Arendal (Malzia) WK.12'!$B:NO,OS$1,0),0)</f>
        <v>0</v>
      </c>
      <c r="OT22" s="140">
        <f>IFERROR(VLOOKUP($D22,'Adient Taizhou (China) WK.16'!$B:NR,OS$1,0),0)</f>
        <v>0</v>
      </c>
      <c r="OU22" s="128">
        <v>0</v>
      </c>
      <c r="OV22" s="32">
        <v>0</v>
      </c>
      <c r="OW22" s="100">
        <f t="shared" si="278"/>
        <v>-1220</v>
      </c>
      <c r="OY22" s="37">
        <f t="shared" si="211"/>
        <v>-1220</v>
      </c>
      <c r="OZ22" s="141">
        <f>IFERROR(VLOOKUP($D22,'Adient Assende (Belgium) WK.17'!$B:NV,PA$1,0),0)</f>
        <v>0</v>
      </c>
      <c r="PA22" s="140">
        <f>IFERROR(VLOOKUP($D22,'Adient Arendal (Malzia) WK.12'!$B:NW,PA$1,0),0)</f>
        <v>0</v>
      </c>
      <c r="PB22" s="140">
        <f>IFERROR(VLOOKUP($D22,'Adient Taizhou (China) WK.16'!$B:NZ,PA$1,0),0)</f>
        <v>0</v>
      </c>
      <c r="PC22" s="128">
        <v>0</v>
      </c>
      <c r="PD22" s="32">
        <v>0</v>
      </c>
      <c r="PE22" s="100">
        <f t="shared" si="279"/>
        <v>-1220</v>
      </c>
      <c r="PG22" s="37">
        <f t="shared" si="212"/>
        <v>-1220</v>
      </c>
      <c r="PH22" s="141">
        <f>IFERROR(VLOOKUP($D22,'Adient Assende (Belgium) WK.17'!$B:OD,PI$1,0),0)</f>
        <v>0</v>
      </c>
      <c r="PI22" s="140">
        <f>IFERROR(VLOOKUP($D22,'Adient Arendal (Malzia) WK.12'!$B:OE,PI$1,0),0)</f>
        <v>0</v>
      </c>
      <c r="PJ22" s="140">
        <f>IFERROR(VLOOKUP($D22,'Adient Taizhou (China) WK.16'!$B:OH,PI$1,0),0)</f>
        <v>0</v>
      </c>
      <c r="PK22" s="128">
        <v>0</v>
      </c>
      <c r="PL22" s="32">
        <v>0</v>
      </c>
      <c r="PM22" s="100">
        <f t="shared" si="280"/>
        <v>-1220</v>
      </c>
      <c r="PO22" s="37">
        <f t="shared" si="213"/>
        <v>-1220</v>
      </c>
      <c r="PP22" s="141">
        <f>IFERROR(VLOOKUP($D22,'Adient Assende (Belgium) WK.17'!$B:OL,PQ$1,0),0)</f>
        <v>0</v>
      </c>
      <c r="PQ22" s="140">
        <f>IFERROR(VLOOKUP($D22,'Adient Arendal (Malzia) WK.12'!$B:OM,PQ$1,0),0)</f>
        <v>0</v>
      </c>
      <c r="PR22" s="140">
        <f>IFERROR(VLOOKUP($D22,'Adient Taizhou (China) WK.16'!$B:OP,PQ$1,0),0)</f>
        <v>0</v>
      </c>
      <c r="PS22" s="128">
        <v>0</v>
      </c>
      <c r="PT22" s="32">
        <v>0</v>
      </c>
      <c r="PU22" s="100">
        <f t="shared" si="281"/>
        <v>-1220</v>
      </c>
      <c r="PW22" s="37">
        <f t="shared" si="214"/>
        <v>-1220</v>
      </c>
      <c r="PX22" s="141">
        <f>IFERROR(VLOOKUP($D22,'Adient Assende (Belgium) WK.17'!$B:OT,PY$1,0),0)</f>
        <v>160</v>
      </c>
      <c r="PY22" s="140">
        <f>IFERROR(VLOOKUP($D22,'Adient Arendal (Malzia) WK.12'!$B:OU,PY$1,0),0)</f>
        <v>0</v>
      </c>
      <c r="PZ22" s="140">
        <f>IFERROR(VLOOKUP($D22,'Adient Taizhou (China) WK.16'!$B:OX,PY$1,0),0)</f>
        <v>0</v>
      </c>
      <c r="QA22" s="128">
        <v>0</v>
      </c>
      <c r="QB22" s="32">
        <v>0</v>
      </c>
      <c r="QC22" s="100">
        <f t="shared" si="282"/>
        <v>-1380</v>
      </c>
      <c r="QE22" s="37">
        <f t="shared" si="215"/>
        <v>-1380</v>
      </c>
      <c r="QF22" s="141">
        <f>IFERROR(VLOOKUP($D22,'Adient Assende (Belgium) WK.17'!$B:PB,QG$1,0),0)</f>
        <v>160</v>
      </c>
      <c r="QG22" s="140">
        <f>IFERROR(VLOOKUP($D22,'Adient Arendal (Malzia) WK.12'!$B:PC,QG$1,0),0)</f>
        <v>0</v>
      </c>
      <c r="QH22" s="140">
        <f>IFERROR(VLOOKUP($D22,'Adient Taizhou (China) WK.16'!$B:PF,QG$1,0),0)</f>
        <v>0</v>
      </c>
      <c r="QI22" s="128">
        <v>0</v>
      </c>
      <c r="QJ22" s="32">
        <v>0</v>
      </c>
      <c r="QK22" s="100">
        <f t="shared" si="283"/>
        <v>-1540</v>
      </c>
      <c r="QM22" s="37">
        <f t="shared" si="216"/>
        <v>-1540</v>
      </c>
      <c r="QN22" s="141">
        <f>IFERROR(VLOOKUP($D22,'Adient Assende (Belgium) WK.17'!$B:PJ,QO$1,0),0)</f>
        <v>160</v>
      </c>
      <c r="QO22" s="140">
        <f>IFERROR(VLOOKUP($D22,'Adient Arendal (Malzia) WK.12'!$B:PK,QO$1,0),0)</f>
        <v>0</v>
      </c>
      <c r="QP22" s="140">
        <f>IFERROR(VLOOKUP($D22,'Adient Taizhou (China) WK.16'!$B:PN,QO$1,0),0)</f>
        <v>0</v>
      </c>
      <c r="QQ22" s="128">
        <v>0</v>
      </c>
      <c r="QR22" s="32">
        <v>0</v>
      </c>
      <c r="QS22" s="100">
        <f t="shared" si="284"/>
        <v>-1700</v>
      </c>
      <c r="QU22" s="37">
        <f t="shared" si="217"/>
        <v>-1700</v>
      </c>
      <c r="QV22" s="141">
        <f>IFERROR(VLOOKUP($D22,'Adient Assende (Belgium) WK.17'!$B:PR,QW$1,0),0)</f>
        <v>160</v>
      </c>
      <c r="QW22" s="140">
        <f>IFERROR(VLOOKUP($D22,'Adient Arendal (Malzia) WK.12'!$B:PS,QW$1,0),0)</f>
        <v>0</v>
      </c>
      <c r="QX22" s="140">
        <f>IFERROR(VLOOKUP($D22,'Adient Taizhou (China) WK.16'!$B:PV,QW$1,0),0)</f>
        <v>0</v>
      </c>
      <c r="QY22" s="128">
        <v>0</v>
      </c>
      <c r="QZ22" s="32">
        <v>0</v>
      </c>
      <c r="RA22" s="100">
        <f t="shared" si="285"/>
        <v>-1860</v>
      </c>
      <c r="RC22" s="37">
        <f t="shared" si="218"/>
        <v>-1860</v>
      </c>
      <c r="RD22" s="141">
        <f>IFERROR(VLOOKUP($D22,'Adient Assende (Belgium) WK.17'!$B:PZ,RE$1,0),0)</f>
        <v>160</v>
      </c>
      <c r="RE22" s="140">
        <f>IFERROR(VLOOKUP($D22,'Adient Arendal (Malzia) WK.12'!$B:QA,RE$1,0),0)</f>
        <v>0</v>
      </c>
      <c r="RF22" s="140">
        <f>IFERROR(VLOOKUP($D22,'Adient Taizhou (China) WK.16'!$B:QD,RE$1,0),0)</f>
        <v>0</v>
      </c>
      <c r="RG22" s="128">
        <v>0</v>
      </c>
      <c r="RH22" s="32">
        <v>0</v>
      </c>
      <c r="RI22" s="100">
        <f t="shared" si="286"/>
        <v>-2020</v>
      </c>
      <c r="RK22" s="37">
        <f t="shared" si="219"/>
        <v>-2020</v>
      </c>
      <c r="RL22" s="141">
        <f>IFERROR(VLOOKUP($D22,'Adient Assende (Belgium) WK.17'!$B:QH,RM$1,0),0)</f>
        <v>160</v>
      </c>
      <c r="RM22" s="140">
        <f>IFERROR(VLOOKUP($D22,'Adient Arendal (Malzia) WK.12'!$B:QI,RM$1,0),0)</f>
        <v>0</v>
      </c>
      <c r="RN22" s="140">
        <f>IFERROR(VLOOKUP($D22,'Adient Taizhou (China) WK.16'!$B:QL,RM$1,0),0)</f>
        <v>0</v>
      </c>
      <c r="RO22" s="128">
        <v>0</v>
      </c>
      <c r="RP22" s="32">
        <v>0</v>
      </c>
      <c r="RQ22" s="100">
        <f t="shared" si="287"/>
        <v>-2180</v>
      </c>
      <c r="RS22" s="37">
        <f t="shared" si="220"/>
        <v>-2180</v>
      </c>
      <c r="RT22" s="141">
        <f>IFERROR(VLOOKUP($D22,'Adient Assende (Belgium) WK.17'!$B:QP,RU$1,0),0)</f>
        <v>160</v>
      </c>
      <c r="RU22" s="140">
        <f>IFERROR(VLOOKUP($D22,'Adient Arendal (Malzia) WK.12'!$B:QQ,RU$1,0),0)</f>
        <v>0</v>
      </c>
      <c r="RV22" s="140">
        <f>IFERROR(VLOOKUP($D22,'Adient Taizhou (China) WK.16'!$B:QT,RU$1,0),0)</f>
        <v>0</v>
      </c>
      <c r="RW22" s="128">
        <v>0</v>
      </c>
      <c r="RX22" s="32">
        <v>0</v>
      </c>
      <c r="RY22" s="100">
        <f t="shared" si="288"/>
        <v>-2340</v>
      </c>
      <c r="SA22" s="37">
        <f t="shared" si="221"/>
        <v>-2340</v>
      </c>
      <c r="SB22" s="141">
        <f>IFERROR(VLOOKUP($D22,'Adient Assende (Belgium) WK.17'!$B:QX,SC$1,0),0)</f>
        <v>140</v>
      </c>
      <c r="SC22" s="140">
        <f>IFERROR(VLOOKUP($D22,'Adient Arendal (Malzia) WK.12'!$B:QY,SC$1,0),0)</f>
        <v>0</v>
      </c>
      <c r="SD22" s="140">
        <f>IFERROR(VLOOKUP($D22,'Adient Taizhou (China) WK.16'!$B:RB,SC$1,0),0)</f>
        <v>0</v>
      </c>
      <c r="SE22" s="128">
        <v>0</v>
      </c>
      <c r="SF22" s="32">
        <v>0</v>
      </c>
      <c r="SG22" s="100">
        <f t="shared" si="289"/>
        <v>-2480</v>
      </c>
      <c r="SI22" s="37">
        <f t="shared" si="222"/>
        <v>-2480</v>
      </c>
      <c r="SJ22" s="141">
        <f>IFERROR(VLOOKUP($D22,'Adient Assende (Belgium) WK.17'!$B:RF,SK$1,0),0)</f>
        <v>140</v>
      </c>
      <c r="SK22" s="140">
        <f>IFERROR(VLOOKUP($D22,'Adient Arendal (Malzia) WK.12'!$B:RG,SK$1,0),0)</f>
        <v>0</v>
      </c>
      <c r="SL22" s="140">
        <f>IFERROR(VLOOKUP($D22,'Adient Taizhou (China) WK.16'!$B:RJ,SK$1,0),0)</f>
        <v>0</v>
      </c>
      <c r="SM22" s="128">
        <v>0</v>
      </c>
      <c r="SN22" s="32">
        <v>0</v>
      </c>
      <c r="SO22" s="100">
        <f t="shared" si="290"/>
        <v>-2620</v>
      </c>
      <c r="SQ22" s="37">
        <f t="shared" si="223"/>
        <v>-2620</v>
      </c>
      <c r="SR22" s="141">
        <f>IFERROR(VLOOKUP($D22,'Adient Assende (Belgium) WK.17'!$B:RN,SS$1,0),0)</f>
        <v>140</v>
      </c>
      <c r="SS22" s="140">
        <f>IFERROR(VLOOKUP($D22,'Adient Arendal (Malzia) WK.12'!$B:RO,SS$1,0),0)</f>
        <v>0</v>
      </c>
      <c r="ST22" s="140">
        <f>IFERROR(VLOOKUP($D22,'Adient Taizhou (China) WK.16'!$B:RR,SS$1,0),0)</f>
        <v>0</v>
      </c>
      <c r="SU22" s="128">
        <v>0</v>
      </c>
      <c r="SV22" s="32">
        <v>0</v>
      </c>
      <c r="SW22" s="100">
        <f t="shared" si="291"/>
        <v>-2760</v>
      </c>
      <c r="SY22" s="37">
        <f t="shared" si="224"/>
        <v>-2760</v>
      </c>
      <c r="SZ22" s="141">
        <f>IFERROR(VLOOKUP($D22,'Adient Assende (Belgium) WK.17'!$B:RV,TA$1,0),0)</f>
        <v>140</v>
      </c>
      <c r="TA22" s="140">
        <f>IFERROR(VLOOKUP($D22,'Adient Arendal (Malzia) WK.12'!$B:RW,TA$1,0),0)</f>
        <v>0</v>
      </c>
      <c r="TB22" s="140">
        <f>IFERROR(VLOOKUP($D22,'Adient Taizhou (China) WK.16'!$B:RZ,TA$1,0),0)</f>
        <v>0</v>
      </c>
      <c r="TC22" s="128">
        <v>0</v>
      </c>
      <c r="TD22" s="32">
        <v>0</v>
      </c>
      <c r="TE22" s="100">
        <f t="shared" si="292"/>
        <v>-2900</v>
      </c>
      <c r="TG22" s="37">
        <f t="shared" si="225"/>
        <v>-2900</v>
      </c>
      <c r="TH22" s="141">
        <f>IFERROR(VLOOKUP($D22,'Adient Assende (Belgium) WK.17'!$B:SD,TI$1,0),0)</f>
        <v>290</v>
      </c>
      <c r="TI22" s="140">
        <f>IFERROR(VLOOKUP($D22,'Adient Arendal (Malzia) WK.12'!$B:SE,TI$1,0),0)</f>
        <v>0</v>
      </c>
      <c r="TJ22" s="140">
        <f>IFERROR(VLOOKUP($D22,'Adient Taizhou (China) WK.16'!$B:SH,TI$1,0),0)</f>
        <v>0</v>
      </c>
      <c r="TK22" s="128">
        <v>0</v>
      </c>
      <c r="TL22" s="32">
        <v>0</v>
      </c>
      <c r="TM22" s="100">
        <f t="shared" si="293"/>
        <v>-3190</v>
      </c>
      <c r="TO22" s="37">
        <f t="shared" si="226"/>
        <v>-3190</v>
      </c>
      <c r="TP22" s="141">
        <f>IFERROR(VLOOKUP($D22,'Adient Assende (Belgium) WK.17'!$B:SL,TQ$1,0),0)</f>
        <v>290</v>
      </c>
      <c r="TQ22" s="140">
        <f>IFERROR(VLOOKUP($D22,'Adient Arendal (Malzia) WK.12'!$B:SM,TQ$1,0),0)</f>
        <v>0</v>
      </c>
      <c r="TR22" s="140">
        <f>IFERROR(VLOOKUP($D22,'Adient Taizhou (China) WK.16'!$B:SP,TQ$1,0),0)</f>
        <v>0</v>
      </c>
      <c r="TS22" s="128">
        <v>0</v>
      </c>
      <c r="TT22" s="32">
        <v>0</v>
      </c>
      <c r="TU22" s="100">
        <f t="shared" si="294"/>
        <v>-3480</v>
      </c>
      <c r="TW22" s="37">
        <f t="shared" si="227"/>
        <v>-3480</v>
      </c>
      <c r="TX22" s="141">
        <f>IFERROR(VLOOKUP($D22,'Adient Assende (Belgium) WK.17'!$B:ST,TY$1,0),0)</f>
        <v>290</v>
      </c>
      <c r="TY22" s="140">
        <f>IFERROR(VLOOKUP($D22,'Adient Arendal (Malzia) WK.12'!$B:SU,TY$1,0),0)</f>
        <v>0</v>
      </c>
      <c r="TZ22" s="140">
        <f>IFERROR(VLOOKUP($D22,'Adient Taizhou (China) WK.16'!$B:SX,TY$1,0),0)</f>
        <v>0</v>
      </c>
      <c r="UA22" s="128">
        <v>0</v>
      </c>
      <c r="UB22" s="32">
        <v>0</v>
      </c>
      <c r="UC22" s="100">
        <f t="shared" si="295"/>
        <v>-3770</v>
      </c>
      <c r="UE22" s="37">
        <f t="shared" si="228"/>
        <v>-3770</v>
      </c>
      <c r="UF22" s="141">
        <f>IFERROR(VLOOKUP($D22,'Adient Assende (Belgium) WK.17'!$B:TB,UG$1,0),0)</f>
        <v>290</v>
      </c>
      <c r="UG22" s="140">
        <f>IFERROR(VLOOKUP($D22,'Adient Arendal (Malzia) WK.12'!$B:TC,UG$1,0),0)</f>
        <v>0</v>
      </c>
      <c r="UH22" s="140">
        <f>IFERROR(VLOOKUP($D22,'Adient Taizhou (China) WK.16'!$B:TF,UG$1,0),0)</f>
        <v>0</v>
      </c>
      <c r="UI22" s="128">
        <v>0</v>
      </c>
      <c r="UJ22" s="32">
        <v>0</v>
      </c>
      <c r="UK22" s="100">
        <f t="shared" si="296"/>
        <v>-4060</v>
      </c>
      <c r="UM22" s="37">
        <f t="shared" si="229"/>
        <v>-4060</v>
      </c>
      <c r="UN22" s="141">
        <f>IFERROR(VLOOKUP($D22,'Adient Assende (Belgium) WK.17'!$B:TJ,UO$1,0),0)</f>
        <v>280</v>
      </c>
      <c r="UO22" s="140">
        <f>IFERROR(VLOOKUP($D22,'Adient Arendal (Malzia) WK.12'!$B:TK,UO$1,0),0)</f>
        <v>0</v>
      </c>
      <c r="UP22" s="140">
        <f>IFERROR(VLOOKUP($D22,'Adient Taizhou (China) WK.16'!$B:TN,UO$1,0),0)</f>
        <v>0</v>
      </c>
      <c r="UQ22" s="128">
        <v>0</v>
      </c>
      <c r="UR22" s="32">
        <v>0</v>
      </c>
      <c r="US22" s="100">
        <f t="shared" si="297"/>
        <v>-4340</v>
      </c>
      <c r="UU22" s="37">
        <f t="shared" si="230"/>
        <v>-4340</v>
      </c>
      <c r="UV22" s="141">
        <f>IFERROR(VLOOKUP($D22,'Adient Assende (Belgium) WK.17'!$B:TR,UW$1,0),0)</f>
        <v>320</v>
      </c>
      <c r="UW22" s="140">
        <f>IFERROR(VLOOKUP($D22,'Adient Arendal (Malzia) WK.12'!$B:TS,UW$1,0),0)</f>
        <v>0</v>
      </c>
      <c r="UX22" s="140">
        <f>IFERROR(VLOOKUP($D22,'Adient Taizhou (China) WK.16'!$B:TV,UW$1,0),0)</f>
        <v>0</v>
      </c>
      <c r="UY22" s="128">
        <v>0</v>
      </c>
      <c r="UZ22" s="32">
        <v>0</v>
      </c>
      <c r="VA22" s="100">
        <f t="shared" si="298"/>
        <v>-4660</v>
      </c>
      <c r="VC22" s="37">
        <f t="shared" si="231"/>
        <v>-4660</v>
      </c>
      <c r="VD22" s="141">
        <f>IFERROR(VLOOKUP($D22,'Adient Assende (Belgium) WK.17'!$B:TZ,VE$1,0),0)</f>
        <v>320</v>
      </c>
      <c r="VE22" s="140">
        <f>IFERROR(VLOOKUP($D22,'Adient Arendal (Malzia) WK.12'!$B:UA,VE$1,0),0)</f>
        <v>0</v>
      </c>
      <c r="VF22" s="140">
        <f>IFERROR(VLOOKUP($D22,'Adient Taizhou (China) WK.16'!$B:UD,VE$1,0),0)</f>
        <v>0</v>
      </c>
      <c r="VG22" s="128">
        <v>0</v>
      </c>
      <c r="VH22" s="32">
        <v>0</v>
      </c>
      <c r="VI22" s="100">
        <f t="shared" si="299"/>
        <v>-4980</v>
      </c>
      <c r="VK22" s="37">
        <f t="shared" si="232"/>
        <v>-4980</v>
      </c>
      <c r="VL22" s="141">
        <f>IFERROR(VLOOKUP($D22,'Adient Assende (Belgium) WK.17'!$B:UH,VM$1,0),0)</f>
        <v>0</v>
      </c>
      <c r="VM22" s="140">
        <f>IFERROR(VLOOKUP($D22,'Adient Arendal (Malzia) WK.12'!$B:UI,VM$1,0),0)</f>
        <v>0</v>
      </c>
      <c r="VN22" s="140">
        <f>IFERROR(VLOOKUP($D22,'Adient Taizhou (China) WK.16'!$B:UL,VM$1,0),0)</f>
        <v>0</v>
      </c>
      <c r="VO22" s="128">
        <v>0</v>
      </c>
      <c r="VP22" s="32">
        <v>0</v>
      </c>
      <c r="VQ22" s="100">
        <f t="shared" si="300"/>
        <v>-4980</v>
      </c>
    </row>
    <row r="23" spans="1:589" x14ac:dyDescent="0.25">
      <c r="A23" s="10" t="s">
        <v>18</v>
      </c>
      <c r="B23" s="11" t="s">
        <v>19</v>
      </c>
      <c r="C23" s="87">
        <v>32272821</v>
      </c>
      <c r="D23" s="81">
        <v>4754918</v>
      </c>
      <c r="E23" s="11">
        <v>20</v>
      </c>
      <c r="F23" s="12"/>
      <c r="H23" s="122">
        <v>6300</v>
      </c>
      <c r="I23" s="125">
        <f>IFERROR(VLOOKUP($D23,'Adient Assende (Belgium) WK.17'!$B:C,J$1,0),0)</f>
        <v>480</v>
      </c>
      <c r="J23" s="55">
        <f>IFERROR(VLOOKUP($D23,'Adient Arendal (Malzia) WK.12'!$B:C,J$1,0),0)</f>
        <v>0</v>
      </c>
      <c r="K23" s="55">
        <f>IFERROR(VLOOKUP($D23,'Adient Taizhou (China) WK.16'!$B:C,J$1,0),0)</f>
        <v>0</v>
      </c>
      <c r="L23" s="128">
        <v>400</v>
      </c>
      <c r="M23" s="32">
        <v>0</v>
      </c>
      <c r="N23" s="106">
        <f t="shared" si="233"/>
        <v>5900</v>
      </c>
      <c r="P23" s="37">
        <f t="shared" si="234"/>
        <v>5900</v>
      </c>
      <c r="Q23" s="125">
        <f>IFERROR(VLOOKUP($D23,'Adient Assende (Belgium) WK.17'!$B:K,R$1,0),0)</f>
        <v>400</v>
      </c>
      <c r="R23" s="55">
        <f>IFERROR(VLOOKUP($D23,'Adient Arendal (Malzia) WK.12'!$B:K,R$1,0),0)</f>
        <v>0</v>
      </c>
      <c r="S23" s="55">
        <f>IFERROR(VLOOKUP($D23,'Adient Taizhou (China) WK.16'!$B:K,R$1,0),0)</f>
        <v>0</v>
      </c>
      <c r="T23" s="41">
        <v>640</v>
      </c>
      <c r="U23" s="32">
        <v>0</v>
      </c>
      <c r="V23" s="106">
        <f t="shared" si="235"/>
        <v>5260</v>
      </c>
      <c r="X23" s="37">
        <f t="shared" si="236"/>
        <v>5260</v>
      </c>
      <c r="Y23" s="125">
        <f>IFERROR(VLOOKUP($D23,'Adient Assende (Belgium) WK.17'!$B:S,Z$1,0),0)</f>
        <v>640</v>
      </c>
      <c r="Z23" s="55">
        <f>IFERROR(VLOOKUP($D23,'Adient Arendal (Malzia) WK.12'!$B:S,Z$1,0),0)</f>
        <v>0</v>
      </c>
      <c r="AA23" s="55">
        <f>IFERROR(VLOOKUP($D23,'Adient Taizhou (China) WK.16'!$B:S,Z$1,0),0)</f>
        <v>0</v>
      </c>
      <c r="AB23" s="41">
        <v>720</v>
      </c>
      <c r="AC23" s="32">
        <v>0</v>
      </c>
      <c r="AD23" s="106">
        <f t="shared" si="237"/>
        <v>4540</v>
      </c>
      <c r="AF23" s="37">
        <f t="shared" si="238"/>
        <v>4540</v>
      </c>
      <c r="AG23" s="125">
        <f>IFERROR(VLOOKUP($D23,'Adient Assende (Belgium) WK.17'!$B:AA,AH$1,0),0)</f>
        <v>720</v>
      </c>
      <c r="AH23" s="55">
        <f>IFERROR(VLOOKUP($D23,'Adient Arendal (Malzia) WK.12'!$B:AA,AH$1,0),0)</f>
        <v>0</v>
      </c>
      <c r="AI23" s="55">
        <f>IFERROR(VLOOKUP($D23,'Adient Taizhou (China) WK.16'!$B:AA,AH$1,0),0)</f>
        <v>0</v>
      </c>
      <c r="AJ23" s="41">
        <v>720</v>
      </c>
      <c r="AK23" s="32">
        <v>0</v>
      </c>
      <c r="AL23" s="106">
        <f t="shared" si="239"/>
        <v>3820</v>
      </c>
      <c r="AN23" s="37">
        <f t="shared" si="164"/>
        <v>3820</v>
      </c>
      <c r="AO23" s="125">
        <f>IFERROR(VLOOKUP($D23,'Adient Assende (Belgium) WK.17'!$B:AI,AP$1,0),0)</f>
        <v>720</v>
      </c>
      <c r="AP23" s="55">
        <f>IFERROR(VLOOKUP($D23,'Adient Arendal (Malzia) WK.12'!$B:AI,AP$1,0),0)</f>
        <v>0</v>
      </c>
      <c r="AQ23" s="55">
        <f>IFERROR(VLOOKUP($D23,'Adient Taizhou (China) WK.16'!$B:AI,AP$1,0),0)</f>
        <v>0</v>
      </c>
      <c r="AR23" s="60">
        <v>0</v>
      </c>
      <c r="AS23" s="41">
        <v>640</v>
      </c>
      <c r="AT23" s="32">
        <v>0</v>
      </c>
      <c r="AU23" s="106">
        <f t="shared" si="240"/>
        <v>3180</v>
      </c>
      <c r="AW23" s="37">
        <f t="shared" si="165"/>
        <v>3180</v>
      </c>
      <c r="AX23" s="125">
        <f>IFERROR(VLOOKUP($D23,'Adient Assende (Belgium) WK.17'!$B:AR,AY$1,0),0)</f>
        <v>640</v>
      </c>
      <c r="AY23" s="55">
        <f>IFERROR(VLOOKUP($D23,'Adient Arendal (Malzia) WK.12'!$B:AR,AY$1,0),0)</f>
        <v>0</v>
      </c>
      <c r="AZ23" s="55">
        <f>IFERROR(VLOOKUP($D23,'Adient Taizhou (China) WK.16'!$B:AU,AY$1,0),0)</f>
        <v>0</v>
      </c>
      <c r="BA23" s="41">
        <v>720</v>
      </c>
      <c r="BB23" s="32">
        <v>0</v>
      </c>
      <c r="BC23" s="106">
        <f t="shared" si="241"/>
        <v>2460</v>
      </c>
      <c r="BE23" s="37">
        <f t="shared" si="166"/>
        <v>2460</v>
      </c>
      <c r="BF23" s="125">
        <f>IFERROR(VLOOKUP($D23,'Adient Assende (Belgium) WK.17'!$B:AX,BG$1,0),0)</f>
        <v>720</v>
      </c>
      <c r="BG23" s="55">
        <f>IFERROR(VLOOKUP($D23,'Adient Arendal (Malzia) WK.12'!$B:AZ,BG$1,0),0)</f>
        <v>0</v>
      </c>
      <c r="BH23" s="55">
        <f>IFERROR(VLOOKUP($D23,'Adient Taizhou (China) WK.16'!$B:BB,BG$1,0),0)</f>
        <v>0</v>
      </c>
      <c r="BI23" s="60">
        <v>0</v>
      </c>
      <c r="BJ23" s="60">
        <v>0</v>
      </c>
      <c r="BK23" s="41">
        <v>560</v>
      </c>
      <c r="BL23" s="32">
        <v>0</v>
      </c>
      <c r="BM23" s="106">
        <f t="shared" si="242"/>
        <v>1900</v>
      </c>
      <c r="BN23" s="8"/>
      <c r="BO23" s="37">
        <f t="shared" si="167"/>
        <v>1900</v>
      </c>
      <c r="BP23" s="125">
        <f>IFERROR(VLOOKUP($D23,'Adient Assende (Belgium) WK.17'!$B:BH,BQ$1,0),0)</f>
        <v>560</v>
      </c>
      <c r="BQ23" s="55">
        <f>IFERROR(VLOOKUP($D23,'Adient Arendal (Malzia) WK.12'!$B:BI,BQ$1,0),0)</f>
        <v>0</v>
      </c>
      <c r="BR23" s="55">
        <f>IFERROR(VLOOKUP($D23,'Adient Taizhou (China) WK.16'!$B:BL,BQ$1,0),0)</f>
        <v>0</v>
      </c>
      <c r="BS23" s="60">
        <v>0</v>
      </c>
      <c r="BT23" s="60">
        <v>0</v>
      </c>
      <c r="BU23" s="60">
        <v>0</v>
      </c>
      <c r="BV23" s="41">
        <v>800</v>
      </c>
      <c r="BW23" s="32">
        <v>0</v>
      </c>
      <c r="BX23" s="106">
        <f t="shared" si="243"/>
        <v>1100</v>
      </c>
      <c r="BY23" s="8"/>
      <c r="BZ23" s="37">
        <f t="shared" si="168"/>
        <v>1100</v>
      </c>
      <c r="CA23" s="125">
        <f>IFERROR(VLOOKUP($D23,'Adient Assende (Belgium) WK.17'!$B:BS,CB$1,0),0)</f>
        <v>800</v>
      </c>
      <c r="CB23" s="55">
        <f>IFERROR(VLOOKUP($D23,'Adient Arendal (Malzia) WK.12'!$B:BT,CB$1,0),0)</f>
        <v>0</v>
      </c>
      <c r="CC23" s="55">
        <f>IFERROR(VLOOKUP($D23,'Adient Taizhou (China) WK.16'!$B:BW,CB$1,0),0)</f>
        <v>0</v>
      </c>
      <c r="CD23" s="60">
        <v>0</v>
      </c>
      <c r="CE23" s="60">
        <v>0</v>
      </c>
      <c r="CF23" s="41">
        <v>1100</v>
      </c>
      <c r="CG23" s="32">
        <v>0</v>
      </c>
      <c r="CH23" s="106">
        <f t="shared" si="244"/>
        <v>0</v>
      </c>
      <c r="CI23" s="8"/>
      <c r="CJ23" s="37">
        <f t="shared" si="169"/>
        <v>0</v>
      </c>
      <c r="CK23" s="125">
        <f>IFERROR(VLOOKUP($D23,'Adient Assende (Belgium) WK.17'!$B:CC,CL$1,0),0)</f>
        <v>1100</v>
      </c>
      <c r="CL23" s="55">
        <f>IFERROR(VLOOKUP($D23,'Adient Arendal (Malzia) WK.12'!$B:CD,CL$1,0),0)</f>
        <v>0</v>
      </c>
      <c r="CM23" s="55">
        <f>IFERROR(VLOOKUP($D23,'Adient Taizhou (China) WK.16'!$B:CG,CL$1,0),0)</f>
        <v>0</v>
      </c>
      <c r="CN23" s="60">
        <v>1760</v>
      </c>
      <c r="CO23" s="149">
        <v>0</v>
      </c>
      <c r="CP23" s="32">
        <v>0</v>
      </c>
      <c r="CQ23" s="106">
        <f t="shared" si="245"/>
        <v>1760</v>
      </c>
      <c r="CR23" s="8"/>
      <c r="CS23" s="122">
        <f t="shared" si="170"/>
        <v>1760</v>
      </c>
      <c r="CT23" s="154">
        <f>IFERROR(VLOOKUP($D23,'Adient Assende (Belgium) WK.17'!$B:CL,CU$1,0),0)</f>
        <v>0</v>
      </c>
      <c r="CU23" s="55">
        <f>IFERROR(VLOOKUP($D23,'Adient Arendal (Malzia) WK.12'!$B:CM,CU$1,0),0)</f>
        <v>0</v>
      </c>
      <c r="CV23" s="55">
        <f>IFERROR(VLOOKUP($D23,'Adient Taizhou (China) WK.16'!$B:CP,CU$1,0),0)</f>
        <v>0</v>
      </c>
      <c r="CW23" s="60">
        <v>0</v>
      </c>
      <c r="CX23" s="60">
        <v>280</v>
      </c>
      <c r="CY23" s="128">
        <v>720</v>
      </c>
      <c r="CZ23" s="32">
        <v>0</v>
      </c>
      <c r="DA23" s="106">
        <f t="shared" si="246"/>
        <v>1320</v>
      </c>
      <c r="DB23" s="8"/>
      <c r="DC23" s="37">
        <f t="shared" si="171"/>
        <v>1320</v>
      </c>
      <c r="DD23" s="125">
        <f>IFERROR(VLOOKUP($D23,'Adient Assende (Belgium) WK.17'!$B:CS,DE$1,0),0)</f>
        <v>720</v>
      </c>
      <c r="DE23" s="55">
        <f>IFERROR(VLOOKUP($D23,'Adient Arendal (Malzia) WK.12'!$B:CU,DE$1,0),0)</f>
        <v>0</v>
      </c>
      <c r="DF23" s="55">
        <f>IFERROR(VLOOKUP($D23,'Adient Taizhou (China) WK.16'!$B:CX,DE$1,0),0)</f>
        <v>0</v>
      </c>
      <c r="DG23" s="60">
        <v>2240</v>
      </c>
      <c r="DH23" s="128">
        <v>800</v>
      </c>
      <c r="DI23" s="32">
        <v>0</v>
      </c>
      <c r="DJ23" s="106">
        <f t="shared" si="247"/>
        <v>2760</v>
      </c>
      <c r="DL23" s="37">
        <f t="shared" si="172"/>
        <v>2760</v>
      </c>
      <c r="DM23" s="125">
        <f>IFERROR(VLOOKUP($D23,'Adient Assende (Belgium) WK.17'!$B:DB,DN$1,0),0)</f>
        <v>800</v>
      </c>
      <c r="DN23" s="55">
        <f>IFERROR(VLOOKUP($D23,'Adient Arendal (Malzia) WK.12'!$B:DC,DN$1,0),0)</f>
        <v>0</v>
      </c>
      <c r="DO23" s="55">
        <f>IFERROR(VLOOKUP($D23,'Adient Taizhou (China) WK.16'!$B:DF,DN$1,0),0)</f>
        <v>0</v>
      </c>
      <c r="DP23" s="128">
        <v>800</v>
      </c>
      <c r="DQ23" s="32">
        <v>0</v>
      </c>
      <c r="DR23" s="106">
        <f t="shared" si="173"/>
        <v>1960</v>
      </c>
      <c r="DS23" s="8"/>
      <c r="DT23" s="37">
        <f t="shared" si="174"/>
        <v>1960</v>
      </c>
      <c r="DU23" s="125">
        <f>IFERROR(VLOOKUP($D23,'Adient Assende (Belgium) WK.17'!$B:DJ,DV$1,0),0)</f>
        <v>800</v>
      </c>
      <c r="DV23" s="55">
        <f>IFERROR(VLOOKUP($D23,'Adient Arendal (Malzia) WK.12'!$B:DK,DV$1,0),0)</f>
        <v>0</v>
      </c>
      <c r="DW23" s="55">
        <f>IFERROR(VLOOKUP($D23,'Adient Taizhou (China) WK.16'!$B:DN,DV$1,0),0)</f>
        <v>0</v>
      </c>
      <c r="DX23" s="60">
        <v>520</v>
      </c>
      <c r="DY23" s="60">
        <v>1060</v>
      </c>
      <c r="DZ23" s="128">
        <v>880</v>
      </c>
      <c r="EA23" s="32">
        <v>0</v>
      </c>
      <c r="EB23" s="106">
        <f t="shared" si="248"/>
        <v>2660</v>
      </c>
      <c r="EC23" s="8"/>
      <c r="ED23" s="37">
        <f t="shared" si="175"/>
        <v>2660</v>
      </c>
      <c r="EE23" s="125">
        <f>IFERROR(VLOOKUP($D23,'Adient Assende (Belgium) WK.17'!$B:DR,EF$1,0),0)</f>
        <v>880</v>
      </c>
      <c r="EF23" s="55">
        <f>IFERROR(VLOOKUP($D23,'Adient Arendal (Malzia) WK.12'!$B:DS,EF$1,0),0)</f>
        <v>0</v>
      </c>
      <c r="EG23" s="55">
        <f>IFERROR(VLOOKUP($D23,'Adient Taizhou (China) WK.16'!$B:DV,EF$1,0),0)</f>
        <v>0</v>
      </c>
      <c r="EH23" s="60">
        <v>540</v>
      </c>
      <c r="EI23" s="128">
        <v>800</v>
      </c>
      <c r="EJ23" s="32">
        <v>0</v>
      </c>
      <c r="EK23" s="106">
        <f t="shared" si="249"/>
        <v>2400</v>
      </c>
      <c r="EM23" s="37">
        <f t="shared" si="176"/>
        <v>2400</v>
      </c>
      <c r="EN23" s="125">
        <f>IFERROR(VLOOKUP($D23,'Adient Assende (Belgium) WK.17'!$B:DZ,EO$1,0),0)</f>
        <v>800</v>
      </c>
      <c r="EO23" s="55">
        <f>IFERROR(VLOOKUP($D23,'Adient Arendal (Malzia) WK.12'!$B:EA,EO$1,0),0)</f>
        <v>0</v>
      </c>
      <c r="EP23" s="55">
        <f>IFERROR(VLOOKUP($D23,'Adient Taizhou (China) WK.16'!$B:ED,EO$1,0),0)</f>
        <v>0</v>
      </c>
      <c r="EQ23" s="128">
        <v>880</v>
      </c>
      <c r="ER23" s="32">
        <v>0</v>
      </c>
      <c r="ES23" s="106">
        <f t="shared" si="250"/>
        <v>1520</v>
      </c>
      <c r="EU23" s="37">
        <f t="shared" si="177"/>
        <v>1520</v>
      </c>
      <c r="EV23" s="125">
        <f>IFERROR(VLOOKUP($D23,'Adient Assende (Belgium) WK.17'!$B:EH,EW$1,0),0)</f>
        <v>880</v>
      </c>
      <c r="EW23" s="55">
        <f>IFERROR(VLOOKUP($D23,'Adient Arendal (Malzia) WK.12'!$B:EI,EW$1,0),0)</f>
        <v>0</v>
      </c>
      <c r="EX23" s="55">
        <f>IFERROR(VLOOKUP($D23,'Adient Taizhou (China) WK.16'!$B:EL,EW$1,0),0)</f>
        <v>0</v>
      </c>
      <c r="EY23" s="128">
        <v>0</v>
      </c>
      <c r="EZ23" s="32">
        <v>0</v>
      </c>
      <c r="FA23" s="106">
        <f t="shared" si="251"/>
        <v>1520</v>
      </c>
      <c r="FC23" s="37">
        <f t="shared" si="178"/>
        <v>1520</v>
      </c>
      <c r="FD23" s="154">
        <f>IFERROR(VLOOKUP($D23,'Adient Assende (Belgium) WK.17'!$B:EP,FE$1,0),0)</f>
        <v>0</v>
      </c>
      <c r="FE23" s="154">
        <f>IFERROR(VLOOKUP($D23,'Adient Arendal (Malzia) WK.12'!$B:EQ,FE$1,0),0)</f>
        <v>0</v>
      </c>
      <c r="FF23" s="154">
        <f>IFERROR(VLOOKUP($D23,'Adient Taizhou (China) WK.16'!$B:ET,FE$1,0),0)</f>
        <v>0</v>
      </c>
      <c r="FG23" s="128">
        <v>0</v>
      </c>
      <c r="FH23" s="32">
        <v>0</v>
      </c>
      <c r="FI23" s="106">
        <f t="shared" si="252"/>
        <v>1520</v>
      </c>
      <c r="FK23" s="37">
        <f t="shared" si="179"/>
        <v>1520</v>
      </c>
      <c r="FL23" s="125">
        <f>IFERROR(VLOOKUP($D23,'Adient Assende (Belgium) WK.17'!$B:EX,FM$1,0),0)</f>
        <v>0</v>
      </c>
      <c r="FM23" s="55">
        <f>IFERROR(VLOOKUP($D23,'Adient Arendal (Malzia) WK.12'!$B:EY,FM$1,0),0)</f>
        <v>0</v>
      </c>
      <c r="FN23" s="55">
        <f>IFERROR(VLOOKUP($D23,'Adient Taizhou (China) WK.16'!$B:FB,FM$1,0),0)</f>
        <v>0</v>
      </c>
      <c r="FO23" s="128">
        <v>720</v>
      </c>
      <c r="FP23" s="32">
        <v>0</v>
      </c>
      <c r="FQ23" s="106">
        <f t="shared" si="253"/>
        <v>800</v>
      </c>
      <c r="FR23" s="8"/>
      <c r="FS23" s="37">
        <f t="shared" si="180"/>
        <v>800</v>
      </c>
      <c r="FT23" s="125">
        <f>IFERROR(VLOOKUP($D23,'Adient Assende (Belgium) WK.17'!$B:FF,FU$1,0),0)</f>
        <v>720</v>
      </c>
      <c r="FU23" s="55">
        <f>IFERROR(VLOOKUP($D23,'Adient Arendal (Malzia) WK.12'!$B:FG,FU$1,0),0)</f>
        <v>0</v>
      </c>
      <c r="FV23" s="55">
        <f>IFERROR(VLOOKUP($D23,'Adient Taizhou (China) WK.16'!$B:FJ,FU$1,0),0)</f>
        <v>0</v>
      </c>
      <c r="FW23" s="60">
        <v>460</v>
      </c>
      <c r="FX23" s="60">
        <v>100</v>
      </c>
      <c r="FY23" s="60">
        <v>740</v>
      </c>
      <c r="FZ23" s="60">
        <v>520</v>
      </c>
      <c r="GA23" s="60">
        <v>980</v>
      </c>
      <c r="GB23" s="128">
        <v>640</v>
      </c>
      <c r="GC23" s="32">
        <v>0</v>
      </c>
      <c r="GD23" s="106">
        <f t="shared" si="254"/>
        <v>2960</v>
      </c>
      <c r="GF23" s="37">
        <f t="shared" si="181"/>
        <v>2960</v>
      </c>
      <c r="GG23" s="125">
        <f>IFERROR(VLOOKUP($D23,'Adient Assende (Belgium) WK.17'!$B:FN,GH$1,0),0)</f>
        <v>640</v>
      </c>
      <c r="GH23" s="55">
        <f>IFERROR(VLOOKUP($D23,'Adient Arendal (Malzia) WK.12'!$B:FO,GH$1,0),0)</f>
        <v>0</v>
      </c>
      <c r="GI23" s="55">
        <f>IFERROR(VLOOKUP($D23,'Adient Taizhou (China) WK.16'!$B:FR,GH$1,0),0)</f>
        <v>0</v>
      </c>
      <c r="GJ23" s="60">
        <v>1120</v>
      </c>
      <c r="GK23" s="128">
        <v>720</v>
      </c>
      <c r="GL23" s="32">
        <v>0</v>
      </c>
      <c r="GM23" s="106">
        <f t="shared" si="255"/>
        <v>3360</v>
      </c>
      <c r="GO23" s="37">
        <f t="shared" si="182"/>
        <v>3360</v>
      </c>
      <c r="GP23" s="125">
        <f>IFERROR(VLOOKUP($D23,'Adient Assende (Belgium) WK.17'!$B:FV,GQ$1,0),0)</f>
        <v>720</v>
      </c>
      <c r="GQ23" s="55">
        <f>IFERROR(VLOOKUP($D23,'Adient Arendal (Malzia) WK.12'!$B:FW,GQ$1,0),0)</f>
        <v>0</v>
      </c>
      <c r="GR23" s="55">
        <f>IFERROR(VLOOKUP($D23,'Adient Taizhou (China) WK.16'!$B:FZ,GQ$1,0),0)</f>
        <v>0</v>
      </c>
      <c r="GS23" s="60">
        <v>880</v>
      </c>
      <c r="GT23" s="128">
        <v>880</v>
      </c>
      <c r="GU23" s="32">
        <v>0</v>
      </c>
      <c r="GV23" s="106">
        <f t="shared" si="256"/>
        <v>3360</v>
      </c>
      <c r="GW23" s="8"/>
      <c r="GX23" s="37">
        <f t="shared" si="183"/>
        <v>3360</v>
      </c>
      <c r="GY23" s="125">
        <f>IFERROR(VLOOKUP($D23,'Adient Assende (Belgium) WK.17'!$B:GD,GZ$1,0),0)</f>
        <v>880</v>
      </c>
      <c r="GZ23" s="55">
        <f>IFERROR(VLOOKUP($D23,'Adient Arendal (Malzia) WK.12'!$B:GE,GZ$1,0),0)</f>
        <v>0</v>
      </c>
      <c r="HA23" s="55">
        <f>IFERROR(VLOOKUP($D23,'Adient Taizhou (China) WK.16'!$B:GH,GZ$1,0),0)</f>
        <v>0</v>
      </c>
      <c r="HB23" s="60">
        <v>1260</v>
      </c>
      <c r="HC23" s="128">
        <v>800</v>
      </c>
      <c r="HD23" s="32">
        <v>0</v>
      </c>
      <c r="HE23" s="106">
        <f t="shared" si="257"/>
        <v>3820</v>
      </c>
      <c r="HF23" s="8"/>
      <c r="HG23" s="37">
        <f t="shared" si="184"/>
        <v>3820</v>
      </c>
      <c r="HH23" s="125">
        <f>IFERROR(VLOOKUP($D23,'Adient Assende (Belgium) WK.17'!$B:GL,HI$1,0),0)</f>
        <v>800</v>
      </c>
      <c r="HI23" s="55">
        <f>IFERROR(VLOOKUP($D23,'Adient Arendal (Malzia) WK.12'!$B:GM,HI$1,0),0)</f>
        <v>0</v>
      </c>
      <c r="HJ23" s="55">
        <f>IFERROR(VLOOKUP($D23,'Adient Taizhou (China) WK.16'!$B:GP,HI$1,0),0)</f>
        <v>0</v>
      </c>
      <c r="HK23" s="60">
        <v>40</v>
      </c>
      <c r="HL23" s="128">
        <v>720</v>
      </c>
      <c r="HM23" s="32">
        <v>0</v>
      </c>
      <c r="HN23" s="106">
        <f t="shared" si="258"/>
        <v>3140</v>
      </c>
      <c r="HO23" s="8"/>
      <c r="HP23" s="37">
        <f t="shared" si="185"/>
        <v>3140</v>
      </c>
      <c r="HQ23" s="125">
        <f>IFERROR(VLOOKUP($D23,'Adient Assende (Belgium) WK.17'!$B:GT,HR$1,0),0)</f>
        <v>720</v>
      </c>
      <c r="HR23" s="55">
        <f>IFERROR(VLOOKUP($D23,'Adient Arendal (Malzia) WK.12'!$B:GU,HR$1,0),0)</f>
        <v>0</v>
      </c>
      <c r="HS23" s="55">
        <f>IFERROR(VLOOKUP($D23,'Adient Taizhou (China) WK.16'!$B:GX,HR$1,0),0)</f>
        <v>0</v>
      </c>
      <c r="HT23" s="60">
        <v>1420</v>
      </c>
      <c r="HU23" s="128">
        <v>800</v>
      </c>
      <c r="HV23" s="32">
        <v>0</v>
      </c>
      <c r="HW23" s="106">
        <f t="shared" si="259"/>
        <v>3760</v>
      </c>
      <c r="HX23" s="8"/>
      <c r="HY23" s="37">
        <f t="shared" si="186"/>
        <v>3760</v>
      </c>
      <c r="HZ23" s="125">
        <f>IFERROR(VLOOKUP($D23,'Adient Assende (Belgium) WK.17'!$B:HB,IA$1,0),0)</f>
        <v>800</v>
      </c>
      <c r="IA23" s="55">
        <f>IFERROR(VLOOKUP($D23,'Adient Arendal (Malzia) WK.12'!$B:HC,IA$1,0),0)</f>
        <v>0</v>
      </c>
      <c r="IB23" s="55">
        <f>IFERROR(VLOOKUP($D23,'Adient Taizhou (China) WK.16'!$B:HF,IA$1,0),0)</f>
        <v>0</v>
      </c>
      <c r="IC23" s="60">
        <v>160</v>
      </c>
      <c r="ID23" s="128">
        <v>960</v>
      </c>
      <c r="IE23" s="32">
        <v>0</v>
      </c>
      <c r="IF23" s="106">
        <f t="shared" si="260"/>
        <v>2960</v>
      </c>
      <c r="IG23" s="8"/>
      <c r="IH23" s="37">
        <f t="shared" si="187"/>
        <v>2960</v>
      </c>
      <c r="II23" s="125">
        <f>IFERROR(VLOOKUP($D23,'Adient Assende (Belgium) WK.17'!$B:HJ,IJ$1,0),0)</f>
        <v>960</v>
      </c>
      <c r="IJ23" s="55">
        <f>IFERROR(VLOOKUP($D23,'Adient Arendal (Malzia) WK.12'!$B:HK,IJ$1,0),0)</f>
        <v>0</v>
      </c>
      <c r="IK23" s="55">
        <f>IFERROR(VLOOKUP($D23,'Adient Taizhou (China) WK.16'!$B:HN,IJ$1,0),0)</f>
        <v>0</v>
      </c>
      <c r="IL23" s="128">
        <v>960</v>
      </c>
      <c r="IM23" s="32">
        <v>0</v>
      </c>
      <c r="IN23" s="106">
        <f t="shared" si="188"/>
        <v>2000</v>
      </c>
      <c r="IO23" s="8"/>
      <c r="IP23" s="37">
        <f t="shared" si="189"/>
        <v>2000</v>
      </c>
      <c r="IQ23" s="125">
        <f>IFERROR(VLOOKUP($D23,'Adient Assende (Belgium) WK.17'!$B:HR,IR$1,0),0)</f>
        <v>960</v>
      </c>
      <c r="IR23" s="55">
        <f>IFERROR(VLOOKUP($D23,'Adient Arendal (Malzia) WK.12'!$B:HS,IR$1,0),0)</f>
        <v>0</v>
      </c>
      <c r="IS23" s="55">
        <f>IFERROR(VLOOKUP($D23,'Adient Taizhou (China) WK.16'!$B:HV,IR$1,0),0)</f>
        <v>0</v>
      </c>
      <c r="IT23" s="60">
        <v>1200</v>
      </c>
      <c r="IU23" s="128">
        <v>720</v>
      </c>
      <c r="IV23" s="32">
        <v>0</v>
      </c>
      <c r="IW23" s="106">
        <f t="shared" si="261"/>
        <v>2480</v>
      </c>
      <c r="IX23" s="8"/>
      <c r="IY23" s="37">
        <f t="shared" si="190"/>
        <v>2480</v>
      </c>
      <c r="IZ23" s="125">
        <f>IFERROR(VLOOKUP($D23,'Adient Assende (Belgium) WK.17'!$B:HZ,JA$1,0),0)</f>
        <v>720</v>
      </c>
      <c r="JA23" s="55">
        <f>IFERROR(VLOOKUP($D23,'Adient Arendal (Malzia) WK.12'!$B:IA,JA$1,0),0)</f>
        <v>0</v>
      </c>
      <c r="JB23" s="55">
        <f>IFERROR(VLOOKUP($D23,'Adient Taizhou (China) WK.16'!$B:ID,JA$1,0),0)</f>
        <v>0</v>
      </c>
      <c r="JC23" s="128">
        <v>400</v>
      </c>
      <c r="JD23" s="32">
        <v>0</v>
      </c>
      <c r="JE23" s="106">
        <f t="shared" si="191"/>
        <v>2080</v>
      </c>
      <c r="JF23" s="8"/>
      <c r="JG23" s="37">
        <f t="shared" si="192"/>
        <v>2080</v>
      </c>
      <c r="JH23" s="125">
        <f>IFERROR(VLOOKUP($D23,'Adient Assende (Belgium) WK.17'!$B:IH,JI$1,0),0)</f>
        <v>400</v>
      </c>
      <c r="JI23" s="55">
        <f>IFERROR(VLOOKUP($D23,'Adient Arendal (Malzia) WK.12'!$B:II,JI$1,0),0)</f>
        <v>0</v>
      </c>
      <c r="JJ23" s="55">
        <f>IFERROR(VLOOKUP($D23,'Adient Taizhou (China) WK.16'!$B:IL,JI$1,0),0)</f>
        <v>0</v>
      </c>
      <c r="JK23" s="60">
        <v>740</v>
      </c>
      <c r="JL23" s="128">
        <v>1360</v>
      </c>
      <c r="JM23" s="32">
        <v>0</v>
      </c>
      <c r="JN23" s="106">
        <f t="shared" si="262"/>
        <v>1460</v>
      </c>
      <c r="JO23" s="8"/>
      <c r="JP23" s="37">
        <f t="shared" si="193"/>
        <v>1460</v>
      </c>
      <c r="JQ23" s="125">
        <f>IFERROR(VLOOKUP($D23,'Adient Assende (Belgium) WK.17'!$B:IP,JR$1,0),0)</f>
        <v>1360</v>
      </c>
      <c r="JR23" s="55">
        <f>IFERROR(VLOOKUP($D23,'Adient Arendal (Malzia) WK.12'!$B:IQ,JR$1,0),0)</f>
        <v>0</v>
      </c>
      <c r="JS23" s="55">
        <f>IFERROR(VLOOKUP($D23,'Adient Taizhou (China) WK.16'!$B:IT,JR$1,0),0)</f>
        <v>0</v>
      </c>
      <c r="JT23" s="128">
        <v>0</v>
      </c>
      <c r="JU23" s="32">
        <v>0</v>
      </c>
      <c r="JV23" s="106">
        <f t="shared" si="194"/>
        <v>1460</v>
      </c>
      <c r="JW23" s="8"/>
      <c r="JX23" s="37">
        <f t="shared" si="195"/>
        <v>1460</v>
      </c>
      <c r="JY23" s="154">
        <f>IFERROR(VLOOKUP($D23,'Adient Assende (Belgium) WK.17'!$B:IX,JZ$1,0),0)</f>
        <v>0</v>
      </c>
      <c r="JZ23" s="55">
        <f>IFERROR(VLOOKUP($D23,'Adient Arendal (Malzia) WK.12'!$B:IY,JZ$1,0),0)</f>
        <v>0</v>
      </c>
      <c r="KA23" s="55">
        <f>IFERROR(VLOOKUP($D23,'Adient Taizhou (China) WK.16'!$B:JB,JZ$1,0),0)</f>
        <v>0</v>
      </c>
      <c r="KB23" s="128">
        <v>720</v>
      </c>
      <c r="KC23" s="32">
        <v>0</v>
      </c>
      <c r="KD23" s="106">
        <f t="shared" si="263"/>
        <v>740</v>
      </c>
      <c r="KE23" s="8"/>
      <c r="KF23" s="37">
        <f t="shared" si="196"/>
        <v>740</v>
      </c>
      <c r="KG23" s="125">
        <f>IFERROR(VLOOKUP($D23,'Adient Assende (Belgium) WK.17'!$B:JF,KH$1,0),0)</f>
        <v>720</v>
      </c>
      <c r="KH23" s="55">
        <f>IFERROR(VLOOKUP($D23,'Adient Arendal (Malzia) WK.12'!$B:JG,KH$1,0),0)</f>
        <v>0</v>
      </c>
      <c r="KI23" s="55">
        <f>IFERROR(VLOOKUP($D23,'Adient Taizhou (China) WK.16'!$B:JJ,KH$1,0),0)</f>
        <v>0</v>
      </c>
      <c r="KJ23" s="60">
        <v>820</v>
      </c>
      <c r="KK23" s="128">
        <v>560</v>
      </c>
      <c r="KL23" s="32">
        <v>0</v>
      </c>
      <c r="KM23" s="106">
        <f t="shared" si="264"/>
        <v>1000</v>
      </c>
      <c r="KN23" s="8"/>
      <c r="KO23" s="37">
        <f t="shared" si="197"/>
        <v>1000</v>
      </c>
      <c r="KP23" s="141">
        <f>IFERROR(VLOOKUP($D23,'Adient Assende (Belgium) WK.17'!$B:JN,KQ$1,0),0)</f>
        <v>560</v>
      </c>
      <c r="KQ23" s="140">
        <f>IFERROR(VLOOKUP($D23,'Adient Arendal (Malzia) WK.12'!$B:JO,KQ$1,0),0)</f>
        <v>0</v>
      </c>
      <c r="KR23" s="140">
        <f>IFERROR(VLOOKUP($D23,'Adient Taizhou (China) WK.16'!$B:JR,KQ$1,0),0)</f>
        <v>0</v>
      </c>
      <c r="KS23" s="60">
        <v>1640</v>
      </c>
      <c r="KT23" s="128">
        <v>560</v>
      </c>
      <c r="KU23" s="32">
        <v>0</v>
      </c>
      <c r="KV23" s="106">
        <f t="shared" si="265"/>
        <v>2080</v>
      </c>
      <c r="KX23" s="37">
        <f t="shared" si="198"/>
        <v>2080</v>
      </c>
      <c r="KY23" s="141">
        <f>IFERROR(VLOOKUP($D23,'Adient Assende (Belgium) WK.17'!$B:JV,KZ$1,0),0)</f>
        <v>560</v>
      </c>
      <c r="KZ23" s="140">
        <f>IFERROR(VLOOKUP($D23,'Adient Arendal (Malzia) WK.12'!$B:JW,KZ$1,0),0)</f>
        <v>0</v>
      </c>
      <c r="LA23" s="140">
        <f>IFERROR(VLOOKUP($D23,'Adient Taizhou (China) WK.16'!$B:JZ,KZ$1,0),0)</f>
        <v>0</v>
      </c>
      <c r="LB23" s="128">
        <v>0</v>
      </c>
      <c r="LC23" s="32">
        <v>0</v>
      </c>
      <c r="LD23" s="106">
        <f t="shared" si="266"/>
        <v>2080</v>
      </c>
      <c r="LF23" s="37">
        <f t="shared" si="199"/>
        <v>2080</v>
      </c>
      <c r="LG23" s="141">
        <f>IFERROR(VLOOKUP($D23,'Adient Assende (Belgium) WK.17'!$B:KD,LH$1,0),0)</f>
        <v>960</v>
      </c>
      <c r="LH23" s="140">
        <f>IFERROR(VLOOKUP($D23,'Adient Arendal (Malzia) WK.12'!$B:KE,LH$1,0),0)</f>
        <v>0</v>
      </c>
      <c r="LI23" s="140">
        <f>IFERROR(VLOOKUP($D23,'Adient Taizhou (China) WK.16'!$B:KH,LH$1,0),0)</f>
        <v>0</v>
      </c>
      <c r="LJ23" s="60">
        <v>0</v>
      </c>
      <c r="LK23" s="128">
        <v>0</v>
      </c>
      <c r="LL23" s="32">
        <v>0</v>
      </c>
      <c r="LM23" s="100">
        <f t="shared" si="267"/>
        <v>1120</v>
      </c>
      <c r="LO23" s="37">
        <f t="shared" si="200"/>
        <v>1120</v>
      </c>
      <c r="LP23" s="141">
        <f>IFERROR(VLOOKUP($D23,'Adient Assende (Belgium) WK.17'!$B:KL,LQ$1,0),0)</f>
        <v>400</v>
      </c>
      <c r="LQ23" s="140">
        <f>IFERROR(VLOOKUP($D23,'Adient Arendal (Malzia) WK.12'!$B:KM,LQ$1,0),0)</f>
        <v>0</v>
      </c>
      <c r="LR23" s="140">
        <f>IFERROR(VLOOKUP($D23,'Adient Taizhou (China) WK.16'!$B:KP,LQ$1,0),0)</f>
        <v>0</v>
      </c>
      <c r="LS23" s="128">
        <v>0</v>
      </c>
      <c r="LT23" s="32">
        <v>0</v>
      </c>
      <c r="LU23" s="100">
        <f t="shared" si="268"/>
        <v>720</v>
      </c>
      <c r="LW23" s="37">
        <f t="shared" si="201"/>
        <v>720</v>
      </c>
      <c r="LX23" s="141">
        <f>IFERROR(VLOOKUP($D23,'Adient Assende (Belgium) WK.17'!$B:KT,LY$1,0),0)</f>
        <v>1440</v>
      </c>
      <c r="LY23" s="140">
        <f>IFERROR(VLOOKUP($D23,'Adient Arendal (Malzia) WK.12'!$B:KU,LY$1,0),0)</f>
        <v>0</v>
      </c>
      <c r="LZ23" s="140">
        <f>IFERROR(VLOOKUP($D23,'Adient Taizhou (China) WK.16'!$B:KX,LY$1,0),0)</f>
        <v>0</v>
      </c>
      <c r="MA23" s="128">
        <v>0</v>
      </c>
      <c r="MB23" s="32">
        <v>0</v>
      </c>
      <c r="MC23" s="100">
        <f t="shared" si="269"/>
        <v>-720</v>
      </c>
      <c r="ME23" s="37">
        <f t="shared" si="202"/>
        <v>-720</v>
      </c>
      <c r="MF23" s="154">
        <f>IFERROR(VLOOKUP($D23,'Adient Assende (Belgium) WK.17'!$B:LB,MG$1,0),0)</f>
        <v>0</v>
      </c>
      <c r="MG23" s="140">
        <f>IFERROR(VLOOKUP($D23,'Adient Arendal (Malzia) WK.12'!$B:LC,MG$1,0),0)</f>
        <v>0</v>
      </c>
      <c r="MH23" s="140">
        <f>IFERROR(VLOOKUP($D23,'Adient Taizhou (China) WK.16'!$B:LF,MG$1,0),0)</f>
        <v>0</v>
      </c>
      <c r="MI23" s="128">
        <v>0</v>
      </c>
      <c r="MJ23" s="32">
        <v>0</v>
      </c>
      <c r="MK23" s="100">
        <f t="shared" si="270"/>
        <v>-720</v>
      </c>
      <c r="MM23" s="37">
        <f t="shared" si="203"/>
        <v>-720</v>
      </c>
      <c r="MN23" s="141">
        <f>IFERROR(VLOOKUP($D23,'Adient Assende (Belgium) WK.17'!$B:LJ,MO$1,0),0)</f>
        <v>960</v>
      </c>
      <c r="MO23" s="140">
        <f>IFERROR(VLOOKUP($D23,'Adient Arendal (Malzia) WK.12'!$B:LK,MO$1,0),0)</f>
        <v>0</v>
      </c>
      <c r="MP23" s="140">
        <f>IFERROR(VLOOKUP($D23,'Adient Taizhou (China) WK.16'!$B:LN,MO$1,0),0)</f>
        <v>0</v>
      </c>
      <c r="MQ23" s="128">
        <v>0</v>
      </c>
      <c r="MR23" s="32">
        <v>0</v>
      </c>
      <c r="MS23" s="100">
        <f t="shared" si="271"/>
        <v>-1680</v>
      </c>
      <c r="MU23" s="37">
        <f t="shared" si="204"/>
        <v>-1680</v>
      </c>
      <c r="MV23" s="141">
        <f>IFERROR(VLOOKUP($D23,'Adient Assende (Belgium) WK.17'!$B:LR,MW$1,0),0)</f>
        <v>880</v>
      </c>
      <c r="MW23" s="140">
        <f>IFERROR(VLOOKUP($D23,'Adient Arendal (Malzia) WK.12'!$B:LS,MW$1,0),0)</f>
        <v>0</v>
      </c>
      <c r="MX23" s="140">
        <f>IFERROR(VLOOKUP($D23,'Adient Taizhou (China) WK.16'!$B:LV,MW$1,0),0)</f>
        <v>0</v>
      </c>
      <c r="MY23" s="128">
        <v>0</v>
      </c>
      <c r="MZ23" s="32">
        <v>0</v>
      </c>
      <c r="NA23" s="100">
        <f t="shared" si="272"/>
        <v>-2560</v>
      </c>
      <c r="NC23" s="37">
        <f t="shared" si="205"/>
        <v>-2560</v>
      </c>
      <c r="ND23" s="141">
        <f>IFERROR(VLOOKUP($D23,'Adient Assende (Belgium) WK.17'!$B:LZ,NE$1,0),0)</f>
        <v>880</v>
      </c>
      <c r="NE23" s="140">
        <f>IFERROR(VLOOKUP($D23,'Adient Arendal (Malzia) WK.12'!$B:MA,NE$1,0),0)</f>
        <v>0</v>
      </c>
      <c r="NF23" s="140">
        <f>IFERROR(VLOOKUP($D23,'Adient Taizhou (China) WK.16'!$B:MD,NE$1,0),0)</f>
        <v>0</v>
      </c>
      <c r="NG23" s="128">
        <v>0</v>
      </c>
      <c r="NH23" s="32">
        <v>0</v>
      </c>
      <c r="NI23" s="100">
        <f t="shared" si="273"/>
        <v>-3440</v>
      </c>
      <c r="NK23" s="37">
        <f t="shared" si="206"/>
        <v>-3440</v>
      </c>
      <c r="NL23" s="141">
        <f>IFERROR(VLOOKUP($D23,'Adient Assende (Belgium) WK.17'!$B:MH,NM$1,0),0)</f>
        <v>640</v>
      </c>
      <c r="NM23" s="140">
        <f>IFERROR(VLOOKUP($D23,'Adient Arendal (Malzia) WK.12'!$B:MI,NM$1,0),0)</f>
        <v>0</v>
      </c>
      <c r="NN23" s="140">
        <f>IFERROR(VLOOKUP($D23,'Adient Taizhou (China) WK.16'!$B:ML,NM$1,0),0)</f>
        <v>0</v>
      </c>
      <c r="NO23" s="128">
        <v>0</v>
      </c>
      <c r="NP23" s="32">
        <v>0</v>
      </c>
      <c r="NQ23" s="100">
        <f t="shared" si="274"/>
        <v>-4080</v>
      </c>
      <c r="NS23" s="37">
        <f t="shared" si="207"/>
        <v>-4080</v>
      </c>
      <c r="NT23" s="141">
        <f>IFERROR(VLOOKUP($D23,'Adient Assende (Belgium) WK.17'!$B:MP,NU$1,0),0)</f>
        <v>880</v>
      </c>
      <c r="NU23" s="140">
        <f>IFERROR(VLOOKUP($D23,'Adient Arendal (Malzia) WK.12'!$B:MQ,NU$1,0),0)</f>
        <v>0</v>
      </c>
      <c r="NV23" s="140">
        <f>IFERROR(VLOOKUP($D23,'Adient Taizhou (China) WK.16'!$B:MT,NU$1,0),0)</f>
        <v>0</v>
      </c>
      <c r="NW23" s="128">
        <v>0</v>
      </c>
      <c r="NX23" s="32">
        <v>0</v>
      </c>
      <c r="NY23" s="100">
        <f t="shared" si="275"/>
        <v>-4960</v>
      </c>
      <c r="OA23" s="37">
        <f t="shared" si="208"/>
        <v>-4960</v>
      </c>
      <c r="OB23" s="141">
        <f>IFERROR(VLOOKUP($D23,'Adient Assende (Belgium) WK.17'!$B:MX,OC$1,0),0)</f>
        <v>640</v>
      </c>
      <c r="OC23" s="140">
        <f>IFERROR(VLOOKUP($D23,'Adient Arendal (Malzia) WK.12'!$B:MY,OC$1,0),0)</f>
        <v>0</v>
      </c>
      <c r="OD23" s="140">
        <f>IFERROR(VLOOKUP($D23,'Adient Taizhou (China) WK.16'!$B:NB,OC$1,0),0)</f>
        <v>0</v>
      </c>
      <c r="OE23" s="128">
        <v>0</v>
      </c>
      <c r="OF23" s="32">
        <v>0</v>
      </c>
      <c r="OG23" s="100">
        <f t="shared" si="276"/>
        <v>-5600</v>
      </c>
      <c r="OI23" s="37">
        <f t="shared" si="209"/>
        <v>-5600</v>
      </c>
      <c r="OJ23" s="141">
        <f>IFERROR(VLOOKUP($D23,'Adient Assende (Belgium) WK.17'!$B:NF,OK$1,0),0)</f>
        <v>1200</v>
      </c>
      <c r="OK23" s="140">
        <f>IFERROR(VLOOKUP($D23,'Adient Arendal (Malzia) WK.12'!$B:NG,OK$1,0),0)</f>
        <v>0</v>
      </c>
      <c r="OL23" s="140">
        <f>IFERROR(VLOOKUP($D23,'Adient Taizhou (China) WK.16'!$B:NJ,OK$1,0),0)</f>
        <v>0</v>
      </c>
      <c r="OM23" s="128">
        <v>0</v>
      </c>
      <c r="ON23" s="32">
        <v>0</v>
      </c>
      <c r="OO23" s="100">
        <f t="shared" si="277"/>
        <v>-6800</v>
      </c>
      <c r="OQ23" s="37">
        <f t="shared" si="210"/>
        <v>-6800</v>
      </c>
      <c r="OR23" s="141">
        <f>IFERROR(VLOOKUP($D23,'Adient Assende (Belgium) WK.17'!$B:NN,OS$1,0),0)</f>
        <v>0</v>
      </c>
      <c r="OS23" s="140">
        <f>IFERROR(VLOOKUP($D23,'Adient Arendal (Malzia) WK.12'!$B:NO,OS$1,0),0)</f>
        <v>0</v>
      </c>
      <c r="OT23" s="140">
        <f>IFERROR(VLOOKUP($D23,'Adient Taizhou (China) WK.16'!$B:NR,OS$1,0),0)</f>
        <v>0</v>
      </c>
      <c r="OU23" s="128">
        <v>0</v>
      </c>
      <c r="OV23" s="32">
        <v>0</v>
      </c>
      <c r="OW23" s="100">
        <f t="shared" si="278"/>
        <v>-6800</v>
      </c>
      <c r="OY23" s="37">
        <f t="shared" si="211"/>
        <v>-6800</v>
      </c>
      <c r="OZ23" s="141">
        <f>IFERROR(VLOOKUP($D23,'Adient Assende (Belgium) WK.17'!$B:NV,PA$1,0),0)</f>
        <v>0</v>
      </c>
      <c r="PA23" s="140">
        <f>IFERROR(VLOOKUP($D23,'Adient Arendal (Malzia) WK.12'!$B:NW,PA$1,0),0)</f>
        <v>0</v>
      </c>
      <c r="PB23" s="140">
        <f>IFERROR(VLOOKUP($D23,'Adient Taizhou (China) WK.16'!$B:NZ,PA$1,0),0)</f>
        <v>0</v>
      </c>
      <c r="PC23" s="128">
        <v>0</v>
      </c>
      <c r="PD23" s="32">
        <v>0</v>
      </c>
      <c r="PE23" s="100">
        <f t="shared" si="279"/>
        <v>-6800</v>
      </c>
      <c r="PG23" s="37">
        <f t="shared" si="212"/>
        <v>-6800</v>
      </c>
      <c r="PH23" s="141">
        <f>IFERROR(VLOOKUP($D23,'Adient Assende (Belgium) WK.17'!$B:OD,PI$1,0),0)</f>
        <v>0</v>
      </c>
      <c r="PI23" s="140">
        <f>IFERROR(VLOOKUP($D23,'Adient Arendal (Malzia) WK.12'!$B:OE,PI$1,0),0)</f>
        <v>0</v>
      </c>
      <c r="PJ23" s="140">
        <f>IFERROR(VLOOKUP($D23,'Adient Taizhou (China) WK.16'!$B:OH,PI$1,0),0)</f>
        <v>0</v>
      </c>
      <c r="PK23" s="128">
        <v>0</v>
      </c>
      <c r="PL23" s="32">
        <v>0</v>
      </c>
      <c r="PM23" s="100">
        <f t="shared" si="280"/>
        <v>-6800</v>
      </c>
      <c r="PO23" s="37">
        <f t="shared" si="213"/>
        <v>-6800</v>
      </c>
      <c r="PP23" s="141">
        <f>IFERROR(VLOOKUP($D23,'Adient Assende (Belgium) WK.17'!$B:OL,PQ$1,0),0)</f>
        <v>0</v>
      </c>
      <c r="PQ23" s="140">
        <f>IFERROR(VLOOKUP($D23,'Adient Arendal (Malzia) WK.12'!$B:OM,PQ$1,0),0)</f>
        <v>0</v>
      </c>
      <c r="PR23" s="140">
        <f>IFERROR(VLOOKUP($D23,'Adient Taizhou (China) WK.16'!$B:OP,PQ$1,0),0)</f>
        <v>0</v>
      </c>
      <c r="PS23" s="128">
        <v>0</v>
      </c>
      <c r="PT23" s="32">
        <v>0</v>
      </c>
      <c r="PU23" s="100">
        <f t="shared" si="281"/>
        <v>-6800</v>
      </c>
      <c r="PW23" s="37">
        <f t="shared" si="214"/>
        <v>-6800</v>
      </c>
      <c r="PX23" s="141">
        <f>IFERROR(VLOOKUP($D23,'Adient Assende (Belgium) WK.17'!$B:OT,PY$1,0),0)</f>
        <v>720</v>
      </c>
      <c r="PY23" s="140">
        <f>IFERROR(VLOOKUP($D23,'Adient Arendal (Malzia) WK.12'!$B:OU,PY$1,0),0)</f>
        <v>0</v>
      </c>
      <c r="PZ23" s="140">
        <f>IFERROR(VLOOKUP($D23,'Adient Taizhou (China) WK.16'!$B:OX,PY$1,0),0)</f>
        <v>0</v>
      </c>
      <c r="QA23" s="128">
        <v>0</v>
      </c>
      <c r="QB23" s="32">
        <v>0</v>
      </c>
      <c r="QC23" s="100">
        <f t="shared" si="282"/>
        <v>-7520</v>
      </c>
      <c r="QE23" s="37">
        <f t="shared" si="215"/>
        <v>-7520</v>
      </c>
      <c r="QF23" s="141">
        <f>IFERROR(VLOOKUP($D23,'Adient Assende (Belgium) WK.17'!$B:PB,QG$1,0),0)</f>
        <v>640</v>
      </c>
      <c r="QG23" s="140">
        <f>IFERROR(VLOOKUP($D23,'Adient Arendal (Malzia) WK.12'!$B:PC,QG$1,0),0)</f>
        <v>0</v>
      </c>
      <c r="QH23" s="140">
        <f>IFERROR(VLOOKUP($D23,'Adient Taizhou (China) WK.16'!$B:PF,QG$1,0),0)</f>
        <v>0</v>
      </c>
      <c r="QI23" s="128">
        <v>0</v>
      </c>
      <c r="QJ23" s="32">
        <v>0</v>
      </c>
      <c r="QK23" s="100">
        <f t="shared" si="283"/>
        <v>-8160</v>
      </c>
      <c r="QM23" s="37">
        <f t="shared" si="216"/>
        <v>-8160</v>
      </c>
      <c r="QN23" s="141">
        <f>IFERROR(VLOOKUP($D23,'Adient Assende (Belgium) WK.17'!$B:PJ,QO$1,0),0)</f>
        <v>720</v>
      </c>
      <c r="QO23" s="140">
        <f>IFERROR(VLOOKUP($D23,'Adient Arendal (Malzia) WK.12'!$B:PK,QO$1,0),0)</f>
        <v>0</v>
      </c>
      <c r="QP23" s="140">
        <f>IFERROR(VLOOKUP($D23,'Adient Taizhou (China) WK.16'!$B:PN,QO$1,0),0)</f>
        <v>0</v>
      </c>
      <c r="QQ23" s="128">
        <v>0</v>
      </c>
      <c r="QR23" s="32">
        <v>0</v>
      </c>
      <c r="QS23" s="100">
        <f t="shared" si="284"/>
        <v>-8880</v>
      </c>
      <c r="QU23" s="37">
        <f t="shared" si="217"/>
        <v>-8880</v>
      </c>
      <c r="QV23" s="141">
        <f>IFERROR(VLOOKUP($D23,'Adient Assende (Belgium) WK.17'!$B:PR,QW$1,0),0)</f>
        <v>640</v>
      </c>
      <c r="QW23" s="140">
        <f>IFERROR(VLOOKUP($D23,'Adient Arendal (Malzia) WK.12'!$B:PS,QW$1,0),0)</f>
        <v>0</v>
      </c>
      <c r="QX23" s="140">
        <f>IFERROR(VLOOKUP($D23,'Adient Taizhou (China) WK.16'!$B:PV,QW$1,0),0)</f>
        <v>0</v>
      </c>
      <c r="QY23" s="128">
        <v>0</v>
      </c>
      <c r="QZ23" s="32">
        <v>0</v>
      </c>
      <c r="RA23" s="100">
        <f t="shared" si="285"/>
        <v>-9520</v>
      </c>
      <c r="RC23" s="37">
        <f t="shared" si="218"/>
        <v>-9520</v>
      </c>
      <c r="RD23" s="141">
        <f>IFERROR(VLOOKUP($D23,'Adient Assende (Belgium) WK.17'!$B:PZ,RE$1,0),0)</f>
        <v>640</v>
      </c>
      <c r="RE23" s="140">
        <f>IFERROR(VLOOKUP($D23,'Adient Arendal (Malzia) WK.12'!$B:QA,RE$1,0),0)</f>
        <v>0</v>
      </c>
      <c r="RF23" s="140">
        <f>IFERROR(VLOOKUP($D23,'Adient Taizhou (China) WK.16'!$B:QD,RE$1,0),0)</f>
        <v>0</v>
      </c>
      <c r="RG23" s="128">
        <v>0</v>
      </c>
      <c r="RH23" s="32">
        <v>0</v>
      </c>
      <c r="RI23" s="100">
        <f t="shared" si="286"/>
        <v>-10160</v>
      </c>
      <c r="RK23" s="37">
        <f t="shared" si="219"/>
        <v>-10160</v>
      </c>
      <c r="RL23" s="141">
        <f>IFERROR(VLOOKUP($D23,'Adient Assende (Belgium) WK.17'!$B:QH,RM$1,0),0)</f>
        <v>640</v>
      </c>
      <c r="RM23" s="140">
        <f>IFERROR(VLOOKUP($D23,'Adient Arendal (Malzia) WK.12'!$B:QI,RM$1,0),0)</f>
        <v>0</v>
      </c>
      <c r="RN23" s="140">
        <f>IFERROR(VLOOKUP($D23,'Adient Taizhou (China) WK.16'!$B:QL,RM$1,0),0)</f>
        <v>0</v>
      </c>
      <c r="RO23" s="128">
        <v>0</v>
      </c>
      <c r="RP23" s="32">
        <v>0</v>
      </c>
      <c r="RQ23" s="100">
        <f t="shared" si="287"/>
        <v>-10800</v>
      </c>
      <c r="RS23" s="37">
        <f t="shared" si="220"/>
        <v>-10800</v>
      </c>
      <c r="RT23" s="141">
        <f>IFERROR(VLOOKUP($D23,'Adient Assende (Belgium) WK.17'!$B:QP,RU$1,0),0)</f>
        <v>640</v>
      </c>
      <c r="RU23" s="140">
        <f>IFERROR(VLOOKUP($D23,'Adient Arendal (Malzia) WK.12'!$B:QQ,RU$1,0),0)</f>
        <v>0</v>
      </c>
      <c r="RV23" s="140">
        <f>IFERROR(VLOOKUP($D23,'Adient Taizhou (China) WK.16'!$B:QT,RU$1,0),0)</f>
        <v>0</v>
      </c>
      <c r="RW23" s="128">
        <v>0</v>
      </c>
      <c r="RX23" s="32">
        <v>0</v>
      </c>
      <c r="RY23" s="100">
        <f t="shared" si="288"/>
        <v>-11440</v>
      </c>
      <c r="SA23" s="37">
        <f t="shared" si="221"/>
        <v>-11440</v>
      </c>
      <c r="SB23" s="141">
        <f>IFERROR(VLOOKUP($D23,'Adient Assende (Belgium) WK.17'!$B:QX,SC$1,0),0)</f>
        <v>420</v>
      </c>
      <c r="SC23" s="140">
        <f>IFERROR(VLOOKUP($D23,'Adient Arendal (Malzia) WK.12'!$B:QY,SC$1,0),0)</f>
        <v>0</v>
      </c>
      <c r="SD23" s="140">
        <f>IFERROR(VLOOKUP($D23,'Adient Taizhou (China) WK.16'!$B:RB,SC$1,0),0)</f>
        <v>0</v>
      </c>
      <c r="SE23" s="128">
        <v>0</v>
      </c>
      <c r="SF23" s="32">
        <v>0</v>
      </c>
      <c r="SG23" s="100">
        <f t="shared" si="289"/>
        <v>-11860</v>
      </c>
      <c r="SI23" s="37">
        <f t="shared" si="222"/>
        <v>-11860</v>
      </c>
      <c r="SJ23" s="141">
        <f>IFERROR(VLOOKUP($D23,'Adient Assende (Belgium) WK.17'!$B:RF,SK$1,0),0)</f>
        <v>420</v>
      </c>
      <c r="SK23" s="140">
        <f>IFERROR(VLOOKUP($D23,'Adient Arendal (Malzia) WK.12'!$B:RG,SK$1,0),0)</f>
        <v>0</v>
      </c>
      <c r="SL23" s="140">
        <f>IFERROR(VLOOKUP($D23,'Adient Taizhou (China) WK.16'!$B:RJ,SK$1,0),0)</f>
        <v>0</v>
      </c>
      <c r="SM23" s="128">
        <v>0</v>
      </c>
      <c r="SN23" s="32">
        <v>0</v>
      </c>
      <c r="SO23" s="100">
        <f t="shared" si="290"/>
        <v>-12280</v>
      </c>
      <c r="SQ23" s="37">
        <f t="shared" si="223"/>
        <v>-12280</v>
      </c>
      <c r="SR23" s="141">
        <f>IFERROR(VLOOKUP($D23,'Adient Assende (Belgium) WK.17'!$B:RN,SS$1,0),0)</f>
        <v>420</v>
      </c>
      <c r="SS23" s="140">
        <f>IFERROR(VLOOKUP($D23,'Adient Arendal (Malzia) WK.12'!$B:RO,SS$1,0),0)</f>
        <v>0</v>
      </c>
      <c r="ST23" s="140">
        <f>IFERROR(VLOOKUP($D23,'Adient Taizhou (China) WK.16'!$B:RR,SS$1,0),0)</f>
        <v>0</v>
      </c>
      <c r="SU23" s="128">
        <v>0</v>
      </c>
      <c r="SV23" s="32">
        <v>0</v>
      </c>
      <c r="SW23" s="100">
        <f t="shared" si="291"/>
        <v>-12700</v>
      </c>
      <c r="SY23" s="37">
        <f t="shared" si="224"/>
        <v>-12700</v>
      </c>
      <c r="SZ23" s="141">
        <f>IFERROR(VLOOKUP($D23,'Adient Assende (Belgium) WK.17'!$B:RV,TA$1,0),0)</f>
        <v>420</v>
      </c>
      <c r="TA23" s="140">
        <f>IFERROR(VLOOKUP($D23,'Adient Arendal (Malzia) WK.12'!$B:RW,TA$1,0),0)</f>
        <v>0</v>
      </c>
      <c r="TB23" s="140">
        <f>IFERROR(VLOOKUP($D23,'Adient Taizhou (China) WK.16'!$B:RZ,TA$1,0),0)</f>
        <v>0</v>
      </c>
      <c r="TC23" s="128">
        <v>0</v>
      </c>
      <c r="TD23" s="32">
        <v>0</v>
      </c>
      <c r="TE23" s="100">
        <f t="shared" si="292"/>
        <v>-13120</v>
      </c>
      <c r="TG23" s="37">
        <f t="shared" si="225"/>
        <v>-13120</v>
      </c>
      <c r="TH23" s="141">
        <f>IFERROR(VLOOKUP($D23,'Adient Assende (Belgium) WK.17'!$B:SD,TI$1,0),0)</f>
        <v>640</v>
      </c>
      <c r="TI23" s="140">
        <f>IFERROR(VLOOKUP($D23,'Adient Arendal (Malzia) WK.12'!$B:SE,TI$1,0),0)</f>
        <v>0</v>
      </c>
      <c r="TJ23" s="140">
        <f>IFERROR(VLOOKUP($D23,'Adient Taizhou (China) WK.16'!$B:SH,TI$1,0),0)</f>
        <v>0</v>
      </c>
      <c r="TK23" s="128">
        <v>0</v>
      </c>
      <c r="TL23" s="32">
        <v>0</v>
      </c>
      <c r="TM23" s="100">
        <f t="shared" si="293"/>
        <v>-13760</v>
      </c>
      <c r="TO23" s="37">
        <f t="shared" si="226"/>
        <v>-13760</v>
      </c>
      <c r="TP23" s="141">
        <f>IFERROR(VLOOKUP($D23,'Adient Assende (Belgium) WK.17'!$B:SL,TQ$1,0),0)</f>
        <v>640</v>
      </c>
      <c r="TQ23" s="140">
        <f>IFERROR(VLOOKUP($D23,'Adient Arendal (Malzia) WK.12'!$B:SM,TQ$1,0),0)</f>
        <v>0</v>
      </c>
      <c r="TR23" s="140">
        <f>IFERROR(VLOOKUP($D23,'Adient Taizhou (China) WK.16'!$B:SP,TQ$1,0),0)</f>
        <v>0</v>
      </c>
      <c r="TS23" s="128">
        <v>0</v>
      </c>
      <c r="TT23" s="32">
        <v>0</v>
      </c>
      <c r="TU23" s="100">
        <f t="shared" si="294"/>
        <v>-14400</v>
      </c>
      <c r="TW23" s="37">
        <f t="shared" si="227"/>
        <v>-14400</v>
      </c>
      <c r="TX23" s="141">
        <f>IFERROR(VLOOKUP($D23,'Adient Assende (Belgium) WK.17'!$B:ST,TY$1,0),0)</f>
        <v>640</v>
      </c>
      <c r="TY23" s="140">
        <f>IFERROR(VLOOKUP($D23,'Adient Arendal (Malzia) WK.12'!$B:SU,TY$1,0),0)</f>
        <v>0</v>
      </c>
      <c r="TZ23" s="140">
        <f>IFERROR(VLOOKUP($D23,'Adient Taizhou (China) WK.16'!$B:SX,TY$1,0),0)</f>
        <v>0</v>
      </c>
      <c r="UA23" s="128">
        <v>0</v>
      </c>
      <c r="UB23" s="32">
        <v>0</v>
      </c>
      <c r="UC23" s="100">
        <f t="shared" si="295"/>
        <v>-15040</v>
      </c>
      <c r="UE23" s="37">
        <f t="shared" si="228"/>
        <v>-15040</v>
      </c>
      <c r="UF23" s="141">
        <f>IFERROR(VLOOKUP($D23,'Adient Assende (Belgium) WK.17'!$B:TB,UG$1,0),0)</f>
        <v>640</v>
      </c>
      <c r="UG23" s="140">
        <f>IFERROR(VLOOKUP($D23,'Adient Arendal (Malzia) WK.12'!$B:TC,UG$1,0),0)</f>
        <v>0</v>
      </c>
      <c r="UH23" s="140">
        <f>IFERROR(VLOOKUP($D23,'Adient Taizhou (China) WK.16'!$B:TF,UG$1,0),0)</f>
        <v>0</v>
      </c>
      <c r="UI23" s="128">
        <v>0</v>
      </c>
      <c r="UJ23" s="32">
        <v>0</v>
      </c>
      <c r="UK23" s="100">
        <f t="shared" si="296"/>
        <v>-15680</v>
      </c>
      <c r="UM23" s="37">
        <f t="shared" si="229"/>
        <v>-15680</v>
      </c>
      <c r="UN23" s="141">
        <f>IFERROR(VLOOKUP($D23,'Adient Assende (Belgium) WK.17'!$B:TJ,UO$1,0),0)</f>
        <v>640</v>
      </c>
      <c r="UO23" s="140">
        <f>IFERROR(VLOOKUP($D23,'Adient Arendal (Malzia) WK.12'!$B:TK,UO$1,0),0)</f>
        <v>0</v>
      </c>
      <c r="UP23" s="140">
        <f>IFERROR(VLOOKUP($D23,'Adient Taizhou (China) WK.16'!$B:TN,UO$1,0),0)</f>
        <v>0</v>
      </c>
      <c r="UQ23" s="128">
        <v>0</v>
      </c>
      <c r="UR23" s="32">
        <v>0</v>
      </c>
      <c r="US23" s="100">
        <f t="shared" si="297"/>
        <v>-16320</v>
      </c>
      <c r="UU23" s="37">
        <f t="shared" si="230"/>
        <v>-16320</v>
      </c>
      <c r="UV23" s="141">
        <f>IFERROR(VLOOKUP($D23,'Adient Assende (Belgium) WK.17'!$B:TR,UW$1,0),0)</f>
        <v>640</v>
      </c>
      <c r="UW23" s="140">
        <f>IFERROR(VLOOKUP($D23,'Adient Arendal (Malzia) WK.12'!$B:TS,UW$1,0),0)</f>
        <v>0</v>
      </c>
      <c r="UX23" s="140">
        <f>IFERROR(VLOOKUP($D23,'Adient Taizhou (China) WK.16'!$B:TV,UW$1,0),0)</f>
        <v>0</v>
      </c>
      <c r="UY23" s="128">
        <v>0</v>
      </c>
      <c r="UZ23" s="32">
        <v>0</v>
      </c>
      <c r="VA23" s="100">
        <f t="shared" si="298"/>
        <v>-16960</v>
      </c>
      <c r="VC23" s="37">
        <f t="shared" si="231"/>
        <v>-16960</v>
      </c>
      <c r="VD23" s="141">
        <f>IFERROR(VLOOKUP($D23,'Adient Assende (Belgium) WK.17'!$B:TZ,VE$1,0),0)</f>
        <v>640</v>
      </c>
      <c r="VE23" s="140">
        <f>IFERROR(VLOOKUP($D23,'Adient Arendal (Malzia) WK.12'!$B:UA,VE$1,0),0)</f>
        <v>0</v>
      </c>
      <c r="VF23" s="140">
        <f>IFERROR(VLOOKUP($D23,'Adient Taizhou (China) WK.16'!$B:UD,VE$1,0),0)</f>
        <v>0</v>
      </c>
      <c r="VG23" s="128">
        <v>0</v>
      </c>
      <c r="VH23" s="32">
        <v>0</v>
      </c>
      <c r="VI23" s="100">
        <f t="shared" si="299"/>
        <v>-17600</v>
      </c>
      <c r="VK23" s="37">
        <f t="shared" si="232"/>
        <v>-17600</v>
      </c>
      <c r="VL23" s="141">
        <f>IFERROR(VLOOKUP($D23,'Adient Assende (Belgium) WK.17'!$B:UH,VM$1,0),0)</f>
        <v>0</v>
      </c>
      <c r="VM23" s="140">
        <f>IFERROR(VLOOKUP($D23,'Adient Arendal (Malzia) WK.12'!$B:UI,VM$1,0),0)</f>
        <v>0</v>
      </c>
      <c r="VN23" s="140">
        <f>IFERROR(VLOOKUP($D23,'Adient Taizhou (China) WK.16'!$B:UL,VM$1,0),0)</f>
        <v>0</v>
      </c>
      <c r="VO23" s="128">
        <v>0</v>
      </c>
      <c r="VP23" s="32">
        <v>0</v>
      </c>
      <c r="VQ23" s="100">
        <f t="shared" si="300"/>
        <v>-17600</v>
      </c>
    </row>
    <row r="24" spans="1:589" x14ac:dyDescent="0.25">
      <c r="A24" s="10" t="s">
        <v>18</v>
      </c>
      <c r="B24" s="11" t="s">
        <v>19</v>
      </c>
      <c r="C24" s="87">
        <v>32272822</v>
      </c>
      <c r="D24" s="81">
        <v>4755038</v>
      </c>
      <c r="E24" s="11">
        <v>20</v>
      </c>
      <c r="F24" s="12"/>
      <c r="H24" s="122">
        <v>680</v>
      </c>
      <c r="I24" s="125">
        <f>IFERROR(VLOOKUP($D24,'Adient Assende (Belgium) WK.17'!$B:C,J$1,0),0)</f>
        <v>0</v>
      </c>
      <c r="J24" s="55">
        <f>IFERROR(VLOOKUP($D24,'Adient Arendal (Malzia) WK.12'!$B:C,J$1,0),0)</f>
        <v>0</v>
      </c>
      <c r="K24" s="55">
        <f>IFERROR(VLOOKUP($D24,'Adient Taizhou (China) WK.16'!$B:C,J$1,0),0)</f>
        <v>0</v>
      </c>
      <c r="L24" s="128">
        <v>80</v>
      </c>
      <c r="M24" s="32">
        <v>0</v>
      </c>
      <c r="N24" s="106">
        <f t="shared" si="233"/>
        <v>600</v>
      </c>
      <c r="P24" s="37">
        <f t="shared" si="234"/>
        <v>600</v>
      </c>
      <c r="Q24" s="125">
        <f>IFERROR(VLOOKUP($D24,'Adient Assende (Belgium) WK.17'!$B:K,R$1,0),0)</f>
        <v>80</v>
      </c>
      <c r="R24" s="55">
        <f>IFERROR(VLOOKUP($D24,'Adient Arendal (Malzia) WK.12'!$B:K,R$1,0),0)</f>
        <v>0</v>
      </c>
      <c r="S24" s="55">
        <f>IFERROR(VLOOKUP($D24,'Adient Taizhou (China) WK.16'!$B:K,R$1,0),0)</f>
        <v>0</v>
      </c>
      <c r="T24" s="41">
        <v>80</v>
      </c>
      <c r="U24" s="32">
        <v>0</v>
      </c>
      <c r="V24" s="106">
        <f t="shared" si="235"/>
        <v>520</v>
      </c>
      <c r="X24" s="37">
        <f t="shared" si="236"/>
        <v>520</v>
      </c>
      <c r="Y24" s="125">
        <f>IFERROR(VLOOKUP($D24,'Adient Assende (Belgium) WK.17'!$B:S,Z$1,0),0)</f>
        <v>80</v>
      </c>
      <c r="Z24" s="55">
        <f>IFERROR(VLOOKUP($D24,'Adient Arendal (Malzia) WK.12'!$B:S,Z$1,0),0)</f>
        <v>0</v>
      </c>
      <c r="AA24" s="55">
        <f>IFERROR(VLOOKUP($D24,'Adient Taizhou (China) WK.16'!$B:S,Z$1,0),0)</f>
        <v>0</v>
      </c>
      <c r="AB24" s="41">
        <v>0</v>
      </c>
      <c r="AC24" s="32">
        <v>0</v>
      </c>
      <c r="AD24" s="106">
        <f t="shared" si="237"/>
        <v>520</v>
      </c>
      <c r="AF24" s="37">
        <f t="shared" si="238"/>
        <v>520</v>
      </c>
      <c r="AG24" s="125">
        <f>IFERROR(VLOOKUP($D24,'Adient Assende (Belgium) WK.17'!$B:AA,AH$1,0),0)</f>
        <v>0</v>
      </c>
      <c r="AH24" s="55">
        <f>IFERROR(VLOOKUP($D24,'Adient Arendal (Malzia) WK.12'!$B:AA,AH$1,0),0)</f>
        <v>0</v>
      </c>
      <c r="AI24" s="55">
        <f>IFERROR(VLOOKUP($D24,'Adient Taizhou (China) WK.16'!$B:AA,AH$1,0),0)</f>
        <v>0</v>
      </c>
      <c r="AJ24" s="41">
        <v>80</v>
      </c>
      <c r="AK24" s="32">
        <v>0</v>
      </c>
      <c r="AL24" s="106">
        <f t="shared" si="239"/>
        <v>440</v>
      </c>
      <c r="AN24" s="37">
        <f t="shared" si="164"/>
        <v>440</v>
      </c>
      <c r="AO24" s="125">
        <f>IFERROR(VLOOKUP($D24,'Adient Assende (Belgium) WK.17'!$B:AI,AP$1,0),0)</f>
        <v>80</v>
      </c>
      <c r="AP24" s="55">
        <f>IFERROR(VLOOKUP($D24,'Adient Arendal (Malzia) WK.12'!$B:AI,AP$1,0),0)</f>
        <v>0</v>
      </c>
      <c r="AQ24" s="55">
        <f>IFERROR(VLOOKUP($D24,'Adient Taizhou (China) WK.16'!$B:AI,AP$1,0),0)</f>
        <v>0</v>
      </c>
      <c r="AR24" s="60">
        <v>0</v>
      </c>
      <c r="AS24" s="41">
        <v>0</v>
      </c>
      <c r="AT24" s="32">
        <v>0</v>
      </c>
      <c r="AU24" s="106">
        <f t="shared" si="240"/>
        <v>440</v>
      </c>
      <c r="AW24" s="37">
        <f t="shared" si="165"/>
        <v>440</v>
      </c>
      <c r="AX24" s="125">
        <f>IFERROR(VLOOKUP($D24,'Adient Assende (Belgium) WK.17'!$B:AR,AY$1,0),0)</f>
        <v>0</v>
      </c>
      <c r="AY24" s="55">
        <f>IFERROR(VLOOKUP($D24,'Adient Arendal (Malzia) WK.12'!$B:AR,AY$1,0),0)</f>
        <v>0</v>
      </c>
      <c r="AZ24" s="55">
        <f>IFERROR(VLOOKUP($D24,'Adient Taizhou (China) WK.16'!$B:AU,AY$1,0),0)</f>
        <v>0</v>
      </c>
      <c r="BA24" s="41">
        <v>0</v>
      </c>
      <c r="BB24" s="32">
        <v>0</v>
      </c>
      <c r="BC24" s="106">
        <f t="shared" si="241"/>
        <v>440</v>
      </c>
      <c r="BE24" s="37">
        <f t="shared" si="166"/>
        <v>440</v>
      </c>
      <c r="BF24" s="125">
        <f>IFERROR(VLOOKUP($D24,'Adient Assende (Belgium) WK.17'!$B:AX,BG$1,0),0)</f>
        <v>0</v>
      </c>
      <c r="BG24" s="55">
        <f>IFERROR(VLOOKUP($D24,'Adient Arendal (Malzia) WK.12'!$B:AZ,BG$1,0),0)</f>
        <v>0</v>
      </c>
      <c r="BH24" s="55">
        <f>IFERROR(VLOOKUP($D24,'Adient Taizhou (China) WK.16'!$B:BB,BG$1,0),0)</f>
        <v>0</v>
      </c>
      <c r="BI24" s="60">
        <v>0</v>
      </c>
      <c r="BJ24" s="60">
        <v>0</v>
      </c>
      <c r="BK24" s="41">
        <v>0</v>
      </c>
      <c r="BL24" s="32">
        <v>0</v>
      </c>
      <c r="BM24" s="106">
        <f t="shared" si="242"/>
        <v>440</v>
      </c>
      <c r="BN24" s="8"/>
      <c r="BO24" s="37">
        <f t="shared" si="167"/>
        <v>440</v>
      </c>
      <c r="BP24" s="125">
        <f>IFERROR(VLOOKUP($D24,'Adient Assende (Belgium) WK.17'!$B:BH,BQ$1,0),0)</f>
        <v>0</v>
      </c>
      <c r="BQ24" s="55">
        <f>IFERROR(VLOOKUP($D24,'Adient Arendal (Malzia) WK.12'!$B:BI,BQ$1,0),0)</f>
        <v>0</v>
      </c>
      <c r="BR24" s="55">
        <f>IFERROR(VLOOKUP($D24,'Adient Taizhou (China) WK.16'!$B:BL,BQ$1,0),0)</f>
        <v>0</v>
      </c>
      <c r="BS24" s="60">
        <v>0</v>
      </c>
      <c r="BT24" s="60">
        <v>0</v>
      </c>
      <c r="BU24" s="60">
        <v>0</v>
      </c>
      <c r="BV24" s="41">
        <v>80</v>
      </c>
      <c r="BW24" s="32">
        <v>0</v>
      </c>
      <c r="BX24" s="106">
        <f t="shared" si="243"/>
        <v>360</v>
      </c>
      <c r="BY24" s="8"/>
      <c r="BZ24" s="37">
        <f t="shared" si="168"/>
        <v>360</v>
      </c>
      <c r="CA24" s="125">
        <f>IFERROR(VLOOKUP($D24,'Adient Assende (Belgium) WK.17'!$B:BS,CB$1,0),0)</f>
        <v>80</v>
      </c>
      <c r="CB24" s="55">
        <f>IFERROR(VLOOKUP($D24,'Adient Arendal (Malzia) WK.12'!$B:BT,CB$1,0),0)</f>
        <v>0</v>
      </c>
      <c r="CC24" s="55">
        <f>IFERROR(VLOOKUP($D24,'Adient Taizhou (China) WK.16'!$B:BW,CB$1,0),0)</f>
        <v>0</v>
      </c>
      <c r="CD24" s="60">
        <v>0</v>
      </c>
      <c r="CE24" s="60">
        <v>0</v>
      </c>
      <c r="CF24" s="41">
        <v>80</v>
      </c>
      <c r="CG24" s="32">
        <v>0</v>
      </c>
      <c r="CH24" s="106">
        <f t="shared" si="244"/>
        <v>280</v>
      </c>
      <c r="CI24" s="8"/>
      <c r="CJ24" s="37">
        <f t="shared" si="169"/>
        <v>280</v>
      </c>
      <c r="CK24" s="125">
        <f>IFERROR(VLOOKUP($D24,'Adient Assende (Belgium) WK.17'!$B:CC,CL$1,0),0)</f>
        <v>80</v>
      </c>
      <c r="CL24" s="55">
        <f>IFERROR(VLOOKUP($D24,'Adient Arendal (Malzia) WK.12'!$B:CD,CL$1,0),0)</f>
        <v>0</v>
      </c>
      <c r="CM24" s="55">
        <f>IFERROR(VLOOKUP($D24,'Adient Taizhou (China) WK.16'!$B:CG,CL$1,0),0)</f>
        <v>0</v>
      </c>
      <c r="CN24" s="60">
        <v>0</v>
      </c>
      <c r="CO24" s="149">
        <v>0</v>
      </c>
      <c r="CP24" s="32">
        <v>0</v>
      </c>
      <c r="CQ24" s="106">
        <f t="shared" si="245"/>
        <v>280</v>
      </c>
      <c r="CR24" s="8"/>
      <c r="CS24" s="122">
        <f t="shared" si="170"/>
        <v>280</v>
      </c>
      <c r="CT24" s="154">
        <f>IFERROR(VLOOKUP($D24,'Adient Assende (Belgium) WK.17'!$B:CL,CU$1,0),0)</f>
        <v>0</v>
      </c>
      <c r="CU24" s="55">
        <f>IFERROR(VLOOKUP($D24,'Adient Arendal (Malzia) WK.12'!$B:CM,CU$1,0),0)</f>
        <v>0</v>
      </c>
      <c r="CV24" s="55">
        <f>IFERROR(VLOOKUP($D24,'Adient Taizhou (China) WK.16'!$B:CP,CU$1,0),0)</f>
        <v>0</v>
      </c>
      <c r="CW24" s="60">
        <v>0</v>
      </c>
      <c r="CX24" s="60">
        <v>0</v>
      </c>
      <c r="CY24" s="128">
        <v>0</v>
      </c>
      <c r="CZ24" s="32">
        <v>0</v>
      </c>
      <c r="DA24" s="106">
        <f t="shared" si="246"/>
        <v>280</v>
      </c>
      <c r="DB24" s="8"/>
      <c r="DC24" s="37">
        <f t="shared" si="171"/>
        <v>280</v>
      </c>
      <c r="DD24" s="125">
        <f>IFERROR(VLOOKUP($D24,'Adient Assende (Belgium) WK.17'!$B:CS,DE$1,0),0)</f>
        <v>0</v>
      </c>
      <c r="DE24" s="55">
        <f>IFERROR(VLOOKUP($D24,'Adient Arendal (Malzia) WK.12'!$B:CU,DE$1,0),0)</f>
        <v>0</v>
      </c>
      <c r="DF24" s="55">
        <f>IFERROR(VLOOKUP($D24,'Adient Taizhou (China) WK.16'!$B:CX,DE$1,0),0)</f>
        <v>0</v>
      </c>
      <c r="DG24" s="60">
        <v>0</v>
      </c>
      <c r="DH24" s="128">
        <v>0</v>
      </c>
      <c r="DI24" s="32">
        <v>0</v>
      </c>
      <c r="DJ24" s="106">
        <f t="shared" si="247"/>
        <v>280</v>
      </c>
      <c r="DL24" s="37">
        <f t="shared" si="172"/>
        <v>280</v>
      </c>
      <c r="DM24" s="125">
        <f>IFERROR(VLOOKUP($D24,'Adient Assende (Belgium) WK.17'!$B:DB,DN$1,0),0)</f>
        <v>0</v>
      </c>
      <c r="DN24" s="55">
        <f>IFERROR(VLOOKUP($D24,'Adient Arendal (Malzia) WK.12'!$B:DC,DN$1,0),0)</f>
        <v>0</v>
      </c>
      <c r="DO24" s="55">
        <f>IFERROR(VLOOKUP($D24,'Adient Taizhou (China) WK.16'!$B:DF,DN$1,0),0)</f>
        <v>0</v>
      </c>
      <c r="DP24" s="128">
        <v>0</v>
      </c>
      <c r="DQ24" s="32">
        <v>0</v>
      </c>
      <c r="DR24" s="106">
        <f t="shared" si="173"/>
        <v>280</v>
      </c>
      <c r="DS24" s="8"/>
      <c r="DT24" s="37">
        <f t="shared" si="174"/>
        <v>280</v>
      </c>
      <c r="DU24" s="125">
        <f>IFERROR(VLOOKUP($D24,'Adient Assende (Belgium) WK.17'!$B:DJ,DV$1,0),0)</f>
        <v>0</v>
      </c>
      <c r="DV24" s="55">
        <f>IFERROR(VLOOKUP($D24,'Adient Arendal (Malzia) WK.12'!$B:DK,DV$1,0),0)</f>
        <v>0</v>
      </c>
      <c r="DW24" s="55">
        <f>IFERROR(VLOOKUP($D24,'Adient Taizhou (China) WK.16'!$B:DN,DV$1,0),0)</f>
        <v>0</v>
      </c>
      <c r="DX24" s="60">
        <v>0</v>
      </c>
      <c r="DY24" s="60">
        <v>0</v>
      </c>
      <c r="DZ24" s="128">
        <v>0</v>
      </c>
      <c r="EA24" s="32">
        <v>0</v>
      </c>
      <c r="EB24" s="106">
        <f t="shared" si="248"/>
        <v>280</v>
      </c>
      <c r="EC24" s="8"/>
      <c r="ED24" s="37">
        <f t="shared" si="175"/>
        <v>280</v>
      </c>
      <c r="EE24" s="125">
        <f>IFERROR(VLOOKUP($D24,'Adient Assende (Belgium) WK.17'!$B:DR,EF$1,0),0)</f>
        <v>0</v>
      </c>
      <c r="EF24" s="55">
        <f>IFERROR(VLOOKUP($D24,'Adient Arendal (Malzia) WK.12'!$B:DS,EF$1,0),0)</f>
        <v>0</v>
      </c>
      <c r="EG24" s="55">
        <f>IFERROR(VLOOKUP($D24,'Adient Taizhou (China) WK.16'!$B:DV,EF$1,0),0)</f>
        <v>0</v>
      </c>
      <c r="EH24" s="60">
        <v>0</v>
      </c>
      <c r="EI24" s="128">
        <v>80</v>
      </c>
      <c r="EJ24" s="32">
        <v>0</v>
      </c>
      <c r="EK24" s="106">
        <f t="shared" si="249"/>
        <v>200</v>
      </c>
      <c r="EM24" s="37">
        <f t="shared" si="176"/>
        <v>200</v>
      </c>
      <c r="EN24" s="125">
        <f>IFERROR(VLOOKUP($D24,'Adient Assende (Belgium) WK.17'!$B:DZ,EO$1,0),0)</f>
        <v>80</v>
      </c>
      <c r="EO24" s="55">
        <f>IFERROR(VLOOKUP($D24,'Adient Arendal (Malzia) WK.12'!$B:EA,EO$1,0),0)</f>
        <v>0</v>
      </c>
      <c r="EP24" s="55">
        <f>IFERROR(VLOOKUP($D24,'Adient Taizhou (China) WK.16'!$B:ED,EO$1,0),0)</f>
        <v>0</v>
      </c>
      <c r="EQ24" s="128">
        <v>0</v>
      </c>
      <c r="ER24" s="32">
        <v>0</v>
      </c>
      <c r="ES24" s="106">
        <f t="shared" si="250"/>
        <v>200</v>
      </c>
      <c r="EU24" s="37">
        <f t="shared" si="177"/>
        <v>200</v>
      </c>
      <c r="EV24" s="125">
        <f>IFERROR(VLOOKUP($D24,'Adient Assende (Belgium) WK.17'!$B:EH,EW$1,0),0)</f>
        <v>0</v>
      </c>
      <c r="EW24" s="55">
        <f>IFERROR(VLOOKUP($D24,'Adient Arendal (Malzia) WK.12'!$B:EI,EW$1,0),0)</f>
        <v>0</v>
      </c>
      <c r="EX24" s="55">
        <f>IFERROR(VLOOKUP($D24,'Adient Taizhou (China) WK.16'!$B:EL,EW$1,0),0)</f>
        <v>0</v>
      </c>
      <c r="EY24" s="128">
        <v>0</v>
      </c>
      <c r="EZ24" s="32">
        <v>0</v>
      </c>
      <c r="FA24" s="106">
        <f t="shared" si="251"/>
        <v>200</v>
      </c>
      <c r="FC24" s="37">
        <f t="shared" si="178"/>
        <v>200</v>
      </c>
      <c r="FD24" s="154">
        <f>IFERROR(VLOOKUP($D24,'Adient Assende (Belgium) WK.17'!$B:EP,FE$1,0),0)</f>
        <v>0</v>
      </c>
      <c r="FE24" s="154">
        <f>IFERROR(VLOOKUP($D24,'Adient Arendal (Malzia) WK.12'!$B:EQ,FE$1,0),0)</f>
        <v>0</v>
      </c>
      <c r="FF24" s="154">
        <f>IFERROR(VLOOKUP($D24,'Adient Taizhou (China) WK.16'!$B:ET,FE$1,0),0)</f>
        <v>0</v>
      </c>
      <c r="FG24" s="128">
        <v>0</v>
      </c>
      <c r="FH24" s="32">
        <v>0</v>
      </c>
      <c r="FI24" s="106">
        <f t="shared" si="252"/>
        <v>200</v>
      </c>
      <c r="FK24" s="37">
        <f t="shared" si="179"/>
        <v>200</v>
      </c>
      <c r="FL24" s="125">
        <f>IFERROR(VLOOKUP($D24,'Adient Assende (Belgium) WK.17'!$B:EX,FM$1,0),0)</f>
        <v>0</v>
      </c>
      <c r="FM24" s="55">
        <f>IFERROR(VLOOKUP($D24,'Adient Arendal (Malzia) WK.12'!$B:EY,FM$1,0),0)</f>
        <v>0</v>
      </c>
      <c r="FN24" s="55">
        <f>IFERROR(VLOOKUP($D24,'Adient Taizhou (China) WK.16'!$B:FB,FM$1,0),0)</f>
        <v>0</v>
      </c>
      <c r="FO24" s="128">
        <v>0</v>
      </c>
      <c r="FP24" s="32">
        <v>0</v>
      </c>
      <c r="FQ24" s="106">
        <f t="shared" si="253"/>
        <v>200</v>
      </c>
      <c r="FR24" s="8"/>
      <c r="FS24" s="37">
        <f t="shared" si="180"/>
        <v>200</v>
      </c>
      <c r="FT24" s="125">
        <f>IFERROR(VLOOKUP($D24,'Adient Assende (Belgium) WK.17'!$B:FF,FU$1,0),0)</f>
        <v>0</v>
      </c>
      <c r="FU24" s="55">
        <f>IFERROR(VLOOKUP($D24,'Adient Arendal (Malzia) WK.12'!$B:FG,FU$1,0),0)</f>
        <v>0</v>
      </c>
      <c r="FV24" s="55">
        <f>IFERROR(VLOOKUP($D24,'Adient Taizhou (China) WK.16'!$B:FJ,FU$1,0),0)</f>
        <v>0</v>
      </c>
      <c r="FW24" s="60">
        <v>0</v>
      </c>
      <c r="FX24" s="60">
        <v>0</v>
      </c>
      <c r="FY24" s="60">
        <v>0</v>
      </c>
      <c r="FZ24" s="60">
        <v>0</v>
      </c>
      <c r="GA24" s="60">
        <v>100</v>
      </c>
      <c r="GB24" s="128">
        <v>0</v>
      </c>
      <c r="GC24" s="32">
        <v>0</v>
      </c>
      <c r="GD24" s="106">
        <f t="shared" si="254"/>
        <v>300</v>
      </c>
      <c r="GF24" s="37">
        <f t="shared" si="181"/>
        <v>300</v>
      </c>
      <c r="GG24" s="125">
        <f>IFERROR(VLOOKUP($D24,'Adient Assende (Belgium) WK.17'!$B:FN,GH$1,0),0)</f>
        <v>0</v>
      </c>
      <c r="GH24" s="55">
        <f>IFERROR(VLOOKUP($D24,'Adient Arendal (Malzia) WK.12'!$B:FO,GH$1,0),0)</f>
        <v>0</v>
      </c>
      <c r="GI24" s="55">
        <f>IFERROR(VLOOKUP($D24,'Adient Taizhou (China) WK.16'!$B:FR,GH$1,0),0)</f>
        <v>0</v>
      </c>
      <c r="GJ24" s="60">
        <v>100</v>
      </c>
      <c r="GK24" s="128">
        <v>80</v>
      </c>
      <c r="GL24" s="32">
        <v>0</v>
      </c>
      <c r="GM24" s="106">
        <f t="shared" si="255"/>
        <v>320</v>
      </c>
      <c r="GO24" s="37">
        <f t="shared" si="182"/>
        <v>320</v>
      </c>
      <c r="GP24" s="125">
        <f>IFERROR(VLOOKUP($D24,'Adient Assende (Belgium) WK.17'!$B:FV,GQ$1,0),0)</f>
        <v>80</v>
      </c>
      <c r="GQ24" s="55">
        <f>IFERROR(VLOOKUP($D24,'Adient Arendal (Malzia) WK.12'!$B:FW,GQ$1,0),0)</f>
        <v>0</v>
      </c>
      <c r="GR24" s="55">
        <f>IFERROR(VLOOKUP($D24,'Adient Taizhou (China) WK.16'!$B:FZ,GQ$1,0),0)</f>
        <v>0</v>
      </c>
      <c r="GS24" s="60">
        <v>320</v>
      </c>
      <c r="GT24" s="128">
        <v>80</v>
      </c>
      <c r="GU24" s="32">
        <v>0</v>
      </c>
      <c r="GV24" s="106">
        <f t="shared" si="256"/>
        <v>560</v>
      </c>
      <c r="GW24" s="8"/>
      <c r="GX24" s="37">
        <f t="shared" si="183"/>
        <v>560</v>
      </c>
      <c r="GY24" s="125">
        <f>IFERROR(VLOOKUP($D24,'Adient Assende (Belgium) WK.17'!$B:GD,GZ$1,0),0)</f>
        <v>80</v>
      </c>
      <c r="GZ24" s="55">
        <f>IFERROR(VLOOKUP($D24,'Adient Arendal (Malzia) WK.12'!$B:GE,GZ$1,0),0)</f>
        <v>0</v>
      </c>
      <c r="HA24" s="55">
        <f>IFERROR(VLOOKUP($D24,'Adient Taizhou (China) WK.16'!$B:GH,GZ$1,0),0)</f>
        <v>0</v>
      </c>
      <c r="HB24" s="60">
        <v>100</v>
      </c>
      <c r="HC24" s="128">
        <v>0</v>
      </c>
      <c r="HD24" s="32">
        <v>0</v>
      </c>
      <c r="HE24" s="106">
        <f t="shared" si="257"/>
        <v>660</v>
      </c>
      <c r="HF24" s="8"/>
      <c r="HG24" s="37">
        <f t="shared" si="184"/>
        <v>660</v>
      </c>
      <c r="HH24" s="125">
        <f>IFERROR(VLOOKUP($D24,'Adient Assende (Belgium) WK.17'!$B:GL,HI$1,0),0)</f>
        <v>0</v>
      </c>
      <c r="HI24" s="55">
        <f>IFERROR(VLOOKUP($D24,'Adient Arendal (Malzia) WK.12'!$B:GM,HI$1,0),0)</f>
        <v>0</v>
      </c>
      <c r="HJ24" s="55">
        <f>IFERROR(VLOOKUP($D24,'Adient Taizhou (China) WK.16'!$B:GP,HI$1,0),0)</f>
        <v>0</v>
      </c>
      <c r="HK24" s="60">
        <v>0</v>
      </c>
      <c r="HL24" s="128">
        <v>80</v>
      </c>
      <c r="HM24" s="32">
        <v>0</v>
      </c>
      <c r="HN24" s="106">
        <f t="shared" si="258"/>
        <v>580</v>
      </c>
      <c r="HO24" s="8"/>
      <c r="HP24" s="37">
        <f t="shared" si="185"/>
        <v>580</v>
      </c>
      <c r="HQ24" s="125">
        <f>IFERROR(VLOOKUP($D24,'Adient Assende (Belgium) WK.17'!$B:GT,HR$1,0),0)</f>
        <v>80</v>
      </c>
      <c r="HR24" s="55">
        <f>IFERROR(VLOOKUP($D24,'Adient Arendal (Malzia) WK.12'!$B:GU,HR$1,0),0)</f>
        <v>0</v>
      </c>
      <c r="HS24" s="55">
        <f>IFERROR(VLOOKUP($D24,'Adient Taizhou (China) WK.16'!$B:GX,HR$1,0),0)</f>
        <v>0</v>
      </c>
      <c r="HT24" s="60">
        <v>0</v>
      </c>
      <c r="HU24" s="128">
        <v>0</v>
      </c>
      <c r="HV24" s="32">
        <v>0</v>
      </c>
      <c r="HW24" s="106">
        <f t="shared" si="259"/>
        <v>580</v>
      </c>
      <c r="HX24" s="8"/>
      <c r="HY24" s="37">
        <f t="shared" si="186"/>
        <v>580</v>
      </c>
      <c r="HZ24" s="125">
        <f>IFERROR(VLOOKUP($D24,'Adient Assende (Belgium) WK.17'!$B:HB,IA$1,0),0)</f>
        <v>0</v>
      </c>
      <c r="IA24" s="55">
        <f>IFERROR(VLOOKUP($D24,'Adient Arendal (Malzia) WK.12'!$B:HC,IA$1,0),0)</f>
        <v>0</v>
      </c>
      <c r="IB24" s="55">
        <f>IFERROR(VLOOKUP($D24,'Adient Taizhou (China) WK.16'!$B:HF,IA$1,0),0)</f>
        <v>0</v>
      </c>
      <c r="IC24" s="60">
        <v>320</v>
      </c>
      <c r="ID24" s="128">
        <v>160</v>
      </c>
      <c r="IE24" s="32">
        <v>0</v>
      </c>
      <c r="IF24" s="106">
        <f t="shared" si="260"/>
        <v>740</v>
      </c>
      <c r="IG24" s="8"/>
      <c r="IH24" s="37">
        <f t="shared" si="187"/>
        <v>740</v>
      </c>
      <c r="II24" s="125">
        <f>IFERROR(VLOOKUP($D24,'Adient Assende (Belgium) WK.17'!$B:HJ,IJ$1,0),0)</f>
        <v>160</v>
      </c>
      <c r="IJ24" s="55">
        <f>IFERROR(VLOOKUP($D24,'Adient Arendal (Malzia) WK.12'!$B:HK,IJ$1,0),0)</f>
        <v>0</v>
      </c>
      <c r="IK24" s="55">
        <f>IFERROR(VLOOKUP($D24,'Adient Taizhou (China) WK.16'!$B:HN,IJ$1,0),0)</f>
        <v>0</v>
      </c>
      <c r="IL24" s="128">
        <v>80</v>
      </c>
      <c r="IM24" s="32">
        <v>0</v>
      </c>
      <c r="IN24" s="106">
        <f t="shared" si="188"/>
        <v>660</v>
      </c>
      <c r="IO24" s="8"/>
      <c r="IP24" s="37">
        <f t="shared" si="189"/>
        <v>660</v>
      </c>
      <c r="IQ24" s="125">
        <f>IFERROR(VLOOKUP($D24,'Adient Assende (Belgium) WK.17'!$B:HR,IR$1,0),0)</f>
        <v>80</v>
      </c>
      <c r="IR24" s="55">
        <f>IFERROR(VLOOKUP($D24,'Adient Arendal (Malzia) WK.12'!$B:HS,IR$1,0),0)</f>
        <v>0</v>
      </c>
      <c r="IS24" s="55">
        <f>IFERROR(VLOOKUP($D24,'Adient Taizhou (China) WK.16'!$B:HV,IR$1,0),0)</f>
        <v>0</v>
      </c>
      <c r="IT24" s="60">
        <v>140</v>
      </c>
      <c r="IU24" s="128">
        <v>80</v>
      </c>
      <c r="IV24" s="32">
        <v>0</v>
      </c>
      <c r="IW24" s="106">
        <f t="shared" si="261"/>
        <v>720</v>
      </c>
      <c r="IX24" s="8"/>
      <c r="IY24" s="37">
        <f t="shared" si="190"/>
        <v>720</v>
      </c>
      <c r="IZ24" s="125">
        <f>IFERROR(VLOOKUP($D24,'Adient Assende (Belgium) WK.17'!$B:HZ,JA$1,0),0)</f>
        <v>80</v>
      </c>
      <c r="JA24" s="55">
        <f>IFERROR(VLOOKUP($D24,'Adient Arendal (Malzia) WK.12'!$B:IA,JA$1,0),0)</f>
        <v>0</v>
      </c>
      <c r="JB24" s="55">
        <f>IFERROR(VLOOKUP($D24,'Adient Taizhou (China) WK.16'!$B:ID,JA$1,0),0)</f>
        <v>0</v>
      </c>
      <c r="JC24" s="128">
        <v>0</v>
      </c>
      <c r="JD24" s="32">
        <v>0</v>
      </c>
      <c r="JE24" s="106">
        <f t="shared" si="191"/>
        <v>720</v>
      </c>
      <c r="JF24" s="8"/>
      <c r="JG24" s="37">
        <f t="shared" si="192"/>
        <v>720</v>
      </c>
      <c r="JH24" s="125">
        <f>IFERROR(VLOOKUP($D24,'Adient Assende (Belgium) WK.17'!$B:IH,JI$1,0),0)</f>
        <v>0</v>
      </c>
      <c r="JI24" s="55">
        <f>IFERROR(VLOOKUP($D24,'Adient Arendal (Malzia) WK.12'!$B:II,JI$1,0),0)</f>
        <v>0</v>
      </c>
      <c r="JJ24" s="55">
        <f>IFERROR(VLOOKUP($D24,'Adient Taizhou (China) WK.16'!$B:IL,JI$1,0),0)</f>
        <v>0</v>
      </c>
      <c r="JK24" s="60">
        <v>400</v>
      </c>
      <c r="JL24" s="128">
        <v>160</v>
      </c>
      <c r="JM24" s="32">
        <v>0</v>
      </c>
      <c r="JN24" s="106">
        <f t="shared" si="262"/>
        <v>960</v>
      </c>
      <c r="JO24" s="8"/>
      <c r="JP24" s="37">
        <f t="shared" si="193"/>
        <v>960</v>
      </c>
      <c r="JQ24" s="125">
        <f>IFERROR(VLOOKUP($D24,'Adient Assende (Belgium) WK.17'!$B:IP,JR$1,0),0)</f>
        <v>160</v>
      </c>
      <c r="JR24" s="55">
        <f>IFERROR(VLOOKUP($D24,'Adient Arendal (Malzia) WK.12'!$B:IQ,JR$1,0),0)</f>
        <v>0</v>
      </c>
      <c r="JS24" s="55">
        <f>IFERROR(VLOOKUP($D24,'Adient Taizhou (China) WK.16'!$B:IT,JR$1,0),0)</f>
        <v>0</v>
      </c>
      <c r="JT24" s="128">
        <v>0</v>
      </c>
      <c r="JU24" s="32">
        <v>0</v>
      </c>
      <c r="JV24" s="106">
        <f t="shared" si="194"/>
        <v>960</v>
      </c>
      <c r="JW24" s="8"/>
      <c r="JX24" s="37">
        <f t="shared" si="195"/>
        <v>960</v>
      </c>
      <c r="JY24" s="154">
        <f>IFERROR(VLOOKUP($D24,'Adient Assende (Belgium) WK.17'!$B:IX,JZ$1,0),0)</f>
        <v>0</v>
      </c>
      <c r="JZ24" s="55">
        <f>IFERROR(VLOOKUP($D24,'Adient Arendal (Malzia) WK.12'!$B:IY,JZ$1,0),0)</f>
        <v>0</v>
      </c>
      <c r="KA24" s="55">
        <f>IFERROR(VLOOKUP($D24,'Adient Taizhou (China) WK.16'!$B:JB,JZ$1,0),0)</f>
        <v>0</v>
      </c>
      <c r="KB24" s="128">
        <v>400</v>
      </c>
      <c r="KC24" s="32">
        <v>0</v>
      </c>
      <c r="KD24" s="106">
        <f t="shared" si="263"/>
        <v>560</v>
      </c>
      <c r="KE24" s="8"/>
      <c r="KF24" s="37">
        <f t="shared" si="196"/>
        <v>560</v>
      </c>
      <c r="KG24" s="125">
        <f>IFERROR(VLOOKUP($D24,'Adient Assende (Belgium) WK.17'!$B:JF,KH$1,0),0)</f>
        <v>400</v>
      </c>
      <c r="KH24" s="55">
        <f>IFERROR(VLOOKUP($D24,'Adient Arendal (Malzia) WK.12'!$B:JG,KH$1,0),0)</f>
        <v>0</v>
      </c>
      <c r="KI24" s="55">
        <f>IFERROR(VLOOKUP($D24,'Adient Taizhou (China) WK.16'!$B:JJ,KH$1,0),0)</f>
        <v>0</v>
      </c>
      <c r="KJ24" s="60">
        <v>0</v>
      </c>
      <c r="KK24" s="128">
        <v>160</v>
      </c>
      <c r="KL24" s="32">
        <v>0</v>
      </c>
      <c r="KM24" s="106">
        <f t="shared" si="264"/>
        <v>400</v>
      </c>
      <c r="KN24" s="8"/>
      <c r="KO24" s="37">
        <f t="shared" si="197"/>
        <v>400</v>
      </c>
      <c r="KP24" s="141">
        <f>IFERROR(VLOOKUP($D24,'Adient Assende (Belgium) WK.17'!$B:JN,KQ$1,0),0)</f>
        <v>160</v>
      </c>
      <c r="KQ24" s="140">
        <f>IFERROR(VLOOKUP($D24,'Adient Arendal (Malzia) WK.12'!$B:JO,KQ$1,0),0)</f>
        <v>0</v>
      </c>
      <c r="KR24" s="140">
        <f>IFERROR(VLOOKUP($D24,'Adient Taizhou (China) WK.16'!$B:JR,KQ$1,0),0)</f>
        <v>0</v>
      </c>
      <c r="KS24" s="60">
        <v>0</v>
      </c>
      <c r="KT24" s="128">
        <v>160</v>
      </c>
      <c r="KU24" s="32">
        <v>0</v>
      </c>
      <c r="KV24" s="106">
        <f t="shared" si="265"/>
        <v>240</v>
      </c>
      <c r="KX24" s="37">
        <f t="shared" si="198"/>
        <v>240</v>
      </c>
      <c r="KY24" s="141">
        <f>IFERROR(VLOOKUP($D24,'Adient Assende (Belgium) WK.17'!$B:JV,KZ$1,0),0)</f>
        <v>160</v>
      </c>
      <c r="KZ24" s="140">
        <f>IFERROR(VLOOKUP($D24,'Adient Arendal (Malzia) WK.12'!$B:JW,KZ$1,0),0)</f>
        <v>0</v>
      </c>
      <c r="LA24" s="140">
        <f>IFERROR(VLOOKUP($D24,'Adient Taizhou (China) WK.16'!$B:JZ,KZ$1,0),0)</f>
        <v>0</v>
      </c>
      <c r="LB24" s="128">
        <v>0</v>
      </c>
      <c r="LC24" s="32">
        <v>0</v>
      </c>
      <c r="LD24" s="106">
        <f t="shared" si="266"/>
        <v>240</v>
      </c>
      <c r="LF24" s="37">
        <f t="shared" si="199"/>
        <v>240</v>
      </c>
      <c r="LG24" s="141">
        <f>IFERROR(VLOOKUP($D24,'Adient Assende (Belgium) WK.17'!$B:KD,LH$1,0),0)</f>
        <v>0</v>
      </c>
      <c r="LH24" s="140">
        <f>IFERROR(VLOOKUP($D24,'Adient Arendal (Malzia) WK.12'!$B:KE,LH$1,0),0)</f>
        <v>0</v>
      </c>
      <c r="LI24" s="140">
        <f>IFERROR(VLOOKUP($D24,'Adient Taizhou (China) WK.16'!$B:KH,LH$1,0),0)</f>
        <v>0</v>
      </c>
      <c r="LJ24" s="60">
        <v>0</v>
      </c>
      <c r="LK24" s="128">
        <v>0</v>
      </c>
      <c r="LL24" s="32">
        <v>0</v>
      </c>
      <c r="LM24" s="100">
        <f t="shared" si="267"/>
        <v>240</v>
      </c>
      <c r="LO24" s="37">
        <f t="shared" si="200"/>
        <v>240</v>
      </c>
      <c r="LP24" s="141">
        <f>IFERROR(VLOOKUP($D24,'Adient Assende (Belgium) WK.17'!$B:KL,LQ$1,0),0)</f>
        <v>0</v>
      </c>
      <c r="LQ24" s="140">
        <f>IFERROR(VLOOKUP($D24,'Adient Arendal (Malzia) WK.12'!$B:KM,LQ$1,0),0)</f>
        <v>0</v>
      </c>
      <c r="LR24" s="140">
        <f>IFERROR(VLOOKUP($D24,'Adient Taizhou (China) WK.16'!$B:KP,LQ$1,0),0)</f>
        <v>0</v>
      </c>
      <c r="LS24" s="128">
        <v>0</v>
      </c>
      <c r="LT24" s="32">
        <v>0</v>
      </c>
      <c r="LU24" s="100">
        <f t="shared" si="268"/>
        <v>240</v>
      </c>
      <c r="LW24" s="37">
        <f t="shared" si="201"/>
        <v>240</v>
      </c>
      <c r="LX24" s="141">
        <f>IFERROR(VLOOKUP($D24,'Adient Assende (Belgium) WK.17'!$B:KT,LY$1,0),0)</f>
        <v>80</v>
      </c>
      <c r="LY24" s="140">
        <f>IFERROR(VLOOKUP($D24,'Adient Arendal (Malzia) WK.12'!$B:KU,LY$1,0),0)</f>
        <v>0</v>
      </c>
      <c r="LZ24" s="140">
        <f>IFERROR(VLOOKUP($D24,'Adient Taizhou (China) WK.16'!$B:KX,LY$1,0),0)</f>
        <v>0</v>
      </c>
      <c r="MA24" s="128">
        <v>0</v>
      </c>
      <c r="MB24" s="32">
        <v>0</v>
      </c>
      <c r="MC24" s="100">
        <f t="shared" si="269"/>
        <v>160</v>
      </c>
      <c r="ME24" s="37">
        <f t="shared" si="202"/>
        <v>160</v>
      </c>
      <c r="MF24" s="154">
        <f>IFERROR(VLOOKUP($D24,'Adient Assende (Belgium) WK.17'!$B:LB,MG$1,0),0)</f>
        <v>0</v>
      </c>
      <c r="MG24" s="140">
        <f>IFERROR(VLOOKUP($D24,'Adient Arendal (Malzia) WK.12'!$B:LC,MG$1,0),0)</f>
        <v>0</v>
      </c>
      <c r="MH24" s="140">
        <f>IFERROR(VLOOKUP($D24,'Adient Taizhou (China) WK.16'!$B:LF,MG$1,0),0)</f>
        <v>0</v>
      </c>
      <c r="MI24" s="128">
        <v>0</v>
      </c>
      <c r="MJ24" s="32">
        <v>0</v>
      </c>
      <c r="MK24" s="100">
        <f t="shared" si="270"/>
        <v>160</v>
      </c>
      <c r="MM24" s="37">
        <f t="shared" si="203"/>
        <v>160</v>
      </c>
      <c r="MN24" s="141">
        <f>IFERROR(VLOOKUP($D24,'Adient Assende (Belgium) WK.17'!$B:LJ,MO$1,0),0)</f>
        <v>0</v>
      </c>
      <c r="MO24" s="140">
        <f>IFERROR(VLOOKUP($D24,'Adient Arendal (Malzia) WK.12'!$B:LK,MO$1,0),0)</f>
        <v>0</v>
      </c>
      <c r="MP24" s="140">
        <f>IFERROR(VLOOKUP($D24,'Adient Taizhou (China) WK.16'!$B:LN,MO$1,0),0)</f>
        <v>0</v>
      </c>
      <c r="MQ24" s="128">
        <v>0</v>
      </c>
      <c r="MR24" s="32">
        <v>0</v>
      </c>
      <c r="MS24" s="100">
        <f t="shared" si="271"/>
        <v>160</v>
      </c>
      <c r="MU24" s="37">
        <f t="shared" si="204"/>
        <v>160</v>
      </c>
      <c r="MV24" s="141">
        <f>IFERROR(VLOOKUP($D24,'Adient Assende (Belgium) WK.17'!$B:LR,MW$1,0),0)</f>
        <v>80</v>
      </c>
      <c r="MW24" s="140">
        <f>IFERROR(VLOOKUP($D24,'Adient Arendal (Malzia) WK.12'!$B:LS,MW$1,0),0)</f>
        <v>0</v>
      </c>
      <c r="MX24" s="140">
        <f>IFERROR(VLOOKUP($D24,'Adient Taizhou (China) WK.16'!$B:LV,MW$1,0),0)</f>
        <v>0</v>
      </c>
      <c r="MY24" s="128">
        <v>0</v>
      </c>
      <c r="MZ24" s="32">
        <v>0</v>
      </c>
      <c r="NA24" s="100">
        <f t="shared" si="272"/>
        <v>80</v>
      </c>
      <c r="NC24" s="37">
        <f t="shared" si="205"/>
        <v>80</v>
      </c>
      <c r="ND24" s="141">
        <f>IFERROR(VLOOKUP($D24,'Adient Assende (Belgium) WK.17'!$B:LZ,NE$1,0),0)</f>
        <v>80</v>
      </c>
      <c r="NE24" s="140">
        <f>IFERROR(VLOOKUP($D24,'Adient Arendal (Malzia) WK.12'!$B:MA,NE$1,0),0)</f>
        <v>0</v>
      </c>
      <c r="NF24" s="140">
        <f>IFERROR(VLOOKUP($D24,'Adient Taizhou (China) WK.16'!$B:MD,NE$1,0),0)</f>
        <v>0</v>
      </c>
      <c r="NG24" s="128">
        <v>0</v>
      </c>
      <c r="NH24" s="32">
        <v>0</v>
      </c>
      <c r="NI24" s="100">
        <f t="shared" si="273"/>
        <v>0</v>
      </c>
      <c r="NK24" s="37">
        <f t="shared" si="206"/>
        <v>0</v>
      </c>
      <c r="NL24" s="141">
        <f>IFERROR(VLOOKUP($D24,'Adient Assende (Belgium) WK.17'!$B:MH,NM$1,0),0)</f>
        <v>0</v>
      </c>
      <c r="NM24" s="140">
        <f>IFERROR(VLOOKUP($D24,'Adient Arendal (Malzia) WK.12'!$B:MI,NM$1,0),0)</f>
        <v>0</v>
      </c>
      <c r="NN24" s="140">
        <f>IFERROR(VLOOKUP($D24,'Adient Taizhou (China) WK.16'!$B:ML,NM$1,0),0)</f>
        <v>0</v>
      </c>
      <c r="NO24" s="128">
        <v>0</v>
      </c>
      <c r="NP24" s="32">
        <v>0</v>
      </c>
      <c r="NQ24" s="100">
        <f t="shared" si="274"/>
        <v>0</v>
      </c>
      <c r="NS24" s="37">
        <f t="shared" si="207"/>
        <v>0</v>
      </c>
      <c r="NT24" s="141">
        <f>IFERROR(VLOOKUP($D24,'Adient Assende (Belgium) WK.17'!$B:MP,NU$1,0),0)</f>
        <v>80</v>
      </c>
      <c r="NU24" s="140">
        <f>IFERROR(VLOOKUP($D24,'Adient Arendal (Malzia) WK.12'!$B:MQ,NU$1,0),0)</f>
        <v>0</v>
      </c>
      <c r="NV24" s="140">
        <f>IFERROR(VLOOKUP($D24,'Adient Taizhou (China) WK.16'!$B:MT,NU$1,0),0)</f>
        <v>0</v>
      </c>
      <c r="NW24" s="128">
        <v>0</v>
      </c>
      <c r="NX24" s="32">
        <v>0</v>
      </c>
      <c r="NY24" s="100">
        <f t="shared" si="275"/>
        <v>-80</v>
      </c>
      <c r="OA24" s="37">
        <f t="shared" si="208"/>
        <v>-80</v>
      </c>
      <c r="OB24" s="141">
        <f>IFERROR(VLOOKUP($D24,'Adient Assende (Belgium) WK.17'!$B:MX,OC$1,0),0)</f>
        <v>80</v>
      </c>
      <c r="OC24" s="140">
        <f>IFERROR(VLOOKUP($D24,'Adient Arendal (Malzia) WK.12'!$B:MY,OC$1,0),0)</f>
        <v>0</v>
      </c>
      <c r="OD24" s="140">
        <f>IFERROR(VLOOKUP($D24,'Adient Taizhou (China) WK.16'!$B:NB,OC$1,0),0)</f>
        <v>0</v>
      </c>
      <c r="OE24" s="128">
        <v>0</v>
      </c>
      <c r="OF24" s="32">
        <v>0</v>
      </c>
      <c r="OG24" s="100">
        <f t="shared" si="276"/>
        <v>-160</v>
      </c>
      <c r="OI24" s="37">
        <f t="shared" si="209"/>
        <v>-160</v>
      </c>
      <c r="OJ24" s="141">
        <f>IFERROR(VLOOKUP($D24,'Adient Assende (Belgium) WK.17'!$B:NF,OK$1,0),0)</f>
        <v>80</v>
      </c>
      <c r="OK24" s="140">
        <f>IFERROR(VLOOKUP($D24,'Adient Arendal (Malzia) WK.12'!$B:NG,OK$1,0),0)</f>
        <v>0</v>
      </c>
      <c r="OL24" s="140">
        <f>IFERROR(VLOOKUP($D24,'Adient Taizhou (China) WK.16'!$B:NJ,OK$1,0),0)</f>
        <v>0</v>
      </c>
      <c r="OM24" s="128">
        <v>0</v>
      </c>
      <c r="ON24" s="32">
        <v>0</v>
      </c>
      <c r="OO24" s="100">
        <f t="shared" si="277"/>
        <v>-240</v>
      </c>
      <c r="OQ24" s="37">
        <f t="shared" si="210"/>
        <v>-240</v>
      </c>
      <c r="OR24" s="141">
        <f>IFERROR(VLOOKUP($D24,'Adient Assende (Belgium) WK.17'!$B:NN,OS$1,0),0)</f>
        <v>0</v>
      </c>
      <c r="OS24" s="140">
        <f>IFERROR(VLOOKUP($D24,'Adient Arendal (Malzia) WK.12'!$B:NO,OS$1,0),0)</f>
        <v>0</v>
      </c>
      <c r="OT24" s="140">
        <f>IFERROR(VLOOKUP($D24,'Adient Taizhou (China) WK.16'!$B:NR,OS$1,0),0)</f>
        <v>0</v>
      </c>
      <c r="OU24" s="128">
        <v>0</v>
      </c>
      <c r="OV24" s="32">
        <v>0</v>
      </c>
      <c r="OW24" s="100">
        <f t="shared" si="278"/>
        <v>-240</v>
      </c>
      <c r="OY24" s="37">
        <f t="shared" si="211"/>
        <v>-240</v>
      </c>
      <c r="OZ24" s="141">
        <f>IFERROR(VLOOKUP($D24,'Adient Assende (Belgium) WK.17'!$B:NV,PA$1,0),0)</f>
        <v>0</v>
      </c>
      <c r="PA24" s="140">
        <f>IFERROR(VLOOKUP($D24,'Adient Arendal (Malzia) WK.12'!$B:NW,PA$1,0),0)</f>
        <v>0</v>
      </c>
      <c r="PB24" s="140">
        <f>IFERROR(VLOOKUP($D24,'Adient Taizhou (China) WK.16'!$B:NZ,PA$1,0),0)</f>
        <v>0</v>
      </c>
      <c r="PC24" s="128">
        <v>0</v>
      </c>
      <c r="PD24" s="32">
        <v>0</v>
      </c>
      <c r="PE24" s="100">
        <f t="shared" si="279"/>
        <v>-240</v>
      </c>
      <c r="PG24" s="37">
        <f t="shared" si="212"/>
        <v>-240</v>
      </c>
      <c r="PH24" s="141">
        <f>IFERROR(VLOOKUP($D24,'Adient Assende (Belgium) WK.17'!$B:OD,PI$1,0),0)</f>
        <v>0</v>
      </c>
      <c r="PI24" s="140">
        <f>IFERROR(VLOOKUP($D24,'Adient Arendal (Malzia) WK.12'!$B:OE,PI$1,0),0)</f>
        <v>0</v>
      </c>
      <c r="PJ24" s="140">
        <f>IFERROR(VLOOKUP($D24,'Adient Taizhou (China) WK.16'!$B:OH,PI$1,0),0)</f>
        <v>0</v>
      </c>
      <c r="PK24" s="128">
        <v>0</v>
      </c>
      <c r="PL24" s="32">
        <v>0</v>
      </c>
      <c r="PM24" s="100">
        <f t="shared" si="280"/>
        <v>-240</v>
      </c>
      <c r="PO24" s="37">
        <f t="shared" si="213"/>
        <v>-240</v>
      </c>
      <c r="PP24" s="141">
        <f>IFERROR(VLOOKUP($D24,'Adient Assende (Belgium) WK.17'!$B:OL,PQ$1,0),0)</f>
        <v>0</v>
      </c>
      <c r="PQ24" s="140">
        <f>IFERROR(VLOOKUP($D24,'Adient Arendal (Malzia) WK.12'!$B:OM,PQ$1,0),0)</f>
        <v>0</v>
      </c>
      <c r="PR24" s="140">
        <f>IFERROR(VLOOKUP($D24,'Adient Taizhou (China) WK.16'!$B:OP,PQ$1,0),0)</f>
        <v>0</v>
      </c>
      <c r="PS24" s="128">
        <v>0</v>
      </c>
      <c r="PT24" s="32">
        <v>0</v>
      </c>
      <c r="PU24" s="100">
        <f t="shared" si="281"/>
        <v>-240</v>
      </c>
      <c r="PW24" s="37">
        <f t="shared" si="214"/>
        <v>-240</v>
      </c>
      <c r="PX24" s="141">
        <f>IFERROR(VLOOKUP($D24,'Adient Assende (Belgium) WK.17'!$B:OT,PY$1,0),0)</f>
        <v>0</v>
      </c>
      <c r="PY24" s="140">
        <f>IFERROR(VLOOKUP($D24,'Adient Arendal (Malzia) WK.12'!$B:OU,PY$1,0),0)</f>
        <v>0</v>
      </c>
      <c r="PZ24" s="140">
        <f>IFERROR(VLOOKUP($D24,'Adient Taizhou (China) WK.16'!$B:OX,PY$1,0),0)</f>
        <v>0</v>
      </c>
      <c r="QA24" s="128">
        <v>0</v>
      </c>
      <c r="QB24" s="32">
        <v>0</v>
      </c>
      <c r="QC24" s="100">
        <f t="shared" si="282"/>
        <v>-240</v>
      </c>
      <c r="QE24" s="37">
        <f t="shared" si="215"/>
        <v>-240</v>
      </c>
      <c r="QF24" s="141">
        <f>IFERROR(VLOOKUP($D24,'Adient Assende (Belgium) WK.17'!$B:PB,QG$1,0),0)</f>
        <v>80</v>
      </c>
      <c r="QG24" s="140">
        <f>IFERROR(VLOOKUP($D24,'Adient Arendal (Malzia) WK.12'!$B:PC,QG$1,0),0)</f>
        <v>0</v>
      </c>
      <c r="QH24" s="140">
        <f>IFERROR(VLOOKUP($D24,'Adient Taizhou (China) WK.16'!$B:PF,QG$1,0),0)</f>
        <v>0</v>
      </c>
      <c r="QI24" s="128">
        <v>0</v>
      </c>
      <c r="QJ24" s="32">
        <v>0</v>
      </c>
      <c r="QK24" s="100">
        <f t="shared" si="283"/>
        <v>-320</v>
      </c>
      <c r="QM24" s="37">
        <f t="shared" si="216"/>
        <v>-320</v>
      </c>
      <c r="QN24" s="141">
        <f>IFERROR(VLOOKUP($D24,'Adient Assende (Belgium) WK.17'!$B:PJ,QO$1,0),0)</f>
        <v>80</v>
      </c>
      <c r="QO24" s="140">
        <f>IFERROR(VLOOKUP($D24,'Adient Arendal (Malzia) WK.12'!$B:PK,QO$1,0),0)</f>
        <v>0</v>
      </c>
      <c r="QP24" s="140">
        <f>IFERROR(VLOOKUP($D24,'Adient Taizhou (China) WK.16'!$B:PN,QO$1,0),0)</f>
        <v>0</v>
      </c>
      <c r="QQ24" s="128">
        <v>0</v>
      </c>
      <c r="QR24" s="32">
        <v>0</v>
      </c>
      <c r="QS24" s="100">
        <f t="shared" si="284"/>
        <v>-400</v>
      </c>
      <c r="QU24" s="37">
        <f t="shared" si="217"/>
        <v>-400</v>
      </c>
      <c r="QV24" s="141">
        <f>IFERROR(VLOOKUP($D24,'Adient Assende (Belgium) WK.17'!$B:PR,QW$1,0),0)</f>
        <v>40</v>
      </c>
      <c r="QW24" s="140">
        <f>IFERROR(VLOOKUP($D24,'Adient Arendal (Malzia) WK.12'!$B:PS,QW$1,0),0)</f>
        <v>0</v>
      </c>
      <c r="QX24" s="140">
        <f>IFERROR(VLOOKUP($D24,'Adient Taizhou (China) WK.16'!$B:PV,QW$1,0),0)</f>
        <v>0</v>
      </c>
      <c r="QY24" s="128">
        <v>0</v>
      </c>
      <c r="QZ24" s="32">
        <v>0</v>
      </c>
      <c r="RA24" s="100">
        <f t="shared" si="285"/>
        <v>-440</v>
      </c>
      <c r="RC24" s="37">
        <f t="shared" si="218"/>
        <v>-440</v>
      </c>
      <c r="RD24" s="141">
        <f>IFERROR(VLOOKUP($D24,'Adient Assende (Belgium) WK.17'!$B:PZ,RE$1,0),0)</f>
        <v>40</v>
      </c>
      <c r="RE24" s="140">
        <f>IFERROR(VLOOKUP($D24,'Adient Arendal (Malzia) WK.12'!$B:QA,RE$1,0),0)</f>
        <v>0</v>
      </c>
      <c r="RF24" s="140">
        <f>IFERROR(VLOOKUP($D24,'Adient Taizhou (China) WK.16'!$B:QD,RE$1,0),0)</f>
        <v>0</v>
      </c>
      <c r="RG24" s="128">
        <v>0</v>
      </c>
      <c r="RH24" s="32">
        <v>0</v>
      </c>
      <c r="RI24" s="100">
        <f t="shared" si="286"/>
        <v>-480</v>
      </c>
      <c r="RK24" s="37">
        <f t="shared" si="219"/>
        <v>-480</v>
      </c>
      <c r="RL24" s="141">
        <f>IFERROR(VLOOKUP($D24,'Adient Assende (Belgium) WK.17'!$B:QH,RM$1,0),0)</f>
        <v>40</v>
      </c>
      <c r="RM24" s="140">
        <f>IFERROR(VLOOKUP($D24,'Adient Arendal (Malzia) WK.12'!$B:QI,RM$1,0),0)</f>
        <v>0</v>
      </c>
      <c r="RN24" s="140">
        <f>IFERROR(VLOOKUP($D24,'Adient Taizhou (China) WK.16'!$B:QL,RM$1,0),0)</f>
        <v>0</v>
      </c>
      <c r="RO24" s="128">
        <v>0</v>
      </c>
      <c r="RP24" s="32">
        <v>0</v>
      </c>
      <c r="RQ24" s="100">
        <f t="shared" si="287"/>
        <v>-520</v>
      </c>
      <c r="RS24" s="37">
        <f t="shared" si="220"/>
        <v>-520</v>
      </c>
      <c r="RT24" s="141">
        <f>IFERROR(VLOOKUP($D24,'Adient Assende (Belgium) WK.17'!$B:QP,RU$1,0),0)</f>
        <v>40</v>
      </c>
      <c r="RU24" s="140">
        <f>IFERROR(VLOOKUP($D24,'Adient Arendal (Malzia) WK.12'!$B:QQ,RU$1,0),0)</f>
        <v>0</v>
      </c>
      <c r="RV24" s="140">
        <f>IFERROR(VLOOKUP($D24,'Adient Taizhou (China) WK.16'!$B:QT,RU$1,0),0)</f>
        <v>0</v>
      </c>
      <c r="RW24" s="128">
        <v>0</v>
      </c>
      <c r="RX24" s="32">
        <v>0</v>
      </c>
      <c r="RY24" s="100">
        <f t="shared" si="288"/>
        <v>-560</v>
      </c>
      <c r="SA24" s="37">
        <f t="shared" si="221"/>
        <v>-560</v>
      </c>
      <c r="SB24" s="141">
        <f>IFERROR(VLOOKUP($D24,'Adient Assende (Belgium) WK.17'!$B:QX,SC$1,0),0)</f>
        <v>40</v>
      </c>
      <c r="SC24" s="140">
        <f>IFERROR(VLOOKUP($D24,'Adient Arendal (Malzia) WK.12'!$B:QY,SC$1,0),0)</f>
        <v>0</v>
      </c>
      <c r="SD24" s="140">
        <f>IFERROR(VLOOKUP($D24,'Adient Taizhou (China) WK.16'!$B:RB,SC$1,0),0)</f>
        <v>0</v>
      </c>
      <c r="SE24" s="128">
        <v>0</v>
      </c>
      <c r="SF24" s="32">
        <v>0</v>
      </c>
      <c r="SG24" s="100">
        <f t="shared" si="289"/>
        <v>-600</v>
      </c>
      <c r="SI24" s="37">
        <f t="shared" si="222"/>
        <v>-600</v>
      </c>
      <c r="SJ24" s="141">
        <f>IFERROR(VLOOKUP($D24,'Adient Assende (Belgium) WK.17'!$B:RF,SK$1,0),0)</f>
        <v>40</v>
      </c>
      <c r="SK24" s="140">
        <f>IFERROR(VLOOKUP($D24,'Adient Arendal (Malzia) WK.12'!$B:RG,SK$1,0),0)</f>
        <v>0</v>
      </c>
      <c r="SL24" s="140">
        <f>IFERROR(VLOOKUP($D24,'Adient Taizhou (China) WK.16'!$B:RJ,SK$1,0),0)</f>
        <v>0</v>
      </c>
      <c r="SM24" s="128">
        <v>0</v>
      </c>
      <c r="SN24" s="32">
        <v>0</v>
      </c>
      <c r="SO24" s="100">
        <f t="shared" si="290"/>
        <v>-640</v>
      </c>
      <c r="SQ24" s="37">
        <f t="shared" si="223"/>
        <v>-640</v>
      </c>
      <c r="SR24" s="141">
        <f>IFERROR(VLOOKUP($D24,'Adient Assende (Belgium) WK.17'!$B:RN,SS$1,0),0)</f>
        <v>40</v>
      </c>
      <c r="SS24" s="140">
        <f>IFERROR(VLOOKUP($D24,'Adient Arendal (Malzia) WK.12'!$B:RO,SS$1,0),0)</f>
        <v>0</v>
      </c>
      <c r="ST24" s="140">
        <f>IFERROR(VLOOKUP($D24,'Adient Taizhou (China) WK.16'!$B:RR,SS$1,0),0)</f>
        <v>0</v>
      </c>
      <c r="SU24" s="128">
        <v>0</v>
      </c>
      <c r="SV24" s="32">
        <v>0</v>
      </c>
      <c r="SW24" s="100">
        <f t="shared" si="291"/>
        <v>-680</v>
      </c>
      <c r="SY24" s="37">
        <f t="shared" si="224"/>
        <v>-680</v>
      </c>
      <c r="SZ24" s="141">
        <f>IFERROR(VLOOKUP($D24,'Adient Assende (Belgium) WK.17'!$B:RV,TA$1,0),0)</f>
        <v>40</v>
      </c>
      <c r="TA24" s="140">
        <f>IFERROR(VLOOKUP($D24,'Adient Arendal (Malzia) WK.12'!$B:RW,TA$1,0),0)</f>
        <v>0</v>
      </c>
      <c r="TB24" s="140">
        <f>IFERROR(VLOOKUP($D24,'Adient Taizhou (China) WK.16'!$B:RZ,TA$1,0),0)</f>
        <v>0</v>
      </c>
      <c r="TC24" s="128">
        <v>0</v>
      </c>
      <c r="TD24" s="32">
        <v>0</v>
      </c>
      <c r="TE24" s="100">
        <f t="shared" si="292"/>
        <v>-720</v>
      </c>
      <c r="TG24" s="37">
        <f t="shared" si="225"/>
        <v>-720</v>
      </c>
      <c r="TH24" s="141">
        <f>IFERROR(VLOOKUP($D24,'Adient Assende (Belgium) WK.17'!$B:SD,TI$1,0),0)</f>
        <v>80</v>
      </c>
      <c r="TI24" s="140">
        <f>IFERROR(VLOOKUP($D24,'Adient Arendal (Malzia) WK.12'!$B:SE,TI$1,0),0)</f>
        <v>0</v>
      </c>
      <c r="TJ24" s="140">
        <f>IFERROR(VLOOKUP($D24,'Adient Taizhou (China) WK.16'!$B:SH,TI$1,0),0)</f>
        <v>0</v>
      </c>
      <c r="TK24" s="128">
        <v>0</v>
      </c>
      <c r="TL24" s="32">
        <v>0</v>
      </c>
      <c r="TM24" s="100">
        <f t="shared" si="293"/>
        <v>-800</v>
      </c>
      <c r="TO24" s="37">
        <f t="shared" si="226"/>
        <v>-800</v>
      </c>
      <c r="TP24" s="141">
        <f>IFERROR(VLOOKUP($D24,'Adient Assende (Belgium) WK.17'!$B:SL,TQ$1,0),0)</f>
        <v>80</v>
      </c>
      <c r="TQ24" s="140">
        <f>IFERROR(VLOOKUP($D24,'Adient Arendal (Malzia) WK.12'!$B:SM,TQ$1,0),0)</f>
        <v>0</v>
      </c>
      <c r="TR24" s="140">
        <f>IFERROR(VLOOKUP($D24,'Adient Taizhou (China) WK.16'!$B:SP,TQ$1,0),0)</f>
        <v>0</v>
      </c>
      <c r="TS24" s="128">
        <v>0</v>
      </c>
      <c r="TT24" s="32">
        <v>0</v>
      </c>
      <c r="TU24" s="100">
        <f t="shared" si="294"/>
        <v>-880</v>
      </c>
      <c r="TW24" s="37">
        <f t="shared" si="227"/>
        <v>-880</v>
      </c>
      <c r="TX24" s="141">
        <f>IFERROR(VLOOKUP($D24,'Adient Assende (Belgium) WK.17'!$B:ST,TY$1,0),0)</f>
        <v>80</v>
      </c>
      <c r="TY24" s="140">
        <f>IFERROR(VLOOKUP($D24,'Adient Arendal (Malzia) WK.12'!$B:SU,TY$1,0),0)</f>
        <v>0</v>
      </c>
      <c r="TZ24" s="140">
        <f>IFERROR(VLOOKUP($D24,'Adient Taizhou (China) WK.16'!$B:SX,TY$1,0),0)</f>
        <v>0</v>
      </c>
      <c r="UA24" s="128">
        <v>0</v>
      </c>
      <c r="UB24" s="32">
        <v>0</v>
      </c>
      <c r="UC24" s="100">
        <f t="shared" si="295"/>
        <v>-960</v>
      </c>
      <c r="UE24" s="37">
        <f t="shared" si="228"/>
        <v>-960</v>
      </c>
      <c r="UF24" s="141">
        <f>IFERROR(VLOOKUP($D24,'Adient Assende (Belgium) WK.17'!$B:TB,UG$1,0),0)</f>
        <v>80</v>
      </c>
      <c r="UG24" s="140">
        <f>IFERROR(VLOOKUP($D24,'Adient Arendal (Malzia) WK.12'!$B:TC,UG$1,0),0)</f>
        <v>0</v>
      </c>
      <c r="UH24" s="140">
        <f>IFERROR(VLOOKUP($D24,'Adient Taizhou (China) WK.16'!$B:TF,UG$1,0),0)</f>
        <v>0</v>
      </c>
      <c r="UI24" s="128">
        <v>0</v>
      </c>
      <c r="UJ24" s="32">
        <v>0</v>
      </c>
      <c r="UK24" s="100">
        <f t="shared" si="296"/>
        <v>-1040</v>
      </c>
      <c r="UM24" s="37">
        <f t="shared" si="229"/>
        <v>-1040</v>
      </c>
      <c r="UN24" s="141">
        <f>IFERROR(VLOOKUP($D24,'Adient Assende (Belgium) WK.17'!$B:TJ,UO$1,0),0)</f>
        <v>80</v>
      </c>
      <c r="UO24" s="140">
        <f>IFERROR(VLOOKUP($D24,'Adient Arendal (Malzia) WK.12'!$B:TK,UO$1,0),0)</f>
        <v>0</v>
      </c>
      <c r="UP24" s="140">
        <f>IFERROR(VLOOKUP($D24,'Adient Taizhou (China) WK.16'!$B:TN,UO$1,0),0)</f>
        <v>0</v>
      </c>
      <c r="UQ24" s="128">
        <v>0</v>
      </c>
      <c r="UR24" s="32">
        <v>0</v>
      </c>
      <c r="US24" s="100">
        <f t="shared" si="297"/>
        <v>-1120</v>
      </c>
      <c r="UU24" s="37">
        <f t="shared" si="230"/>
        <v>-1120</v>
      </c>
      <c r="UV24" s="141">
        <f>IFERROR(VLOOKUP($D24,'Adient Assende (Belgium) WK.17'!$B:TR,UW$1,0),0)</f>
        <v>80</v>
      </c>
      <c r="UW24" s="140">
        <f>IFERROR(VLOOKUP($D24,'Adient Arendal (Malzia) WK.12'!$B:TS,UW$1,0),0)</f>
        <v>0</v>
      </c>
      <c r="UX24" s="140">
        <f>IFERROR(VLOOKUP($D24,'Adient Taizhou (China) WK.16'!$B:TV,UW$1,0),0)</f>
        <v>0</v>
      </c>
      <c r="UY24" s="128">
        <v>0</v>
      </c>
      <c r="UZ24" s="32">
        <v>0</v>
      </c>
      <c r="VA24" s="100">
        <f t="shared" si="298"/>
        <v>-1200</v>
      </c>
      <c r="VC24" s="37">
        <f t="shared" si="231"/>
        <v>-1200</v>
      </c>
      <c r="VD24" s="141">
        <f>IFERROR(VLOOKUP($D24,'Adient Assende (Belgium) WK.17'!$B:TZ,VE$1,0),0)</f>
        <v>80</v>
      </c>
      <c r="VE24" s="140">
        <f>IFERROR(VLOOKUP($D24,'Adient Arendal (Malzia) WK.12'!$B:UA,VE$1,0),0)</f>
        <v>0</v>
      </c>
      <c r="VF24" s="140">
        <f>IFERROR(VLOOKUP($D24,'Adient Taizhou (China) WK.16'!$B:UD,VE$1,0),0)</f>
        <v>0</v>
      </c>
      <c r="VG24" s="128">
        <v>0</v>
      </c>
      <c r="VH24" s="32">
        <v>0</v>
      </c>
      <c r="VI24" s="100">
        <f t="shared" si="299"/>
        <v>-1280</v>
      </c>
      <c r="VK24" s="37">
        <f t="shared" si="232"/>
        <v>-1280</v>
      </c>
      <c r="VL24" s="141">
        <f>IFERROR(VLOOKUP($D24,'Adient Assende (Belgium) WK.17'!$B:UH,VM$1,0),0)</f>
        <v>0</v>
      </c>
      <c r="VM24" s="140">
        <f>IFERROR(VLOOKUP($D24,'Adient Arendal (Malzia) WK.12'!$B:UI,VM$1,0),0)</f>
        <v>0</v>
      </c>
      <c r="VN24" s="140">
        <f>IFERROR(VLOOKUP($D24,'Adient Taizhou (China) WK.16'!$B:UL,VM$1,0),0)</f>
        <v>0</v>
      </c>
      <c r="VO24" s="128">
        <v>0</v>
      </c>
      <c r="VP24" s="32">
        <v>0</v>
      </c>
      <c r="VQ24" s="100">
        <f t="shared" si="300"/>
        <v>-1280</v>
      </c>
    </row>
    <row r="25" spans="1:589" x14ac:dyDescent="0.25">
      <c r="A25" s="10" t="s">
        <v>18</v>
      </c>
      <c r="B25" s="11" t="s">
        <v>19</v>
      </c>
      <c r="C25" s="87">
        <v>32272823</v>
      </c>
      <c r="D25" s="81">
        <v>4755081</v>
      </c>
      <c r="E25" s="11">
        <v>20</v>
      </c>
      <c r="F25" s="12"/>
      <c r="H25" s="122">
        <v>320</v>
      </c>
      <c r="I25" s="125">
        <f>IFERROR(VLOOKUP($D25,'Adient Assende (Belgium) WK.17'!$B:C,J$1,0),0)</f>
        <v>0</v>
      </c>
      <c r="J25" s="55">
        <f>IFERROR(VLOOKUP($D25,'Adient Arendal (Malzia) WK.12'!$B:C,J$1,0),0)</f>
        <v>0</v>
      </c>
      <c r="K25" s="55">
        <f>IFERROR(VLOOKUP($D25,'Adient Taizhou (China) WK.16'!$B:C,J$1,0),0)</f>
        <v>0</v>
      </c>
      <c r="L25" s="128">
        <v>0</v>
      </c>
      <c r="M25" s="32">
        <v>-20</v>
      </c>
      <c r="N25" s="106">
        <f t="shared" si="233"/>
        <v>300</v>
      </c>
      <c r="P25" s="37">
        <f t="shared" si="234"/>
        <v>300</v>
      </c>
      <c r="Q25" s="125">
        <f>IFERROR(VLOOKUP($D25,'Adient Assende (Belgium) WK.17'!$B:K,R$1,0),0)</f>
        <v>0</v>
      </c>
      <c r="R25" s="55">
        <f>IFERROR(VLOOKUP($D25,'Adient Arendal (Malzia) WK.12'!$B:K,R$1,0),0)</f>
        <v>0</v>
      </c>
      <c r="S25" s="55">
        <f>IFERROR(VLOOKUP($D25,'Adient Taizhou (China) WK.16'!$B:K,R$1,0),0)</f>
        <v>0</v>
      </c>
      <c r="T25" s="41">
        <v>80</v>
      </c>
      <c r="U25" s="32">
        <v>0</v>
      </c>
      <c r="V25" s="106">
        <f t="shared" si="235"/>
        <v>220</v>
      </c>
      <c r="X25" s="37">
        <f t="shared" si="236"/>
        <v>220</v>
      </c>
      <c r="Y25" s="125">
        <f>IFERROR(VLOOKUP($D25,'Adient Assende (Belgium) WK.17'!$B:S,Z$1,0),0)</f>
        <v>80</v>
      </c>
      <c r="Z25" s="55">
        <f>IFERROR(VLOOKUP($D25,'Adient Arendal (Malzia) WK.12'!$B:S,Z$1,0),0)</f>
        <v>0</v>
      </c>
      <c r="AA25" s="55">
        <f>IFERROR(VLOOKUP($D25,'Adient Taizhou (China) WK.16'!$B:S,Z$1,0),0)</f>
        <v>0</v>
      </c>
      <c r="AB25" s="41">
        <v>80</v>
      </c>
      <c r="AC25" s="32">
        <v>0</v>
      </c>
      <c r="AD25" s="106">
        <f t="shared" si="237"/>
        <v>140</v>
      </c>
      <c r="AF25" s="37">
        <f t="shared" si="238"/>
        <v>140</v>
      </c>
      <c r="AG25" s="125">
        <f>IFERROR(VLOOKUP($D25,'Adient Assende (Belgium) WK.17'!$B:AA,AH$1,0),0)</f>
        <v>80</v>
      </c>
      <c r="AH25" s="55">
        <f>IFERROR(VLOOKUP($D25,'Adient Arendal (Malzia) WK.12'!$B:AA,AH$1,0),0)</f>
        <v>0</v>
      </c>
      <c r="AI25" s="55">
        <f>IFERROR(VLOOKUP($D25,'Adient Taizhou (China) WK.16'!$B:AA,AH$1,0),0)</f>
        <v>0</v>
      </c>
      <c r="AJ25" s="41">
        <v>0</v>
      </c>
      <c r="AK25" s="32">
        <v>0</v>
      </c>
      <c r="AL25" s="106">
        <f t="shared" si="239"/>
        <v>140</v>
      </c>
      <c r="AN25" s="37">
        <f t="shared" si="164"/>
        <v>140</v>
      </c>
      <c r="AO25" s="125">
        <f>IFERROR(VLOOKUP($D25,'Adient Assende (Belgium) WK.17'!$B:AI,AP$1,0),0)</f>
        <v>0</v>
      </c>
      <c r="AP25" s="55">
        <f>IFERROR(VLOOKUP($D25,'Adient Arendal (Malzia) WK.12'!$B:AI,AP$1,0),0)</f>
        <v>0</v>
      </c>
      <c r="AQ25" s="55">
        <f>IFERROR(VLOOKUP($D25,'Adient Taizhou (China) WK.16'!$B:AI,AP$1,0),0)</f>
        <v>0</v>
      </c>
      <c r="AR25" s="60">
        <v>0</v>
      </c>
      <c r="AS25" s="41">
        <v>0</v>
      </c>
      <c r="AT25" s="32">
        <v>0</v>
      </c>
      <c r="AU25" s="106">
        <f t="shared" si="240"/>
        <v>140</v>
      </c>
      <c r="AW25" s="37">
        <f t="shared" si="165"/>
        <v>140</v>
      </c>
      <c r="AX25" s="125">
        <f>IFERROR(VLOOKUP($D25,'Adient Assende (Belgium) WK.17'!$B:AR,AY$1,0),0)</f>
        <v>0</v>
      </c>
      <c r="AY25" s="55">
        <f>IFERROR(VLOOKUP($D25,'Adient Arendal (Malzia) WK.12'!$B:AR,AY$1,0),0)</f>
        <v>0</v>
      </c>
      <c r="AZ25" s="55">
        <f>IFERROR(VLOOKUP($D25,'Adient Taizhou (China) WK.16'!$B:AU,AY$1,0),0)</f>
        <v>0</v>
      </c>
      <c r="BA25" s="41">
        <v>80</v>
      </c>
      <c r="BB25" s="32">
        <v>0</v>
      </c>
      <c r="BC25" s="106">
        <f t="shared" si="241"/>
        <v>60</v>
      </c>
      <c r="BE25" s="37">
        <f t="shared" si="166"/>
        <v>60</v>
      </c>
      <c r="BF25" s="125">
        <f>IFERROR(VLOOKUP($D25,'Adient Assende (Belgium) WK.17'!$B:AX,BG$1,0),0)</f>
        <v>80</v>
      </c>
      <c r="BG25" s="55">
        <f>IFERROR(VLOOKUP($D25,'Adient Arendal (Malzia) WK.12'!$B:AZ,BG$1,0),0)</f>
        <v>0</v>
      </c>
      <c r="BH25" s="55">
        <f>IFERROR(VLOOKUP($D25,'Adient Taizhou (China) WK.16'!$B:BB,BG$1,0),0)</f>
        <v>0</v>
      </c>
      <c r="BI25" s="60">
        <v>0</v>
      </c>
      <c r="BJ25" s="60">
        <v>0</v>
      </c>
      <c r="BK25" s="41">
        <v>0</v>
      </c>
      <c r="BL25" s="32">
        <v>0</v>
      </c>
      <c r="BM25" s="106">
        <f t="shared" si="242"/>
        <v>60</v>
      </c>
      <c r="BN25" s="8"/>
      <c r="BO25" s="37">
        <f t="shared" si="167"/>
        <v>60</v>
      </c>
      <c r="BP25" s="125">
        <f>IFERROR(VLOOKUP($D25,'Adient Assende (Belgium) WK.17'!$B:BH,BQ$1,0),0)</f>
        <v>0</v>
      </c>
      <c r="BQ25" s="55">
        <f>IFERROR(VLOOKUP($D25,'Adient Arendal (Malzia) WK.12'!$B:BI,BQ$1,0),0)</f>
        <v>0</v>
      </c>
      <c r="BR25" s="55">
        <f>IFERROR(VLOOKUP($D25,'Adient Taizhou (China) WK.16'!$B:BL,BQ$1,0),0)</f>
        <v>0</v>
      </c>
      <c r="BS25" s="60">
        <v>0</v>
      </c>
      <c r="BT25" s="60">
        <v>60</v>
      </c>
      <c r="BU25" s="60">
        <v>0</v>
      </c>
      <c r="BV25" s="41">
        <v>0</v>
      </c>
      <c r="BW25" s="32">
        <v>0</v>
      </c>
      <c r="BX25" s="106">
        <f t="shared" si="243"/>
        <v>120</v>
      </c>
      <c r="BY25" s="8"/>
      <c r="BZ25" s="37">
        <f t="shared" si="168"/>
        <v>120</v>
      </c>
      <c r="CA25" s="125">
        <f>IFERROR(VLOOKUP($D25,'Adient Assende (Belgium) WK.17'!$B:BS,CB$1,0),0)</f>
        <v>0</v>
      </c>
      <c r="CB25" s="55">
        <f>IFERROR(VLOOKUP($D25,'Adient Arendal (Malzia) WK.12'!$B:BT,CB$1,0),0)</f>
        <v>0</v>
      </c>
      <c r="CC25" s="55">
        <f>IFERROR(VLOOKUP($D25,'Adient Taizhou (China) WK.16'!$B:BW,CB$1,0),0)</f>
        <v>0</v>
      </c>
      <c r="CD25" s="60">
        <v>0</v>
      </c>
      <c r="CE25" s="60">
        <v>0</v>
      </c>
      <c r="CF25" s="41">
        <v>80</v>
      </c>
      <c r="CG25" s="32">
        <v>0</v>
      </c>
      <c r="CH25" s="106">
        <f t="shared" si="244"/>
        <v>40</v>
      </c>
      <c r="CI25" s="8"/>
      <c r="CJ25" s="37">
        <f t="shared" si="169"/>
        <v>40</v>
      </c>
      <c r="CK25" s="125">
        <f>IFERROR(VLOOKUP($D25,'Adient Assende (Belgium) WK.17'!$B:CC,CL$1,0),0)</f>
        <v>80</v>
      </c>
      <c r="CL25" s="55">
        <f>IFERROR(VLOOKUP($D25,'Adient Arendal (Malzia) WK.12'!$B:CD,CL$1,0),0)</f>
        <v>0</v>
      </c>
      <c r="CM25" s="55">
        <f>IFERROR(VLOOKUP($D25,'Adient Taizhou (China) WK.16'!$B:CG,CL$1,0),0)</f>
        <v>0</v>
      </c>
      <c r="CN25" s="60">
        <v>160</v>
      </c>
      <c r="CO25" s="149">
        <v>0</v>
      </c>
      <c r="CP25" s="32">
        <v>0</v>
      </c>
      <c r="CQ25" s="106">
        <f t="shared" si="245"/>
        <v>200</v>
      </c>
      <c r="CR25" s="8"/>
      <c r="CS25" s="122">
        <f t="shared" si="170"/>
        <v>200</v>
      </c>
      <c r="CT25" s="154">
        <f>IFERROR(VLOOKUP($D25,'Adient Assende (Belgium) WK.17'!$B:CL,CU$1,0),0)</f>
        <v>0</v>
      </c>
      <c r="CU25" s="55">
        <f>IFERROR(VLOOKUP($D25,'Adient Arendal (Malzia) WK.12'!$B:CM,CU$1,0),0)</f>
        <v>0</v>
      </c>
      <c r="CV25" s="55">
        <f>IFERROR(VLOOKUP($D25,'Adient Taizhou (China) WK.16'!$B:CP,CU$1,0),0)</f>
        <v>0</v>
      </c>
      <c r="CW25" s="60">
        <v>0</v>
      </c>
      <c r="CX25" s="60">
        <v>40</v>
      </c>
      <c r="CY25" s="128">
        <v>0</v>
      </c>
      <c r="CZ25" s="32">
        <v>0</v>
      </c>
      <c r="DA25" s="106">
        <f t="shared" si="246"/>
        <v>240</v>
      </c>
      <c r="DB25" s="8"/>
      <c r="DC25" s="37">
        <f t="shared" si="171"/>
        <v>240</v>
      </c>
      <c r="DD25" s="125">
        <f>IFERROR(VLOOKUP($D25,'Adient Assende (Belgium) WK.17'!$B:CS,DE$1,0),0)</f>
        <v>0</v>
      </c>
      <c r="DE25" s="55">
        <f>IFERROR(VLOOKUP($D25,'Adient Arendal (Malzia) WK.12'!$B:CU,DE$1,0),0)</f>
        <v>0</v>
      </c>
      <c r="DF25" s="55">
        <f>IFERROR(VLOOKUP($D25,'Adient Taizhou (China) WK.16'!$B:CX,DE$1,0),0)</f>
        <v>0</v>
      </c>
      <c r="DG25" s="60">
        <v>80</v>
      </c>
      <c r="DH25" s="128">
        <v>80</v>
      </c>
      <c r="DI25" s="32">
        <v>0</v>
      </c>
      <c r="DJ25" s="106">
        <f t="shared" si="247"/>
        <v>240</v>
      </c>
      <c r="DL25" s="37">
        <f t="shared" si="172"/>
        <v>240</v>
      </c>
      <c r="DM25" s="125">
        <f>IFERROR(VLOOKUP($D25,'Adient Assende (Belgium) WK.17'!$B:DB,DN$1,0),0)</f>
        <v>80</v>
      </c>
      <c r="DN25" s="55">
        <f>IFERROR(VLOOKUP($D25,'Adient Arendal (Malzia) WK.12'!$B:DC,DN$1,0),0)</f>
        <v>0</v>
      </c>
      <c r="DO25" s="55">
        <f>IFERROR(VLOOKUP($D25,'Adient Taizhou (China) WK.16'!$B:DF,DN$1,0),0)</f>
        <v>0</v>
      </c>
      <c r="DP25" s="128">
        <v>80</v>
      </c>
      <c r="DQ25" s="32">
        <v>0</v>
      </c>
      <c r="DR25" s="106">
        <f t="shared" si="173"/>
        <v>160</v>
      </c>
      <c r="DS25" s="8"/>
      <c r="DT25" s="37">
        <f t="shared" si="174"/>
        <v>160</v>
      </c>
      <c r="DU25" s="125">
        <f>IFERROR(VLOOKUP($D25,'Adient Assende (Belgium) WK.17'!$B:DJ,DV$1,0),0)</f>
        <v>80</v>
      </c>
      <c r="DV25" s="55">
        <f>IFERROR(VLOOKUP($D25,'Adient Arendal (Malzia) WK.12'!$B:DK,DV$1,0),0)</f>
        <v>0</v>
      </c>
      <c r="DW25" s="55">
        <f>IFERROR(VLOOKUP($D25,'Adient Taizhou (China) WK.16'!$B:DN,DV$1,0),0)</f>
        <v>0</v>
      </c>
      <c r="DX25" s="60">
        <v>100</v>
      </c>
      <c r="DY25" s="60">
        <v>0</v>
      </c>
      <c r="DZ25" s="128">
        <v>0</v>
      </c>
      <c r="EA25" s="32">
        <v>0</v>
      </c>
      <c r="EB25" s="106">
        <f t="shared" si="248"/>
        <v>260</v>
      </c>
      <c r="EC25" s="8"/>
      <c r="ED25" s="37">
        <f t="shared" si="175"/>
        <v>260</v>
      </c>
      <c r="EE25" s="125">
        <f>IFERROR(VLOOKUP($D25,'Adient Assende (Belgium) WK.17'!$B:DR,EF$1,0),0)</f>
        <v>0</v>
      </c>
      <c r="EF25" s="55">
        <f>IFERROR(VLOOKUP($D25,'Adient Arendal (Malzia) WK.12'!$B:DS,EF$1,0),0)</f>
        <v>0</v>
      </c>
      <c r="EG25" s="55">
        <f>IFERROR(VLOOKUP($D25,'Adient Taizhou (China) WK.16'!$B:DV,EF$1,0),0)</f>
        <v>0</v>
      </c>
      <c r="EH25" s="60">
        <v>100</v>
      </c>
      <c r="EI25" s="128">
        <v>80</v>
      </c>
      <c r="EJ25" s="32">
        <v>0</v>
      </c>
      <c r="EK25" s="106">
        <f t="shared" si="249"/>
        <v>280</v>
      </c>
      <c r="EM25" s="37">
        <f t="shared" si="176"/>
        <v>280</v>
      </c>
      <c r="EN25" s="125">
        <f>IFERROR(VLOOKUP($D25,'Adient Assende (Belgium) WK.17'!$B:DZ,EO$1,0),0)</f>
        <v>80</v>
      </c>
      <c r="EO25" s="55">
        <f>IFERROR(VLOOKUP($D25,'Adient Arendal (Malzia) WK.12'!$B:EA,EO$1,0),0)</f>
        <v>0</v>
      </c>
      <c r="EP25" s="55">
        <f>IFERROR(VLOOKUP($D25,'Adient Taizhou (China) WK.16'!$B:ED,EO$1,0),0)</f>
        <v>0</v>
      </c>
      <c r="EQ25" s="128">
        <v>0</v>
      </c>
      <c r="ER25" s="32">
        <v>0</v>
      </c>
      <c r="ES25" s="106">
        <f t="shared" si="250"/>
        <v>280</v>
      </c>
      <c r="EU25" s="37">
        <f t="shared" si="177"/>
        <v>280</v>
      </c>
      <c r="EV25" s="125">
        <f>IFERROR(VLOOKUP($D25,'Adient Assende (Belgium) WK.17'!$B:EH,EW$1,0),0)</f>
        <v>0</v>
      </c>
      <c r="EW25" s="55">
        <f>IFERROR(VLOOKUP($D25,'Adient Arendal (Malzia) WK.12'!$B:EI,EW$1,0),0)</f>
        <v>0</v>
      </c>
      <c r="EX25" s="55">
        <f>IFERROR(VLOOKUP($D25,'Adient Taizhou (China) WK.16'!$B:EL,EW$1,0),0)</f>
        <v>0</v>
      </c>
      <c r="EY25" s="128">
        <v>0</v>
      </c>
      <c r="EZ25" s="32">
        <v>0</v>
      </c>
      <c r="FA25" s="106">
        <f t="shared" si="251"/>
        <v>280</v>
      </c>
      <c r="FC25" s="37">
        <f t="shared" si="178"/>
        <v>280</v>
      </c>
      <c r="FD25" s="154">
        <f>IFERROR(VLOOKUP($D25,'Adient Assende (Belgium) WK.17'!$B:EP,FE$1,0),0)</f>
        <v>0</v>
      </c>
      <c r="FE25" s="154">
        <f>IFERROR(VLOOKUP($D25,'Adient Arendal (Malzia) WK.12'!$B:EQ,FE$1,0),0)</f>
        <v>0</v>
      </c>
      <c r="FF25" s="154">
        <f>IFERROR(VLOOKUP($D25,'Adient Taizhou (China) WK.16'!$B:ET,FE$1,0),0)</f>
        <v>0</v>
      </c>
      <c r="FG25" s="128">
        <v>0</v>
      </c>
      <c r="FH25" s="32">
        <v>0</v>
      </c>
      <c r="FI25" s="106">
        <f t="shared" si="252"/>
        <v>280</v>
      </c>
      <c r="FK25" s="37">
        <f t="shared" si="179"/>
        <v>280</v>
      </c>
      <c r="FL25" s="125">
        <f>IFERROR(VLOOKUP($D25,'Adient Assende (Belgium) WK.17'!$B:EX,FM$1,0),0)</f>
        <v>0</v>
      </c>
      <c r="FM25" s="55">
        <f>IFERROR(VLOOKUP($D25,'Adient Arendal (Malzia) WK.12'!$B:EY,FM$1,0),0)</f>
        <v>0</v>
      </c>
      <c r="FN25" s="55">
        <f>IFERROR(VLOOKUP($D25,'Adient Taizhou (China) WK.16'!$B:FB,FM$1,0),0)</f>
        <v>0</v>
      </c>
      <c r="FO25" s="128">
        <v>80</v>
      </c>
      <c r="FP25" s="32">
        <v>0</v>
      </c>
      <c r="FQ25" s="106">
        <f t="shared" si="253"/>
        <v>200</v>
      </c>
      <c r="FR25" s="8"/>
      <c r="FS25" s="37">
        <f t="shared" si="180"/>
        <v>200</v>
      </c>
      <c r="FT25" s="125">
        <f>IFERROR(VLOOKUP($D25,'Adient Assende (Belgium) WK.17'!$B:FF,FU$1,0),0)</f>
        <v>80</v>
      </c>
      <c r="FU25" s="55">
        <f>IFERROR(VLOOKUP($D25,'Adient Arendal (Malzia) WK.12'!$B:FG,FU$1,0),0)</f>
        <v>0</v>
      </c>
      <c r="FV25" s="55">
        <f>IFERROR(VLOOKUP($D25,'Adient Taizhou (China) WK.16'!$B:FJ,FU$1,0),0)</f>
        <v>0</v>
      </c>
      <c r="FW25" s="60">
        <v>0</v>
      </c>
      <c r="FX25" s="60">
        <v>0</v>
      </c>
      <c r="FY25" s="60">
        <v>0</v>
      </c>
      <c r="FZ25" s="60">
        <v>0</v>
      </c>
      <c r="GA25" s="60">
        <v>280</v>
      </c>
      <c r="GB25" s="128">
        <v>0</v>
      </c>
      <c r="GC25" s="32">
        <v>0</v>
      </c>
      <c r="GD25" s="106">
        <f t="shared" si="254"/>
        <v>480</v>
      </c>
      <c r="GF25" s="37">
        <f t="shared" si="181"/>
        <v>480</v>
      </c>
      <c r="GG25" s="125">
        <f>IFERROR(VLOOKUP($D25,'Adient Assende (Belgium) WK.17'!$B:FN,GH$1,0),0)</f>
        <v>0</v>
      </c>
      <c r="GH25" s="55">
        <f>IFERROR(VLOOKUP($D25,'Adient Arendal (Malzia) WK.12'!$B:FO,GH$1,0),0)</f>
        <v>0</v>
      </c>
      <c r="GI25" s="55">
        <f>IFERROR(VLOOKUP($D25,'Adient Taizhou (China) WK.16'!$B:FR,GH$1,0),0)</f>
        <v>0</v>
      </c>
      <c r="GJ25" s="60">
        <v>0</v>
      </c>
      <c r="GK25" s="128">
        <v>80</v>
      </c>
      <c r="GL25" s="32">
        <v>0</v>
      </c>
      <c r="GM25" s="106">
        <f t="shared" si="255"/>
        <v>400</v>
      </c>
      <c r="GO25" s="37">
        <f t="shared" si="182"/>
        <v>400</v>
      </c>
      <c r="GP25" s="125">
        <f>IFERROR(VLOOKUP($D25,'Adient Assende (Belgium) WK.17'!$B:FV,GQ$1,0),0)</f>
        <v>80</v>
      </c>
      <c r="GQ25" s="55">
        <f>IFERROR(VLOOKUP($D25,'Adient Arendal (Malzia) WK.12'!$B:FW,GQ$1,0),0)</f>
        <v>0</v>
      </c>
      <c r="GR25" s="55">
        <f>IFERROR(VLOOKUP($D25,'Adient Taizhou (China) WK.16'!$B:FZ,GQ$1,0),0)</f>
        <v>0</v>
      </c>
      <c r="GS25" s="60">
        <v>0</v>
      </c>
      <c r="GT25" s="128">
        <v>0</v>
      </c>
      <c r="GU25" s="32">
        <v>0</v>
      </c>
      <c r="GV25" s="106">
        <f t="shared" si="256"/>
        <v>400</v>
      </c>
      <c r="GW25" s="8"/>
      <c r="GX25" s="37">
        <f t="shared" si="183"/>
        <v>400</v>
      </c>
      <c r="GY25" s="125">
        <f>IFERROR(VLOOKUP($D25,'Adient Assende (Belgium) WK.17'!$B:GD,GZ$1,0),0)</f>
        <v>0</v>
      </c>
      <c r="GZ25" s="55">
        <f>IFERROR(VLOOKUP($D25,'Adient Arendal (Malzia) WK.12'!$B:GE,GZ$1,0),0)</f>
        <v>0</v>
      </c>
      <c r="HA25" s="55">
        <f>IFERROR(VLOOKUP($D25,'Adient Taizhou (China) WK.16'!$B:GH,GZ$1,0),0)</f>
        <v>0</v>
      </c>
      <c r="HB25" s="60">
        <v>0</v>
      </c>
      <c r="HC25" s="128">
        <v>0</v>
      </c>
      <c r="HD25" s="32">
        <v>0</v>
      </c>
      <c r="HE25" s="106">
        <f t="shared" si="257"/>
        <v>400</v>
      </c>
      <c r="HF25" s="8"/>
      <c r="HG25" s="37">
        <f t="shared" si="184"/>
        <v>400</v>
      </c>
      <c r="HH25" s="125">
        <f>IFERROR(VLOOKUP($D25,'Adient Assende (Belgium) WK.17'!$B:GL,HI$1,0),0)</f>
        <v>0</v>
      </c>
      <c r="HI25" s="55">
        <f>IFERROR(VLOOKUP($D25,'Adient Arendal (Malzia) WK.12'!$B:GM,HI$1,0),0)</f>
        <v>0</v>
      </c>
      <c r="HJ25" s="55">
        <f>IFERROR(VLOOKUP($D25,'Adient Taizhou (China) WK.16'!$B:GP,HI$1,0),0)</f>
        <v>0</v>
      </c>
      <c r="HK25" s="60">
        <v>0</v>
      </c>
      <c r="HL25" s="128">
        <v>0</v>
      </c>
      <c r="HM25" s="32">
        <v>0</v>
      </c>
      <c r="HN25" s="106">
        <f t="shared" si="258"/>
        <v>400</v>
      </c>
      <c r="HO25" s="8"/>
      <c r="HP25" s="37">
        <f t="shared" si="185"/>
        <v>400</v>
      </c>
      <c r="HQ25" s="125">
        <f>IFERROR(VLOOKUP($D25,'Adient Assende (Belgium) WK.17'!$B:GT,HR$1,0),0)</f>
        <v>0</v>
      </c>
      <c r="HR25" s="55">
        <f>IFERROR(VLOOKUP($D25,'Adient Arendal (Malzia) WK.12'!$B:GU,HR$1,0),0)</f>
        <v>0</v>
      </c>
      <c r="HS25" s="55">
        <f>IFERROR(VLOOKUP($D25,'Adient Taizhou (China) WK.16'!$B:GX,HR$1,0),0)</f>
        <v>0</v>
      </c>
      <c r="HT25" s="60">
        <v>0</v>
      </c>
      <c r="HU25" s="128">
        <v>0</v>
      </c>
      <c r="HV25" s="32">
        <v>0</v>
      </c>
      <c r="HW25" s="106">
        <f t="shared" si="259"/>
        <v>400</v>
      </c>
      <c r="HX25" s="8"/>
      <c r="HY25" s="37">
        <f t="shared" si="186"/>
        <v>400</v>
      </c>
      <c r="HZ25" s="125">
        <f>IFERROR(VLOOKUP($D25,'Adient Assende (Belgium) WK.17'!$B:HB,IA$1,0),0)</f>
        <v>0</v>
      </c>
      <c r="IA25" s="55">
        <f>IFERROR(VLOOKUP($D25,'Adient Arendal (Malzia) WK.12'!$B:HC,IA$1,0),0)</f>
        <v>0</v>
      </c>
      <c r="IB25" s="55">
        <f>IFERROR(VLOOKUP($D25,'Adient Taizhou (China) WK.16'!$B:HF,IA$1,0),0)</f>
        <v>0</v>
      </c>
      <c r="IC25" s="60">
        <v>360</v>
      </c>
      <c r="ID25" s="128">
        <v>80</v>
      </c>
      <c r="IE25" s="32">
        <v>0</v>
      </c>
      <c r="IF25" s="106">
        <f t="shared" si="260"/>
        <v>680</v>
      </c>
      <c r="IG25" s="8"/>
      <c r="IH25" s="37">
        <f t="shared" si="187"/>
        <v>680</v>
      </c>
      <c r="II25" s="125">
        <f>IFERROR(VLOOKUP($D25,'Adient Assende (Belgium) WK.17'!$B:HJ,IJ$1,0),0)</f>
        <v>80</v>
      </c>
      <c r="IJ25" s="55">
        <f>IFERROR(VLOOKUP($D25,'Adient Arendal (Malzia) WK.12'!$B:HK,IJ$1,0),0)</f>
        <v>0</v>
      </c>
      <c r="IK25" s="55">
        <f>IFERROR(VLOOKUP($D25,'Adient Taizhou (China) WK.16'!$B:HN,IJ$1,0),0)</f>
        <v>0</v>
      </c>
      <c r="IL25" s="128">
        <v>0</v>
      </c>
      <c r="IM25" s="32">
        <v>0</v>
      </c>
      <c r="IN25" s="106">
        <f t="shared" si="188"/>
        <v>680</v>
      </c>
      <c r="IO25" s="8"/>
      <c r="IP25" s="37">
        <f t="shared" si="189"/>
        <v>680</v>
      </c>
      <c r="IQ25" s="125">
        <f>IFERROR(VLOOKUP($D25,'Adient Assende (Belgium) WK.17'!$B:HR,IR$1,0),0)</f>
        <v>0</v>
      </c>
      <c r="IR25" s="55">
        <f>IFERROR(VLOOKUP($D25,'Adient Arendal (Malzia) WK.12'!$B:HS,IR$1,0),0)</f>
        <v>0</v>
      </c>
      <c r="IS25" s="55">
        <f>IFERROR(VLOOKUP($D25,'Adient Taizhou (China) WK.16'!$B:HV,IR$1,0),0)</f>
        <v>0</v>
      </c>
      <c r="IT25" s="60">
        <v>40</v>
      </c>
      <c r="IU25" s="128">
        <v>80</v>
      </c>
      <c r="IV25" s="32">
        <v>0</v>
      </c>
      <c r="IW25" s="106">
        <f t="shared" si="261"/>
        <v>640</v>
      </c>
      <c r="IX25" s="8"/>
      <c r="IY25" s="37">
        <f t="shared" si="190"/>
        <v>640</v>
      </c>
      <c r="IZ25" s="125">
        <f>IFERROR(VLOOKUP($D25,'Adient Assende (Belgium) WK.17'!$B:HZ,JA$1,0),0)</f>
        <v>80</v>
      </c>
      <c r="JA25" s="55">
        <f>IFERROR(VLOOKUP($D25,'Adient Arendal (Malzia) WK.12'!$B:IA,JA$1,0),0)</f>
        <v>0</v>
      </c>
      <c r="JB25" s="55">
        <f>IFERROR(VLOOKUP($D25,'Adient Taizhou (China) WK.16'!$B:ID,JA$1,0),0)</f>
        <v>0</v>
      </c>
      <c r="JC25" s="128">
        <v>0</v>
      </c>
      <c r="JD25" s="32">
        <v>0</v>
      </c>
      <c r="JE25" s="106">
        <f t="shared" si="191"/>
        <v>640</v>
      </c>
      <c r="JF25" s="8"/>
      <c r="JG25" s="37">
        <f t="shared" si="192"/>
        <v>640</v>
      </c>
      <c r="JH25" s="125">
        <f>IFERROR(VLOOKUP($D25,'Adient Assende (Belgium) WK.17'!$B:IH,JI$1,0),0)</f>
        <v>0</v>
      </c>
      <c r="JI25" s="55">
        <f>IFERROR(VLOOKUP($D25,'Adient Arendal (Malzia) WK.12'!$B:II,JI$1,0),0)</f>
        <v>0</v>
      </c>
      <c r="JJ25" s="55">
        <f>IFERROR(VLOOKUP($D25,'Adient Taizhou (China) WK.16'!$B:IL,JI$1,0),0)</f>
        <v>0</v>
      </c>
      <c r="JK25" s="60">
        <v>0</v>
      </c>
      <c r="JL25" s="128">
        <v>80</v>
      </c>
      <c r="JM25" s="32">
        <v>0</v>
      </c>
      <c r="JN25" s="106">
        <f t="shared" si="262"/>
        <v>560</v>
      </c>
      <c r="JO25" s="8"/>
      <c r="JP25" s="37">
        <f t="shared" si="193"/>
        <v>560</v>
      </c>
      <c r="JQ25" s="125">
        <f>IFERROR(VLOOKUP($D25,'Adient Assende (Belgium) WK.17'!$B:IP,JR$1,0),0)</f>
        <v>80</v>
      </c>
      <c r="JR25" s="55">
        <f>IFERROR(VLOOKUP($D25,'Adient Arendal (Malzia) WK.12'!$B:IQ,JR$1,0),0)</f>
        <v>0</v>
      </c>
      <c r="JS25" s="55">
        <f>IFERROR(VLOOKUP($D25,'Adient Taizhou (China) WK.16'!$B:IT,JR$1,0),0)</f>
        <v>0</v>
      </c>
      <c r="JT25" s="128">
        <v>0</v>
      </c>
      <c r="JU25" s="32">
        <v>0</v>
      </c>
      <c r="JV25" s="106">
        <f t="shared" si="194"/>
        <v>560</v>
      </c>
      <c r="JW25" s="8"/>
      <c r="JX25" s="37">
        <f t="shared" si="195"/>
        <v>560</v>
      </c>
      <c r="JY25" s="154">
        <f>IFERROR(VLOOKUP($D25,'Adient Assende (Belgium) WK.17'!$B:IX,JZ$1,0),0)</f>
        <v>0</v>
      </c>
      <c r="JZ25" s="55">
        <f>IFERROR(VLOOKUP($D25,'Adient Arendal (Malzia) WK.12'!$B:IY,JZ$1,0),0)</f>
        <v>0</v>
      </c>
      <c r="KA25" s="55">
        <f>IFERROR(VLOOKUP($D25,'Adient Taizhou (China) WK.16'!$B:JB,JZ$1,0),0)</f>
        <v>0</v>
      </c>
      <c r="KB25" s="128">
        <v>80</v>
      </c>
      <c r="KC25" s="32">
        <v>0</v>
      </c>
      <c r="KD25" s="106">
        <f t="shared" si="263"/>
        <v>480</v>
      </c>
      <c r="KE25" s="8"/>
      <c r="KF25" s="37">
        <f t="shared" si="196"/>
        <v>480</v>
      </c>
      <c r="KG25" s="125">
        <f>IFERROR(VLOOKUP($D25,'Adient Assende (Belgium) WK.17'!$B:JF,KH$1,0),0)</f>
        <v>80</v>
      </c>
      <c r="KH25" s="55">
        <f>IFERROR(VLOOKUP($D25,'Adient Arendal (Malzia) WK.12'!$B:JG,KH$1,0),0)</f>
        <v>0</v>
      </c>
      <c r="KI25" s="55">
        <f>IFERROR(VLOOKUP($D25,'Adient Taizhou (China) WK.16'!$B:JJ,KH$1,0),0)</f>
        <v>0</v>
      </c>
      <c r="KJ25" s="60">
        <v>0</v>
      </c>
      <c r="KK25" s="128">
        <v>0</v>
      </c>
      <c r="KL25" s="32">
        <v>0</v>
      </c>
      <c r="KM25" s="106">
        <f t="shared" si="264"/>
        <v>480</v>
      </c>
      <c r="KN25" s="8"/>
      <c r="KO25" s="37">
        <f t="shared" si="197"/>
        <v>480</v>
      </c>
      <c r="KP25" s="141">
        <f>IFERROR(VLOOKUP($D25,'Adient Assende (Belgium) WK.17'!$B:JN,KQ$1,0),0)</f>
        <v>0</v>
      </c>
      <c r="KQ25" s="140">
        <f>IFERROR(VLOOKUP($D25,'Adient Arendal (Malzia) WK.12'!$B:JO,KQ$1,0),0)</f>
        <v>0</v>
      </c>
      <c r="KR25" s="140">
        <f>IFERROR(VLOOKUP($D25,'Adient Taizhou (China) WK.16'!$B:JR,KQ$1,0),0)</f>
        <v>0</v>
      </c>
      <c r="KS25" s="60">
        <v>0</v>
      </c>
      <c r="KT25" s="128">
        <v>0</v>
      </c>
      <c r="KU25" s="32">
        <v>0</v>
      </c>
      <c r="KV25" s="106">
        <f t="shared" si="265"/>
        <v>480</v>
      </c>
      <c r="KX25" s="37">
        <f t="shared" si="198"/>
        <v>480</v>
      </c>
      <c r="KY25" s="141">
        <f>IFERROR(VLOOKUP($D25,'Adient Assende (Belgium) WK.17'!$B:JV,KZ$1,0),0)</f>
        <v>0</v>
      </c>
      <c r="KZ25" s="140">
        <f>IFERROR(VLOOKUP($D25,'Adient Arendal (Malzia) WK.12'!$B:JW,KZ$1,0),0)</f>
        <v>0</v>
      </c>
      <c r="LA25" s="140">
        <f>IFERROR(VLOOKUP($D25,'Adient Taizhou (China) WK.16'!$B:JZ,KZ$1,0),0)</f>
        <v>0</v>
      </c>
      <c r="LB25" s="128">
        <v>0</v>
      </c>
      <c r="LC25" s="32">
        <v>0</v>
      </c>
      <c r="LD25" s="106">
        <f t="shared" si="266"/>
        <v>480</v>
      </c>
      <c r="LF25" s="37">
        <f t="shared" si="199"/>
        <v>480</v>
      </c>
      <c r="LG25" s="141">
        <f>IFERROR(VLOOKUP($D25,'Adient Assende (Belgium) WK.17'!$B:KD,LH$1,0),0)</f>
        <v>0</v>
      </c>
      <c r="LH25" s="140">
        <f>IFERROR(VLOOKUP($D25,'Adient Arendal (Malzia) WK.12'!$B:KE,LH$1,0),0)</f>
        <v>0</v>
      </c>
      <c r="LI25" s="140">
        <f>IFERROR(VLOOKUP($D25,'Adient Taizhou (China) WK.16'!$B:KH,LH$1,0),0)</f>
        <v>0</v>
      </c>
      <c r="LJ25" s="60">
        <v>0</v>
      </c>
      <c r="LK25" s="128">
        <v>0</v>
      </c>
      <c r="LL25" s="32">
        <v>0</v>
      </c>
      <c r="LM25" s="100">
        <f t="shared" si="267"/>
        <v>480</v>
      </c>
      <c r="LO25" s="37">
        <f t="shared" si="200"/>
        <v>480</v>
      </c>
      <c r="LP25" s="141">
        <f>IFERROR(VLOOKUP($D25,'Adient Assende (Belgium) WK.17'!$B:KL,LQ$1,0),0)</f>
        <v>0</v>
      </c>
      <c r="LQ25" s="140">
        <f>IFERROR(VLOOKUP($D25,'Adient Arendal (Malzia) WK.12'!$B:KM,LQ$1,0),0)</f>
        <v>0</v>
      </c>
      <c r="LR25" s="140">
        <f>IFERROR(VLOOKUP($D25,'Adient Taizhou (China) WK.16'!$B:KP,LQ$1,0),0)</f>
        <v>0</v>
      </c>
      <c r="LS25" s="128">
        <v>0</v>
      </c>
      <c r="LT25" s="32">
        <v>0</v>
      </c>
      <c r="LU25" s="100">
        <f t="shared" si="268"/>
        <v>480</v>
      </c>
      <c r="LW25" s="37">
        <f t="shared" si="201"/>
        <v>480</v>
      </c>
      <c r="LX25" s="141">
        <f>IFERROR(VLOOKUP($D25,'Adient Assende (Belgium) WK.17'!$B:KT,LY$1,0),0)</f>
        <v>0</v>
      </c>
      <c r="LY25" s="140">
        <f>IFERROR(VLOOKUP($D25,'Adient Arendal (Malzia) WK.12'!$B:KU,LY$1,0),0)</f>
        <v>0</v>
      </c>
      <c r="LZ25" s="140">
        <f>IFERROR(VLOOKUP($D25,'Adient Taizhou (China) WK.16'!$B:KX,LY$1,0),0)</f>
        <v>0</v>
      </c>
      <c r="MA25" s="128">
        <v>0</v>
      </c>
      <c r="MB25" s="32">
        <v>0</v>
      </c>
      <c r="MC25" s="100">
        <f t="shared" si="269"/>
        <v>480</v>
      </c>
      <c r="ME25" s="37">
        <f t="shared" si="202"/>
        <v>480</v>
      </c>
      <c r="MF25" s="154">
        <f>IFERROR(VLOOKUP($D25,'Adient Assende (Belgium) WK.17'!$B:LB,MG$1,0),0)</f>
        <v>0</v>
      </c>
      <c r="MG25" s="140">
        <f>IFERROR(VLOOKUP($D25,'Adient Arendal (Malzia) WK.12'!$B:LC,MG$1,0),0)</f>
        <v>0</v>
      </c>
      <c r="MH25" s="140">
        <f>IFERROR(VLOOKUP($D25,'Adient Taizhou (China) WK.16'!$B:LF,MG$1,0),0)</f>
        <v>0</v>
      </c>
      <c r="MI25" s="128">
        <v>0</v>
      </c>
      <c r="MJ25" s="32">
        <v>0</v>
      </c>
      <c r="MK25" s="100">
        <f t="shared" si="270"/>
        <v>480</v>
      </c>
      <c r="MM25" s="37">
        <f t="shared" si="203"/>
        <v>480</v>
      </c>
      <c r="MN25" s="141">
        <f>IFERROR(VLOOKUP($D25,'Adient Assende (Belgium) WK.17'!$B:LJ,MO$1,0),0)</f>
        <v>0</v>
      </c>
      <c r="MO25" s="140">
        <f>IFERROR(VLOOKUP($D25,'Adient Arendal (Malzia) WK.12'!$B:LK,MO$1,0),0)</f>
        <v>0</v>
      </c>
      <c r="MP25" s="140">
        <f>IFERROR(VLOOKUP($D25,'Adient Taizhou (China) WK.16'!$B:LN,MO$1,0),0)</f>
        <v>0</v>
      </c>
      <c r="MQ25" s="128">
        <v>0</v>
      </c>
      <c r="MR25" s="32">
        <v>0</v>
      </c>
      <c r="MS25" s="100">
        <f t="shared" si="271"/>
        <v>480</v>
      </c>
      <c r="MU25" s="37">
        <f t="shared" si="204"/>
        <v>480</v>
      </c>
      <c r="MV25" s="141">
        <f>IFERROR(VLOOKUP($D25,'Adient Assende (Belgium) WK.17'!$B:LR,MW$1,0),0)</f>
        <v>0</v>
      </c>
      <c r="MW25" s="140">
        <f>IFERROR(VLOOKUP($D25,'Adient Arendal (Malzia) WK.12'!$B:LS,MW$1,0),0)</f>
        <v>0</v>
      </c>
      <c r="MX25" s="140">
        <f>IFERROR(VLOOKUP($D25,'Adient Taizhou (China) WK.16'!$B:LV,MW$1,0),0)</f>
        <v>0</v>
      </c>
      <c r="MY25" s="128">
        <v>0</v>
      </c>
      <c r="MZ25" s="32">
        <v>0</v>
      </c>
      <c r="NA25" s="100">
        <f t="shared" si="272"/>
        <v>480</v>
      </c>
      <c r="NC25" s="37">
        <f t="shared" si="205"/>
        <v>480</v>
      </c>
      <c r="ND25" s="141">
        <f>IFERROR(VLOOKUP($D25,'Adient Assende (Belgium) WK.17'!$B:LZ,NE$1,0),0)</f>
        <v>0</v>
      </c>
      <c r="NE25" s="140">
        <f>IFERROR(VLOOKUP($D25,'Adient Arendal (Malzia) WK.12'!$B:MA,NE$1,0),0)</f>
        <v>0</v>
      </c>
      <c r="NF25" s="140">
        <f>IFERROR(VLOOKUP($D25,'Adient Taizhou (China) WK.16'!$B:MD,NE$1,0),0)</f>
        <v>0</v>
      </c>
      <c r="NG25" s="128">
        <v>0</v>
      </c>
      <c r="NH25" s="32">
        <v>0</v>
      </c>
      <c r="NI25" s="100">
        <f t="shared" si="273"/>
        <v>480</v>
      </c>
      <c r="NK25" s="37">
        <f t="shared" si="206"/>
        <v>480</v>
      </c>
      <c r="NL25" s="141">
        <f>IFERROR(VLOOKUP($D25,'Adient Assende (Belgium) WK.17'!$B:MH,NM$1,0),0)</f>
        <v>0</v>
      </c>
      <c r="NM25" s="140">
        <f>IFERROR(VLOOKUP($D25,'Adient Arendal (Malzia) WK.12'!$B:MI,NM$1,0),0)</f>
        <v>0</v>
      </c>
      <c r="NN25" s="140">
        <f>IFERROR(VLOOKUP($D25,'Adient Taizhou (China) WK.16'!$B:ML,NM$1,0),0)</f>
        <v>0</v>
      </c>
      <c r="NO25" s="128">
        <v>0</v>
      </c>
      <c r="NP25" s="32">
        <v>0</v>
      </c>
      <c r="NQ25" s="100">
        <f t="shared" si="274"/>
        <v>480</v>
      </c>
      <c r="NS25" s="37">
        <f t="shared" si="207"/>
        <v>480</v>
      </c>
      <c r="NT25" s="141">
        <f>IFERROR(VLOOKUP($D25,'Adient Assende (Belgium) WK.17'!$B:MP,NU$1,0),0)</f>
        <v>0</v>
      </c>
      <c r="NU25" s="140">
        <f>IFERROR(VLOOKUP($D25,'Adient Arendal (Malzia) WK.12'!$B:MQ,NU$1,0),0)</f>
        <v>0</v>
      </c>
      <c r="NV25" s="140">
        <f>IFERROR(VLOOKUP($D25,'Adient Taizhou (China) WK.16'!$B:MT,NU$1,0),0)</f>
        <v>0</v>
      </c>
      <c r="NW25" s="128">
        <v>0</v>
      </c>
      <c r="NX25" s="32">
        <v>0</v>
      </c>
      <c r="NY25" s="100">
        <f t="shared" si="275"/>
        <v>480</v>
      </c>
      <c r="OA25" s="37">
        <f t="shared" si="208"/>
        <v>480</v>
      </c>
      <c r="OB25" s="141">
        <f>IFERROR(VLOOKUP($D25,'Adient Assende (Belgium) WK.17'!$B:MX,OC$1,0),0)</f>
        <v>0</v>
      </c>
      <c r="OC25" s="140">
        <f>IFERROR(VLOOKUP($D25,'Adient Arendal (Malzia) WK.12'!$B:MY,OC$1,0),0)</f>
        <v>0</v>
      </c>
      <c r="OD25" s="140">
        <f>IFERROR(VLOOKUP($D25,'Adient Taizhou (China) WK.16'!$B:NB,OC$1,0),0)</f>
        <v>0</v>
      </c>
      <c r="OE25" s="128">
        <v>0</v>
      </c>
      <c r="OF25" s="32">
        <v>0</v>
      </c>
      <c r="OG25" s="100">
        <f t="shared" si="276"/>
        <v>480</v>
      </c>
      <c r="OI25" s="37">
        <f t="shared" si="209"/>
        <v>480</v>
      </c>
      <c r="OJ25" s="141">
        <f>IFERROR(VLOOKUP($D25,'Adient Assende (Belgium) WK.17'!$B:NF,OK$1,0),0)</f>
        <v>0</v>
      </c>
      <c r="OK25" s="140">
        <f>IFERROR(VLOOKUP($D25,'Adient Arendal (Malzia) WK.12'!$B:NG,OK$1,0),0)</f>
        <v>0</v>
      </c>
      <c r="OL25" s="140">
        <f>IFERROR(VLOOKUP($D25,'Adient Taizhou (China) WK.16'!$B:NJ,OK$1,0),0)</f>
        <v>0</v>
      </c>
      <c r="OM25" s="128">
        <v>0</v>
      </c>
      <c r="ON25" s="32">
        <v>0</v>
      </c>
      <c r="OO25" s="100">
        <f t="shared" si="277"/>
        <v>480</v>
      </c>
      <c r="OQ25" s="37">
        <f t="shared" si="210"/>
        <v>480</v>
      </c>
      <c r="OR25" s="141">
        <f>IFERROR(VLOOKUP($D25,'Adient Assende (Belgium) WK.17'!$B:NN,OS$1,0),0)</f>
        <v>0</v>
      </c>
      <c r="OS25" s="140">
        <f>IFERROR(VLOOKUP($D25,'Adient Arendal (Malzia) WK.12'!$B:NO,OS$1,0),0)</f>
        <v>0</v>
      </c>
      <c r="OT25" s="140">
        <f>IFERROR(VLOOKUP($D25,'Adient Taizhou (China) WK.16'!$B:NR,OS$1,0),0)</f>
        <v>0</v>
      </c>
      <c r="OU25" s="128">
        <v>0</v>
      </c>
      <c r="OV25" s="32">
        <v>0</v>
      </c>
      <c r="OW25" s="100">
        <f t="shared" si="278"/>
        <v>480</v>
      </c>
      <c r="OY25" s="37">
        <f t="shared" si="211"/>
        <v>480</v>
      </c>
      <c r="OZ25" s="141">
        <f>IFERROR(VLOOKUP($D25,'Adient Assende (Belgium) WK.17'!$B:NV,PA$1,0),0)</f>
        <v>0</v>
      </c>
      <c r="PA25" s="140">
        <f>IFERROR(VLOOKUP($D25,'Adient Arendal (Malzia) WK.12'!$B:NW,PA$1,0),0)</f>
        <v>0</v>
      </c>
      <c r="PB25" s="140">
        <f>IFERROR(VLOOKUP($D25,'Adient Taizhou (China) WK.16'!$B:NZ,PA$1,0),0)</f>
        <v>0</v>
      </c>
      <c r="PC25" s="128">
        <v>0</v>
      </c>
      <c r="PD25" s="32">
        <v>0</v>
      </c>
      <c r="PE25" s="100">
        <f t="shared" si="279"/>
        <v>480</v>
      </c>
      <c r="PG25" s="37">
        <f t="shared" si="212"/>
        <v>480</v>
      </c>
      <c r="PH25" s="141">
        <f>IFERROR(VLOOKUP($D25,'Adient Assende (Belgium) WK.17'!$B:OD,PI$1,0),0)</f>
        <v>0</v>
      </c>
      <c r="PI25" s="140">
        <f>IFERROR(VLOOKUP($D25,'Adient Arendal (Malzia) WK.12'!$B:OE,PI$1,0),0)</f>
        <v>0</v>
      </c>
      <c r="PJ25" s="140">
        <f>IFERROR(VLOOKUP($D25,'Adient Taizhou (China) WK.16'!$B:OH,PI$1,0),0)</f>
        <v>0</v>
      </c>
      <c r="PK25" s="128">
        <v>0</v>
      </c>
      <c r="PL25" s="32">
        <v>0</v>
      </c>
      <c r="PM25" s="100">
        <f t="shared" si="280"/>
        <v>480</v>
      </c>
      <c r="PO25" s="37">
        <f t="shared" si="213"/>
        <v>480</v>
      </c>
      <c r="PP25" s="141">
        <f>IFERROR(VLOOKUP($D25,'Adient Assende (Belgium) WK.17'!$B:OL,PQ$1,0),0)</f>
        <v>0</v>
      </c>
      <c r="PQ25" s="140">
        <f>IFERROR(VLOOKUP($D25,'Adient Arendal (Malzia) WK.12'!$B:OM,PQ$1,0),0)</f>
        <v>0</v>
      </c>
      <c r="PR25" s="140">
        <f>IFERROR(VLOOKUP($D25,'Adient Taizhou (China) WK.16'!$B:OP,PQ$1,0),0)</f>
        <v>0</v>
      </c>
      <c r="PS25" s="128">
        <v>0</v>
      </c>
      <c r="PT25" s="32">
        <v>0</v>
      </c>
      <c r="PU25" s="100">
        <f t="shared" si="281"/>
        <v>480</v>
      </c>
      <c r="PW25" s="37">
        <f t="shared" si="214"/>
        <v>480</v>
      </c>
      <c r="PX25" s="141">
        <f>IFERROR(VLOOKUP($D25,'Adient Assende (Belgium) WK.17'!$B:OT,PY$1,0),0)</f>
        <v>0</v>
      </c>
      <c r="PY25" s="140">
        <f>IFERROR(VLOOKUP($D25,'Adient Arendal (Malzia) WK.12'!$B:OU,PY$1,0),0)</f>
        <v>0</v>
      </c>
      <c r="PZ25" s="140">
        <f>IFERROR(VLOOKUP($D25,'Adient Taizhou (China) WK.16'!$B:OX,PY$1,0),0)</f>
        <v>0</v>
      </c>
      <c r="QA25" s="128">
        <v>0</v>
      </c>
      <c r="QB25" s="32">
        <v>0</v>
      </c>
      <c r="QC25" s="100">
        <f t="shared" si="282"/>
        <v>480</v>
      </c>
      <c r="QE25" s="37">
        <f t="shared" si="215"/>
        <v>480</v>
      </c>
      <c r="QF25" s="141">
        <f>IFERROR(VLOOKUP($D25,'Adient Assende (Belgium) WK.17'!$B:PB,QG$1,0),0)</f>
        <v>0</v>
      </c>
      <c r="QG25" s="140">
        <f>IFERROR(VLOOKUP($D25,'Adient Arendal (Malzia) WK.12'!$B:PC,QG$1,0),0)</f>
        <v>0</v>
      </c>
      <c r="QH25" s="140">
        <f>IFERROR(VLOOKUP($D25,'Adient Taizhou (China) WK.16'!$B:PF,QG$1,0),0)</f>
        <v>0</v>
      </c>
      <c r="QI25" s="128">
        <v>0</v>
      </c>
      <c r="QJ25" s="32">
        <v>0</v>
      </c>
      <c r="QK25" s="100">
        <f t="shared" si="283"/>
        <v>480</v>
      </c>
      <c r="QM25" s="37">
        <f t="shared" si="216"/>
        <v>480</v>
      </c>
      <c r="QN25" s="141">
        <f>IFERROR(VLOOKUP($D25,'Adient Assende (Belgium) WK.17'!$B:PJ,QO$1,0),0)</f>
        <v>0</v>
      </c>
      <c r="QO25" s="140">
        <f>IFERROR(VLOOKUP($D25,'Adient Arendal (Malzia) WK.12'!$B:PK,QO$1,0),0)</f>
        <v>0</v>
      </c>
      <c r="QP25" s="140">
        <f>IFERROR(VLOOKUP($D25,'Adient Taizhou (China) WK.16'!$B:PN,QO$1,0),0)</f>
        <v>0</v>
      </c>
      <c r="QQ25" s="128">
        <v>0</v>
      </c>
      <c r="QR25" s="32">
        <v>0</v>
      </c>
      <c r="QS25" s="100">
        <f t="shared" si="284"/>
        <v>480</v>
      </c>
      <c r="QU25" s="37">
        <f t="shared" si="217"/>
        <v>480</v>
      </c>
      <c r="QV25" s="141">
        <f>IFERROR(VLOOKUP($D25,'Adient Assende (Belgium) WK.17'!$B:PR,QW$1,0),0)</f>
        <v>0</v>
      </c>
      <c r="QW25" s="140">
        <f>IFERROR(VLOOKUP($D25,'Adient Arendal (Malzia) WK.12'!$B:PS,QW$1,0),0)</f>
        <v>0</v>
      </c>
      <c r="QX25" s="140">
        <f>IFERROR(VLOOKUP($D25,'Adient Taizhou (China) WK.16'!$B:PV,QW$1,0),0)</f>
        <v>0</v>
      </c>
      <c r="QY25" s="128">
        <v>0</v>
      </c>
      <c r="QZ25" s="32">
        <v>0</v>
      </c>
      <c r="RA25" s="100">
        <f t="shared" si="285"/>
        <v>480</v>
      </c>
      <c r="RC25" s="37">
        <f t="shared" si="218"/>
        <v>480</v>
      </c>
      <c r="RD25" s="141">
        <f>IFERROR(VLOOKUP($D25,'Adient Assende (Belgium) WK.17'!$B:PZ,RE$1,0),0)</f>
        <v>0</v>
      </c>
      <c r="RE25" s="140">
        <f>IFERROR(VLOOKUP($D25,'Adient Arendal (Malzia) WK.12'!$B:QA,RE$1,0),0)</f>
        <v>0</v>
      </c>
      <c r="RF25" s="140">
        <f>IFERROR(VLOOKUP($D25,'Adient Taizhou (China) WK.16'!$B:QD,RE$1,0),0)</f>
        <v>0</v>
      </c>
      <c r="RG25" s="128">
        <v>0</v>
      </c>
      <c r="RH25" s="32">
        <v>0</v>
      </c>
      <c r="RI25" s="100">
        <f t="shared" si="286"/>
        <v>480</v>
      </c>
      <c r="RK25" s="37">
        <f t="shared" si="219"/>
        <v>480</v>
      </c>
      <c r="RL25" s="141">
        <f>IFERROR(VLOOKUP($D25,'Adient Assende (Belgium) WK.17'!$B:QH,RM$1,0),0)</f>
        <v>0</v>
      </c>
      <c r="RM25" s="140">
        <f>IFERROR(VLOOKUP($D25,'Adient Arendal (Malzia) WK.12'!$B:QI,RM$1,0),0)</f>
        <v>0</v>
      </c>
      <c r="RN25" s="140">
        <f>IFERROR(VLOOKUP($D25,'Adient Taizhou (China) WK.16'!$B:QL,RM$1,0),0)</f>
        <v>0</v>
      </c>
      <c r="RO25" s="128">
        <v>0</v>
      </c>
      <c r="RP25" s="32">
        <v>0</v>
      </c>
      <c r="RQ25" s="100">
        <f t="shared" si="287"/>
        <v>480</v>
      </c>
      <c r="RS25" s="37">
        <f t="shared" si="220"/>
        <v>480</v>
      </c>
      <c r="RT25" s="141">
        <f>IFERROR(VLOOKUP($D25,'Adient Assende (Belgium) WK.17'!$B:QP,RU$1,0),0)</f>
        <v>0</v>
      </c>
      <c r="RU25" s="140">
        <f>IFERROR(VLOOKUP($D25,'Adient Arendal (Malzia) WK.12'!$B:QQ,RU$1,0),0)</f>
        <v>0</v>
      </c>
      <c r="RV25" s="140">
        <f>IFERROR(VLOOKUP($D25,'Adient Taizhou (China) WK.16'!$B:QT,RU$1,0),0)</f>
        <v>0</v>
      </c>
      <c r="RW25" s="128">
        <v>0</v>
      </c>
      <c r="RX25" s="32">
        <v>0</v>
      </c>
      <c r="RY25" s="100">
        <f t="shared" si="288"/>
        <v>480</v>
      </c>
      <c r="SA25" s="37">
        <f t="shared" si="221"/>
        <v>480</v>
      </c>
      <c r="SB25" s="141">
        <f>IFERROR(VLOOKUP($D25,'Adient Assende (Belgium) WK.17'!$B:QX,SC$1,0),0)</f>
        <v>20</v>
      </c>
      <c r="SC25" s="140">
        <f>IFERROR(VLOOKUP($D25,'Adient Arendal (Malzia) WK.12'!$B:QY,SC$1,0),0)</f>
        <v>0</v>
      </c>
      <c r="SD25" s="140">
        <f>IFERROR(VLOOKUP($D25,'Adient Taizhou (China) WK.16'!$B:RB,SC$1,0),0)</f>
        <v>0</v>
      </c>
      <c r="SE25" s="128">
        <v>0</v>
      </c>
      <c r="SF25" s="32">
        <v>0</v>
      </c>
      <c r="SG25" s="100">
        <f t="shared" si="289"/>
        <v>460</v>
      </c>
      <c r="SI25" s="37">
        <f t="shared" si="222"/>
        <v>460</v>
      </c>
      <c r="SJ25" s="141">
        <f>IFERROR(VLOOKUP($D25,'Adient Assende (Belgium) WK.17'!$B:RF,SK$1,0),0)</f>
        <v>20</v>
      </c>
      <c r="SK25" s="140">
        <f>IFERROR(VLOOKUP($D25,'Adient Arendal (Malzia) WK.12'!$B:RG,SK$1,0),0)</f>
        <v>0</v>
      </c>
      <c r="SL25" s="140">
        <f>IFERROR(VLOOKUP($D25,'Adient Taizhou (China) WK.16'!$B:RJ,SK$1,0),0)</f>
        <v>0</v>
      </c>
      <c r="SM25" s="128">
        <v>0</v>
      </c>
      <c r="SN25" s="32">
        <v>0</v>
      </c>
      <c r="SO25" s="100">
        <f t="shared" si="290"/>
        <v>440</v>
      </c>
      <c r="SQ25" s="37">
        <f t="shared" si="223"/>
        <v>440</v>
      </c>
      <c r="SR25" s="141">
        <f>IFERROR(VLOOKUP($D25,'Adient Assende (Belgium) WK.17'!$B:RN,SS$1,0),0)</f>
        <v>20</v>
      </c>
      <c r="SS25" s="140">
        <f>IFERROR(VLOOKUP($D25,'Adient Arendal (Malzia) WK.12'!$B:RO,SS$1,0),0)</f>
        <v>0</v>
      </c>
      <c r="ST25" s="140">
        <f>IFERROR(VLOOKUP($D25,'Adient Taizhou (China) WK.16'!$B:RR,SS$1,0),0)</f>
        <v>0</v>
      </c>
      <c r="SU25" s="128">
        <v>0</v>
      </c>
      <c r="SV25" s="32">
        <v>0</v>
      </c>
      <c r="SW25" s="100">
        <f t="shared" si="291"/>
        <v>420</v>
      </c>
      <c r="SY25" s="37">
        <f t="shared" si="224"/>
        <v>420</v>
      </c>
      <c r="SZ25" s="141">
        <f>IFERROR(VLOOKUP($D25,'Adient Assende (Belgium) WK.17'!$B:RV,TA$1,0),0)</f>
        <v>20</v>
      </c>
      <c r="TA25" s="140">
        <f>IFERROR(VLOOKUP($D25,'Adient Arendal (Malzia) WK.12'!$B:RW,TA$1,0),0)</f>
        <v>0</v>
      </c>
      <c r="TB25" s="140">
        <f>IFERROR(VLOOKUP($D25,'Adient Taizhou (China) WK.16'!$B:RZ,TA$1,0),0)</f>
        <v>0</v>
      </c>
      <c r="TC25" s="128">
        <v>0</v>
      </c>
      <c r="TD25" s="32">
        <v>0</v>
      </c>
      <c r="TE25" s="100">
        <f t="shared" si="292"/>
        <v>400</v>
      </c>
      <c r="TG25" s="37">
        <f t="shared" si="225"/>
        <v>400</v>
      </c>
      <c r="TH25" s="141">
        <f>IFERROR(VLOOKUP($D25,'Adient Assende (Belgium) WK.17'!$B:SD,TI$1,0),0)</f>
        <v>0</v>
      </c>
      <c r="TI25" s="140">
        <f>IFERROR(VLOOKUP($D25,'Adient Arendal (Malzia) WK.12'!$B:SE,TI$1,0),0)</f>
        <v>0</v>
      </c>
      <c r="TJ25" s="140">
        <f>IFERROR(VLOOKUP($D25,'Adient Taizhou (China) WK.16'!$B:SH,TI$1,0),0)</f>
        <v>0</v>
      </c>
      <c r="TK25" s="128">
        <v>0</v>
      </c>
      <c r="TL25" s="32">
        <v>0</v>
      </c>
      <c r="TM25" s="100">
        <f t="shared" si="293"/>
        <v>400</v>
      </c>
      <c r="TO25" s="37">
        <f t="shared" si="226"/>
        <v>400</v>
      </c>
      <c r="TP25" s="141">
        <f>IFERROR(VLOOKUP($D25,'Adient Assende (Belgium) WK.17'!$B:SL,TQ$1,0),0)</f>
        <v>0</v>
      </c>
      <c r="TQ25" s="140">
        <f>IFERROR(VLOOKUP($D25,'Adient Arendal (Malzia) WK.12'!$B:SM,TQ$1,0),0)</f>
        <v>0</v>
      </c>
      <c r="TR25" s="140">
        <f>IFERROR(VLOOKUP($D25,'Adient Taizhou (China) WK.16'!$B:SP,TQ$1,0),0)</f>
        <v>0</v>
      </c>
      <c r="TS25" s="128">
        <v>0</v>
      </c>
      <c r="TT25" s="32">
        <v>0</v>
      </c>
      <c r="TU25" s="100">
        <f t="shared" si="294"/>
        <v>400</v>
      </c>
      <c r="TW25" s="37">
        <f t="shared" si="227"/>
        <v>400</v>
      </c>
      <c r="TX25" s="141">
        <f>IFERROR(VLOOKUP($D25,'Adient Assende (Belgium) WK.17'!$B:ST,TY$1,0),0)</f>
        <v>0</v>
      </c>
      <c r="TY25" s="140">
        <f>IFERROR(VLOOKUP($D25,'Adient Arendal (Malzia) WK.12'!$B:SU,TY$1,0),0)</f>
        <v>0</v>
      </c>
      <c r="TZ25" s="140">
        <f>IFERROR(VLOOKUP($D25,'Adient Taizhou (China) WK.16'!$B:SX,TY$1,0),0)</f>
        <v>0</v>
      </c>
      <c r="UA25" s="128">
        <v>0</v>
      </c>
      <c r="UB25" s="32">
        <v>0</v>
      </c>
      <c r="UC25" s="100">
        <f t="shared" si="295"/>
        <v>400</v>
      </c>
      <c r="UE25" s="37">
        <f t="shared" si="228"/>
        <v>400</v>
      </c>
      <c r="UF25" s="141">
        <f>IFERROR(VLOOKUP($D25,'Adient Assende (Belgium) WK.17'!$B:TB,UG$1,0),0)</f>
        <v>0</v>
      </c>
      <c r="UG25" s="140">
        <f>IFERROR(VLOOKUP($D25,'Adient Arendal (Malzia) WK.12'!$B:TC,UG$1,0),0)</f>
        <v>0</v>
      </c>
      <c r="UH25" s="140">
        <f>IFERROR(VLOOKUP($D25,'Adient Taizhou (China) WK.16'!$B:TF,UG$1,0),0)</f>
        <v>0</v>
      </c>
      <c r="UI25" s="128">
        <v>0</v>
      </c>
      <c r="UJ25" s="32">
        <v>0</v>
      </c>
      <c r="UK25" s="100">
        <f t="shared" si="296"/>
        <v>400</v>
      </c>
      <c r="UM25" s="37">
        <f t="shared" si="229"/>
        <v>400</v>
      </c>
      <c r="UN25" s="141">
        <f>IFERROR(VLOOKUP($D25,'Adient Assende (Belgium) WK.17'!$B:TJ,UO$1,0),0)</f>
        <v>0</v>
      </c>
      <c r="UO25" s="140">
        <f>IFERROR(VLOOKUP($D25,'Adient Arendal (Malzia) WK.12'!$B:TK,UO$1,0),0)</f>
        <v>0</v>
      </c>
      <c r="UP25" s="140">
        <f>IFERROR(VLOOKUP($D25,'Adient Taizhou (China) WK.16'!$B:TN,UO$1,0),0)</f>
        <v>0</v>
      </c>
      <c r="UQ25" s="128">
        <v>0</v>
      </c>
      <c r="UR25" s="32">
        <v>0</v>
      </c>
      <c r="US25" s="100">
        <f t="shared" si="297"/>
        <v>400</v>
      </c>
      <c r="UU25" s="37">
        <f t="shared" si="230"/>
        <v>400</v>
      </c>
      <c r="UV25" s="141">
        <f>IFERROR(VLOOKUP($D25,'Adient Assende (Belgium) WK.17'!$B:TR,UW$1,0),0)</f>
        <v>0</v>
      </c>
      <c r="UW25" s="140">
        <f>IFERROR(VLOOKUP($D25,'Adient Arendal (Malzia) WK.12'!$B:TS,UW$1,0),0)</f>
        <v>0</v>
      </c>
      <c r="UX25" s="140">
        <f>IFERROR(VLOOKUP($D25,'Adient Taizhou (China) WK.16'!$B:TV,UW$1,0),0)</f>
        <v>0</v>
      </c>
      <c r="UY25" s="128">
        <v>0</v>
      </c>
      <c r="UZ25" s="32">
        <v>0</v>
      </c>
      <c r="VA25" s="100">
        <f t="shared" si="298"/>
        <v>400</v>
      </c>
      <c r="VC25" s="37">
        <f t="shared" si="231"/>
        <v>400</v>
      </c>
      <c r="VD25" s="141">
        <f>IFERROR(VLOOKUP($D25,'Adient Assende (Belgium) WK.17'!$B:TZ,VE$1,0),0)</f>
        <v>0</v>
      </c>
      <c r="VE25" s="140">
        <f>IFERROR(VLOOKUP($D25,'Adient Arendal (Malzia) WK.12'!$B:UA,VE$1,0),0)</f>
        <v>0</v>
      </c>
      <c r="VF25" s="140">
        <f>IFERROR(VLOOKUP($D25,'Adient Taizhou (China) WK.16'!$B:UD,VE$1,0),0)</f>
        <v>0</v>
      </c>
      <c r="VG25" s="128">
        <v>0</v>
      </c>
      <c r="VH25" s="32">
        <v>0</v>
      </c>
      <c r="VI25" s="100">
        <f t="shared" si="299"/>
        <v>400</v>
      </c>
      <c r="VK25" s="37">
        <f t="shared" si="232"/>
        <v>400</v>
      </c>
      <c r="VL25" s="141">
        <f>IFERROR(VLOOKUP($D25,'Adient Assende (Belgium) WK.17'!$B:UH,VM$1,0),0)</f>
        <v>0</v>
      </c>
      <c r="VM25" s="140">
        <f>IFERROR(VLOOKUP($D25,'Adient Arendal (Malzia) WK.12'!$B:UI,VM$1,0),0)</f>
        <v>0</v>
      </c>
      <c r="VN25" s="140">
        <f>IFERROR(VLOOKUP($D25,'Adient Taizhou (China) WK.16'!$B:UL,VM$1,0),0)</f>
        <v>0</v>
      </c>
      <c r="VO25" s="128">
        <v>0</v>
      </c>
      <c r="VP25" s="32">
        <v>0</v>
      </c>
      <c r="VQ25" s="100">
        <f t="shared" si="300"/>
        <v>400</v>
      </c>
    </row>
    <row r="26" spans="1:589" x14ac:dyDescent="0.25">
      <c r="A26" s="10" t="s">
        <v>18</v>
      </c>
      <c r="B26" s="11" t="s">
        <v>19</v>
      </c>
      <c r="C26" s="87">
        <v>32272863</v>
      </c>
      <c r="D26" s="81">
        <v>5080268</v>
      </c>
      <c r="E26" s="11">
        <v>20</v>
      </c>
      <c r="F26" s="12"/>
      <c r="H26" s="122">
        <v>160</v>
      </c>
      <c r="I26" s="125">
        <f>IFERROR(VLOOKUP($D26,'Adient Assende (Belgium) WK.17'!$B:C,J$1,0),0)</f>
        <v>0</v>
      </c>
      <c r="J26" s="55">
        <f>IFERROR(VLOOKUP($D26,'Adient Arendal (Malzia) WK.12'!$B:C,J$1,0),0)</f>
        <v>0</v>
      </c>
      <c r="K26" s="55">
        <f>IFERROR(VLOOKUP($D26,'Adient Taizhou (China) WK.16'!$B:C,J$1,0),0)</f>
        <v>0</v>
      </c>
      <c r="L26" s="128">
        <v>0</v>
      </c>
      <c r="M26" s="32">
        <v>0</v>
      </c>
      <c r="N26" s="106">
        <f t="shared" si="233"/>
        <v>160</v>
      </c>
      <c r="P26" s="37">
        <f t="shared" si="234"/>
        <v>160</v>
      </c>
      <c r="Q26" s="125">
        <f>IFERROR(VLOOKUP($D26,'Adient Assende (Belgium) WK.17'!$B:K,R$1,0),0)</f>
        <v>0</v>
      </c>
      <c r="R26" s="55">
        <f>IFERROR(VLOOKUP($D26,'Adient Arendal (Malzia) WK.12'!$B:K,R$1,0),0)</f>
        <v>0</v>
      </c>
      <c r="S26" s="55">
        <f>IFERROR(VLOOKUP($D26,'Adient Taizhou (China) WK.16'!$B:K,R$1,0),0)</f>
        <v>0</v>
      </c>
      <c r="T26" s="41">
        <v>0</v>
      </c>
      <c r="U26" s="32">
        <v>0</v>
      </c>
      <c r="V26" s="106">
        <f t="shared" si="235"/>
        <v>160</v>
      </c>
      <c r="X26" s="37">
        <f t="shared" si="236"/>
        <v>160</v>
      </c>
      <c r="Y26" s="125">
        <f>IFERROR(VLOOKUP($D26,'Adient Assende (Belgium) WK.17'!$B:S,Z$1,0),0)</f>
        <v>0</v>
      </c>
      <c r="Z26" s="55">
        <f>IFERROR(VLOOKUP($D26,'Adient Arendal (Malzia) WK.12'!$B:S,Z$1,0),0)</f>
        <v>0</v>
      </c>
      <c r="AA26" s="55">
        <f>IFERROR(VLOOKUP($D26,'Adient Taizhou (China) WK.16'!$B:S,Z$1,0),0)</f>
        <v>0</v>
      </c>
      <c r="AB26" s="41">
        <v>0</v>
      </c>
      <c r="AC26" s="32">
        <v>0</v>
      </c>
      <c r="AD26" s="106">
        <f t="shared" si="237"/>
        <v>160</v>
      </c>
      <c r="AF26" s="37">
        <f t="shared" si="238"/>
        <v>160</v>
      </c>
      <c r="AG26" s="125">
        <f>IFERROR(VLOOKUP($D26,'Adient Assende (Belgium) WK.17'!$B:AA,AH$1,0),0)</f>
        <v>0</v>
      </c>
      <c r="AH26" s="55">
        <f>IFERROR(VLOOKUP($D26,'Adient Arendal (Malzia) WK.12'!$B:AA,AH$1,0),0)</f>
        <v>0</v>
      </c>
      <c r="AI26" s="55">
        <f>IFERROR(VLOOKUP($D26,'Adient Taizhou (China) WK.16'!$B:AA,AH$1,0),0)</f>
        <v>0</v>
      </c>
      <c r="AJ26" s="41">
        <v>0</v>
      </c>
      <c r="AK26" s="32">
        <v>0</v>
      </c>
      <c r="AL26" s="106">
        <f t="shared" si="239"/>
        <v>160</v>
      </c>
      <c r="AN26" s="37">
        <f t="shared" si="164"/>
        <v>160</v>
      </c>
      <c r="AO26" s="125">
        <f>IFERROR(VLOOKUP($D26,'Adient Assende (Belgium) WK.17'!$B:AI,AP$1,0),0)</f>
        <v>0</v>
      </c>
      <c r="AP26" s="55">
        <f>IFERROR(VLOOKUP($D26,'Adient Arendal (Malzia) WK.12'!$B:AI,AP$1,0),0)</f>
        <v>0</v>
      </c>
      <c r="AQ26" s="55">
        <f>IFERROR(VLOOKUP($D26,'Adient Taizhou (China) WK.16'!$B:AI,AP$1,0),0)</f>
        <v>0</v>
      </c>
      <c r="AR26" s="60">
        <v>0</v>
      </c>
      <c r="AS26" s="41">
        <v>0</v>
      </c>
      <c r="AT26" s="32">
        <v>0</v>
      </c>
      <c r="AU26" s="106">
        <f t="shared" si="240"/>
        <v>160</v>
      </c>
      <c r="AW26" s="37">
        <f t="shared" si="165"/>
        <v>160</v>
      </c>
      <c r="AX26" s="125">
        <f>IFERROR(VLOOKUP($D26,'Adient Assende (Belgium) WK.17'!$B:AR,AY$1,0),0)</f>
        <v>0</v>
      </c>
      <c r="AY26" s="55">
        <f>IFERROR(VLOOKUP($D26,'Adient Arendal (Malzia) WK.12'!$B:AR,AY$1,0),0)</f>
        <v>0</v>
      </c>
      <c r="AZ26" s="55">
        <f>IFERROR(VLOOKUP($D26,'Adient Taizhou (China) WK.16'!$B:AU,AY$1,0),0)</f>
        <v>0</v>
      </c>
      <c r="BA26" s="41">
        <v>0</v>
      </c>
      <c r="BB26" s="32">
        <v>0</v>
      </c>
      <c r="BC26" s="106">
        <f t="shared" si="241"/>
        <v>160</v>
      </c>
      <c r="BE26" s="37">
        <f t="shared" si="166"/>
        <v>160</v>
      </c>
      <c r="BF26" s="125">
        <f>IFERROR(VLOOKUP($D26,'Adient Assende (Belgium) WK.17'!$B:AX,BG$1,0),0)</f>
        <v>0</v>
      </c>
      <c r="BG26" s="55">
        <f>IFERROR(VLOOKUP($D26,'Adient Arendal (Malzia) WK.12'!$B:AZ,BG$1,0),0)</f>
        <v>0</v>
      </c>
      <c r="BH26" s="55">
        <f>IFERROR(VLOOKUP($D26,'Adient Taizhou (China) WK.16'!$B:BB,BG$1,0),0)</f>
        <v>0</v>
      </c>
      <c r="BI26" s="60">
        <v>0</v>
      </c>
      <c r="BJ26" s="60">
        <v>0</v>
      </c>
      <c r="BK26" s="41">
        <v>0</v>
      </c>
      <c r="BL26" s="32">
        <v>0</v>
      </c>
      <c r="BM26" s="106">
        <f t="shared" si="242"/>
        <v>160</v>
      </c>
      <c r="BN26" s="8"/>
      <c r="BO26" s="37">
        <f t="shared" si="167"/>
        <v>160</v>
      </c>
      <c r="BP26" s="125">
        <f>IFERROR(VLOOKUP($D26,'Adient Assende (Belgium) WK.17'!$B:BH,BQ$1,0),0)</f>
        <v>0</v>
      </c>
      <c r="BQ26" s="55">
        <f>IFERROR(VLOOKUP($D26,'Adient Arendal (Malzia) WK.12'!$B:BI,BQ$1,0),0)</f>
        <v>0</v>
      </c>
      <c r="BR26" s="55">
        <f>IFERROR(VLOOKUP($D26,'Adient Taizhou (China) WK.16'!$B:BL,BQ$1,0),0)</f>
        <v>0</v>
      </c>
      <c r="BS26" s="60">
        <v>0</v>
      </c>
      <c r="BT26" s="60">
        <v>0</v>
      </c>
      <c r="BU26" s="60">
        <v>0</v>
      </c>
      <c r="BV26" s="41">
        <v>0</v>
      </c>
      <c r="BW26" s="32">
        <v>0</v>
      </c>
      <c r="BX26" s="106">
        <f t="shared" si="243"/>
        <v>160</v>
      </c>
      <c r="BY26" s="8"/>
      <c r="BZ26" s="37">
        <f t="shared" si="168"/>
        <v>160</v>
      </c>
      <c r="CA26" s="125">
        <f>IFERROR(VLOOKUP($D26,'Adient Assende (Belgium) WK.17'!$B:BS,CB$1,0),0)</f>
        <v>0</v>
      </c>
      <c r="CB26" s="55">
        <f>IFERROR(VLOOKUP($D26,'Adient Arendal (Malzia) WK.12'!$B:BT,CB$1,0),0)</f>
        <v>0</v>
      </c>
      <c r="CC26" s="55">
        <f>IFERROR(VLOOKUP($D26,'Adient Taizhou (China) WK.16'!$B:BW,CB$1,0),0)</f>
        <v>0</v>
      </c>
      <c r="CD26" s="60">
        <v>0</v>
      </c>
      <c r="CE26" s="60">
        <v>0</v>
      </c>
      <c r="CF26" s="41">
        <v>0</v>
      </c>
      <c r="CG26" s="32">
        <v>0</v>
      </c>
      <c r="CH26" s="106">
        <f t="shared" si="244"/>
        <v>160</v>
      </c>
      <c r="CI26" s="8"/>
      <c r="CJ26" s="37">
        <f t="shared" si="169"/>
        <v>160</v>
      </c>
      <c r="CK26" s="125">
        <f>IFERROR(VLOOKUP($D26,'Adient Assende (Belgium) WK.17'!$B:CC,CL$1,0),0)</f>
        <v>0</v>
      </c>
      <c r="CL26" s="55">
        <f>IFERROR(VLOOKUP($D26,'Adient Arendal (Malzia) WK.12'!$B:CD,CL$1,0),0)</f>
        <v>0</v>
      </c>
      <c r="CM26" s="55">
        <f>IFERROR(VLOOKUP($D26,'Adient Taizhou (China) WK.16'!$B:CG,CL$1,0),0)</f>
        <v>0</v>
      </c>
      <c r="CN26" s="60">
        <v>0</v>
      </c>
      <c r="CO26" s="149">
        <v>0</v>
      </c>
      <c r="CP26" s="32">
        <v>0</v>
      </c>
      <c r="CQ26" s="106">
        <f t="shared" si="245"/>
        <v>160</v>
      </c>
      <c r="CR26" s="8"/>
      <c r="CS26" s="122">
        <f t="shared" si="170"/>
        <v>160</v>
      </c>
      <c r="CT26" s="154">
        <f>IFERROR(VLOOKUP($D26,'Adient Assende (Belgium) WK.17'!$B:CL,CU$1,0),0)</f>
        <v>0</v>
      </c>
      <c r="CU26" s="55">
        <f>IFERROR(VLOOKUP($D26,'Adient Arendal (Malzia) WK.12'!$B:CM,CU$1,0),0)</f>
        <v>0</v>
      </c>
      <c r="CV26" s="55">
        <f>IFERROR(VLOOKUP($D26,'Adient Taizhou (China) WK.16'!$B:CP,CU$1,0),0)</f>
        <v>0</v>
      </c>
      <c r="CW26" s="60">
        <v>0</v>
      </c>
      <c r="CX26" s="60">
        <v>0</v>
      </c>
      <c r="CY26" s="128">
        <v>80</v>
      </c>
      <c r="CZ26" s="32">
        <v>0</v>
      </c>
      <c r="DA26" s="106">
        <f t="shared" si="246"/>
        <v>80</v>
      </c>
      <c r="DB26" s="8"/>
      <c r="DC26" s="37">
        <f t="shared" si="171"/>
        <v>80</v>
      </c>
      <c r="DD26" s="125">
        <f>IFERROR(VLOOKUP($D26,'Adient Assende (Belgium) WK.17'!$B:CS,DE$1,0),0)</f>
        <v>80</v>
      </c>
      <c r="DE26" s="55">
        <f>IFERROR(VLOOKUP($D26,'Adient Arendal (Malzia) WK.12'!$B:CU,DE$1,0),0)</f>
        <v>0</v>
      </c>
      <c r="DF26" s="55">
        <f>IFERROR(VLOOKUP($D26,'Adient Taizhou (China) WK.16'!$B:CX,DE$1,0),0)</f>
        <v>0</v>
      </c>
      <c r="DG26" s="60">
        <v>0</v>
      </c>
      <c r="DH26" s="128">
        <v>0</v>
      </c>
      <c r="DI26" s="32">
        <v>0</v>
      </c>
      <c r="DJ26" s="106">
        <f t="shared" si="247"/>
        <v>80</v>
      </c>
      <c r="DL26" s="37">
        <f t="shared" si="172"/>
        <v>80</v>
      </c>
      <c r="DM26" s="125">
        <f>IFERROR(VLOOKUP($D26,'Adient Assende (Belgium) WK.17'!$B:DB,DN$1,0),0)</f>
        <v>0</v>
      </c>
      <c r="DN26" s="55">
        <f>IFERROR(VLOOKUP($D26,'Adient Arendal (Malzia) WK.12'!$B:DC,DN$1,0),0)</f>
        <v>0</v>
      </c>
      <c r="DO26" s="55">
        <f>IFERROR(VLOOKUP($D26,'Adient Taizhou (China) WK.16'!$B:DF,DN$1,0),0)</f>
        <v>0</v>
      </c>
      <c r="DP26" s="128">
        <v>0</v>
      </c>
      <c r="DQ26" s="32">
        <v>0</v>
      </c>
      <c r="DR26" s="106">
        <f t="shared" si="173"/>
        <v>80</v>
      </c>
      <c r="DS26" s="8"/>
      <c r="DT26" s="37">
        <f t="shared" si="174"/>
        <v>80</v>
      </c>
      <c r="DU26" s="125">
        <f>IFERROR(VLOOKUP($D26,'Adient Assende (Belgium) WK.17'!$B:DJ,DV$1,0),0)</f>
        <v>0</v>
      </c>
      <c r="DV26" s="55">
        <f>IFERROR(VLOOKUP($D26,'Adient Arendal (Malzia) WK.12'!$B:DK,DV$1,0),0)</f>
        <v>0</v>
      </c>
      <c r="DW26" s="55">
        <f>IFERROR(VLOOKUP($D26,'Adient Taizhou (China) WK.16'!$B:DN,DV$1,0),0)</f>
        <v>0</v>
      </c>
      <c r="DX26" s="60">
        <v>100</v>
      </c>
      <c r="DY26" s="60">
        <v>0</v>
      </c>
      <c r="DZ26" s="128">
        <v>0</v>
      </c>
      <c r="EA26" s="32">
        <v>0</v>
      </c>
      <c r="EB26" s="106">
        <f t="shared" si="248"/>
        <v>180</v>
      </c>
      <c r="EC26" s="8"/>
      <c r="ED26" s="37">
        <f t="shared" si="175"/>
        <v>180</v>
      </c>
      <c r="EE26" s="125">
        <f>IFERROR(VLOOKUP($D26,'Adient Assende (Belgium) WK.17'!$B:DR,EF$1,0),0)</f>
        <v>0</v>
      </c>
      <c r="EF26" s="55">
        <f>IFERROR(VLOOKUP($D26,'Adient Arendal (Malzia) WK.12'!$B:DS,EF$1,0),0)</f>
        <v>0</v>
      </c>
      <c r="EG26" s="55">
        <f>IFERROR(VLOOKUP($D26,'Adient Taizhou (China) WK.16'!$B:DV,EF$1,0),0)</f>
        <v>0</v>
      </c>
      <c r="EH26" s="60">
        <v>0</v>
      </c>
      <c r="EI26" s="128">
        <v>0</v>
      </c>
      <c r="EJ26" s="32">
        <v>0</v>
      </c>
      <c r="EK26" s="106">
        <f t="shared" si="249"/>
        <v>180</v>
      </c>
      <c r="EM26" s="37">
        <f t="shared" si="176"/>
        <v>180</v>
      </c>
      <c r="EN26" s="125">
        <f>IFERROR(VLOOKUP($D26,'Adient Assende (Belgium) WK.17'!$B:DZ,EO$1,0),0)</f>
        <v>0</v>
      </c>
      <c r="EO26" s="55">
        <f>IFERROR(VLOOKUP($D26,'Adient Arendal (Malzia) WK.12'!$B:EA,EO$1,0),0)</f>
        <v>0</v>
      </c>
      <c r="EP26" s="55">
        <f>IFERROR(VLOOKUP($D26,'Adient Taizhou (China) WK.16'!$B:ED,EO$1,0),0)</f>
        <v>0</v>
      </c>
      <c r="EQ26" s="128">
        <v>0</v>
      </c>
      <c r="ER26" s="32">
        <v>0</v>
      </c>
      <c r="ES26" s="106">
        <f t="shared" si="250"/>
        <v>180</v>
      </c>
      <c r="EU26" s="37">
        <f t="shared" si="177"/>
        <v>180</v>
      </c>
      <c r="EV26" s="125">
        <f>IFERROR(VLOOKUP($D26,'Adient Assende (Belgium) WK.17'!$B:EH,EW$1,0),0)</f>
        <v>0</v>
      </c>
      <c r="EW26" s="55">
        <f>IFERROR(VLOOKUP($D26,'Adient Arendal (Malzia) WK.12'!$B:EI,EW$1,0),0)</f>
        <v>0</v>
      </c>
      <c r="EX26" s="55">
        <f>IFERROR(VLOOKUP($D26,'Adient Taizhou (China) WK.16'!$B:EL,EW$1,0),0)</f>
        <v>0</v>
      </c>
      <c r="EY26" s="128">
        <v>0</v>
      </c>
      <c r="EZ26" s="32">
        <v>0</v>
      </c>
      <c r="FA26" s="106">
        <f t="shared" si="251"/>
        <v>180</v>
      </c>
      <c r="FC26" s="37">
        <f t="shared" si="178"/>
        <v>180</v>
      </c>
      <c r="FD26" s="154">
        <f>IFERROR(VLOOKUP($D26,'Adient Assende (Belgium) WK.17'!$B:EP,FE$1,0),0)</f>
        <v>0</v>
      </c>
      <c r="FE26" s="154">
        <f>IFERROR(VLOOKUP($D26,'Adient Arendal (Malzia) WK.12'!$B:EQ,FE$1,0),0)</f>
        <v>0</v>
      </c>
      <c r="FF26" s="154">
        <f>IFERROR(VLOOKUP($D26,'Adient Taizhou (China) WK.16'!$B:ET,FE$1,0),0)</f>
        <v>0</v>
      </c>
      <c r="FG26" s="128">
        <v>0</v>
      </c>
      <c r="FH26" s="32">
        <v>0</v>
      </c>
      <c r="FI26" s="106">
        <f t="shared" si="252"/>
        <v>180</v>
      </c>
      <c r="FK26" s="37">
        <f t="shared" si="179"/>
        <v>180</v>
      </c>
      <c r="FL26" s="125">
        <f>IFERROR(VLOOKUP($D26,'Adient Assende (Belgium) WK.17'!$B:EX,FM$1,0),0)</f>
        <v>0</v>
      </c>
      <c r="FM26" s="55">
        <f>IFERROR(VLOOKUP($D26,'Adient Arendal (Malzia) WK.12'!$B:EY,FM$1,0),0)</f>
        <v>0</v>
      </c>
      <c r="FN26" s="55">
        <f>IFERROR(VLOOKUP($D26,'Adient Taizhou (China) WK.16'!$B:FB,FM$1,0),0)</f>
        <v>0</v>
      </c>
      <c r="FO26" s="128">
        <v>0</v>
      </c>
      <c r="FP26" s="32">
        <v>0</v>
      </c>
      <c r="FQ26" s="106">
        <f t="shared" si="253"/>
        <v>180</v>
      </c>
      <c r="FR26" s="8"/>
      <c r="FS26" s="37">
        <f t="shared" si="180"/>
        <v>180</v>
      </c>
      <c r="FT26" s="125">
        <f>IFERROR(VLOOKUP($D26,'Adient Assende (Belgium) WK.17'!$B:FF,FU$1,0),0)</f>
        <v>0</v>
      </c>
      <c r="FU26" s="55">
        <f>IFERROR(VLOOKUP($D26,'Adient Arendal (Malzia) WK.12'!$B:FG,FU$1,0),0)</f>
        <v>0</v>
      </c>
      <c r="FV26" s="55">
        <f>IFERROR(VLOOKUP($D26,'Adient Taizhou (China) WK.16'!$B:FJ,FU$1,0),0)</f>
        <v>0</v>
      </c>
      <c r="FW26" s="60">
        <v>0</v>
      </c>
      <c r="FX26" s="60">
        <v>0</v>
      </c>
      <c r="FY26" s="60">
        <v>0</v>
      </c>
      <c r="FZ26" s="60">
        <v>0</v>
      </c>
      <c r="GA26" s="60">
        <v>0</v>
      </c>
      <c r="GB26" s="128">
        <v>0</v>
      </c>
      <c r="GC26" s="32">
        <v>0</v>
      </c>
      <c r="GD26" s="106">
        <f t="shared" si="254"/>
        <v>180</v>
      </c>
      <c r="GF26" s="37">
        <f t="shared" si="181"/>
        <v>180</v>
      </c>
      <c r="GG26" s="125">
        <f>IFERROR(VLOOKUP($D26,'Adient Assende (Belgium) WK.17'!$B:FN,GH$1,0),0)</f>
        <v>0</v>
      </c>
      <c r="GH26" s="55">
        <f>IFERROR(VLOOKUP($D26,'Adient Arendal (Malzia) WK.12'!$B:FO,GH$1,0),0)</f>
        <v>0</v>
      </c>
      <c r="GI26" s="55">
        <f>IFERROR(VLOOKUP($D26,'Adient Taizhou (China) WK.16'!$B:FR,GH$1,0),0)</f>
        <v>0</v>
      </c>
      <c r="GJ26" s="60">
        <v>0</v>
      </c>
      <c r="GK26" s="128">
        <v>0</v>
      </c>
      <c r="GL26" s="32">
        <v>0</v>
      </c>
      <c r="GM26" s="106">
        <f t="shared" si="255"/>
        <v>180</v>
      </c>
      <c r="GO26" s="37">
        <f t="shared" si="182"/>
        <v>180</v>
      </c>
      <c r="GP26" s="125">
        <f>IFERROR(VLOOKUP($D26,'Adient Assende (Belgium) WK.17'!$B:FV,GQ$1,0),0)</f>
        <v>0</v>
      </c>
      <c r="GQ26" s="55">
        <f>IFERROR(VLOOKUP($D26,'Adient Arendal (Malzia) WK.12'!$B:FW,GQ$1,0),0)</f>
        <v>0</v>
      </c>
      <c r="GR26" s="55">
        <f>IFERROR(VLOOKUP($D26,'Adient Taizhou (China) WK.16'!$B:FZ,GQ$1,0),0)</f>
        <v>0</v>
      </c>
      <c r="GS26" s="60">
        <v>0</v>
      </c>
      <c r="GT26" s="128">
        <v>80</v>
      </c>
      <c r="GU26" s="32">
        <v>0</v>
      </c>
      <c r="GV26" s="106">
        <f t="shared" si="256"/>
        <v>100</v>
      </c>
      <c r="GW26" s="8"/>
      <c r="GX26" s="37">
        <f t="shared" si="183"/>
        <v>100</v>
      </c>
      <c r="GY26" s="125">
        <f>IFERROR(VLOOKUP($D26,'Adient Assende (Belgium) WK.17'!$B:GD,GZ$1,0),0)</f>
        <v>80</v>
      </c>
      <c r="GZ26" s="55">
        <f>IFERROR(VLOOKUP($D26,'Adient Arendal (Malzia) WK.12'!$B:GE,GZ$1,0),0)</f>
        <v>0</v>
      </c>
      <c r="HA26" s="55">
        <f>IFERROR(VLOOKUP($D26,'Adient Taizhou (China) WK.16'!$B:GH,GZ$1,0),0)</f>
        <v>0</v>
      </c>
      <c r="HB26" s="60">
        <v>0</v>
      </c>
      <c r="HC26" s="128">
        <v>0</v>
      </c>
      <c r="HD26" s="32">
        <v>0</v>
      </c>
      <c r="HE26" s="106">
        <f t="shared" si="257"/>
        <v>100</v>
      </c>
      <c r="HF26" s="8"/>
      <c r="HG26" s="37">
        <f t="shared" si="184"/>
        <v>100</v>
      </c>
      <c r="HH26" s="125">
        <f>IFERROR(VLOOKUP($D26,'Adient Assende (Belgium) WK.17'!$B:GL,HI$1,0),0)</f>
        <v>0</v>
      </c>
      <c r="HI26" s="55">
        <f>IFERROR(VLOOKUP($D26,'Adient Arendal (Malzia) WK.12'!$B:GM,HI$1,0),0)</f>
        <v>0</v>
      </c>
      <c r="HJ26" s="55">
        <f>IFERROR(VLOOKUP($D26,'Adient Taizhou (China) WK.16'!$B:GP,HI$1,0),0)</f>
        <v>0</v>
      </c>
      <c r="HK26" s="60">
        <v>0</v>
      </c>
      <c r="HL26" s="128">
        <v>0</v>
      </c>
      <c r="HM26" s="32">
        <v>0</v>
      </c>
      <c r="HN26" s="106">
        <f t="shared" si="258"/>
        <v>100</v>
      </c>
      <c r="HO26" s="8"/>
      <c r="HP26" s="37">
        <f t="shared" si="185"/>
        <v>100</v>
      </c>
      <c r="HQ26" s="125">
        <f>IFERROR(VLOOKUP($D26,'Adient Assende (Belgium) WK.17'!$B:GT,HR$1,0),0)</f>
        <v>0</v>
      </c>
      <c r="HR26" s="55">
        <f>IFERROR(VLOOKUP($D26,'Adient Arendal (Malzia) WK.12'!$B:GU,HR$1,0),0)</f>
        <v>0</v>
      </c>
      <c r="HS26" s="55">
        <f>IFERROR(VLOOKUP($D26,'Adient Taizhou (China) WK.16'!$B:GX,HR$1,0),0)</f>
        <v>0</v>
      </c>
      <c r="HT26" s="60">
        <v>0</v>
      </c>
      <c r="HU26" s="128">
        <v>0</v>
      </c>
      <c r="HV26" s="32">
        <v>0</v>
      </c>
      <c r="HW26" s="106">
        <f t="shared" si="259"/>
        <v>100</v>
      </c>
      <c r="HX26" s="8"/>
      <c r="HY26" s="37">
        <f t="shared" si="186"/>
        <v>100</v>
      </c>
      <c r="HZ26" s="125">
        <f>IFERROR(VLOOKUP($D26,'Adient Assende (Belgium) WK.17'!$B:HB,IA$1,0),0)</f>
        <v>0</v>
      </c>
      <c r="IA26" s="55">
        <f>IFERROR(VLOOKUP($D26,'Adient Arendal (Malzia) WK.12'!$B:HC,IA$1,0),0)</f>
        <v>0</v>
      </c>
      <c r="IB26" s="55">
        <f>IFERROR(VLOOKUP($D26,'Adient Taizhou (China) WK.16'!$B:HF,IA$1,0),0)</f>
        <v>0</v>
      </c>
      <c r="IC26" s="60">
        <v>0</v>
      </c>
      <c r="ID26" s="128">
        <v>0</v>
      </c>
      <c r="IE26" s="32">
        <v>0</v>
      </c>
      <c r="IF26" s="106">
        <f t="shared" si="260"/>
        <v>100</v>
      </c>
      <c r="IG26" s="8"/>
      <c r="IH26" s="37">
        <f t="shared" si="187"/>
        <v>100</v>
      </c>
      <c r="II26" s="125">
        <f>IFERROR(VLOOKUP($D26,'Adient Assende (Belgium) WK.17'!$B:HJ,IJ$1,0),0)</f>
        <v>0</v>
      </c>
      <c r="IJ26" s="55">
        <f>IFERROR(VLOOKUP($D26,'Adient Arendal (Malzia) WK.12'!$B:HK,IJ$1,0),0)</f>
        <v>0</v>
      </c>
      <c r="IK26" s="55">
        <f>IFERROR(VLOOKUP($D26,'Adient Taizhou (China) WK.16'!$B:HN,IJ$1,0),0)</f>
        <v>0</v>
      </c>
      <c r="IL26" s="128">
        <v>0</v>
      </c>
      <c r="IM26" s="32">
        <v>0</v>
      </c>
      <c r="IN26" s="106">
        <f t="shared" si="188"/>
        <v>100</v>
      </c>
      <c r="IO26" s="8"/>
      <c r="IP26" s="37">
        <f t="shared" si="189"/>
        <v>100</v>
      </c>
      <c r="IQ26" s="125">
        <f>IFERROR(VLOOKUP($D26,'Adient Assende (Belgium) WK.17'!$B:HR,IR$1,0),0)</f>
        <v>0</v>
      </c>
      <c r="IR26" s="55">
        <f>IFERROR(VLOOKUP($D26,'Adient Arendal (Malzia) WK.12'!$B:HS,IR$1,0),0)</f>
        <v>0</v>
      </c>
      <c r="IS26" s="55">
        <f>IFERROR(VLOOKUP($D26,'Adient Taizhou (China) WK.16'!$B:HV,IR$1,0),0)</f>
        <v>0</v>
      </c>
      <c r="IT26" s="60">
        <v>0</v>
      </c>
      <c r="IU26" s="128">
        <v>0</v>
      </c>
      <c r="IV26" s="32">
        <v>0</v>
      </c>
      <c r="IW26" s="106">
        <f t="shared" si="261"/>
        <v>100</v>
      </c>
      <c r="IX26" s="8"/>
      <c r="IY26" s="37">
        <f t="shared" si="190"/>
        <v>100</v>
      </c>
      <c r="IZ26" s="125">
        <f>IFERROR(VLOOKUP($D26,'Adient Assende (Belgium) WK.17'!$B:HZ,JA$1,0),0)</f>
        <v>0</v>
      </c>
      <c r="JA26" s="55">
        <f>IFERROR(VLOOKUP($D26,'Adient Arendal (Malzia) WK.12'!$B:IA,JA$1,0),0)</f>
        <v>0</v>
      </c>
      <c r="JB26" s="55">
        <f>IFERROR(VLOOKUP($D26,'Adient Taizhou (China) WK.16'!$B:ID,JA$1,0),0)</f>
        <v>0</v>
      </c>
      <c r="JC26" s="128">
        <v>0</v>
      </c>
      <c r="JD26" s="32">
        <v>0</v>
      </c>
      <c r="JE26" s="106">
        <f t="shared" si="191"/>
        <v>100</v>
      </c>
      <c r="JF26" s="8"/>
      <c r="JG26" s="37">
        <f t="shared" si="192"/>
        <v>100</v>
      </c>
      <c r="JH26" s="125">
        <f>IFERROR(VLOOKUP($D26,'Adient Assende (Belgium) WK.17'!$B:IH,JI$1,0),0)</f>
        <v>0</v>
      </c>
      <c r="JI26" s="55">
        <f>IFERROR(VLOOKUP($D26,'Adient Arendal (Malzia) WK.12'!$B:II,JI$1,0),0)</f>
        <v>0</v>
      </c>
      <c r="JJ26" s="55">
        <f>IFERROR(VLOOKUP($D26,'Adient Taizhou (China) WK.16'!$B:IL,JI$1,0),0)</f>
        <v>0</v>
      </c>
      <c r="JK26" s="60">
        <v>0</v>
      </c>
      <c r="JL26" s="128">
        <v>0</v>
      </c>
      <c r="JM26" s="32">
        <v>0</v>
      </c>
      <c r="JN26" s="106">
        <f t="shared" si="262"/>
        <v>100</v>
      </c>
      <c r="JO26" s="8"/>
      <c r="JP26" s="37">
        <f t="shared" si="193"/>
        <v>100</v>
      </c>
      <c r="JQ26" s="125">
        <f>IFERROR(VLOOKUP($D26,'Adient Assende (Belgium) WK.17'!$B:IP,JR$1,0),0)</f>
        <v>0</v>
      </c>
      <c r="JR26" s="55">
        <f>IFERROR(VLOOKUP($D26,'Adient Arendal (Malzia) WK.12'!$B:IQ,JR$1,0),0)</f>
        <v>0</v>
      </c>
      <c r="JS26" s="55">
        <f>IFERROR(VLOOKUP($D26,'Adient Taizhou (China) WK.16'!$B:IT,JR$1,0),0)</f>
        <v>0</v>
      </c>
      <c r="JT26" s="128">
        <v>0</v>
      </c>
      <c r="JU26" s="32">
        <v>0</v>
      </c>
      <c r="JV26" s="106">
        <f t="shared" si="194"/>
        <v>100</v>
      </c>
      <c r="JW26" s="8"/>
      <c r="JX26" s="37">
        <f t="shared" si="195"/>
        <v>100</v>
      </c>
      <c r="JY26" s="154">
        <f>IFERROR(VLOOKUP($D26,'Adient Assende (Belgium) WK.17'!$B:IX,JZ$1,0),0)</f>
        <v>0</v>
      </c>
      <c r="JZ26" s="55">
        <f>IFERROR(VLOOKUP($D26,'Adient Arendal (Malzia) WK.12'!$B:IY,JZ$1,0),0)</f>
        <v>0</v>
      </c>
      <c r="KA26" s="55">
        <f>IFERROR(VLOOKUP($D26,'Adient Taizhou (China) WK.16'!$B:JB,JZ$1,0),0)</f>
        <v>0</v>
      </c>
      <c r="KB26" s="128">
        <v>0</v>
      </c>
      <c r="KC26" s="32">
        <v>0</v>
      </c>
      <c r="KD26" s="106">
        <f t="shared" si="263"/>
        <v>100</v>
      </c>
      <c r="KE26" s="8"/>
      <c r="KF26" s="37">
        <f t="shared" si="196"/>
        <v>100</v>
      </c>
      <c r="KG26" s="125">
        <f>IFERROR(VLOOKUP($D26,'Adient Assende (Belgium) WK.17'!$B:JF,KH$1,0),0)</f>
        <v>0</v>
      </c>
      <c r="KH26" s="55">
        <f>IFERROR(VLOOKUP($D26,'Adient Arendal (Malzia) WK.12'!$B:JG,KH$1,0),0)</f>
        <v>0</v>
      </c>
      <c r="KI26" s="55">
        <f>IFERROR(VLOOKUP($D26,'Adient Taizhou (China) WK.16'!$B:JJ,KH$1,0),0)</f>
        <v>0</v>
      </c>
      <c r="KJ26" s="60">
        <v>0</v>
      </c>
      <c r="KK26" s="128">
        <v>0</v>
      </c>
      <c r="KL26" s="32">
        <v>0</v>
      </c>
      <c r="KM26" s="106">
        <f t="shared" si="264"/>
        <v>100</v>
      </c>
      <c r="KN26" s="8"/>
      <c r="KO26" s="37">
        <f t="shared" si="197"/>
        <v>100</v>
      </c>
      <c r="KP26" s="141">
        <f>IFERROR(VLOOKUP($D26,'Adient Assende (Belgium) WK.17'!$B:JN,KQ$1,0),0)</f>
        <v>0</v>
      </c>
      <c r="KQ26" s="140">
        <f>IFERROR(VLOOKUP($D26,'Adient Arendal (Malzia) WK.12'!$B:JO,KQ$1,0),0)</f>
        <v>0</v>
      </c>
      <c r="KR26" s="140">
        <f>IFERROR(VLOOKUP($D26,'Adient Taizhou (China) WK.16'!$B:JR,KQ$1,0),0)</f>
        <v>0</v>
      </c>
      <c r="KS26" s="60">
        <v>0</v>
      </c>
      <c r="KT26" s="128">
        <v>0</v>
      </c>
      <c r="KU26" s="32">
        <v>0</v>
      </c>
      <c r="KV26" s="106">
        <f t="shared" si="265"/>
        <v>100</v>
      </c>
      <c r="KX26" s="37">
        <f t="shared" si="198"/>
        <v>100</v>
      </c>
      <c r="KY26" s="141">
        <f>IFERROR(VLOOKUP($D26,'Adient Assende (Belgium) WK.17'!$B:JV,KZ$1,0),0)</f>
        <v>0</v>
      </c>
      <c r="KZ26" s="140">
        <f>IFERROR(VLOOKUP($D26,'Adient Arendal (Malzia) WK.12'!$B:JW,KZ$1,0),0)</f>
        <v>0</v>
      </c>
      <c r="LA26" s="140">
        <f>IFERROR(VLOOKUP($D26,'Adient Taizhou (China) WK.16'!$B:JZ,KZ$1,0),0)</f>
        <v>0</v>
      </c>
      <c r="LB26" s="128">
        <v>0</v>
      </c>
      <c r="LC26" s="32">
        <v>0</v>
      </c>
      <c r="LD26" s="106">
        <f t="shared" si="266"/>
        <v>100</v>
      </c>
      <c r="LF26" s="37">
        <f t="shared" si="199"/>
        <v>100</v>
      </c>
      <c r="LG26" s="141">
        <f>IFERROR(VLOOKUP($D26,'Adient Assende (Belgium) WK.17'!$B:KD,LH$1,0),0)</f>
        <v>0</v>
      </c>
      <c r="LH26" s="140">
        <f>IFERROR(VLOOKUP($D26,'Adient Arendal (Malzia) WK.12'!$B:KE,LH$1,0),0)</f>
        <v>0</v>
      </c>
      <c r="LI26" s="140">
        <f>IFERROR(VLOOKUP($D26,'Adient Taizhou (China) WK.16'!$B:KH,LH$1,0),0)</f>
        <v>0</v>
      </c>
      <c r="LJ26" s="60">
        <v>0</v>
      </c>
      <c r="LK26" s="128">
        <v>0</v>
      </c>
      <c r="LL26" s="32">
        <v>0</v>
      </c>
      <c r="LM26" s="100">
        <f t="shared" si="267"/>
        <v>100</v>
      </c>
      <c r="LO26" s="37">
        <f t="shared" si="200"/>
        <v>100</v>
      </c>
      <c r="LP26" s="141">
        <f>IFERROR(VLOOKUP($D26,'Adient Assende (Belgium) WK.17'!$B:KL,LQ$1,0),0)</f>
        <v>0</v>
      </c>
      <c r="LQ26" s="140">
        <f>IFERROR(VLOOKUP($D26,'Adient Arendal (Malzia) WK.12'!$B:KM,LQ$1,0),0)</f>
        <v>0</v>
      </c>
      <c r="LR26" s="140">
        <f>IFERROR(VLOOKUP($D26,'Adient Taizhou (China) WK.16'!$B:KP,LQ$1,0),0)</f>
        <v>0</v>
      </c>
      <c r="LS26" s="128">
        <v>0</v>
      </c>
      <c r="LT26" s="32">
        <v>0</v>
      </c>
      <c r="LU26" s="100">
        <f t="shared" si="268"/>
        <v>100</v>
      </c>
      <c r="LW26" s="37">
        <f t="shared" si="201"/>
        <v>100</v>
      </c>
      <c r="LX26" s="141">
        <f>IFERROR(VLOOKUP($D26,'Adient Assende (Belgium) WK.17'!$B:KT,LY$1,0),0)</f>
        <v>0</v>
      </c>
      <c r="LY26" s="140">
        <f>IFERROR(VLOOKUP($D26,'Adient Arendal (Malzia) WK.12'!$B:KU,LY$1,0),0)</f>
        <v>0</v>
      </c>
      <c r="LZ26" s="140">
        <f>IFERROR(VLOOKUP($D26,'Adient Taizhou (China) WK.16'!$B:KX,LY$1,0),0)</f>
        <v>0</v>
      </c>
      <c r="MA26" s="128">
        <v>0</v>
      </c>
      <c r="MB26" s="32">
        <v>0</v>
      </c>
      <c r="MC26" s="100">
        <f t="shared" si="269"/>
        <v>100</v>
      </c>
      <c r="ME26" s="37">
        <f t="shared" si="202"/>
        <v>100</v>
      </c>
      <c r="MF26" s="154">
        <f>IFERROR(VLOOKUP($D26,'Adient Assende (Belgium) WK.17'!$B:LB,MG$1,0),0)</f>
        <v>0</v>
      </c>
      <c r="MG26" s="140">
        <f>IFERROR(VLOOKUP($D26,'Adient Arendal (Malzia) WK.12'!$B:LC,MG$1,0),0)</f>
        <v>0</v>
      </c>
      <c r="MH26" s="140">
        <f>IFERROR(VLOOKUP($D26,'Adient Taizhou (China) WK.16'!$B:LF,MG$1,0),0)</f>
        <v>0</v>
      </c>
      <c r="MI26" s="128">
        <v>0</v>
      </c>
      <c r="MJ26" s="32">
        <v>0</v>
      </c>
      <c r="MK26" s="100">
        <f t="shared" si="270"/>
        <v>100</v>
      </c>
      <c r="MM26" s="37">
        <f t="shared" si="203"/>
        <v>100</v>
      </c>
      <c r="MN26" s="141">
        <f>IFERROR(VLOOKUP($D26,'Adient Assende (Belgium) WK.17'!$B:LJ,MO$1,0),0)</f>
        <v>0</v>
      </c>
      <c r="MO26" s="140">
        <f>IFERROR(VLOOKUP($D26,'Adient Arendal (Malzia) WK.12'!$B:LK,MO$1,0),0)</f>
        <v>0</v>
      </c>
      <c r="MP26" s="140">
        <f>IFERROR(VLOOKUP($D26,'Adient Taizhou (China) WK.16'!$B:LN,MO$1,0),0)</f>
        <v>0</v>
      </c>
      <c r="MQ26" s="128">
        <v>0</v>
      </c>
      <c r="MR26" s="32">
        <v>0</v>
      </c>
      <c r="MS26" s="100">
        <f t="shared" si="271"/>
        <v>100</v>
      </c>
      <c r="MU26" s="37">
        <f t="shared" si="204"/>
        <v>100</v>
      </c>
      <c r="MV26" s="141">
        <f>IFERROR(VLOOKUP($D26,'Adient Assende (Belgium) WK.17'!$B:LR,MW$1,0),0)</f>
        <v>0</v>
      </c>
      <c r="MW26" s="140">
        <f>IFERROR(VLOOKUP($D26,'Adient Arendal (Malzia) WK.12'!$B:LS,MW$1,0),0)</f>
        <v>0</v>
      </c>
      <c r="MX26" s="140">
        <f>IFERROR(VLOOKUP($D26,'Adient Taizhou (China) WK.16'!$B:LV,MW$1,0),0)</f>
        <v>0</v>
      </c>
      <c r="MY26" s="128">
        <v>0</v>
      </c>
      <c r="MZ26" s="32">
        <v>0</v>
      </c>
      <c r="NA26" s="100">
        <f t="shared" si="272"/>
        <v>100</v>
      </c>
      <c r="NC26" s="37">
        <f t="shared" si="205"/>
        <v>100</v>
      </c>
      <c r="ND26" s="141">
        <f>IFERROR(VLOOKUP($D26,'Adient Assende (Belgium) WK.17'!$B:LZ,NE$1,0),0)</f>
        <v>0</v>
      </c>
      <c r="NE26" s="140">
        <f>IFERROR(VLOOKUP($D26,'Adient Arendal (Malzia) WK.12'!$B:MA,NE$1,0),0)</f>
        <v>0</v>
      </c>
      <c r="NF26" s="140">
        <f>IFERROR(VLOOKUP($D26,'Adient Taizhou (China) WK.16'!$B:MD,NE$1,0),0)</f>
        <v>0</v>
      </c>
      <c r="NG26" s="128">
        <v>0</v>
      </c>
      <c r="NH26" s="32">
        <v>0</v>
      </c>
      <c r="NI26" s="100">
        <f t="shared" si="273"/>
        <v>100</v>
      </c>
      <c r="NK26" s="37">
        <f t="shared" si="206"/>
        <v>100</v>
      </c>
      <c r="NL26" s="141">
        <f>IFERROR(VLOOKUP($D26,'Adient Assende (Belgium) WK.17'!$B:MH,NM$1,0),0)</f>
        <v>0</v>
      </c>
      <c r="NM26" s="140">
        <f>IFERROR(VLOOKUP($D26,'Adient Arendal (Malzia) WK.12'!$B:MI,NM$1,0),0)</f>
        <v>0</v>
      </c>
      <c r="NN26" s="140">
        <f>IFERROR(VLOOKUP($D26,'Adient Taizhou (China) WK.16'!$B:ML,NM$1,0),0)</f>
        <v>0</v>
      </c>
      <c r="NO26" s="128">
        <v>0</v>
      </c>
      <c r="NP26" s="32">
        <v>0</v>
      </c>
      <c r="NQ26" s="100">
        <f t="shared" si="274"/>
        <v>100</v>
      </c>
      <c r="NS26" s="37">
        <f t="shared" si="207"/>
        <v>100</v>
      </c>
      <c r="NT26" s="141">
        <f>IFERROR(VLOOKUP($D26,'Adient Assende (Belgium) WK.17'!$B:MP,NU$1,0),0)</f>
        <v>0</v>
      </c>
      <c r="NU26" s="140">
        <f>IFERROR(VLOOKUP($D26,'Adient Arendal (Malzia) WK.12'!$B:MQ,NU$1,0),0)</f>
        <v>0</v>
      </c>
      <c r="NV26" s="140">
        <f>IFERROR(VLOOKUP($D26,'Adient Taizhou (China) WK.16'!$B:MT,NU$1,0),0)</f>
        <v>0</v>
      </c>
      <c r="NW26" s="128">
        <v>0</v>
      </c>
      <c r="NX26" s="32">
        <v>0</v>
      </c>
      <c r="NY26" s="100">
        <f t="shared" si="275"/>
        <v>100</v>
      </c>
      <c r="OA26" s="37">
        <f t="shared" si="208"/>
        <v>100</v>
      </c>
      <c r="OB26" s="141">
        <f>IFERROR(VLOOKUP($D26,'Adient Assende (Belgium) WK.17'!$B:MX,OC$1,0),0)</f>
        <v>0</v>
      </c>
      <c r="OC26" s="140">
        <f>IFERROR(VLOOKUP($D26,'Adient Arendal (Malzia) WK.12'!$B:MY,OC$1,0),0)</f>
        <v>0</v>
      </c>
      <c r="OD26" s="140">
        <f>IFERROR(VLOOKUP($D26,'Adient Taizhou (China) WK.16'!$B:NB,OC$1,0),0)</f>
        <v>0</v>
      </c>
      <c r="OE26" s="128">
        <v>0</v>
      </c>
      <c r="OF26" s="32">
        <v>0</v>
      </c>
      <c r="OG26" s="100">
        <f t="shared" si="276"/>
        <v>100</v>
      </c>
      <c r="OI26" s="37">
        <f t="shared" si="209"/>
        <v>100</v>
      </c>
      <c r="OJ26" s="141">
        <f>IFERROR(VLOOKUP($D26,'Adient Assende (Belgium) WK.17'!$B:NF,OK$1,0),0)</f>
        <v>0</v>
      </c>
      <c r="OK26" s="140">
        <f>IFERROR(VLOOKUP($D26,'Adient Arendal (Malzia) WK.12'!$B:NG,OK$1,0),0)</f>
        <v>0</v>
      </c>
      <c r="OL26" s="140">
        <f>IFERROR(VLOOKUP($D26,'Adient Taizhou (China) WK.16'!$B:NJ,OK$1,0),0)</f>
        <v>0</v>
      </c>
      <c r="OM26" s="128">
        <v>0</v>
      </c>
      <c r="ON26" s="32">
        <v>0</v>
      </c>
      <c r="OO26" s="100">
        <f t="shared" si="277"/>
        <v>100</v>
      </c>
      <c r="OQ26" s="37">
        <f t="shared" si="210"/>
        <v>100</v>
      </c>
      <c r="OR26" s="141">
        <f>IFERROR(VLOOKUP($D26,'Adient Assende (Belgium) WK.17'!$B:NN,OS$1,0),0)</f>
        <v>0</v>
      </c>
      <c r="OS26" s="140">
        <f>IFERROR(VLOOKUP($D26,'Adient Arendal (Malzia) WK.12'!$B:NO,OS$1,0),0)</f>
        <v>0</v>
      </c>
      <c r="OT26" s="140">
        <f>IFERROR(VLOOKUP($D26,'Adient Taizhou (China) WK.16'!$B:NR,OS$1,0),0)</f>
        <v>0</v>
      </c>
      <c r="OU26" s="128">
        <v>0</v>
      </c>
      <c r="OV26" s="32">
        <v>0</v>
      </c>
      <c r="OW26" s="100">
        <f t="shared" si="278"/>
        <v>100</v>
      </c>
      <c r="OY26" s="37">
        <f t="shared" si="211"/>
        <v>100</v>
      </c>
      <c r="OZ26" s="141">
        <f>IFERROR(VLOOKUP($D26,'Adient Assende (Belgium) WK.17'!$B:NV,PA$1,0),0)</f>
        <v>0</v>
      </c>
      <c r="PA26" s="140">
        <f>IFERROR(VLOOKUP($D26,'Adient Arendal (Malzia) WK.12'!$B:NW,PA$1,0),0)</f>
        <v>0</v>
      </c>
      <c r="PB26" s="140">
        <f>IFERROR(VLOOKUP($D26,'Adient Taizhou (China) WK.16'!$B:NZ,PA$1,0),0)</f>
        <v>0</v>
      </c>
      <c r="PC26" s="128">
        <v>0</v>
      </c>
      <c r="PD26" s="32">
        <v>0</v>
      </c>
      <c r="PE26" s="100">
        <f t="shared" si="279"/>
        <v>100</v>
      </c>
      <c r="PG26" s="37">
        <f t="shared" si="212"/>
        <v>100</v>
      </c>
      <c r="PH26" s="141">
        <f>IFERROR(VLOOKUP($D26,'Adient Assende (Belgium) WK.17'!$B:OD,PI$1,0),0)</f>
        <v>0</v>
      </c>
      <c r="PI26" s="140">
        <f>IFERROR(VLOOKUP($D26,'Adient Arendal (Malzia) WK.12'!$B:OE,PI$1,0),0)</f>
        <v>0</v>
      </c>
      <c r="PJ26" s="140">
        <f>IFERROR(VLOOKUP($D26,'Adient Taizhou (China) WK.16'!$B:OH,PI$1,0),0)</f>
        <v>0</v>
      </c>
      <c r="PK26" s="128">
        <v>0</v>
      </c>
      <c r="PL26" s="32">
        <v>0</v>
      </c>
      <c r="PM26" s="100">
        <f t="shared" si="280"/>
        <v>100</v>
      </c>
      <c r="PO26" s="37">
        <f t="shared" si="213"/>
        <v>100</v>
      </c>
      <c r="PP26" s="141">
        <f>IFERROR(VLOOKUP($D26,'Adient Assende (Belgium) WK.17'!$B:OL,PQ$1,0),0)</f>
        <v>0</v>
      </c>
      <c r="PQ26" s="140">
        <f>IFERROR(VLOOKUP($D26,'Adient Arendal (Malzia) WK.12'!$B:OM,PQ$1,0),0)</f>
        <v>0</v>
      </c>
      <c r="PR26" s="140">
        <f>IFERROR(VLOOKUP($D26,'Adient Taizhou (China) WK.16'!$B:OP,PQ$1,0),0)</f>
        <v>0</v>
      </c>
      <c r="PS26" s="128">
        <v>0</v>
      </c>
      <c r="PT26" s="32">
        <v>0</v>
      </c>
      <c r="PU26" s="100">
        <f t="shared" si="281"/>
        <v>100</v>
      </c>
      <c r="PW26" s="37">
        <f t="shared" si="214"/>
        <v>100</v>
      </c>
      <c r="PX26" s="141">
        <f>IFERROR(VLOOKUP($D26,'Adient Assende (Belgium) WK.17'!$B:OT,PY$1,0),0)</f>
        <v>0</v>
      </c>
      <c r="PY26" s="140">
        <f>IFERROR(VLOOKUP($D26,'Adient Arendal (Malzia) WK.12'!$B:OU,PY$1,0),0)</f>
        <v>0</v>
      </c>
      <c r="PZ26" s="140">
        <f>IFERROR(VLOOKUP($D26,'Adient Taizhou (China) WK.16'!$B:OX,PY$1,0),0)</f>
        <v>0</v>
      </c>
      <c r="QA26" s="128">
        <v>0</v>
      </c>
      <c r="QB26" s="32">
        <v>0</v>
      </c>
      <c r="QC26" s="100">
        <f t="shared" si="282"/>
        <v>100</v>
      </c>
      <c r="QE26" s="37">
        <f t="shared" si="215"/>
        <v>100</v>
      </c>
      <c r="QF26" s="141">
        <f>IFERROR(VLOOKUP($D26,'Adient Assende (Belgium) WK.17'!$B:PB,QG$1,0),0)</f>
        <v>0</v>
      </c>
      <c r="QG26" s="140">
        <f>IFERROR(VLOOKUP($D26,'Adient Arendal (Malzia) WK.12'!$B:PC,QG$1,0),0)</f>
        <v>0</v>
      </c>
      <c r="QH26" s="140">
        <f>IFERROR(VLOOKUP($D26,'Adient Taizhou (China) WK.16'!$B:PF,QG$1,0),0)</f>
        <v>0</v>
      </c>
      <c r="QI26" s="128">
        <v>0</v>
      </c>
      <c r="QJ26" s="32">
        <v>0</v>
      </c>
      <c r="QK26" s="100">
        <f t="shared" si="283"/>
        <v>100</v>
      </c>
      <c r="QM26" s="37">
        <f t="shared" si="216"/>
        <v>100</v>
      </c>
      <c r="QN26" s="141">
        <f>IFERROR(VLOOKUP($D26,'Adient Assende (Belgium) WK.17'!$B:PJ,QO$1,0),0)</f>
        <v>0</v>
      </c>
      <c r="QO26" s="140">
        <f>IFERROR(VLOOKUP($D26,'Adient Arendal (Malzia) WK.12'!$B:PK,QO$1,0),0)</f>
        <v>0</v>
      </c>
      <c r="QP26" s="140">
        <f>IFERROR(VLOOKUP($D26,'Adient Taizhou (China) WK.16'!$B:PN,QO$1,0),0)</f>
        <v>0</v>
      </c>
      <c r="QQ26" s="128">
        <v>0</v>
      </c>
      <c r="QR26" s="32">
        <v>0</v>
      </c>
      <c r="QS26" s="100">
        <f t="shared" si="284"/>
        <v>100</v>
      </c>
      <c r="QU26" s="37">
        <f t="shared" si="217"/>
        <v>100</v>
      </c>
      <c r="QV26" s="141">
        <f>IFERROR(VLOOKUP($D26,'Adient Assende (Belgium) WK.17'!$B:PR,QW$1,0),0)</f>
        <v>0</v>
      </c>
      <c r="QW26" s="140">
        <f>IFERROR(VLOOKUP($D26,'Adient Arendal (Malzia) WK.12'!$B:PS,QW$1,0),0)</f>
        <v>0</v>
      </c>
      <c r="QX26" s="140">
        <f>IFERROR(VLOOKUP($D26,'Adient Taizhou (China) WK.16'!$B:PV,QW$1,0),0)</f>
        <v>0</v>
      </c>
      <c r="QY26" s="128">
        <v>0</v>
      </c>
      <c r="QZ26" s="32">
        <v>0</v>
      </c>
      <c r="RA26" s="100">
        <f t="shared" si="285"/>
        <v>100</v>
      </c>
      <c r="RC26" s="37">
        <f t="shared" si="218"/>
        <v>100</v>
      </c>
      <c r="RD26" s="141">
        <f>IFERROR(VLOOKUP($D26,'Adient Assende (Belgium) WK.17'!$B:PZ,RE$1,0),0)</f>
        <v>0</v>
      </c>
      <c r="RE26" s="140">
        <f>IFERROR(VLOOKUP($D26,'Adient Arendal (Malzia) WK.12'!$B:QA,RE$1,0),0)</f>
        <v>0</v>
      </c>
      <c r="RF26" s="140">
        <f>IFERROR(VLOOKUP($D26,'Adient Taizhou (China) WK.16'!$B:QD,RE$1,0),0)</f>
        <v>0</v>
      </c>
      <c r="RG26" s="128">
        <v>0</v>
      </c>
      <c r="RH26" s="32">
        <v>0</v>
      </c>
      <c r="RI26" s="100">
        <f t="shared" si="286"/>
        <v>100</v>
      </c>
      <c r="RK26" s="37">
        <f t="shared" si="219"/>
        <v>100</v>
      </c>
      <c r="RL26" s="141">
        <f>IFERROR(VLOOKUP($D26,'Adient Assende (Belgium) WK.17'!$B:QH,RM$1,0),0)</f>
        <v>0</v>
      </c>
      <c r="RM26" s="140">
        <f>IFERROR(VLOOKUP($D26,'Adient Arendal (Malzia) WK.12'!$B:QI,RM$1,0),0)</f>
        <v>0</v>
      </c>
      <c r="RN26" s="140">
        <f>IFERROR(VLOOKUP($D26,'Adient Taizhou (China) WK.16'!$B:QL,RM$1,0),0)</f>
        <v>0</v>
      </c>
      <c r="RO26" s="128">
        <v>0</v>
      </c>
      <c r="RP26" s="32">
        <v>0</v>
      </c>
      <c r="RQ26" s="100">
        <f t="shared" si="287"/>
        <v>100</v>
      </c>
      <c r="RS26" s="37">
        <f t="shared" si="220"/>
        <v>100</v>
      </c>
      <c r="RT26" s="141">
        <f>IFERROR(VLOOKUP($D26,'Adient Assende (Belgium) WK.17'!$B:QP,RU$1,0),0)</f>
        <v>0</v>
      </c>
      <c r="RU26" s="140">
        <f>IFERROR(VLOOKUP($D26,'Adient Arendal (Malzia) WK.12'!$B:QQ,RU$1,0),0)</f>
        <v>0</v>
      </c>
      <c r="RV26" s="140">
        <f>IFERROR(VLOOKUP($D26,'Adient Taizhou (China) WK.16'!$B:QT,RU$1,0),0)</f>
        <v>0</v>
      </c>
      <c r="RW26" s="128">
        <v>0</v>
      </c>
      <c r="RX26" s="32">
        <v>0</v>
      </c>
      <c r="RY26" s="100">
        <f t="shared" si="288"/>
        <v>100</v>
      </c>
      <c r="SA26" s="37">
        <f t="shared" si="221"/>
        <v>100</v>
      </c>
      <c r="SB26" s="141">
        <f>IFERROR(VLOOKUP($D26,'Adient Assende (Belgium) WK.17'!$B:QX,SC$1,0),0)</f>
        <v>0</v>
      </c>
      <c r="SC26" s="140">
        <f>IFERROR(VLOOKUP($D26,'Adient Arendal (Malzia) WK.12'!$B:QY,SC$1,0),0)</f>
        <v>0</v>
      </c>
      <c r="SD26" s="140">
        <f>IFERROR(VLOOKUP($D26,'Adient Taizhou (China) WK.16'!$B:RB,SC$1,0),0)</f>
        <v>0</v>
      </c>
      <c r="SE26" s="128">
        <v>0</v>
      </c>
      <c r="SF26" s="32">
        <v>0</v>
      </c>
      <c r="SG26" s="100">
        <f t="shared" si="289"/>
        <v>100</v>
      </c>
      <c r="SI26" s="37">
        <f t="shared" si="222"/>
        <v>100</v>
      </c>
      <c r="SJ26" s="141">
        <f>IFERROR(VLOOKUP($D26,'Adient Assende (Belgium) WK.17'!$B:RF,SK$1,0),0)</f>
        <v>0</v>
      </c>
      <c r="SK26" s="140">
        <f>IFERROR(VLOOKUP($D26,'Adient Arendal (Malzia) WK.12'!$B:RG,SK$1,0),0)</f>
        <v>0</v>
      </c>
      <c r="SL26" s="140">
        <f>IFERROR(VLOOKUP($D26,'Adient Taizhou (China) WK.16'!$B:RJ,SK$1,0),0)</f>
        <v>0</v>
      </c>
      <c r="SM26" s="128">
        <v>0</v>
      </c>
      <c r="SN26" s="32">
        <v>0</v>
      </c>
      <c r="SO26" s="100">
        <f t="shared" si="290"/>
        <v>100</v>
      </c>
      <c r="SQ26" s="37">
        <f t="shared" si="223"/>
        <v>100</v>
      </c>
      <c r="SR26" s="141">
        <f>IFERROR(VLOOKUP($D26,'Adient Assende (Belgium) WK.17'!$B:RN,SS$1,0),0)</f>
        <v>0</v>
      </c>
      <c r="SS26" s="140">
        <f>IFERROR(VLOOKUP($D26,'Adient Arendal (Malzia) WK.12'!$B:RO,SS$1,0),0)</f>
        <v>0</v>
      </c>
      <c r="ST26" s="140">
        <f>IFERROR(VLOOKUP($D26,'Adient Taizhou (China) WK.16'!$B:RR,SS$1,0),0)</f>
        <v>0</v>
      </c>
      <c r="SU26" s="128">
        <v>0</v>
      </c>
      <c r="SV26" s="32">
        <v>0</v>
      </c>
      <c r="SW26" s="100">
        <f t="shared" si="291"/>
        <v>100</v>
      </c>
      <c r="SY26" s="37">
        <f t="shared" si="224"/>
        <v>100</v>
      </c>
      <c r="SZ26" s="141">
        <f>IFERROR(VLOOKUP($D26,'Adient Assende (Belgium) WK.17'!$B:RV,TA$1,0),0)</f>
        <v>0</v>
      </c>
      <c r="TA26" s="140">
        <f>IFERROR(VLOOKUP($D26,'Adient Arendal (Malzia) WK.12'!$B:RW,TA$1,0),0)</f>
        <v>0</v>
      </c>
      <c r="TB26" s="140">
        <f>IFERROR(VLOOKUP($D26,'Adient Taizhou (China) WK.16'!$B:RZ,TA$1,0),0)</f>
        <v>0</v>
      </c>
      <c r="TC26" s="128">
        <v>0</v>
      </c>
      <c r="TD26" s="32">
        <v>0</v>
      </c>
      <c r="TE26" s="100">
        <f t="shared" si="292"/>
        <v>100</v>
      </c>
      <c r="TG26" s="37">
        <f t="shared" si="225"/>
        <v>100</v>
      </c>
      <c r="TH26" s="141">
        <f>IFERROR(VLOOKUP($D26,'Adient Assende (Belgium) WK.17'!$B:SD,TI$1,0),0)</f>
        <v>0</v>
      </c>
      <c r="TI26" s="140">
        <f>IFERROR(VLOOKUP($D26,'Adient Arendal (Malzia) WK.12'!$B:SE,TI$1,0),0)</f>
        <v>0</v>
      </c>
      <c r="TJ26" s="140">
        <f>IFERROR(VLOOKUP($D26,'Adient Taizhou (China) WK.16'!$B:SH,TI$1,0),0)</f>
        <v>0</v>
      </c>
      <c r="TK26" s="128">
        <v>0</v>
      </c>
      <c r="TL26" s="32">
        <v>0</v>
      </c>
      <c r="TM26" s="100">
        <f t="shared" si="293"/>
        <v>100</v>
      </c>
      <c r="TO26" s="37">
        <f t="shared" si="226"/>
        <v>100</v>
      </c>
      <c r="TP26" s="141">
        <f>IFERROR(VLOOKUP($D26,'Adient Assende (Belgium) WK.17'!$B:SL,TQ$1,0),0)</f>
        <v>0</v>
      </c>
      <c r="TQ26" s="140">
        <f>IFERROR(VLOOKUP($D26,'Adient Arendal (Malzia) WK.12'!$B:SM,TQ$1,0),0)</f>
        <v>0</v>
      </c>
      <c r="TR26" s="140">
        <f>IFERROR(VLOOKUP($D26,'Adient Taizhou (China) WK.16'!$B:SP,TQ$1,0),0)</f>
        <v>0</v>
      </c>
      <c r="TS26" s="128">
        <v>0</v>
      </c>
      <c r="TT26" s="32">
        <v>0</v>
      </c>
      <c r="TU26" s="100">
        <f t="shared" si="294"/>
        <v>100</v>
      </c>
      <c r="TW26" s="37">
        <f t="shared" si="227"/>
        <v>100</v>
      </c>
      <c r="TX26" s="141">
        <f>IFERROR(VLOOKUP($D26,'Adient Assende (Belgium) WK.17'!$B:ST,TY$1,0),0)</f>
        <v>0</v>
      </c>
      <c r="TY26" s="140">
        <f>IFERROR(VLOOKUP($D26,'Adient Arendal (Malzia) WK.12'!$B:SU,TY$1,0),0)</f>
        <v>0</v>
      </c>
      <c r="TZ26" s="140">
        <f>IFERROR(VLOOKUP($D26,'Adient Taizhou (China) WK.16'!$B:SX,TY$1,0),0)</f>
        <v>0</v>
      </c>
      <c r="UA26" s="128">
        <v>0</v>
      </c>
      <c r="UB26" s="32">
        <v>0</v>
      </c>
      <c r="UC26" s="100">
        <f t="shared" si="295"/>
        <v>100</v>
      </c>
      <c r="UE26" s="37">
        <f t="shared" si="228"/>
        <v>100</v>
      </c>
      <c r="UF26" s="141">
        <f>IFERROR(VLOOKUP($D26,'Adient Assende (Belgium) WK.17'!$B:TB,UG$1,0),0)</f>
        <v>0</v>
      </c>
      <c r="UG26" s="140">
        <f>IFERROR(VLOOKUP($D26,'Adient Arendal (Malzia) WK.12'!$B:TC,UG$1,0),0)</f>
        <v>0</v>
      </c>
      <c r="UH26" s="140">
        <f>IFERROR(VLOOKUP($D26,'Adient Taizhou (China) WK.16'!$B:TF,UG$1,0),0)</f>
        <v>0</v>
      </c>
      <c r="UI26" s="128">
        <v>0</v>
      </c>
      <c r="UJ26" s="32">
        <v>0</v>
      </c>
      <c r="UK26" s="100">
        <f t="shared" si="296"/>
        <v>100</v>
      </c>
      <c r="UM26" s="37">
        <f t="shared" si="229"/>
        <v>100</v>
      </c>
      <c r="UN26" s="141">
        <f>IFERROR(VLOOKUP($D26,'Adient Assende (Belgium) WK.17'!$B:TJ,UO$1,0),0)</f>
        <v>0</v>
      </c>
      <c r="UO26" s="140">
        <f>IFERROR(VLOOKUP($D26,'Adient Arendal (Malzia) WK.12'!$B:TK,UO$1,0),0)</f>
        <v>0</v>
      </c>
      <c r="UP26" s="140">
        <f>IFERROR(VLOOKUP($D26,'Adient Taizhou (China) WK.16'!$B:TN,UO$1,0),0)</f>
        <v>0</v>
      </c>
      <c r="UQ26" s="128">
        <v>0</v>
      </c>
      <c r="UR26" s="32">
        <v>0</v>
      </c>
      <c r="US26" s="100">
        <f t="shared" si="297"/>
        <v>100</v>
      </c>
      <c r="UU26" s="37">
        <f t="shared" si="230"/>
        <v>100</v>
      </c>
      <c r="UV26" s="141">
        <f>IFERROR(VLOOKUP($D26,'Adient Assende (Belgium) WK.17'!$B:TR,UW$1,0),0)</f>
        <v>0</v>
      </c>
      <c r="UW26" s="140">
        <f>IFERROR(VLOOKUP($D26,'Adient Arendal (Malzia) WK.12'!$B:TS,UW$1,0),0)</f>
        <v>0</v>
      </c>
      <c r="UX26" s="140">
        <f>IFERROR(VLOOKUP($D26,'Adient Taizhou (China) WK.16'!$B:TV,UW$1,0),0)</f>
        <v>0</v>
      </c>
      <c r="UY26" s="128">
        <v>0</v>
      </c>
      <c r="UZ26" s="32">
        <v>0</v>
      </c>
      <c r="VA26" s="100">
        <f t="shared" si="298"/>
        <v>100</v>
      </c>
      <c r="VC26" s="37">
        <f t="shared" si="231"/>
        <v>100</v>
      </c>
      <c r="VD26" s="141">
        <f>IFERROR(VLOOKUP($D26,'Adient Assende (Belgium) WK.17'!$B:TZ,VE$1,0),0)</f>
        <v>0</v>
      </c>
      <c r="VE26" s="140">
        <f>IFERROR(VLOOKUP($D26,'Adient Arendal (Malzia) WK.12'!$B:UA,VE$1,0),0)</f>
        <v>0</v>
      </c>
      <c r="VF26" s="140">
        <f>IFERROR(VLOOKUP($D26,'Adient Taizhou (China) WK.16'!$B:UD,VE$1,0),0)</f>
        <v>0</v>
      </c>
      <c r="VG26" s="128">
        <v>0</v>
      </c>
      <c r="VH26" s="32">
        <v>0</v>
      </c>
      <c r="VI26" s="100">
        <f t="shared" si="299"/>
        <v>100</v>
      </c>
      <c r="VK26" s="37">
        <f t="shared" si="232"/>
        <v>100</v>
      </c>
      <c r="VL26" s="141">
        <f>IFERROR(VLOOKUP($D26,'Adient Assende (Belgium) WK.17'!$B:UH,VM$1,0),0)</f>
        <v>0</v>
      </c>
      <c r="VM26" s="140">
        <f>IFERROR(VLOOKUP($D26,'Adient Arendal (Malzia) WK.12'!$B:UI,VM$1,0),0)</f>
        <v>0</v>
      </c>
      <c r="VN26" s="140">
        <f>IFERROR(VLOOKUP($D26,'Adient Taizhou (China) WK.16'!$B:UL,VM$1,0),0)</f>
        <v>0</v>
      </c>
      <c r="VO26" s="128">
        <v>0</v>
      </c>
      <c r="VP26" s="32">
        <v>0</v>
      </c>
      <c r="VQ26" s="100">
        <f t="shared" si="300"/>
        <v>100</v>
      </c>
    </row>
    <row r="27" spans="1:589" x14ac:dyDescent="0.25">
      <c r="A27" s="10" t="s">
        <v>18</v>
      </c>
      <c r="B27" s="11" t="s">
        <v>19</v>
      </c>
      <c r="C27" s="87">
        <v>32332626</v>
      </c>
      <c r="D27" s="81">
        <v>5180031</v>
      </c>
      <c r="E27" s="11">
        <v>20</v>
      </c>
      <c r="F27" s="12"/>
      <c r="H27" s="122">
        <v>20</v>
      </c>
      <c r="I27" s="125">
        <f>IFERROR(VLOOKUP($D27,'Adient Assende (Belgium) WK.17'!$B:C,J$1,0),0)</f>
        <v>0</v>
      </c>
      <c r="J27" s="55">
        <f>IFERROR(VLOOKUP($D27,'Adient Arendal (Malzia) WK.12'!$B:C,J$1,0),0)</f>
        <v>0</v>
      </c>
      <c r="K27" s="55">
        <f>IFERROR(VLOOKUP($D27,'Adient Taizhou (China) WK.16'!$B:C,J$1,0),0)</f>
        <v>0</v>
      </c>
      <c r="L27" s="128">
        <v>0</v>
      </c>
      <c r="M27" s="32">
        <v>0</v>
      </c>
      <c r="N27" s="106">
        <f t="shared" si="233"/>
        <v>20</v>
      </c>
      <c r="P27" s="37">
        <f t="shared" si="234"/>
        <v>20</v>
      </c>
      <c r="Q27" s="125">
        <f>IFERROR(VLOOKUP($D27,'Adient Assende (Belgium) WK.17'!$B:K,R$1,0),0)</f>
        <v>0</v>
      </c>
      <c r="R27" s="55">
        <f>IFERROR(VLOOKUP($D27,'Adient Arendal (Malzia) WK.12'!$B:K,R$1,0),0)</f>
        <v>0</v>
      </c>
      <c r="S27" s="55">
        <f>IFERROR(VLOOKUP($D27,'Adient Taizhou (China) WK.16'!$B:K,R$1,0),0)</f>
        <v>0</v>
      </c>
      <c r="T27" s="41">
        <v>0</v>
      </c>
      <c r="U27" s="32">
        <v>0</v>
      </c>
      <c r="V27" s="106">
        <f t="shared" si="235"/>
        <v>20</v>
      </c>
      <c r="X27" s="37">
        <f t="shared" si="236"/>
        <v>20</v>
      </c>
      <c r="Y27" s="125">
        <f>IFERROR(VLOOKUP($D27,'Adient Assende (Belgium) WK.17'!$B:S,Z$1,0),0)</f>
        <v>0</v>
      </c>
      <c r="Z27" s="55">
        <f>IFERROR(VLOOKUP($D27,'Adient Arendal (Malzia) WK.12'!$B:S,Z$1,0),0)</f>
        <v>0</v>
      </c>
      <c r="AA27" s="55">
        <f>IFERROR(VLOOKUP($D27,'Adient Taizhou (China) WK.16'!$B:S,Z$1,0),0)</f>
        <v>0</v>
      </c>
      <c r="AB27" s="41">
        <v>0</v>
      </c>
      <c r="AC27" s="32">
        <v>0</v>
      </c>
      <c r="AD27" s="106">
        <f t="shared" si="237"/>
        <v>20</v>
      </c>
      <c r="AF27" s="37">
        <f t="shared" si="238"/>
        <v>20</v>
      </c>
      <c r="AG27" s="125">
        <f>IFERROR(VLOOKUP($D27,'Adient Assende (Belgium) WK.17'!$B:AA,AH$1,0),0)</f>
        <v>0</v>
      </c>
      <c r="AH27" s="55">
        <f>IFERROR(VLOOKUP($D27,'Adient Arendal (Malzia) WK.12'!$B:AA,AH$1,0),0)</f>
        <v>0</v>
      </c>
      <c r="AI27" s="55">
        <f>IFERROR(VLOOKUP($D27,'Adient Taizhou (China) WK.16'!$B:AA,AH$1,0),0)</f>
        <v>0</v>
      </c>
      <c r="AJ27" s="41">
        <v>0</v>
      </c>
      <c r="AK27" s="32">
        <v>0</v>
      </c>
      <c r="AL27" s="106">
        <f t="shared" si="239"/>
        <v>20</v>
      </c>
      <c r="AN27" s="37">
        <f t="shared" si="164"/>
        <v>20</v>
      </c>
      <c r="AO27" s="125">
        <f>IFERROR(VLOOKUP($D27,'Adient Assende (Belgium) WK.17'!$B:AI,AP$1,0),0)</f>
        <v>0</v>
      </c>
      <c r="AP27" s="55">
        <f>IFERROR(VLOOKUP($D27,'Adient Arendal (Malzia) WK.12'!$B:AI,AP$1,0),0)</f>
        <v>0</v>
      </c>
      <c r="AQ27" s="55">
        <f>IFERROR(VLOOKUP($D27,'Adient Taizhou (China) WK.16'!$B:AI,AP$1,0),0)</f>
        <v>0</v>
      </c>
      <c r="AR27" s="60">
        <v>0</v>
      </c>
      <c r="AS27" s="41">
        <v>0</v>
      </c>
      <c r="AT27" s="32">
        <v>0</v>
      </c>
      <c r="AU27" s="106">
        <f t="shared" si="240"/>
        <v>20</v>
      </c>
      <c r="AW27" s="37">
        <f t="shared" si="165"/>
        <v>20</v>
      </c>
      <c r="AX27" s="125">
        <f>IFERROR(VLOOKUP($D27,'Adient Assende (Belgium) WK.17'!$B:AR,AY$1,0),0)</f>
        <v>0</v>
      </c>
      <c r="AY27" s="55">
        <f>IFERROR(VLOOKUP($D27,'Adient Arendal (Malzia) WK.12'!$B:AR,AY$1,0),0)</f>
        <v>0</v>
      </c>
      <c r="AZ27" s="55">
        <f>IFERROR(VLOOKUP($D27,'Adient Taizhou (China) WK.16'!$B:AU,AY$1,0),0)</f>
        <v>0</v>
      </c>
      <c r="BA27" s="41">
        <v>0</v>
      </c>
      <c r="BB27" s="32">
        <v>0</v>
      </c>
      <c r="BC27" s="106">
        <f t="shared" si="241"/>
        <v>20</v>
      </c>
      <c r="BE27" s="37">
        <f t="shared" si="166"/>
        <v>20</v>
      </c>
      <c r="BF27" s="125">
        <f>IFERROR(VLOOKUP($D27,'Adient Assende (Belgium) WK.17'!$B:AX,BG$1,0),0)</f>
        <v>0</v>
      </c>
      <c r="BG27" s="55">
        <f>IFERROR(VLOOKUP($D27,'Adient Arendal (Malzia) WK.12'!$B:AZ,BG$1,0),0)</f>
        <v>0</v>
      </c>
      <c r="BH27" s="55">
        <f>IFERROR(VLOOKUP($D27,'Adient Taizhou (China) WK.16'!$B:BB,BG$1,0),0)</f>
        <v>0</v>
      </c>
      <c r="BI27" s="60">
        <v>0</v>
      </c>
      <c r="BJ27" s="60">
        <v>0</v>
      </c>
      <c r="BK27" s="41">
        <v>0</v>
      </c>
      <c r="BL27" s="32">
        <v>0</v>
      </c>
      <c r="BM27" s="106">
        <f t="shared" si="242"/>
        <v>20</v>
      </c>
      <c r="BN27" s="8"/>
      <c r="BO27" s="37">
        <f t="shared" si="167"/>
        <v>20</v>
      </c>
      <c r="BP27" s="125">
        <f>IFERROR(VLOOKUP($D27,'Adient Assende (Belgium) WK.17'!$B:BH,BQ$1,0),0)</f>
        <v>0</v>
      </c>
      <c r="BQ27" s="55">
        <f>IFERROR(VLOOKUP($D27,'Adient Arendal (Malzia) WK.12'!$B:BI,BQ$1,0),0)</f>
        <v>0</v>
      </c>
      <c r="BR27" s="55">
        <f>IFERROR(VLOOKUP($D27,'Adient Taizhou (China) WK.16'!$B:BL,BQ$1,0),0)</f>
        <v>0</v>
      </c>
      <c r="BS27" s="60">
        <v>0</v>
      </c>
      <c r="BT27" s="60">
        <v>0</v>
      </c>
      <c r="BU27" s="60">
        <v>0</v>
      </c>
      <c r="BV27" s="41">
        <v>0</v>
      </c>
      <c r="BW27" s="32">
        <v>0</v>
      </c>
      <c r="BX27" s="106">
        <f t="shared" si="243"/>
        <v>20</v>
      </c>
      <c r="BY27" s="8"/>
      <c r="BZ27" s="37">
        <f t="shared" si="168"/>
        <v>20</v>
      </c>
      <c r="CA27" s="125">
        <f>IFERROR(VLOOKUP($D27,'Adient Assende (Belgium) WK.17'!$B:BS,CB$1,0),0)</f>
        <v>0</v>
      </c>
      <c r="CB27" s="55">
        <f>IFERROR(VLOOKUP($D27,'Adient Arendal (Malzia) WK.12'!$B:BT,CB$1,0),0)</f>
        <v>0</v>
      </c>
      <c r="CC27" s="55">
        <f>IFERROR(VLOOKUP($D27,'Adient Taizhou (China) WK.16'!$B:BW,CB$1,0),0)</f>
        <v>0</v>
      </c>
      <c r="CD27" s="60">
        <v>0</v>
      </c>
      <c r="CE27" s="60">
        <v>0</v>
      </c>
      <c r="CF27" s="41">
        <v>0</v>
      </c>
      <c r="CG27" s="32">
        <v>0</v>
      </c>
      <c r="CH27" s="106">
        <f t="shared" si="244"/>
        <v>20</v>
      </c>
      <c r="CI27" s="8"/>
      <c r="CJ27" s="37">
        <f t="shared" si="169"/>
        <v>20</v>
      </c>
      <c r="CK27" s="125">
        <f>IFERROR(VLOOKUP($D27,'Adient Assende (Belgium) WK.17'!$B:CC,CL$1,0),0)</f>
        <v>0</v>
      </c>
      <c r="CL27" s="55">
        <f>IFERROR(VLOOKUP($D27,'Adient Arendal (Malzia) WK.12'!$B:CD,CL$1,0),0)</f>
        <v>0</v>
      </c>
      <c r="CM27" s="55">
        <f>IFERROR(VLOOKUP($D27,'Adient Taizhou (China) WK.16'!$B:CG,CL$1,0),0)</f>
        <v>0</v>
      </c>
      <c r="CN27" s="60">
        <v>0</v>
      </c>
      <c r="CO27" s="149">
        <v>0</v>
      </c>
      <c r="CP27" s="32">
        <v>0</v>
      </c>
      <c r="CQ27" s="106">
        <f t="shared" si="245"/>
        <v>20</v>
      </c>
      <c r="CR27" s="8"/>
      <c r="CS27" s="122">
        <f t="shared" si="170"/>
        <v>20</v>
      </c>
      <c r="CT27" s="154">
        <f>IFERROR(VLOOKUP($D27,'Adient Assende (Belgium) WK.17'!$B:CL,CU$1,0),0)</f>
        <v>0</v>
      </c>
      <c r="CU27" s="55">
        <f>IFERROR(VLOOKUP($D27,'Adient Arendal (Malzia) WK.12'!$B:CM,CU$1,0),0)</f>
        <v>0</v>
      </c>
      <c r="CV27" s="55">
        <f>IFERROR(VLOOKUP($D27,'Adient Taizhou (China) WK.16'!$B:CP,CU$1,0),0)</f>
        <v>0</v>
      </c>
      <c r="CW27" s="60">
        <v>0</v>
      </c>
      <c r="CX27" s="60">
        <v>0</v>
      </c>
      <c r="CY27" s="128">
        <v>0</v>
      </c>
      <c r="CZ27" s="32">
        <v>0</v>
      </c>
      <c r="DA27" s="106">
        <f t="shared" si="246"/>
        <v>20</v>
      </c>
      <c r="DB27" s="8"/>
      <c r="DC27" s="37">
        <f t="shared" si="171"/>
        <v>20</v>
      </c>
      <c r="DD27" s="125">
        <f>IFERROR(VLOOKUP($D27,'Adient Assende (Belgium) WK.17'!$B:CS,DE$1,0),0)</f>
        <v>0</v>
      </c>
      <c r="DE27" s="55">
        <f>IFERROR(VLOOKUP($D27,'Adient Arendal (Malzia) WK.12'!$B:CU,DE$1,0),0)</f>
        <v>0</v>
      </c>
      <c r="DF27" s="55">
        <f>IFERROR(VLOOKUP($D27,'Adient Taizhou (China) WK.16'!$B:CX,DE$1,0),0)</f>
        <v>0</v>
      </c>
      <c r="DG27" s="60">
        <v>100</v>
      </c>
      <c r="DH27" s="128">
        <v>0</v>
      </c>
      <c r="DI27" s="32">
        <v>0</v>
      </c>
      <c r="DJ27" s="106">
        <f t="shared" si="247"/>
        <v>120</v>
      </c>
      <c r="DL27" s="37">
        <f t="shared" si="172"/>
        <v>120</v>
      </c>
      <c r="DM27" s="125">
        <f>IFERROR(VLOOKUP($D27,'Adient Assende (Belgium) WK.17'!$B:DB,DN$1,0),0)</f>
        <v>0</v>
      </c>
      <c r="DN27" s="55">
        <f>IFERROR(VLOOKUP($D27,'Adient Arendal (Malzia) WK.12'!$B:DC,DN$1,0),0)</f>
        <v>0</v>
      </c>
      <c r="DO27" s="55">
        <f>IFERROR(VLOOKUP($D27,'Adient Taizhou (China) WK.16'!$B:DF,DN$1,0),0)</f>
        <v>0</v>
      </c>
      <c r="DP27" s="128">
        <v>0</v>
      </c>
      <c r="DQ27" s="32">
        <v>0</v>
      </c>
      <c r="DR27" s="106">
        <f t="shared" si="173"/>
        <v>120</v>
      </c>
      <c r="DS27" s="8"/>
      <c r="DT27" s="37">
        <f t="shared" si="174"/>
        <v>120</v>
      </c>
      <c r="DU27" s="125">
        <f>IFERROR(VLOOKUP($D27,'Adient Assende (Belgium) WK.17'!$B:DJ,DV$1,0),0)</f>
        <v>0</v>
      </c>
      <c r="DV27" s="55">
        <f>IFERROR(VLOOKUP($D27,'Adient Arendal (Malzia) WK.12'!$B:DK,DV$1,0),0)</f>
        <v>0</v>
      </c>
      <c r="DW27" s="55">
        <f>IFERROR(VLOOKUP($D27,'Adient Taizhou (China) WK.16'!$B:DN,DV$1,0),0)</f>
        <v>0</v>
      </c>
      <c r="DX27" s="60">
        <v>0</v>
      </c>
      <c r="DY27" s="60">
        <v>0</v>
      </c>
      <c r="DZ27" s="128">
        <v>0</v>
      </c>
      <c r="EA27" s="32">
        <v>0</v>
      </c>
      <c r="EB27" s="106">
        <f t="shared" si="248"/>
        <v>120</v>
      </c>
      <c r="EC27" s="8"/>
      <c r="ED27" s="37">
        <f t="shared" si="175"/>
        <v>120</v>
      </c>
      <c r="EE27" s="125">
        <f>IFERROR(VLOOKUP($D27,'Adient Assende (Belgium) WK.17'!$B:DR,EF$1,0),0)</f>
        <v>0</v>
      </c>
      <c r="EF27" s="55">
        <f>IFERROR(VLOOKUP($D27,'Adient Arendal (Malzia) WK.12'!$B:DS,EF$1,0),0)</f>
        <v>0</v>
      </c>
      <c r="EG27" s="55">
        <f>IFERROR(VLOOKUP($D27,'Adient Taizhou (China) WK.16'!$B:DV,EF$1,0),0)</f>
        <v>0</v>
      </c>
      <c r="EH27" s="60">
        <v>0</v>
      </c>
      <c r="EI27" s="128">
        <v>0</v>
      </c>
      <c r="EJ27" s="32">
        <v>0</v>
      </c>
      <c r="EK27" s="106">
        <f t="shared" si="249"/>
        <v>120</v>
      </c>
      <c r="EM27" s="37">
        <f t="shared" si="176"/>
        <v>120</v>
      </c>
      <c r="EN27" s="125">
        <f>IFERROR(VLOOKUP($D27,'Adient Assende (Belgium) WK.17'!$B:DZ,EO$1,0),0)</f>
        <v>0</v>
      </c>
      <c r="EO27" s="55">
        <f>IFERROR(VLOOKUP($D27,'Adient Arendal (Malzia) WK.12'!$B:EA,EO$1,0),0)</f>
        <v>0</v>
      </c>
      <c r="EP27" s="55">
        <f>IFERROR(VLOOKUP($D27,'Adient Taizhou (China) WK.16'!$B:ED,EO$1,0),0)</f>
        <v>0</v>
      </c>
      <c r="EQ27" s="128">
        <v>0</v>
      </c>
      <c r="ER27" s="32">
        <v>0</v>
      </c>
      <c r="ES27" s="106">
        <f t="shared" si="250"/>
        <v>120</v>
      </c>
      <c r="EU27" s="37">
        <f t="shared" si="177"/>
        <v>120</v>
      </c>
      <c r="EV27" s="125">
        <f>IFERROR(VLOOKUP($D27,'Adient Assende (Belgium) WK.17'!$B:EH,EW$1,0),0)</f>
        <v>0</v>
      </c>
      <c r="EW27" s="55">
        <f>IFERROR(VLOOKUP($D27,'Adient Arendal (Malzia) WK.12'!$B:EI,EW$1,0),0)</f>
        <v>0</v>
      </c>
      <c r="EX27" s="55">
        <f>IFERROR(VLOOKUP($D27,'Adient Taizhou (China) WK.16'!$B:EL,EW$1,0),0)</f>
        <v>0</v>
      </c>
      <c r="EY27" s="128">
        <v>0</v>
      </c>
      <c r="EZ27" s="32">
        <v>0</v>
      </c>
      <c r="FA27" s="106">
        <f t="shared" si="251"/>
        <v>120</v>
      </c>
      <c r="FC27" s="37">
        <f t="shared" si="178"/>
        <v>120</v>
      </c>
      <c r="FD27" s="154">
        <f>IFERROR(VLOOKUP($D27,'Adient Assende (Belgium) WK.17'!$B:EP,FE$1,0),0)</f>
        <v>0</v>
      </c>
      <c r="FE27" s="154">
        <f>IFERROR(VLOOKUP($D27,'Adient Arendal (Malzia) WK.12'!$B:EQ,FE$1,0),0)</f>
        <v>0</v>
      </c>
      <c r="FF27" s="154">
        <f>IFERROR(VLOOKUP($D27,'Adient Taizhou (China) WK.16'!$B:ET,FE$1,0),0)</f>
        <v>0</v>
      </c>
      <c r="FG27" s="128">
        <v>0</v>
      </c>
      <c r="FH27" s="32">
        <v>0</v>
      </c>
      <c r="FI27" s="106">
        <f t="shared" si="252"/>
        <v>120</v>
      </c>
      <c r="FK27" s="37">
        <f t="shared" si="179"/>
        <v>120</v>
      </c>
      <c r="FL27" s="125">
        <f>IFERROR(VLOOKUP($D27,'Adient Assende (Belgium) WK.17'!$B:EX,FM$1,0),0)</f>
        <v>0</v>
      </c>
      <c r="FM27" s="55">
        <f>IFERROR(VLOOKUP($D27,'Adient Arendal (Malzia) WK.12'!$B:EY,FM$1,0),0)</f>
        <v>0</v>
      </c>
      <c r="FN27" s="55">
        <f>IFERROR(VLOOKUP($D27,'Adient Taizhou (China) WK.16'!$B:FB,FM$1,0),0)</f>
        <v>0</v>
      </c>
      <c r="FO27" s="128">
        <v>0</v>
      </c>
      <c r="FP27" s="32">
        <v>0</v>
      </c>
      <c r="FQ27" s="106">
        <f t="shared" si="253"/>
        <v>120</v>
      </c>
      <c r="FR27" s="8"/>
      <c r="FS27" s="37">
        <f t="shared" si="180"/>
        <v>120</v>
      </c>
      <c r="FT27" s="125">
        <f>IFERROR(VLOOKUP($D27,'Adient Assende (Belgium) WK.17'!$B:FF,FU$1,0),0)</f>
        <v>0</v>
      </c>
      <c r="FU27" s="55">
        <f>IFERROR(VLOOKUP($D27,'Adient Arendal (Malzia) WK.12'!$B:FG,FU$1,0),0)</f>
        <v>0</v>
      </c>
      <c r="FV27" s="55">
        <f>IFERROR(VLOOKUP($D27,'Adient Taizhou (China) WK.16'!$B:FJ,FU$1,0),0)</f>
        <v>0</v>
      </c>
      <c r="FW27" s="60">
        <v>0</v>
      </c>
      <c r="FX27" s="60">
        <v>0</v>
      </c>
      <c r="FY27" s="60">
        <v>0</v>
      </c>
      <c r="FZ27" s="60">
        <v>0</v>
      </c>
      <c r="GA27" s="60">
        <v>0</v>
      </c>
      <c r="GB27" s="128">
        <v>0</v>
      </c>
      <c r="GC27" s="32">
        <v>0</v>
      </c>
      <c r="GD27" s="106">
        <f t="shared" si="254"/>
        <v>120</v>
      </c>
      <c r="GF27" s="37">
        <f t="shared" si="181"/>
        <v>120</v>
      </c>
      <c r="GG27" s="125">
        <f>IFERROR(VLOOKUP($D27,'Adient Assende (Belgium) WK.17'!$B:FN,GH$1,0),0)</f>
        <v>0</v>
      </c>
      <c r="GH27" s="55">
        <f>IFERROR(VLOOKUP($D27,'Adient Arendal (Malzia) WK.12'!$B:FO,GH$1,0),0)</f>
        <v>0</v>
      </c>
      <c r="GI27" s="55">
        <f>IFERROR(VLOOKUP($D27,'Adient Taizhou (China) WK.16'!$B:FR,GH$1,0),0)</f>
        <v>0</v>
      </c>
      <c r="GJ27" s="60">
        <v>0</v>
      </c>
      <c r="GK27" s="128">
        <v>0</v>
      </c>
      <c r="GL27" s="32">
        <v>0</v>
      </c>
      <c r="GM27" s="106">
        <f t="shared" si="255"/>
        <v>120</v>
      </c>
      <c r="GO27" s="37">
        <f t="shared" si="182"/>
        <v>120</v>
      </c>
      <c r="GP27" s="125">
        <f>IFERROR(VLOOKUP($D27,'Adient Assende (Belgium) WK.17'!$B:FV,GQ$1,0),0)</f>
        <v>0</v>
      </c>
      <c r="GQ27" s="55">
        <f>IFERROR(VLOOKUP($D27,'Adient Arendal (Malzia) WK.12'!$B:FW,GQ$1,0),0)</f>
        <v>0</v>
      </c>
      <c r="GR27" s="55">
        <f>IFERROR(VLOOKUP($D27,'Adient Taizhou (China) WK.16'!$B:FZ,GQ$1,0),0)</f>
        <v>0</v>
      </c>
      <c r="GS27" s="60">
        <v>0</v>
      </c>
      <c r="GT27" s="128">
        <v>0</v>
      </c>
      <c r="GU27" s="32">
        <v>0</v>
      </c>
      <c r="GV27" s="106">
        <f t="shared" si="256"/>
        <v>120</v>
      </c>
      <c r="GW27" s="8"/>
      <c r="GX27" s="37">
        <f t="shared" si="183"/>
        <v>120</v>
      </c>
      <c r="GY27" s="125">
        <f>IFERROR(VLOOKUP($D27,'Adient Assende (Belgium) WK.17'!$B:GD,GZ$1,0),0)</f>
        <v>0</v>
      </c>
      <c r="GZ27" s="55">
        <f>IFERROR(VLOOKUP($D27,'Adient Arendal (Malzia) WK.12'!$B:GE,GZ$1,0),0)</f>
        <v>0</v>
      </c>
      <c r="HA27" s="55">
        <f>IFERROR(VLOOKUP($D27,'Adient Taizhou (China) WK.16'!$B:GH,GZ$1,0),0)</f>
        <v>0</v>
      </c>
      <c r="HB27" s="60">
        <v>0</v>
      </c>
      <c r="HC27" s="128">
        <v>0</v>
      </c>
      <c r="HD27" s="32">
        <v>0</v>
      </c>
      <c r="HE27" s="106">
        <f t="shared" si="257"/>
        <v>120</v>
      </c>
      <c r="HF27" s="8"/>
      <c r="HG27" s="37">
        <f t="shared" si="184"/>
        <v>120</v>
      </c>
      <c r="HH27" s="125">
        <f>IFERROR(VLOOKUP($D27,'Adient Assende (Belgium) WK.17'!$B:GL,HI$1,0),0)</f>
        <v>0</v>
      </c>
      <c r="HI27" s="55">
        <f>IFERROR(VLOOKUP($D27,'Adient Arendal (Malzia) WK.12'!$B:GM,HI$1,0),0)</f>
        <v>0</v>
      </c>
      <c r="HJ27" s="55">
        <f>IFERROR(VLOOKUP($D27,'Adient Taizhou (China) WK.16'!$B:GP,HI$1,0),0)</f>
        <v>0</v>
      </c>
      <c r="HK27" s="60">
        <v>0</v>
      </c>
      <c r="HL27" s="128">
        <v>0</v>
      </c>
      <c r="HM27" s="32">
        <v>0</v>
      </c>
      <c r="HN27" s="106">
        <f t="shared" si="258"/>
        <v>120</v>
      </c>
      <c r="HO27" s="8"/>
      <c r="HP27" s="37">
        <f t="shared" si="185"/>
        <v>120</v>
      </c>
      <c r="HQ27" s="125">
        <f>IFERROR(VLOOKUP($D27,'Adient Assende (Belgium) WK.17'!$B:GT,HR$1,0),0)</f>
        <v>0</v>
      </c>
      <c r="HR27" s="55">
        <f>IFERROR(VLOOKUP($D27,'Adient Arendal (Malzia) WK.12'!$B:GU,HR$1,0),0)</f>
        <v>0</v>
      </c>
      <c r="HS27" s="55">
        <f>IFERROR(VLOOKUP($D27,'Adient Taizhou (China) WK.16'!$B:GX,HR$1,0),0)</f>
        <v>0</v>
      </c>
      <c r="HT27" s="60">
        <v>0</v>
      </c>
      <c r="HU27" s="128">
        <v>0</v>
      </c>
      <c r="HV27" s="32">
        <v>0</v>
      </c>
      <c r="HW27" s="106">
        <f t="shared" si="259"/>
        <v>120</v>
      </c>
      <c r="HX27" s="8"/>
      <c r="HY27" s="37">
        <f t="shared" si="186"/>
        <v>120</v>
      </c>
      <c r="HZ27" s="125">
        <f>IFERROR(VLOOKUP($D27,'Adient Assende (Belgium) WK.17'!$B:HB,IA$1,0),0)</f>
        <v>0</v>
      </c>
      <c r="IA27" s="55">
        <f>IFERROR(VLOOKUP($D27,'Adient Arendal (Malzia) WK.12'!$B:HC,IA$1,0),0)</f>
        <v>0</v>
      </c>
      <c r="IB27" s="55">
        <f>IFERROR(VLOOKUP($D27,'Adient Taizhou (China) WK.16'!$B:HF,IA$1,0),0)</f>
        <v>0</v>
      </c>
      <c r="IC27" s="60">
        <v>0</v>
      </c>
      <c r="ID27" s="128">
        <v>0</v>
      </c>
      <c r="IE27" s="32">
        <v>0</v>
      </c>
      <c r="IF27" s="106">
        <f t="shared" si="260"/>
        <v>120</v>
      </c>
      <c r="IG27" s="8"/>
      <c r="IH27" s="37">
        <f t="shared" si="187"/>
        <v>120</v>
      </c>
      <c r="II27" s="125">
        <f>IFERROR(VLOOKUP($D27,'Adient Assende (Belgium) WK.17'!$B:HJ,IJ$1,0),0)</f>
        <v>0</v>
      </c>
      <c r="IJ27" s="55">
        <f>IFERROR(VLOOKUP($D27,'Adient Arendal (Malzia) WK.12'!$B:HK,IJ$1,0),0)</f>
        <v>0</v>
      </c>
      <c r="IK27" s="55">
        <f>IFERROR(VLOOKUP($D27,'Adient Taizhou (China) WK.16'!$B:HN,IJ$1,0),0)</f>
        <v>0</v>
      </c>
      <c r="IL27" s="128">
        <v>0</v>
      </c>
      <c r="IM27" s="32">
        <v>0</v>
      </c>
      <c r="IN27" s="106">
        <f t="shared" si="188"/>
        <v>120</v>
      </c>
      <c r="IO27" s="8"/>
      <c r="IP27" s="37">
        <f t="shared" si="189"/>
        <v>120</v>
      </c>
      <c r="IQ27" s="125">
        <f>IFERROR(VLOOKUP($D27,'Adient Assende (Belgium) WK.17'!$B:HR,IR$1,0),0)</f>
        <v>0</v>
      </c>
      <c r="IR27" s="55">
        <f>IFERROR(VLOOKUP($D27,'Adient Arendal (Malzia) WK.12'!$B:HS,IR$1,0),0)</f>
        <v>0</v>
      </c>
      <c r="IS27" s="55">
        <f>IFERROR(VLOOKUP($D27,'Adient Taizhou (China) WK.16'!$B:HV,IR$1,0),0)</f>
        <v>0</v>
      </c>
      <c r="IT27" s="60">
        <v>0</v>
      </c>
      <c r="IU27" s="128">
        <v>0</v>
      </c>
      <c r="IV27" s="32">
        <v>0</v>
      </c>
      <c r="IW27" s="106">
        <f t="shared" si="261"/>
        <v>120</v>
      </c>
      <c r="IX27" s="8"/>
      <c r="IY27" s="186">
        <f>IW27-30</f>
        <v>90</v>
      </c>
      <c r="IZ27" s="125">
        <f>IFERROR(VLOOKUP($D27,'Adient Assende (Belgium) WK.17'!$B:HZ,JA$1,0),0)</f>
        <v>0</v>
      </c>
      <c r="JA27" s="55">
        <f>IFERROR(VLOOKUP($D27,'Adient Arendal (Malzia) WK.12'!$B:IA,JA$1,0),0)</f>
        <v>0</v>
      </c>
      <c r="JB27" s="55">
        <f>IFERROR(VLOOKUP($D27,'Adient Taizhou (China) WK.16'!$B:ID,JA$1,0),0)</f>
        <v>0</v>
      </c>
      <c r="JC27" s="128">
        <v>0</v>
      </c>
      <c r="JD27" s="32">
        <v>0</v>
      </c>
      <c r="JE27" s="106">
        <f t="shared" si="191"/>
        <v>90</v>
      </c>
      <c r="JF27" s="8"/>
      <c r="JG27" s="37">
        <f t="shared" si="192"/>
        <v>90</v>
      </c>
      <c r="JH27" s="125">
        <f>IFERROR(VLOOKUP($D27,'Adient Assende (Belgium) WK.17'!$B:IH,JI$1,0),0)</f>
        <v>0</v>
      </c>
      <c r="JI27" s="55">
        <f>IFERROR(VLOOKUP($D27,'Adient Arendal (Malzia) WK.12'!$B:II,JI$1,0),0)</f>
        <v>0</v>
      </c>
      <c r="JJ27" s="55">
        <f>IFERROR(VLOOKUP($D27,'Adient Taizhou (China) WK.16'!$B:IL,JI$1,0),0)</f>
        <v>0</v>
      </c>
      <c r="JK27" s="60">
        <v>0</v>
      </c>
      <c r="JL27" s="128">
        <v>0</v>
      </c>
      <c r="JM27" s="32">
        <v>0</v>
      </c>
      <c r="JN27" s="106">
        <f t="shared" si="262"/>
        <v>90</v>
      </c>
      <c r="JO27" s="8"/>
      <c r="JP27" s="37">
        <f t="shared" si="193"/>
        <v>90</v>
      </c>
      <c r="JQ27" s="125">
        <f>IFERROR(VLOOKUP($D27,'Adient Assende (Belgium) WK.17'!$B:IP,JR$1,0),0)</f>
        <v>0</v>
      </c>
      <c r="JR27" s="55">
        <f>IFERROR(VLOOKUP($D27,'Adient Arendal (Malzia) WK.12'!$B:IQ,JR$1,0),0)</f>
        <v>0</v>
      </c>
      <c r="JS27" s="55">
        <f>IFERROR(VLOOKUP($D27,'Adient Taizhou (China) WK.16'!$B:IT,JR$1,0),0)</f>
        <v>0</v>
      </c>
      <c r="JT27" s="128">
        <v>0</v>
      </c>
      <c r="JU27" s="32">
        <v>0</v>
      </c>
      <c r="JV27" s="106">
        <f t="shared" si="194"/>
        <v>90</v>
      </c>
      <c r="JW27" s="8"/>
      <c r="JX27" s="37">
        <f t="shared" si="195"/>
        <v>90</v>
      </c>
      <c r="JY27" s="154">
        <f>IFERROR(VLOOKUP($D27,'Adient Assende (Belgium) WK.17'!$B:IX,JZ$1,0),0)</f>
        <v>0</v>
      </c>
      <c r="JZ27" s="55">
        <f>IFERROR(VLOOKUP($D27,'Adient Arendal (Malzia) WK.12'!$B:IY,JZ$1,0),0)</f>
        <v>0</v>
      </c>
      <c r="KA27" s="55">
        <f>IFERROR(VLOOKUP($D27,'Adient Taizhou (China) WK.16'!$B:JB,JZ$1,0),0)</f>
        <v>0</v>
      </c>
      <c r="KB27" s="128">
        <v>0</v>
      </c>
      <c r="KC27" s="32">
        <v>0</v>
      </c>
      <c r="KD27" s="106">
        <f t="shared" si="263"/>
        <v>90</v>
      </c>
      <c r="KE27" s="8"/>
      <c r="KF27" s="37">
        <f t="shared" si="196"/>
        <v>90</v>
      </c>
      <c r="KG27" s="125">
        <f>IFERROR(VLOOKUP($D27,'Adient Assende (Belgium) WK.17'!$B:JF,KH$1,0),0)</f>
        <v>0</v>
      </c>
      <c r="KH27" s="55">
        <f>IFERROR(VLOOKUP($D27,'Adient Arendal (Malzia) WK.12'!$B:JG,KH$1,0),0)</f>
        <v>0</v>
      </c>
      <c r="KI27" s="55">
        <f>IFERROR(VLOOKUP($D27,'Adient Taizhou (China) WK.16'!$B:JJ,KH$1,0),0)</f>
        <v>0</v>
      </c>
      <c r="KJ27" s="60">
        <v>0</v>
      </c>
      <c r="KK27" s="128">
        <v>0</v>
      </c>
      <c r="KL27" s="32">
        <v>0</v>
      </c>
      <c r="KM27" s="106">
        <f t="shared" si="264"/>
        <v>90</v>
      </c>
      <c r="KN27" s="8"/>
      <c r="KO27" s="37">
        <f t="shared" si="197"/>
        <v>90</v>
      </c>
      <c r="KP27" s="141">
        <f>IFERROR(VLOOKUP($D27,'Adient Assende (Belgium) WK.17'!$B:JN,KQ$1,0),0)</f>
        <v>0</v>
      </c>
      <c r="KQ27" s="140">
        <f>IFERROR(VLOOKUP($D27,'Adient Arendal (Malzia) WK.12'!$B:JO,KQ$1,0),0)</f>
        <v>0</v>
      </c>
      <c r="KR27" s="140">
        <f>IFERROR(VLOOKUP($D27,'Adient Taizhou (China) WK.16'!$B:JR,KQ$1,0),0)</f>
        <v>0</v>
      </c>
      <c r="KS27" s="60">
        <v>0</v>
      </c>
      <c r="KT27" s="128">
        <v>0</v>
      </c>
      <c r="KU27" s="32">
        <v>0</v>
      </c>
      <c r="KV27" s="106">
        <f t="shared" si="265"/>
        <v>90</v>
      </c>
      <c r="KX27" s="37">
        <f t="shared" si="198"/>
        <v>90</v>
      </c>
      <c r="KY27" s="141">
        <f>IFERROR(VLOOKUP($D27,'Adient Assende (Belgium) WK.17'!$B:JV,KZ$1,0),0)</f>
        <v>0</v>
      </c>
      <c r="KZ27" s="140">
        <f>IFERROR(VLOOKUP($D27,'Adient Arendal (Malzia) WK.12'!$B:JW,KZ$1,0),0)</f>
        <v>0</v>
      </c>
      <c r="LA27" s="140">
        <f>IFERROR(VLOOKUP($D27,'Adient Taizhou (China) WK.16'!$B:JZ,KZ$1,0),0)</f>
        <v>0</v>
      </c>
      <c r="LB27" s="128">
        <v>0</v>
      </c>
      <c r="LC27" s="32">
        <v>0</v>
      </c>
      <c r="LD27" s="106">
        <f t="shared" si="266"/>
        <v>90</v>
      </c>
      <c r="LF27" s="37">
        <f t="shared" si="199"/>
        <v>90</v>
      </c>
      <c r="LG27" s="141">
        <f>IFERROR(VLOOKUP($D27,'Adient Assende (Belgium) WK.17'!$B:KD,LH$1,0),0)</f>
        <v>0</v>
      </c>
      <c r="LH27" s="140">
        <f>IFERROR(VLOOKUP($D27,'Adient Arendal (Malzia) WK.12'!$B:KE,LH$1,0),0)</f>
        <v>0</v>
      </c>
      <c r="LI27" s="140">
        <f>IFERROR(VLOOKUP($D27,'Adient Taizhou (China) WK.16'!$B:KH,LH$1,0),0)</f>
        <v>0</v>
      </c>
      <c r="LJ27" s="60">
        <v>0</v>
      </c>
      <c r="LK27" s="128">
        <v>0</v>
      </c>
      <c r="LL27" s="32">
        <v>0</v>
      </c>
      <c r="LM27" s="100">
        <f t="shared" si="267"/>
        <v>90</v>
      </c>
      <c r="LO27" s="37">
        <f t="shared" si="200"/>
        <v>90</v>
      </c>
      <c r="LP27" s="141">
        <f>IFERROR(VLOOKUP($D27,'Adient Assende (Belgium) WK.17'!$B:KL,LQ$1,0),0)</f>
        <v>0</v>
      </c>
      <c r="LQ27" s="140">
        <f>IFERROR(VLOOKUP($D27,'Adient Arendal (Malzia) WK.12'!$B:KM,LQ$1,0),0)</f>
        <v>0</v>
      </c>
      <c r="LR27" s="140">
        <f>IFERROR(VLOOKUP($D27,'Adient Taizhou (China) WK.16'!$B:KP,LQ$1,0),0)</f>
        <v>0</v>
      </c>
      <c r="LS27" s="128">
        <v>0</v>
      </c>
      <c r="LT27" s="32">
        <v>0</v>
      </c>
      <c r="LU27" s="100">
        <f t="shared" si="268"/>
        <v>90</v>
      </c>
      <c r="LW27" s="37">
        <f t="shared" si="201"/>
        <v>90</v>
      </c>
      <c r="LX27" s="141">
        <f>IFERROR(VLOOKUP($D27,'Adient Assende (Belgium) WK.17'!$B:KT,LY$1,0),0)</f>
        <v>0</v>
      </c>
      <c r="LY27" s="140">
        <f>IFERROR(VLOOKUP($D27,'Adient Arendal (Malzia) WK.12'!$B:KU,LY$1,0),0)</f>
        <v>0</v>
      </c>
      <c r="LZ27" s="140">
        <f>IFERROR(VLOOKUP($D27,'Adient Taizhou (China) WK.16'!$B:KX,LY$1,0),0)</f>
        <v>0</v>
      </c>
      <c r="MA27" s="128">
        <v>0</v>
      </c>
      <c r="MB27" s="32">
        <v>0</v>
      </c>
      <c r="MC27" s="100">
        <f t="shared" si="269"/>
        <v>90</v>
      </c>
      <c r="ME27" s="37">
        <f t="shared" si="202"/>
        <v>90</v>
      </c>
      <c r="MF27" s="154">
        <f>IFERROR(VLOOKUP($D27,'Adient Assende (Belgium) WK.17'!$B:LB,MG$1,0),0)</f>
        <v>0</v>
      </c>
      <c r="MG27" s="140">
        <f>IFERROR(VLOOKUP($D27,'Adient Arendal (Malzia) WK.12'!$B:LC,MG$1,0),0)</f>
        <v>0</v>
      </c>
      <c r="MH27" s="140">
        <f>IFERROR(VLOOKUP($D27,'Adient Taizhou (China) WK.16'!$B:LF,MG$1,0),0)</f>
        <v>0</v>
      </c>
      <c r="MI27" s="128">
        <v>0</v>
      </c>
      <c r="MJ27" s="32">
        <v>0</v>
      </c>
      <c r="MK27" s="100">
        <f t="shared" si="270"/>
        <v>90</v>
      </c>
      <c r="MM27" s="37">
        <f t="shared" si="203"/>
        <v>90</v>
      </c>
      <c r="MN27" s="141">
        <f>IFERROR(VLOOKUP($D27,'Adient Assende (Belgium) WK.17'!$B:LJ,MO$1,0),0)</f>
        <v>0</v>
      </c>
      <c r="MO27" s="140">
        <f>IFERROR(VLOOKUP($D27,'Adient Arendal (Malzia) WK.12'!$B:LK,MO$1,0),0)</f>
        <v>0</v>
      </c>
      <c r="MP27" s="140">
        <f>IFERROR(VLOOKUP($D27,'Adient Taizhou (China) WK.16'!$B:LN,MO$1,0),0)</f>
        <v>0</v>
      </c>
      <c r="MQ27" s="128">
        <v>0</v>
      </c>
      <c r="MR27" s="32">
        <v>0</v>
      </c>
      <c r="MS27" s="100">
        <f t="shared" si="271"/>
        <v>90</v>
      </c>
      <c r="MU27" s="37">
        <f t="shared" si="204"/>
        <v>90</v>
      </c>
      <c r="MV27" s="141">
        <f>IFERROR(VLOOKUP($D27,'Adient Assende (Belgium) WK.17'!$B:LR,MW$1,0),0)</f>
        <v>0</v>
      </c>
      <c r="MW27" s="140">
        <f>IFERROR(VLOOKUP($D27,'Adient Arendal (Malzia) WK.12'!$B:LS,MW$1,0),0)</f>
        <v>0</v>
      </c>
      <c r="MX27" s="140">
        <f>IFERROR(VLOOKUP($D27,'Adient Taizhou (China) WK.16'!$B:LV,MW$1,0),0)</f>
        <v>0</v>
      </c>
      <c r="MY27" s="128">
        <v>0</v>
      </c>
      <c r="MZ27" s="32">
        <v>0</v>
      </c>
      <c r="NA27" s="100">
        <f t="shared" si="272"/>
        <v>90</v>
      </c>
      <c r="NC27" s="37">
        <f t="shared" si="205"/>
        <v>90</v>
      </c>
      <c r="ND27" s="141">
        <f>IFERROR(VLOOKUP($D27,'Adient Assende (Belgium) WK.17'!$B:LZ,NE$1,0),0)</f>
        <v>0</v>
      </c>
      <c r="NE27" s="140">
        <f>IFERROR(VLOOKUP($D27,'Adient Arendal (Malzia) WK.12'!$B:MA,NE$1,0),0)</f>
        <v>0</v>
      </c>
      <c r="NF27" s="140">
        <f>IFERROR(VLOOKUP($D27,'Adient Taizhou (China) WK.16'!$B:MD,NE$1,0),0)</f>
        <v>0</v>
      </c>
      <c r="NG27" s="128">
        <v>0</v>
      </c>
      <c r="NH27" s="32">
        <v>0</v>
      </c>
      <c r="NI27" s="100">
        <f t="shared" si="273"/>
        <v>90</v>
      </c>
      <c r="NK27" s="37">
        <f t="shared" si="206"/>
        <v>90</v>
      </c>
      <c r="NL27" s="141">
        <f>IFERROR(VLOOKUP($D27,'Adient Assende (Belgium) WK.17'!$B:MH,NM$1,0),0)</f>
        <v>0</v>
      </c>
      <c r="NM27" s="140">
        <f>IFERROR(VLOOKUP($D27,'Adient Arendal (Malzia) WK.12'!$B:MI,NM$1,0),0)</f>
        <v>0</v>
      </c>
      <c r="NN27" s="140">
        <f>IFERROR(VLOOKUP($D27,'Adient Taizhou (China) WK.16'!$B:ML,NM$1,0),0)</f>
        <v>0</v>
      </c>
      <c r="NO27" s="128">
        <v>0</v>
      </c>
      <c r="NP27" s="32">
        <v>0</v>
      </c>
      <c r="NQ27" s="100">
        <f t="shared" si="274"/>
        <v>90</v>
      </c>
      <c r="NS27" s="37">
        <f t="shared" si="207"/>
        <v>90</v>
      </c>
      <c r="NT27" s="141">
        <f>IFERROR(VLOOKUP($D27,'Adient Assende (Belgium) WK.17'!$B:MP,NU$1,0),0)</f>
        <v>0</v>
      </c>
      <c r="NU27" s="140">
        <f>IFERROR(VLOOKUP($D27,'Adient Arendal (Malzia) WK.12'!$B:MQ,NU$1,0),0)</f>
        <v>0</v>
      </c>
      <c r="NV27" s="140">
        <f>IFERROR(VLOOKUP($D27,'Adient Taizhou (China) WK.16'!$B:MT,NU$1,0),0)</f>
        <v>0</v>
      </c>
      <c r="NW27" s="128">
        <v>0</v>
      </c>
      <c r="NX27" s="32">
        <v>0</v>
      </c>
      <c r="NY27" s="100">
        <f t="shared" si="275"/>
        <v>90</v>
      </c>
      <c r="OA27" s="37">
        <f t="shared" si="208"/>
        <v>90</v>
      </c>
      <c r="OB27" s="141">
        <f>IFERROR(VLOOKUP($D27,'Adient Assende (Belgium) WK.17'!$B:MX,OC$1,0),0)</f>
        <v>0</v>
      </c>
      <c r="OC27" s="140">
        <f>IFERROR(VLOOKUP($D27,'Adient Arendal (Malzia) WK.12'!$B:MY,OC$1,0),0)</f>
        <v>0</v>
      </c>
      <c r="OD27" s="140">
        <f>IFERROR(VLOOKUP($D27,'Adient Taizhou (China) WK.16'!$B:NB,OC$1,0),0)</f>
        <v>0</v>
      </c>
      <c r="OE27" s="128">
        <v>0</v>
      </c>
      <c r="OF27" s="32">
        <v>0</v>
      </c>
      <c r="OG27" s="100">
        <f t="shared" si="276"/>
        <v>90</v>
      </c>
      <c r="OI27" s="37">
        <f t="shared" si="209"/>
        <v>90</v>
      </c>
      <c r="OJ27" s="141">
        <f>IFERROR(VLOOKUP($D27,'Adient Assende (Belgium) WK.17'!$B:NF,OK$1,0),0)</f>
        <v>0</v>
      </c>
      <c r="OK27" s="140">
        <f>IFERROR(VLOOKUP($D27,'Adient Arendal (Malzia) WK.12'!$B:NG,OK$1,0),0)</f>
        <v>0</v>
      </c>
      <c r="OL27" s="140">
        <f>IFERROR(VLOOKUP($D27,'Adient Taizhou (China) WK.16'!$B:NJ,OK$1,0),0)</f>
        <v>0</v>
      </c>
      <c r="OM27" s="128">
        <v>0</v>
      </c>
      <c r="ON27" s="32">
        <v>0</v>
      </c>
      <c r="OO27" s="100">
        <f t="shared" si="277"/>
        <v>90</v>
      </c>
      <c r="OQ27" s="37">
        <f t="shared" si="210"/>
        <v>90</v>
      </c>
      <c r="OR27" s="141">
        <f>IFERROR(VLOOKUP($D27,'Adient Assende (Belgium) WK.17'!$B:NN,OS$1,0),0)</f>
        <v>0</v>
      </c>
      <c r="OS27" s="140">
        <f>IFERROR(VLOOKUP($D27,'Adient Arendal (Malzia) WK.12'!$B:NO,OS$1,0),0)</f>
        <v>0</v>
      </c>
      <c r="OT27" s="140">
        <f>IFERROR(VLOOKUP($D27,'Adient Taizhou (China) WK.16'!$B:NR,OS$1,0),0)</f>
        <v>0</v>
      </c>
      <c r="OU27" s="128">
        <v>0</v>
      </c>
      <c r="OV27" s="32">
        <v>0</v>
      </c>
      <c r="OW27" s="100">
        <f t="shared" si="278"/>
        <v>90</v>
      </c>
      <c r="OY27" s="37">
        <f t="shared" si="211"/>
        <v>90</v>
      </c>
      <c r="OZ27" s="141">
        <f>IFERROR(VLOOKUP($D27,'Adient Assende (Belgium) WK.17'!$B:NV,PA$1,0),0)</f>
        <v>0</v>
      </c>
      <c r="PA27" s="140">
        <f>IFERROR(VLOOKUP($D27,'Adient Arendal (Malzia) WK.12'!$B:NW,PA$1,0),0)</f>
        <v>0</v>
      </c>
      <c r="PB27" s="140">
        <f>IFERROR(VLOOKUP($D27,'Adient Taizhou (China) WK.16'!$B:NZ,PA$1,0),0)</f>
        <v>0</v>
      </c>
      <c r="PC27" s="128">
        <v>0</v>
      </c>
      <c r="PD27" s="32">
        <v>0</v>
      </c>
      <c r="PE27" s="100">
        <f t="shared" si="279"/>
        <v>90</v>
      </c>
      <c r="PG27" s="37">
        <f t="shared" si="212"/>
        <v>90</v>
      </c>
      <c r="PH27" s="141">
        <f>IFERROR(VLOOKUP($D27,'Adient Assende (Belgium) WK.17'!$B:OD,PI$1,0),0)</f>
        <v>0</v>
      </c>
      <c r="PI27" s="140">
        <f>IFERROR(VLOOKUP($D27,'Adient Arendal (Malzia) WK.12'!$B:OE,PI$1,0),0)</f>
        <v>0</v>
      </c>
      <c r="PJ27" s="140">
        <f>IFERROR(VLOOKUP($D27,'Adient Taizhou (China) WK.16'!$B:OH,PI$1,0),0)</f>
        <v>0</v>
      </c>
      <c r="PK27" s="128">
        <v>0</v>
      </c>
      <c r="PL27" s="32">
        <v>0</v>
      </c>
      <c r="PM27" s="100">
        <f t="shared" si="280"/>
        <v>90</v>
      </c>
      <c r="PO27" s="37">
        <f t="shared" si="213"/>
        <v>90</v>
      </c>
      <c r="PP27" s="141">
        <f>IFERROR(VLOOKUP($D27,'Adient Assende (Belgium) WK.17'!$B:OL,PQ$1,0),0)</f>
        <v>0</v>
      </c>
      <c r="PQ27" s="140">
        <f>IFERROR(VLOOKUP($D27,'Adient Arendal (Malzia) WK.12'!$B:OM,PQ$1,0),0)</f>
        <v>0</v>
      </c>
      <c r="PR27" s="140">
        <f>IFERROR(VLOOKUP($D27,'Adient Taizhou (China) WK.16'!$B:OP,PQ$1,0),0)</f>
        <v>0</v>
      </c>
      <c r="PS27" s="128">
        <v>0</v>
      </c>
      <c r="PT27" s="32">
        <v>0</v>
      </c>
      <c r="PU27" s="100">
        <f t="shared" si="281"/>
        <v>90</v>
      </c>
      <c r="PW27" s="37">
        <f t="shared" si="214"/>
        <v>90</v>
      </c>
      <c r="PX27" s="141">
        <f>IFERROR(VLOOKUP($D27,'Adient Assende (Belgium) WK.17'!$B:OT,PY$1,0),0)</f>
        <v>0</v>
      </c>
      <c r="PY27" s="140">
        <f>IFERROR(VLOOKUP($D27,'Adient Arendal (Malzia) WK.12'!$B:OU,PY$1,0),0)</f>
        <v>0</v>
      </c>
      <c r="PZ27" s="140">
        <f>IFERROR(VLOOKUP($D27,'Adient Taizhou (China) WK.16'!$B:OX,PY$1,0),0)</f>
        <v>0</v>
      </c>
      <c r="QA27" s="128">
        <v>0</v>
      </c>
      <c r="QB27" s="32">
        <v>0</v>
      </c>
      <c r="QC27" s="100">
        <f t="shared" si="282"/>
        <v>90</v>
      </c>
      <c r="QE27" s="37">
        <f t="shared" si="215"/>
        <v>90</v>
      </c>
      <c r="QF27" s="141">
        <f>IFERROR(VLOOKUP($D27,'Adient Assende (Belgium) WK.17'!$B:PB,QG$1,0),0)</f>
        <v>0</v>
      </c>
      <c r="QG27" s="140">
        <f>IFERROR(VLOOKUP($D27,'Adient Arendal (Malzia) WK.12'!$B:PC,QG$1,0),0)</f>
        <v>0</v>
      </c>
      <c r="QH27" s="140">
        <f>IFERROR(VLOOKUP($D27,'Adient Taizhou (China) WK.16'!$B:PF,QG$1,0),0)</f>
        <v>0</v>
      </c>
      <c r="QI27" s="128">
        <v>0</v>
      </c>
      <c r="QJ27" s="32">
        <v>0</v>
      </c>
      <c r="QK27" s="100">
        <f t="shared" si="283"/>
        <v>90</v>
      </c>
      <c r="QM27" s="37">
        <f t="shared" si="216"/>
        <v>90</v>
      </c>
      <c r="QN27" s="141">
        <f>IFERROR(VLOOKUP($D27,'Adient Assende (Belgium) WK.17'!$B:PJ,QO$1,0),0)</f>
        <v>0</v>
      </c>
      <c r="QO27" s="140">
        <f>IFERROR(VLOOKUP($D27,'Adient Arendal (Malzia) WK.12'!$B:PK,QO$1,0),0)</f>
        <v>0</v>
      </c>
      <c r="QP27" s="140">
        <f>IFERROR(VLOOKUP($D27,'Adient Taizhou (China) WK.16'!$B:PN,QO$1,0),0)</f>
        <v>0</v>
      </c>
      <c r="QQ27" s="128">
        <v>0</v>
      </c>
      <c r="QR27" s="32">
        <v>0</v>
      </c>
      <c r="QS27" s="100">
        <f t="shared" si="284"/>
        <v>90</v>
      </c>
      <c r="QU27" s="37">
        <f t="shared" si="217"/>
        <v>90</v>
      </c>
      <c r="QV27" s="141">
        <f>IFERROR(VLOOKUP($D27,'Adient Assende (Belgium) WK.17'!$B:PR,QW$1,0),0)</f>
        <v>0</v>
      </c>
      <c r="QW27" s="140">
        <f>IFERROR(VLOOKUP($D27,'Adient Arendal (Malzia) WK.12'!$B:PS,QW$1,0),0)</f>
        <v>0</v>
      </c>
      <c r="QX27" s="140">
        <f>IFERROR(VLOOKUP($D27,'Adient Taizhou (China) WK.16'!$B:PV,QW$1,0),0)</f>
        <v>0</v>
      </c>
      <c r="QY27" s="128">
        <v>0</v>
      </c>
      <c r="QZ27" s="32">
        <v>0</v>
      </c>
      <c r="RA27" s="100">
        <f t="shared" si="285"/>
        <v>90</v>
      </c>
      <c r="RC27" s="37">
        <f t="shared" si="218"/>
        <v>90</v>
      </c>
      <c r="RD27" s="141">
        <f>IFERROR(VLOOKUP($D27,'Adient Assende (Belgium) WK.17'!$B:PZ,RE$1,0),0)</f>
        <v>0</v>
      </c>
      <c r="RE27" s="140">
        <f>IFERROR(VLOOKUP($D27,'Adient Arendal (Malzia) WK.12'!$B:QA,RE$1,0),0)</f>
        <v>0</v>
      </c>
      <c r="RF27" s="140">
        <f>IFERROR(VLOOKUP($D27,'Adient Taizhou (China) WK.16'!$B:QD,RE$1,0),0)</f>
        <v>0</v>
      </c>
      <c r="RG27" s="128">
        <v>0</v>
      </c>
      <c r="RH27" s="32">
        <v>0</v>
      </c>
      <c r="RI27" s="100">
        <f t="shared" si="286"/>
        <v>90</v>
      </c>
      <c r="RK27" s="37">
        <f t="shared" si="219"/>
        <v>90</v>
      </c>
      <c r="RL27" s="141">
        <f>IFERROR(VLOOKUP($D27,'Adient Assende (Belgium) WK.17'!$B:QH,RM$1,0),0)</f>
        <v>0</v>
      </c>
      <c r="RM27" s="140">
        <f>IFERROR(VLOOKUP($D27,'Adient Arendal (Malzia) WK.12'!$B:QI,RM$1,0),0)</f>
        <v>0</v>
      </c>
      <c r="RN27" s="140">
        <f>IFERROR(VLOOKUP($D27,'Adient Taizhou (China) WK.16'!$B:QL,RM$1,0),0)</f>
        <v>0</v>
      </c>
      <c r="RO27" s="128">
        <v>0</v>
      </c>
      <c r="RP27" s="32">
        <v>0</v>
      </c>
      <c r="RQ27" s="100">
        <f t="shared" si="287"/>
        <v>90</v>
      </c>
      <c r="RS27" s="37">
        <f t="shared" si="220"/>
        <v>90</v>
      </c>
      <c r="RT27" s="141">
        <f>IFERROR(VLOOKUP($D27,'Adient Assende (Belgium) WK.17'!$B:QP,RU$1,0),0)</f>
        <v>0</v>
      </c>
      <c r="RU27" s="140">
        <f>IFERROR(VLOOKUP($D27,'Adient Arendal (Malzia) WK.12'!$B:QQ,RU$1,0),0)</f>
        <v>0</v>
      </c>
      <c r="RV27" s="140">
        <f>IFERROR(VLOOKUP($D27,'Adient Taizhou (China) WK.16'!$B:QT,RU$1,0),0)</f>
        <v>0</v>
      </c>
      <c r="RW27" s="128">
        <v>0</v>
      </c>
      <c r="RX27" s="32">
        <v>0</v>
      </c>
      <c r="RY27" s="100">
        <f t="shared" si="288"/>
        <v>90</v>
      </c>
      <c r="SA27" s="37">
        <f t="shared" si="221"/>
        <v>90</v>
      </c>
      <c r="SB27" s="141">
        <f>IFERROR(VLOOKUP($D27,'Adient Assende (Belgium) WK.17'!$B:QX,SC$1,0),0)</f>
        <v>0</v>
      </c>
      <c r="SC27" s="140">
        <f>IFERROR(VLOOKUP($D27,'Adient Arendal (Malzia) WK.12'!$B:QY,SC$1,0),0)</f>
        <v>0</v>
      </c>
      <c r="SD27" s="140">
        <f>IFERROR(VLOOKUP($D27,'Adient Taizhou (China) WK.16'!$B:RB,SC$1,0),0)</f>
        <v>0</v>
      </c>
      <c r="SE27" s="128">
        <v>0</v>
      </c>
      <c r="SF27" s="32">
        <v>0</v>
      </c>
      <c r="SG27" s="100">
        <f t="shared" si="289"/>
        <v>90</v>
      </c>
      <c r="SI27" s="37">
        <f t="shared" si="222"/>
        <v>90</v>
      </c>
      <c r="SJ27" s="141">
        <f>IFERROR(VLOOKUP($D27,'Adient Assende (Belgium) WK.17'!$B:RF,SK$1,0),0)</f>
        <v>0</v>
      </c>
      <c r="SK27" s="140">
        <f>IFERROR(VLOOKUP($D27,'Adient Arendal (Malzia) WK.12'!$B:RG,SK$1,0),0)</f>
        <v>0</v>
      </c>
      <c r="SL27" s="140">
        <f>IFERROR(VLOOKUP($D27,'Adient Taizhou (China) WK.16'!$B:RJ,SK$1,0),0)</f>
        <v>0</v>
      </c>
      <c r="SM27" s="128">
        <v>0</v>
      </c>
      <c r="SN27" s="32">
        <v>0</v>
      </c>
      <c r="SO27" s="100">
        <f t="shared" si="290"/>
        <v>90</v>
      </c>
      <c r="SQ27" s="37">
        <f t="shared" si="223"/>
        <v>90</v>
      </c>
      <c r="SR27" s="141">
        <f>IFERROR(VLOOKUP($D27,'Adient Assende (Belgium) WK.17'!$B:RN,SS$1,0),0)</f>
        <v>0</v>
      </c>
      <c r="SS27" s="140">
        <f>IFERROR(VLOOKUP($D27,'Adient Arendal (Malzia) WK.12'!$B:RO,SS$1,0),0)</f>
        <v>0</v>
      </c>
      <c r="ST27" s="140">
        <f>IFERROR(VLOOKUP($D27,'Adient Taizhou (China) WK.16'!$B:RR,SS$1,0),0)</f>
        <v>0</v>
      </c>
      <c r="SU27" s="128">
        <v>0</v>
      </c>
      <c r="SV27" s="32">
        <v>0</v>
      </c>
      <c r="SW27" s="100">
        <f t="shared" si="291"/>
        <v>90</v>
      </c>
      <c r="SY27" s="37">
        <f t="shared" si="224"/>
        <v>90</v>
      </c>
      <c r="SZ27" s="141">
        <f>IFERROR(VLOOKUP($D27,'Adient Assende (Belgium) WK.17'!$B:RV,TA$1,0),0)</f>
        <v>0</v>
      </c>
      <c r="TA27" s="140">
        <f>IFERROR(VLOOKUP($D27,'Adient Arendal (Malzia) WK.12'!$B:RW,TA$1,0),0)</f>
        <v>0</v>
      </c>
      <c r="TB27" s="140">
        <f>IFERROR(VLOOKUP($D27,'Adient Taizhou (China) WK.16'!$B:RZ,TA$1,0),0)</f>
        <v>0</v>
      </c>
      <c r="TC27" s="128">
        <v>0</v>
      </c>
      <c r="TD27" s="32">
        <v>0</v>
      </c>
      <c r="TE27" s="100">
        <f t="shared" si="292"/>
        <v>90</v>
      </c>
      <c r="TG27" s="37">
        <f t="shared" si="225"/>
        <v>90</v>
      </c>
      <c r="TH27" s="141">
        <f>IFERROR(VLOOKUP($D27,'Adient Assende (Belgium) WK.17'!$B:SD,TI$1,0),0)</f>
        <v>0</v>
      </c>
      <c r="TI27" s="140">
        <f>IFERROR(VLOOKUP($D27,'Adient Arendal (Malzia) WK.12'!$B:SE,TI$1,0),0)</f>
        <v>0</v>
      </c>
      <c r="TJ27" s="140">
        <f>IFERROR(VLOOKUP($D27,'Adient Taizhou (China) WK.16'!$B:SH,TI$1,0),0)</f>
        <v>0</v>
      </c>
      <c r="TK27" s="128">
        <v>0</v>
      </c>
      <c r="TL27" s="32">
        <v>0</v>
      </c>
      <c r="TM27" s="100">
        <f t="shared" si="293"/>
        <v>90</v>
      </c>
      <c r="TO27" s="37">
        <f t="shared" si="226"/>
        <v>90</v>
      </c>
      <c r="TP27" s="141">
        <f>IFERROR(VLOOKUP($D27,'Adient Assende (Belgium) WK.17'!$B:SL,TQ$1,0),0)</f>
        <v>0</v>
      </c>
      <c r="TQ27" s="140">
        <f>IFERROR(VLOOKUP($D27,'Adient Arendal (Malzia) WK.12'!$B:SM,TQ$1,0),0)</f>
        <v>0</v>
      </c>
      <c r="TR27" s="140">
        <f>IFERROR(VLOOKUP($D27,'Adient Taizhou (China) WK.16'!$B:SP,TQ$1,0),0)</f>
        <v>0</v>
      </c>
      <c r="TS27" s="128">
        <v>0</v>
      </c>
      <c r="TT27" s="32">
        <v>0</v>
      </c>
      <c r="TU27" s="100">
        <f t="shared" si="294"/>
        <v>90</v>
      </c>
      <c r="TW27" s="37">
        <f t="shared" si="227"/>
        <v>90</v>
      </c>
      <c r="TX27" s="141">
        <f>IFERROR(VLOOKUP($D27,'Adient Assende (Belgium) WK.17'!$B:ST,TY$1,0),0)</f>
        <v>0</v>
      </c>
      <c r="TY27" s="140">
        <f>IFERROR(VLOOKUP($D27,'Adient Arendal (Malzia) WK.12'!$B:SU,TY$1,0),0)</f>
        <v>0</v>
      </c>
      <c r="TZ27" s="140">
        <f>IFERROR(VLOOKUP($D27,'Adient Taizhou (China) WK.16'!$B:SX,TY$1,0),0)</f>
        <v>0</v>
      </c>
      <c r="UA27" s="128">
        <v>0</v>
      </c>
      <c r="UB27" s="32">
        <v>0</v>
      </c>
      <c r="UC27" s="100">
        <f t="shared" si="295"/>
        <v>90</v>
      </c>
      <c r="UE27" s="37">
        <f t="shared" si="228"/>
        <v>90</v>
      </c>
      <c r="UF27" s="141">
        <f>IFERROR(VLOOKUP($D27,'Adient Assende (Belgium) WK.17'!$B:TB,UG$1,0),0)</f>
        <v>0</v>
      </c>
      <c r="UG27" s="140">
        <f>IFERROR(VLOOKUP($D27,'Adient Arendal (Malzia) WK.12'!$B:TC,UG$1,0),0)</f>
        <v>0</v>
      </c>
      <c r="UH27" s="140">
        <f>IFERROR(VLOOKUP($D27,'Adient Taizhou (China) WK.16'!$B:TF,UG$1,0),0)</f>
        <v>0</v>
      </c>
      <c r="UI27" s="128">
        <v>0</v>
      </c>
      <c r="UJ27" s="32">
        <v>0</v>
      </c>
      <c r="UK27" s="100">
        <f t="shared" si="296"/>
        <v>90</v>
      </c>
      <c r="UM27" s="37">
        <f t="shared" si="229"/>
        <v>90</v>
      </c>
      <c r="UN27" s="141">
        <f>IFERROR(VLOOKUP($D27,'Adient Assende (Belgium) WK.17'!$B:TJ,UO$1,0),0)</f>
        <v>0</v>
      </c>
      <c r="UO27" s="140">
        <f>IFERROR(VLOOKUP($D27,'Adient Arendal (Malzia) WK.12'!$B:TK,UO$1,0),0)</f>
        <v>0</v>
      </c>
      <c r="UP27" s="140">
        <f>IFERROR(VLOOKUP($D27,'Adient Taizhou (China) WK.16'!$B:TN,UO$1,0),0)</f>
        <v>0</v>
      </c>
      <c r="UQ27" s="128">
        <v>0</v>
      </c>
      <c r="UR27" s="32">
        <v>0</v>
      </c>
      <c r="US27" s="100">
        <f t="shared" si="297"/>
        <v>90</v>
      </c>
      <c r="UU27" s="37">
        <f t="shared" si="230"/>
        <v>90</v>
      </c>
      <c r="UV27" s="141">
        <f>IFERROR(VLOOKUP($D27,'Adient Assende (Belgium) WK.17'!$B:TR,UW$1,0),0)</f>
        <v>0</v>
      </c>
      <c r="UW27" s="140">
        <f>IFERROR(VLOOKUP($D27,'Adient Arendal (Malzia) WK.12'!$B:TS,UW$1,0),0)</f>
        <v>0</v>
      </c>
      <c r="UX27" s="140">
        <f>IFERROR(VLOOKUP($D27,'Adient Taizhou (China) WK.16'!$B:TV,UW$1,0),0)</f>
        <v>0</v>
      </c>
      <c r="UY27" s="128">
        <v>0</v>
      </c>
      <c r="UZ27" s="32">
        <v>0</v>
      </c>
      <c r="VA27" s="100">
        <f t="shared" si="298"/>
        <v>90</v>
      </c>
      <c r="VC27" s="37">
        <f t="shared" si="231"/>
        <v>90</v>
      </c>
      <c r="VD27" s="141">
        <f>IFERROR(VLOOKUP($D27,'Adient Assende (Belgium) WK.17'!$B:TZ,VE$1,0),0)</f>
        <v>0</v>
      </c>
      <c r="VE27" s="140">
        <f>IFERROR(VLOOKUP($D27,'Adient Arendal (Malzia) WK.12'!$B:UA,VE$1,0),0)</f>
        <v>0</v>
      </c>
      <c r="VF27" s="140">
        <f>IFERROR(VLOOKUP($D27,'Adient Taizhou (China) WK.16'!$B:UD,VE$1,0),0)</f>
        <v>0</v>
      </c>
      <c r="VG27" s="128">
        <v>0</v>
      </c>
      <c r="VH27" s="32">
        <v>0</v>
      </c>
      <c r="VI27" s="100">
        <f t="shared" si="299"/>
        <v>90</v>
      </c>
      <c r="VK27" s="37">
        <f t="shared" si="232"/>
        <v>90</v>
      </c>
      <c r="VL27" s="141">
        <f>IFERROR(VLOOKUP($D27,'Adient Assende (Belgium) WK.17'!$B:UH,VM$1,0),0)</f>
        <v>0</v>
      </c>
      <c r="VM27" s="140">
        <f>IFERROR(VLOOKUP($D27,'Adient Arendal (Malzia) WK.12'!$B:UI,VM$1,0),0)</f>
        <v>0</v>
      </c>
      <c r="VN27" s="140">
        <f>IFERROR(VLOOKUP($D27,'Adient Taizhou (China) WK.16'!$B:UL,VM$1,0),0)</f>
        <v>0</v>
      </c>
      <c r="VO27" s="128">
        <v>0</v>
      </c>
      <c r="VP27" s="32">
        <v>0</v>
      </c>
      <c r="VQ27" s="100">
        <f t="shared" si="300"/>
        <v>90</v>
      </c>
    </row>
    <row r="28" spans="1:589" x14ac:dyDescent="0.25">
      <c r="A28" s="10" t="s">
        <v>18</v>
      </c>
      <c r="B28" s="11" t="s">
        <v>19</v>
      </c>
      <c r="C28" s="87">
        <v>32332627</v>
      </c>
      <c r="D28" s="81">
        <v>5180032</v>
      </c>
      <c r="E28" s="11">
        <v>20</v>
      </c>
      <c r="F28" s="12"/>
      <c r="H28" s="122">
        <v>680</v>
      </c>
      <c r="I28" s="125">
        <f>IFERROR(VLOOKUP($D28,'Adient Assende (Belgium) WK.17'!$B:C,J$1,0),0)</f>
        <v>0</v>
      </c>
      <c r="J28" s="55">
        <f>IFERROR(VLOOKUP($D28,'Adient Arendal (Malzia) WK.12'!$B:C,J$1,0),0)</f>
        <v>0</v>
      </c>
      <c r="K28" s="55">
        <f>IFERROR(VLOOKUP($D28,'Adient Taizhou (China) WK.16'!$B:C,J$1,0),0)</f>
        <v>0</v>
      </c>
      <c r="L28" s="128">
        <v>0</v>
      </c>
      <c r="M28" s="32">
        <v>0</v>
      </c>
      <c r="N28" s="106">
        <f t="shared" si="233"/>
        <v>680</v>
      </c>
      <c r="P28" s="37">
        <f t="shared" si="234"/>
        <v>680</v>
      </c>
      <c r="Q28" s="125">
        <f>IFERROR(VLOOKUP($D28,'Adient Assende (Belgium) WK.17'!$B:K,R$1,0),0)</f>
        <v>0</v>
      </c>
      <c r="R28" s="55">
        <f>IFERROR(VLOOKUP($D28,'Adient Arendal (Malzia) WK.12'!$B:K,R$1,0),0)</f>
        <v>0</v>
      </c>
      <c r="S28" s="55">
        <f>IFERROR(VLOOKUP($D28,'Adient Taizhou (China) WK.16'!$B:K,R$1,0),0)</f>
        <v>0</v>
      </c>
      <c r="T28" s="41">
        <v>80</v>
      </c>
      <c r="U28" s="32">
        <v>0</v>
      </c>
      <c r="V28" s="106">
        <f t="shared" si="235"/>
        <v>600</v>
      </c>
      <c r="X28" s="37">
        <f t="shared" si="236"/>
        <v>600</v>
      </c>
      <c r="Y28" s="125">
        <f>IFERROR(VLOOKUP($D28,'Adient Assende (Belgium) WK.17'!$B:S,Z$1,0),0)</f>
        <v>80</v>
      </c>
      <c r="Z28" s="55">
        <f>IFERROR(VLOOKUP($D28,'Adient Arendal (Malzia) WK.12'!$B:S,Z$1,0),0)</f>
        <v>0</v>
      </c>
      <c r="AA28" s="55">
        <f>IFERROR(VLOOKUP($D28,'Adient Taizhou (China) WK.16'!$B:S,Z$1,0),0)</f>
        <v>0</v>
      </c>
      <c r="AB28" s="41">
        <v>80</v>
      </c>
      <c r="AC28" s="32">
        <v>0</v>
      </c>
      <c r="AD28" s="106">
        <f t="shared" si="237"/>
        <v>520</v>
      </c>
      <c r="AF28" s="37">
        <f t="shared" si="238"/>
        <v>520</v>
      </c>
      <c r="AG28" s="125">
        <f>IFERROR(VLOOKUP($D28,'Adient Assende (Belgium) WK.17'!$B:AA,AH$1,0),0)</f>
        <v>80</v>
      </c>
      <c r="AH28" s="55">
        <f>IFERROR(VLOOKUP($D28,'Adient Arendal (Malzia) WK.12'!$B:AA,AH$1,0),0)</f>
        <v>0</v>
      </c>
      <c r="AI28" s="55">
        <f>IFERROR(VLOOKUP($D28,'Adient Taizhou (China) WK.16'!$B:AA,AH$1,0),0)</f>
        <v>0</v>
      </c>
      <c r="AJ28" s="41">
        <v>80</v>
      </c>
      <c r="AK28" s="32">
        <v>0</v>
      </c>
      <c r="AL28" s="106">
        <f t="shared" si="239"/>
        <v>440</v>
      </c>
      <c r="AN28" s="37">
        <f t="shared" si="164"/>
        <v>440</v>
      </c>
      <c r="AO28" s="125">
        <f>IFERROR(VLOOKUP($D28,'Adient Assende (Belgium) WK.17'!$B:AI,AP$1,0),0)</f>
        <v>80</v>
      </c>
      <c r="AP28" s="55">
        <f>IFERROR(VLOOKUP($D28,'Adient Arendal (Malzia) WK.12'!$B:AI,AP$1,0),0)</f>
        <v>0</v>
      </c>
      <c r="AQ28" s="55">
        <f>IFERROR(VLOOKUP($D28,'Adient Taizhou (China) WK.16'!$B:AI,AP$1,0),0)</f>
        <v>0</v>
      </c>
      <c r="AR28" s="60">
        <v>0</v>
      </c>
      <c r="AS28" s="41">
        <v>160</v>
      </c>
      <c r="AT28" s="32">
        <v>0</v>
      </c>
      <c r="AU28" s="106">
        <f t="shared" si="240"/>
        <v>280</v>
      </c>
      <c r="AW28" s="37">
        <f t="shared" si="165"/>
        <v>280</v>
      </c>
      <c r="AX28" s="125">
        <f>IFERROR(VLOOKUP($D28,'Adient Assende (Belgium) WK.17'!$B:AR,AY$1,0),0)</f>
        <v>160</v>
      </c>
      <c r="AY28" s="55">
        <f>IFERROR(VLOOKUP($D28,'Adient Arendal (Malzia) WK.12'!$B:AR,AY$1,0),0)</f>
        <v>0</v>
      </c>
      <c r="AZ28" s="55">
        <f>IFERROR(VLOOKUP($D28,'Adient Taizhou (China) WK.16'!$B:AU,AY$1,0),0)</f>
        <v>0</v>
      </c>
      <c r="BA28" s="41">
        <v>80</v>
      </c>
      <c r="BB28" s="32">
        <v>0</v>
      </c>
      <c r="BC28" s="106">
        <f t="shared" si="241"/>
        <v>200</v>
      </c>
      <c r="BE28" s="37">
        <f t="shared" si="166"/>
        <v>200</v>
      </c>
      <c r="BF28" s="125">
        <f>IFERROR(VLOOKUP($D28,'Adient Assende (Belgium) WK.17'!$B:AX,BG$1,0),0)</f>
        <v>80</v>
      </c>
      <c r="BG28" s="55">
        <f>IFERROR(VLOOKUP($D28,'Adient Arendal (Malzia) WK.12'!$B:AZ,BG$1,0),0)</f>
        <v>0</v>
      </c>
      <c r="BH28" s="55">
        <f>IFERROR(VLOOKUP($D28,'Adient Taizhou (China) WK.16'!$B:BB,BG$1,0),0)</f>
        <v>0</v>
      </c>
      <c r="BI28" s="60">
        <v>20</v>
      </c>
      <c r="BJ28" s="60">
        <v>0</v>
      </c>
      <c r="BK28" s="41">
        <v>80</v>
      </c>
      <c r="BL28" s="32">
        <v>0</v>
      </c>
      <c r="BM28" s="106">
        <f t="shared" si="242"/>
        <v>140</v>
      </c>
      <c r="BN28" s="8"/>
      <c r="BO28" s="37">
        <f t="shared" si="167"/>
        <v>140</v>
      </c>
      <c r="BP28" s="125">
        <f>IFERROR(VLOOKUP($D28,'Adient Assende (Belgium) WK.17'!$B:BH,BQ$1,0),0)</f>
        <v>80</v>
      </c>
      <c r="BQ28" s="55">
        <f>IFERROR(VLOOKUP($D28,'Adient Arendal (Malzia) WK.12'!$B:BI,BQ$1,0),0)</f>
        <v>0</v>
      </c>
      <c r="BR28" s="55">
        <f>IFERROR(VLOOKUP($D28,'Adient Taizhou (China) WK.16'!$B:BL,BQ$1,0),0)</f>
        <v>0</v>
      </c>
      <c r="BS28" s="60">
        <v>20</v>
      </c>
      <c r="BT28" s="60">
        <v>300</v>
      </c>
      <c r="BU28" s="60">
        <v>0</v>
      </c>
      <c r="BV28" s="41">
        <v>80</v>
      </c>
      <c r="BW28" s="32">
        <v>0</v>
      </c>
      <c r="BX28" s="106">
        <f t="shared" si="243"/>
        <v>380</v>
      </c>
      <c r="BY28" s="8"/>
      <c r="BZ28" s="37">
        <f t="shared" si="168"/>
        <v>380</v>
      </c>
      <c r="CA28" s="125">
        <f>IFERROR(VLOOKUP($D28,'Adient Assende (Belgium) WK.17'!$B:BS,CB$1,0),0)</f>
        <v>80</v>
      </c>
      <c r="CB28" s="55">
        <f>IFERROR(VLOOKUP($D28,'Adient Arendal (Malzia) WK.12'!$B:BT,CB$1,0),0)</f>
        <v>0</v>
      </c>
      <c r="CC28" s="55">
        <f>IFERROR(VLOOKUP($D28,'Adient Taizhou (China) WK.16'!$B:BW,CB$1,0),0)</f>
        <v>0</v>
      </c>
      <c r="CD28" s="60">
        <v>0</v>
      </c>
      <c r="CE28" s="60">
        <v>0</v>
      </c>
      <c r="CF28" s="41">
        <v>240</v>
      </c>
      <c r="CG28" s="32">
        <v>0</v>
      </c>
      <c r="CH28" s="106">
        <f t="shared" si="244"/>
        <v>140</v>
      </c>
      <c r="CI28" s="8"/>
      <c r="CJ28" s="37">
        <f t="shared" si="169"/>
        <v>140</v>
      </c>
      <c r="CK28" s="125">
        <f>IFERROR(VLOOKUP($D28,'Adient Assende (Belgium) WK.17'!$B:CC,CL$1,0),0)</f>
        <v>240</v>
      </c>
      <c r="CL28" s="55">
        <f>IFERROR(VLOOKUP($D28,'Adient Arendal (Malzia) WK.12'!$B:CD,CL$1,0),0)</f>
        <v>0</v>
      </c>
      <c r="CM28" s="55">
        <f>IFERROR(VLOOKUP($D28,'Adient Taizhou (China) WK.16'!$B:CG,CL$1,0),0)</f>
        <v>0</v>
      </c>
      <c r="CN28" s="60">
        <v>280</v>
      </c>
      <c r="CO28" s="149">
        <v>0</v>
      </c>
      <c r="CP28" s="32">
        <v>0</v>
      </c>
      <c r="CQ28" s="106">
        <f t="shared" si="245"/>
        <v>420</v>
      </c>
      <c r="CR28" s="8"/>
      <c r="CS28" s="122">
        <f t="shared" si="170"/>
        <v>420</v>
      </c>
      <c r="CT28" s="154">
        <f>IFERROR(VLOOKUP($D28,'Adient Assende (Belgium) WK.17'!$B:CL,CU$1,0),0)</f>
        <v>0</v>
      </c>
      <c r="CU28" s="55">
        <f>IFERROR(VLOOKUP($D28,'Adient Arendal (Malzia) WK.12'!$B:CM,CU$1,0),0)</f>
        <v>0</v>
      </c>
      <c r="CV28" s="55">
        <f>IFERROR(VLOOKUP($D28,'Adient Taizhou (China) WK.16'!$B:CP,CU$1,0),0)</f>
        <v>0</v>
      </c>
      <c r="CW28" s="60">
        <v>0</v>
      </c>
      <c r="CX28" s="60">
        <v>0</v>
      </c>
      <c r="CY28" s="128">
        <v>80</v>
      </c>
      <c r="CZ28" s="32">
        <v>0</v>
      </c>
      <c r="DA28" s="106">
        <f t="shared" si="246"/>
        <v>340</v>
      </c>
      <c r="DB28" s="8"/>
      <c r="DC28" s="37">
        <f t="shared" si="171"/>
        <v>340</v>
      </c>
      <c r="DD28" s="125">
        <f>IFERROR(VLOOKUP($D28,'Adient Assende (Belgium) WK.17'!$B:CS,DE$1,0),0)</f>
        <v>80</v>
      </c>
      <c r="DE28" s="55">
        <f>IFERROR(VLOOKUP($D28,'Adient Arendal (Malzia) WK.12'!$B:CU,DE$1,0),0)</f>
        <v>0</v>
      </c>
      <c r="DF28" s="55">
        <f>IFERROR(VLOOKUP($D28,'Adient Taizhou (China) WK.16'!$B:CX,DE$1,0),0)</f>
        <v>0</v>
      </c>
      <c r="DG28" s="60">
        <v>0</v>
      </c>
      <c r="DH28" s="128">
        <v>160</v>
      </c>
      <c r="DI28" s="32">
        <v>0</v>
      </c>
      <c r="DJ28" s="106">
        <f t="shared" si="247"/>
        <v>180</v>
      </c>
      <c r="DL28" s="37">
        <f t="shared" si="172"/>
        <v>180</v>
      </c>
      <c r="DM28" s="125">
        <f>IFERROR(VLOOKUP($D28,'Adient Assende (Belgium) WK.17'!$B:DB,DN$1,0),0)</f>
        <v>160</v>
      </c>
      <c r="DN28" s="55">
        <f>IFERROR(VLOOKUP($D28,'Adient Arendal (Malzia) WK.12'!$B:DC,DN$1,0),0)</f>
        <v>0</v>
      </c>
      <c r="DO28" s="55">
        <f>IFERROR(VLOOKUP($D28,'Adient Taizhou (China) WK.16'!$B:DF,DN$1,0),0)</f>
        <v>0</v>
      </c>
      <c r="DP28" s="128">
        <v>80</v>
      </c>
      <c r="DQ28" s="32">
        <v>0</v>
      </c>
      <c r="DR28" s="106">
        <f t="shared" si="173"/>
        <v>100</v>
      </c>
      <c r="DS28" s="8"/>
      <c r="DT28" s="37">
        <f t="shared" si="174"/>
        <v>100</v>
      </c>
      <c r="DU28" s="125">
        <f>IFERROR(VLOOKUP($D28,'Adient Assende (Belgium) WK.17'!$B:DJ,DV$1,0),0)</f>
        <v>80</v>
      </c>
      <c r="DV28" s="55">
        <f>IFERROR(VLOOKUP($D28,'Adient Arendal (Malzia) WK.12'!$B:DK,DV$1,0),0)</f>
        <v>0</v>
      </c>
      <c r="DW28" s="55">
        <f>IFERROR(VLOOKUP($D28,'Adient Taizhou (China) WK.16'!$B:DN,DV$1,0),0)</f>
        <v>0</v>
      </c>
      <c r="DX28" s="60">
        <v>380</v>
      </c>
      <c r="DY28" s="60">
        <v>160</v>
      </c>
      <c r="DZ28" s="128">
        <v>80</v>
      </c>
      <c r="EA28" s="32">
        <v>0</v>
      </c>
      <c r="EB28" s="106">
        <f t="shared" si="248"/>
        <v>560</v>
      </c>
      <c r="EC28" s="8"/>
      <c r="ED28" s="37">
        <f t="shared" si="175"/>
        <v>560</v>
      </c>
      <c r="EE28" s="125">
        <f>IFERROR(VLOOKUP($D28,'Adient Assende (Belgium) WK.17'!$B:DR,EF$1,0),0)</f>
        <v>80</v>
      </c>
      <c r="EF28" s="55">
        <f>IFERROR(VLOOKUP($D28,'Adient Arendal (Malzia) WK.12'!$B:DS,EF$1,0),0)</f>
        <v>0</v>
      </c>
      <c r="EG28" s="55">
        <f>IFERROR(VLOOKUP($D28,'Adient Taizhou (China) WK.16'!$B:DV,EF$1,0),0)</f>
        <v>0</v>
      </c>
      <c r="EH28" s="60">
        <v>220</v>
      </c>
      <c r="EI28" s="128">
        <v>160</v>
      </c>
      <c r="EJ28" s="32">
        <v>0</v>
      </c>
      <c r="EK28" s="106">
        <f t="shared" si="249"/>
        <v>620</v>
      </c>
      <c r="EM28" s="37">
        <f t="shared" si="176"/>
        <v>620</v>
      </c>
      <c r="EN28" s="125">
        <f>IFERROR(VLOOKUP($D28,'Adient Assende (Belgium) WK.17'!$B:DZ,EO$1,0),0)</f>
        <v>160</v>
      </c>
      <c r="EO28" s="55">
        <f>IFERROR(VLOOKUP($D28,'Adient Arendal (Malzia) WK.12'!$B:EA,EO$1,0),0)</f>
        <v>0</v>
      </c>
      <c r="EP28" s="55">
        <f>IFERROR(VLOOKUP($D28,'Adient Taizhou (China) WK.16'!$B:ED,EO$1,0),0)</f>
        <v>0</v>
      </c>
      <c r="EQ28" s="128">
        <v>160</v>
      </c>
      <c r="ER28" s="32">
        <v>0</v>
      </c>
      <c r="ES28" s="106">
        <f t="shared" si="250"/>
        <v>460</v>
      </c>
      <c r="EU28" s="37">
        <f t="shared" si="177"/>
        <v>460</v>
      </c>
      <c r="EV28" s="125">
        <f>IFERROR(VLOOKUP($D28,'Adient Assende (Belgium) WK.17'!$B:EH,EW$1,0),0)</f>
        <v>160</v>
      </c>
      <c r="EW28" s="55">
        <f>IFERROR(VLOOKUP($D28,'Adient Arendal (Malzia) WK.12'!$B:EI,EW$1,0),0)</f>
        <v>0</v>
      </c>
      <c r="EX28" s="55">
        <f>IFERROR(VLOOKUP($D28,'Adient Taizhou (China) WK.16'!$B:EL,EW$1,0),0)</f>
        <v>0</v>
      </c>
      <c r="EY28" s="128">
        <v>0</v>
      </c>
      <c r="EZ28" s="32">
        <v>0</v>
      </c>
      <c r="FA28" s="106">
        <f t="shared" si="251"/>
        <v>460</v>
      </c>
      <c r="FC28" s="37">
        <f t="shared" si="178"/>
        <v>460</v>
      </c>
      <c r="FD28" s="154">
        <f>IFERROR(VLOOKUP($D28,'Adient Assende (Belgium) WK.17'!$B:EP,FE$1,0),0)</f>
        <v>0</v>
      </c>
      <c r="FE28" s="154">
        <f>IFERROR(VLOOKUP($D28,'Adient Arendal (Malzia) WK.12'!$B:EQ,FE$1,0),0)</f>
        <v>0</v>
      </c>
      <c r="FF28" s="154">
        <f>IFERROR(VLOOKUP($D28,'Adient Taizhou (China) WK.16'!$B:ET,FE$1,0),0)</f>
        <v>0</v>
      </c>
      <c r="FG28" s="128">
        <v>0</v>
      </c>
      <c r="FH28" s="32">
        <v>0</v>
      </c>
      <c r="FI28" s="106">
        <f t="shared" si="252"/>
        <v>460</v>
      </c>
      <c r="FK28" s="37">
        <f t="shared" si="179"/>
        <v>460</v>
      </c>
      <c r="FL28" s="125">
        <f>IFERROR(VLOOKUP($D28,'Adient Assende (Belgium) WK.17'!$B:EX,FM$1,0),0)</f>
        <v>0</v>
      </c>
      <c r="FM28" s="55">
        <f>IFERROR(VLOOKUP($D28,'Adient Arendal (Malzia) WK.12'!$B:EY,FM$1,0),0)</f>
        <v>0</v>
      </c>
      <c r="FN28" s="55">
        <f>IFERROR(VLOOKUP($D28,'Adient Taizhou (China) WK.16'!$B:FB,FM$1,0),0)</f>
        <v>0</v>
      </c>
      <c r="FO28" s="128">
        <v>160</v>
      </c>
      <c r="FP28" s="32">
        <v>0</v>
      </c>
      <c r="FQ28" s="106">
        <f t="shared" si="253"/>
        <v>300</v>
      </c>
      <c r="FR28" s="8"/>
      <c r="FS28" s="37">
        <f t="shared" si="180"/>
        <v>300</v>
      </c>
      <c r="FT28" s="125">
        <f>IFERROR(VLOOKUP($D28,'Adient Assende (Belgium) WK.17'!$B:FF,FU$1,0),0)</f>
        <v>160</v>
      </c>
      <c r="FU28" s="55">
        <f>IFERROR(VLOOKUP($D28,'Adient Arendal (Malzia) WK.12'!$B:FG,FU$1,0),0)</f>
        <v>0</v>
      </c>
      <c r="FV28" s="55">
        <f>IFERROR(VLOOKUP($D28,'Adient Taizhou (China) WK.16'!$B:FJ,FU$1,0),0)</f>
        <v>0</v>
      </c>
      <c r="FW28" s="60">
        <v>20</v>
      </c>
      <c r="FX28" s="60">
        <v>0</v>
      </c>
      <c r="FY28" s="60">
        <v>80</v>
      </c>
      <c r="FZ28" s="60">
        <v>240</v>
      </c>
      <c r="GA28" s="60">
        <v>300</v>
      </c>
      <c r="GB28" s="128">
        <v>160</v>
      </c>
      <c r="GC28" s="32">
        <v>0</v>
      </c>
      <c r="GD28" s="106">
        <f t="shared" si="254"/>
        <v>780</v>
      </c>
      <c r="GF28" s="37">
        <f t="shared" si="181"/>
        <v>780</v>
      </c>
      <c r="GG28" s="125">
        <f>IFERROR(VLOOKUP($D28,'Adient Assende (Belgium) WK.17'!$B:FN,GH$1,0),0)</f>
        <v>160</v>
      </c>
      <c r="GH28" s="55">
        <f>IFERROR(VLOOKUP($D28,'Adient Arendal (Malzia) WK.12'!$B:FO,GH$1,0),0)</f>
        <v>0</v>
      </c>
      <c r="GI28" s="55">
        <f>IFERROR(VLOOKUP($D28,'Adient Taizhou (China) WK.16'!$B:FR,GH$1,0),0)</f>
        <v>0</v>
      </c>
      <c r="GJ28" s="60">
        <v>80</v>
      </c>
      <c r="GK28" s="128">
        <v>80</v>
      </c>
      <c r="GL28" s="32">
        <v>0</v>
      </c>
      <c r="GM28" s="106">
        <f t="shared" si="255"/>
        <v>780</v>
      </c>
      <c r="GO28" s="37">
        <f t="shared" si="182"/>
        <v>780</v>
      </c>
      <c r="GP28" s="125">
        <f>IFERROR(VLOOKUP($D28,'Adient Assende (Belgium) WK.17'!$B:FV,GQ$1,0),0)</f>
        <v>80</v>
      </c>
      <c r="GQ28" s="55">
        <f>IFERROR(VLOOKUP($D28,'Adient Arendal (Malzia) WK.12'!$B:FW,GQ$1,0),0)</f>
        <v>0</v>
      </c>
      <c r="GR28" s="55">
        <f>IFERROR(VLOOKUP($D28,'Adient Taizhou (China) WK.16'!$B:FZ,GQ$1,0),0)</f>
        <v>0</v>
      </c>
      <c r="GS28" s="60">
        <v>400</v>
      </c>
      <c r="GT28" s="128">
        <v>160</v>
      </c>
      <c r="GU28" s="32">
        <v>0</v>
      </c>
      <c r="GV28" s="106">
        <f t="shared" si="256"/>
        <v>1020</v>
      </c>
      <c r="GW28" s="8"/>
      <c r="GX28" s="37">
        <f t="shared" si="183"/>
        <v>1020</v>
      </c>
      <c r="GY28" s="125">
        <f>IFERROR(VLOOKUP($D28,'Adient Assende (Belgium) WK.17'!$B:GD,GZ$1,0),0)</f>
        <v>160</v>
      </c>
      <c r="GZ28" s="55">
        <f>IFERROR(VLOOKUP($D28,'Adient Arendal (Malzia) WK.12'!$B:GE,GZ$1,0),0)</f>
        <v>0</v>
      </c>
      <c r="HA28" s="55">
        <f>IFERROR(VLOOKUP($D28,'Adient Taizhou (China) WK.16'!$B:GH,GZ$1,0),0)</f>
        <v>0</v>
      </c>
      <c r="HB28" s="60">
        <v>0</v>
      </c>
      <c r="HC28" s="128">
        <v>160</v>
      </c>
      <c r="HD28" s="32">
        <v>0</v>
      </c>
      <c r="HE28" s="106">
        <f t="shared" si="257"/>
        <v>860</v>
      </c>
      <c r="HF28" s="8"/>
      <c r="HG28" s="37">
        <f t="shared" si="184"/>
        <v>860</v>
      </c>
      <c r="HH28" s="125">
        <f>IFERROR(VLOOKUP($D28,'Adient Assende (Belgium) WK.17'!$B:GL,HI$1,0),0)</f>
        <v>160</v>
      </c>
      <c r="HI28" s="55">
        <f>IFERROR(VLOOKUP($D28,'Adient Arendal (Malzia) WK.12'!$B:GM,HI$1,0),0)</f>
        <v>0</v>
      </c>
      <c r="HJ28" s="55">
        <f>IFERROR(VLOOKUP($D28,'Adient Taizhou (China) WK.16'!$B:GP,HI$1,0),0)</f>
        <v>0</v>
      </c>
      <c r="HK28" s="60">
        <v>160</v>
      </c>
      <c r="HL28" s="128">
        <v>80</v>
      </c>
      <c r="HM28" s="32">
        <v>0</v>
      </c>
      <c r="HN28" s="106">
        <f t="shared" si="258"/>
        <v>940</v>
      </c>
      <c r="HO28" s="8"/>
      <c r="HP28" s="37">
        <f t="shared" si="185"/>
        <v>940</v>
      </c>
      <c r="HQ28" s="125">
        <f>IFERROR(VLOOKUP($D28,'Adient Assende (Belgium) WK.17'!$B:GT,HR$1,0),0)</f>
        <v>80</v>
      </c>
      <c r="HR28" s="55">
        <f>IFERROR(VLOOKUP($D28,'Adient Arendal (Malzia) WK.12'!$B:GU,HR$1,0),0)</f>
        <v>0</v>
      </c>
      <c r="HS28" s="55">
        <f>IFERROR(VLOOKUP($D28,'Adient Taizhou (China) WK.16'!$B:GX,HR$1,0),0)</f>
        <v>0</v>
      </c>
      <c r="HT28" s="60">
        <v>20</v>
      </c>
      <c r="HU28" s="128">
        <v>160</v>
      </c>
      <c r="HV28" s="32">
        <v>0</v>
      </c>
      <c r="HW28" s="106">
        <f t="shared" si="259"/>
        <v>800</v>
      </c>
      <c r="HX28" s="8"/>
      <c r="HY28" s="37">
        <f t="shared" si="186"/>
        <v>800</v>
      </c>
      <c r="HZ28" s="125">
        <f>IFERROR(VLOOKUP($D28,'Adient Assende (Belgium) WK.17'!$B:HB,IA$1,0),0)</f>
        <v>160</v>
      </c>
      <c r="IA28" s="55">
        <f>IFERROR(VLOOKUP($D28,'Adient Arendal (Malzia) WK.12'!$B:HC,IA$1,0),0)</f>
        <v>0</v>
      </c>
      <c r="IB28" s="55">
        <f>IFERROR(VLOOKUP($D28,'Adient Taizhou (China) WK.16'!$B:HF,IA$1,0),0)</f>
        <v>0</v>
      </c>
      <c r="IC28" s="60">
        <v>180</v>
      </c>
      <c r="ID28" s="128">
        <v>160</v>
      </c>
      <c r="IE28" s="32">
        <v>0</v>
      </c>
      <c r="IF28" s="106">
        <f t="shared" si="260"/>
        <v>820</v>
      </c>
      <c r="IG28" s="8"/>
      <c r="IH28" s="37">
        <f t="shared" si="187"/>
        <v>820</v>
      </c>
      <c r="II28" s="125">
        <f>IFERROR(VLOOKUP($D28,'Adient Assende (Belgium) WK.17'!$B:HJ,IJ$1,0),0)</f>
        <v>160</v>
      </c>
      <c r="IJ28" s="55">
        <f>IFERROR(VLOOKUP($D28,'Adient Arendal (Malzia) WK.12'!$B:HK,IJ$1,0),0)</f>
        <v>0</v>
      </c>
      <c r="IK28" s="55">
        <f>IFERROR(VLOOKUP($D28,'Adient Taizhou (China) WK.16'!$B:HN,IJ$1,0),0)</f>
        <v>0</v>
      </c>
      <c r="IL28" s="128">
        <v>160</v>
      </c>
      <c r="IM28" s="32">
        <v>0</v>
      </c>
      <c r="IN28" s="106">
        <f t="shared" si="188"/>
        <v>660</v>
      </c>
      <c r="IO28" s="8"/>
      <c r="IP28" s="37">
        <f t="shared" si="189"/>
        <v>660</v>
      </c>
      <c r="IQ28" s="125">
        <f>IFERROR(VLOOKUP($D28,'Adient Assende (Belgium) WK.17'!$B:HR,IR$1,0),0)</f>
        <v>160</v>
      </c>
      <c r="IR28" s="55">
        <f>IFERROR(VLOOKUP($D28,'Adient Arendal (Malzia) WK.12'!$B:HS,IR$1,0),0)</f>
        <v>0</v>
      </c>
      <c r="IS28" s="55">
        <f>IFERROR(VLOOKUP($D28,'Adient Taizhou (China) WK.16'!$B:HV,IR$1,0),0)</f>
        <v>0</v>
      </c>
      <c r="IT28" s="60">
        <v>0</v>
      </c>
      <c r="IU28" s="128">
        <v>160</v>
      </c>
      <c r="IV28" s="32">
        <v>0</v>
      </c>
      <c r="IW28" s="106">
        <f t="shared" si="261"/>
        <v>500</v>
      </c>
      <c r="IX28" s="8"/>
      <c r="IY28" s="37">
        <f t="shared" si="190"/>
        <v>500</v>
      </c>
      <c r="IZ28" s="125">
        <f>IFERROR(VLOOKUP($D28,'Adient Assende (Belgium) WK.17'!$B:HZ,JA$1,0),0)</f>
        <v>160</v>
      </c>
      <c r="JA28" s="55">
        <f>IFERROR(VLOOKUP($D28,'Adient Arendal (Malzia) WK.12'!$B:IA,JA$1,0),0)</f>
        <v>0</v>
      </c>
      <c r="JB28" s="55">
        <f>IFERROR(VLOOKUP($D28,'Adient Taizhou (China) WK.16'!$B:ID,JA$1,0),0)</f>
        <v>0</v>
      </c>
      <c r="JC28" s="128">
        <v>0</v>
      </c>
      <c r="JD28" s="32">
        <v>0</v>
      </c>
      <c r="JE28" s="106">
        <f t="shared" si="191"/>
        <v>500</v>
      </c>
      <c r="JF28" s="8"/>
      <c r="JG28" s="37">
        <f t="shared" si="192"/>
        <v>500</v>
      </c>
      <c r="JH28" s="125">
        <f>IFERROR(VLOOKUP($D28,'Adient Assende (Belgium) WK.17'!$B:IH,JI$1,0),0)</f>
        <v>0</v>
      </c>
      <c r="JI28" s="55">
        <f>IFERROR(VLOOKUP($D28,'Adient Arendal (Malzia) WK.12'!$B:II,JI$1,0),0)</f>
        <v>0</v>
      </c>
      <c r="JJ28" s="55">
        <f>IFERROR(VLOOKUP($D28,'Adient Taizhou (China) WK.16'!$B:IL,JI$1,0),0)</f>
        <v>0</v>
      </c>
      <c r="JK28" s="60">
        <v>0</v>
      </c>
      <c r="JL28" s="128">
        <v>320</v>
      </c>
      <c r="JM28" s="32">
        <v>0</v>
      </c>
      <c r="JN28" s="106">
        <f t="shared" si="262"/>
        <v>180</v>
      </c>
      <c r="JO28" s="8"/>
      <c r="JP28" s="37">
        <f t="shared" si="193"/>
        <v>180</v>
      </c>
      <c r="JQ28" s="125">
        <f>IFERROR(VLOOKUP($D28,'Adient Assende (Belgium) WK.17'!$B:IP,JR$1,0),0)</f>
        <v>320</v>
      </c>
      <c r="JR28" s="55">
        <f>IFERROR(VLOOKUP($D28,'Adient Arendal (Malzia) WK.12'!$B:IQ,JR$1,0),0)</f>
        <v>0</v>
      </c>
      <c r="JS28" s="55">
        <f>IFERROR(VLOOKUP($D28,'Adient Taizhou (China) WK.16'!$B:IT,JR$1,0),0)</f>
        <v>0</v>
      </c>
      <c r="JT28" s="128">
        <v>0</v>
      </c>
      <c r="JU28" s="32">
        <v>0</v>
      </c>
      <c r="JV28" s="106">
        <f t="shared" si="194"/>
        <v>180</v>
      </c>
      <c r="JW28" s="8"/>
      <c r="JX28" s="37">
        <f t="shared" si="195"/>
        <v>180</v>
      </c>
      <c r="JY28" s="154">
        <f>IFERROR(VLOOKUP($D28,'Adient Assende (Belgium) WK.17'!$B:IX,JZ$1,0),0)</f>
        <v>0</v>
      </c>
      <c r="JZ28" s="55">
        <f>IFERROR(VLOOKUP($D28,'Adient Arendal (Malzia) WK.12'!$B:IY,JZ$1,0),0)</f>
        <v>0</v>
      </c>
      <c r="KA28" s="55">
        <f>IFERROR(VLOOKUP($D28,'Adient Taizhou (China) WK.16'!$B:JB,JZ$1,0),0)</f>
        <v>0</v>
      </c>
      <c r="KB28" s="128">
        <v>80</v>
      </c>
      <c r="KC28" s="32">
        <v>0</v>
      </c>
      <c r="KD28" s="106">
        <f t="shared" si="263"/>
        <v>100</v>
      </c>
      <c r="KE28" s="8"/>
      <c r="KF28" s="37">
        <f t="shared" si="196"/>
        <v>100</v>
      </c>
      <c r="KG28" s="125">
        <f>IFERROR(VLOOKUP($D28,'Adient Assende (Belgium) WK.17'!$B:JF,KH$1,0),0)</f>
        <v>80</v>
      </c>
      <c r="KH28" s="55">
        <f>IFERROR(VLOOKUP($D28,'Adient Arendal (Malzia) WK.12'!$B:JG,KH$1,0),0)</f>
        <v>0</v>
      </c>
      <c r="KI28" s="55">
        <f>IFERROR(VLOOKUP($D28,'Adient Taizhou (China) WK.16'!$B:JJ,KH$1,0),0)</f>
        <v>0</v>
      </c>
      <c r="KJ28" s="60">
        <v>280</v>
      </c>
      <c r="KK28" s="128">
        <v>0</v>
      </c>
      <c r="KL28" s="32">
        <v>0</v>
      </c>
      <c r="KM28" s="106">
        <f t="shared" si="264"/>
        <v>380</v>
      </c>
      <c r="KN28" s="8"/>
      <c r="KO28" s="37">
        <f t="shared" si="197"/>
        <v>380</v>
      </c>
      <c r="KP28" s="141">
        <f>IFERROR(VLOOKUP($D28,'Adient Assende (Belgium) WK.17'!$B:JN,KQ$1,0),0)</f>
        <v>0</v>
      </c>
      <c r="KQ28" s="140">
        <f>IFERROR(VLOOKUP($D28,'Adient Arendal (Malzia) WK.12'!$B:JO,KQ$1,0),0)</f>
        <v>0</v>
      </c>
      <c r="KR28" s="140">
        <f>IFERROR(VLOOKUP($D28,'Adient Taizhou (China) WK.16'!$B:JR,KQ$1,0),0)</f>
        <v>0</v>
      </c>
      <c r="KS28" s="60">
        <v>0</v>
      </c>
      <c r="KT28" s="128">
        <v>80</v>
      </c>
      <c r="KU28" s="32">
        <v>0</v>
      </c>
      <c r="KV28" s="106">
        <f t="shared" si="265"/>
        <v>300</v>
      </c>
      <c r="KX28" s="37">
        <f t="shared" si="198"/>
        <v>300</v>
      </c>
      <c r="KY28" s="141">
        <f>IFERROR(VLOOKUP($D28,'Adient Assende (Belgium) WK.17'!$B:JV,KZ$1,0),0)</f>
        <v>80</v>
      </c>
      <c r="KZ28" s="140">
        <f>IFERROR(VLOOKUP($D28,'Adient Arendal (Malzia) WK.12'!$B:JW,KZ$1,0),0)</f>
        <v>0</v>
      </c>
      <c r="LA28" s="140">
        <f>IFERROR(VLOOKUP($D28,'Adient Taizhou (China) WK.16'!$B:JZ,KZ$1,0),0)</f>
        <v>0</v>
      </c>
      <c r="LB28" s="128">
        <v>0</v>
      </c>
      <c r="LC28" s="32">
        <v>0</v>
      </c>
      <c r="LD28" s="106">
        <f t="shared" si="266"/>
        <v>300</v>
      </c>
      <c r="LF28" s="37">
        <f t="shared" si="199"/>
        <v>300</v>
      </c>
      <c r="LG28" s="141">
        <f>IFERROR(VLOOKUP($D28,'Adient Assende (Belgium) WK.17'!$B:KD,LH$1,0),0)</f>
        <v>160</v>
      </c>
      <c r="LH28" s="140">
        <f>IFERROR(VLOOKUP($D28,'Adient Arendal (Malzia) WK.12'!$B:KE,LH$1,0),0)</f>
        <v>0</v>
      </c>
      <c r="LI28" s="140">
        <f>IFERROR(VLOOKUP($D28,'Adient Taizhou (China) WK.16'!$B:KH,LH$1,0),0)</f>
        <v>0</v>
      </c>
      <c r="LJ28" s="60">
        <v>40</v>
      </c>
      <c r="LK28" s="128">
        <v>0</v>
      </c>
      <c r="LL28" s="32">
        <v>0</v>
      </c>
      <c r="LM28" s="100">
        <f t="shared" si="267"/>
        <v>180</v>
      </c>
      <c r="LO28" s="37">
        <f t="shared" si="200"/>
        <v>180</v>
      </c>
      <c r="LP28" s="141">
        <f>IFERROR(VLOOKUP($D28,'Adient Assende (Belgium) WK.17'!$B:KL,LQ$1,0),0)</f>
        <v>80</v>
      </c>
      <c r="LQ28" s="140">
        <f>IFERROR(VLOOKUP($D28,'Adient Arendal (Malzia) WK.12'!$B:KM,LQ$1,0),0)</f>
        <v>0</v>
      </c>
      <c r="LR28" s="140">
        <f>IFERROR(VLOOKUP($D28,'Adient Taizhou (China) WK.16'!$B:KP,LQ$1,0),0)</f>
        <v>0</v>
      </c>
      <c r="LS28" s="128">
        <v>0</v>
      </c>
      <c r="LT28" s="32">
        <v>0</v>
      </c>
      <c r="LU28" s="100">
        <f t="shared" si="268"/>
        <v>100</v>
      </c>
      <c r="LW28" s="37">
        <f t="shared" si="201"/>
        <v>100</v>
      </c>
      <c r="LX28" s="141">
        <f>IFERROR(VLOOKUP($D28,'Adient Assende (Belgium) WK.17'!$B:KT,LY$1,0),0)</f>
        <v>320</v>
      </c>
      <c r="LY28" s="140">
        <f>IFERROR(VLOOKUP($D28,'Adient Arendal (Malzia) WK.12'!$B:KU,LY$1,0),0)</f>
        <v>0</v>
      </c>
      <c r="LZ28" s="140">
        <f>IFERROR(VLOOKUP($D28,'Adient Taizhou (China) WK.16'!$B:KX,LY$1,0),0)</f>
        <v>0</v>
      </c>
      <c r="MA28" s="128">
        <v>0</v>
      </c>
      <c r="MB28" s="32">
        <v>0</v>
      </c>
      <c r="MC28" s="100">
        <f t="shared" si="269"/>
        <v>-220</v>
      </c>
      <c r="ME28" s="37">
        <f t="shared" si="202"/>
        <v>-220</v>
      </c>
      <c r="MF28" s="154">
        <f>IFERROR(VLOOKUP($D28,'Adient Assende (Belgium) WK.17'!$B:LB,MG$1,0),0)</f>
        <v>0</v>
      </c>
      <c r="MG28" s="140">
        <f>IFERROR(VLOOKUP($D28,'Adient Arendal (Malzia) WK.12'!$B:LC,MG$1,0),0)</f>
        <v>0</v>
      </c>
      <c r="MH28" s="140">
        <f>IFERROR(VLOOKUP($D28,'Adient Taizhou (China) WK.16'!$B:LF,MG$1,0),0)</f>
        <v>0</v>
      </c>
      <c r="MI28" s="128">
        <v>0</v>
      </c>
      <c r="MJ28" s="32">
        <v>0</v>
      </c>
      <c r="MK28" s="100">
        <f t="shared" si="270"/>
        <v>-220</v>
      </c>
      <c r="MM28" s="37">
        <f t="shared" si="203"/>
        <v>-220</v>
      </c>
      <c r="MN28" s="141">
        <f>IFERROR(VLOOKUP($D28,'Adient Assende (Belgium) WK.17'!$B:LJ,MO$1,0),0)</f>
        <v>160</v>
      </c>
      <c r="MO28" s="140">
        <f>IFERROR(VLOOKUP($D28,'Adient Arendal (Malzia) WK.12'!$B:LK,MO$1,0),0)</f>
        <v>0</v>
      </c>
      <c r="MP28" s="140">
        <f>IFERROR(VLOOKUP($D28,'Adient Taizhou (China) WK.16'!$B:LN,MO$1,0),0)</f>
        <v>0</v>
      </c>
      <c r="MQ28" s="128">
        <v>0</v>
      </c>
      <c r="MR28" s="32">
        <v>0</v>
      </c>
      <c r="MS28" s="100">
        <f t="shared" si="271"/>
        <v>-380</v>
      </c>
      <c r="MU28" s="37">
        <f t="shared" si="204"/>
        <v>-380</v>
      </c>
      <c r="MV28" s="141">
        <f>IFERROR(VLOOKUP($D28,'Adient Assende (Belgium) WK.17'!$B:LR,MW$1,0),0)</f>
        <v>160</v>
      </c>
      <c r="MW28" s="140">
        <f>IFERROR(VLOOKUP($D28,'Adient Arendal (Malzia) WK.12'!$B:LS,MW$1,0),0)</f>
        <v>0</v>
      </c>
      <c r="MX28" s="140">
        <f>IFERROR(VLOOKUP($D28,'Adient Taizhou (China) WK.16'!$B:LV,MW$1,0),0)</f>
        <v>0</v>
      </c>
      <c r="MY28" s="128">
        <v>0</v>
      </c>
      <c r="MZ28" s="32">
        <v>0</v>
      </c>
      <c r="NA28" s="100">
        <f t="shared" si="272"/>
        <v>-540</v>
      </c>
      <c r="NC28" s="37">
        <f t="shared" si="205"/>
        <v>-540</v>
      </c>
      <c r="ND28" s="141">
        <f>IFERROR(VLOOKUP($D28,'Adient Assende (Belgium) WK.17'!$B:LZ,NE$1,0),0)</f>
        <v>160</v>
      </c>
      <c r="NE28" s="140">
        <f>IFERROR(VLOOKUP($D28,'Adient Arendal (Malzia) WK.12'!$B:MA,NE$1,0),0)</f>
        <v>0</v>
      </c>
      <c r="NF28" s="140">
        <f>IFERROR(VLOOKUP($D28,'Adient Taizhou (China) WK.16'!$B:MD,NE$1,0),0)</f>
        <v>0</v>
      </c>
      <c r="NG28" s="128">
        <v>0</v>
      </c>
      <c r="NH28" s="32">
        <v>0</v>
      </c>
      <c r="NI28" s="100">
        <f t="shared" si="273"/>
        <v>-700</v>
      </c>
      <c r="NK28" s="37">
        <f t="shared" si="206"/>
        <v>-700</v>
      </c>
      <c r="NL28" s="141">
        <f>IFERROR(VLOOKUP($D28,'Adient Assende (Belgium) WK.17'!$B:MH,NM$1,0),0)</f>
        <v>160</v>
      </c>
      <c r="NM28" s="140">
        <f>IFERROR(VLOOKUP($D28,'Adient Arendal (Malzia) WK.12'!$B:MI,NM$1,0),0)</f>
        <v>0</v>
      </c>
      <c r="NN28" s="140">
        <f>IFERROR(VLOOKUP($D28,'Adient Taizhou (China) WK.16'!$B:ML,NM$1,0),0)</f>
        <v>0</v>
      </c>
      <c r="NO28" s="128">
        <v>0</v>
      </c>
      <c r="NP28" s="32">
        <v>0</v>
      </c>
      <c r="NQ28" s="100">
        <f t="shared" si="274"/>
        <v>-860</v>
      </c>
      <c r="NS28" s="37">
        <f t="shared" si="207"/>
        <v>-860</v>
      </c>
      <c r="NT28" s="141">
        <f>IFERROR(VLOOKUP($D28,'Adient Assende (Belgium) WK.17'!$B:MP,NU$1,0),0)</f>
        <v>160</v>
      </c>
      <c r="NU28" s="140">
        <f>IFERROR(VLOOKUP($D28,'Adient Arendal (Malzia) WK.12'!$B:MQ,NU$1,0),0)</f>
        <v>0</v>
      </c>
      <c r="NV28" s="140">
        <f>IFERROR(VLOOKUP($D28,'Adient Taizhou (China) WK.16'!$B:MT,NU$1,0),0)</f>
        <v>0</v>
      </c>
      <c r="NW28" s="128">
        <v>0</v>
      </c>
      <c r="NX28" s="32">
        <v>0</v>
      </c>
      <c r="NY28" s="100">
        <f t="shared" si="275"/>
        <v>-1020</v>
      </c>
      <c r="OA28" s="37">
        <f t="shared" si="208"/>
        <v>-1020</v>
      </c>
      <c r="OB28" s="141">
        <f>IFERROR(VLOOKUP($D28,'Adient Assende (Belgium) WK.17'!$B:MX,OC$1,0),0)</f>
        <v>80</v>
      </c>
      <c r="OC28" s="140">
        <f>IFERROR(VLOOKUP($D28,'Adient Arendal (Malzia) WK.12'!$B:MY,OC$1,0),0)</f>
        <v>0</v>
      </c>
      <c r="OD28" s="140">
        <f>IFERROR(VLOOKUP($D28,'Adient Taizhou (China) WK.16'!$B:NB,OC$1,0),0)</f>
        <v>0</v>
      </c>
      <c r="OE28" s="128">
        <v>0</v>
      </c>
      <c r="OF28" s="32">
        <v>0</v>
      </c>
      <c r="OG28" s="100">
        <f t="shared" si="276"/>
        <v>-1100</v>
      </c>
      <c r="OI28" s="37">
        <f t="shared" si="209"/>
        <v>-1100</v>
      </c>
      <c r="OJ28" s="141">
        <f>IFERROR(VLOOKUP($D28,'Adient Assende (Belgium) WK.17'!$B:NF,OK$1,0),0)</f>
        <v>240</v>
      </c>
      <c r="OK28" s="140">
        <f>IFERROR(VLOOKUP($D28,'Adient Arendal (Malzia) WK.12'!$B:NG,OK$1,0),0)</f>
        <v>0</v>
      </c>
      <c r="OL28" s="140">
        <f>IFERROR(VLOOKUP($D28,'Adient Taizhou (China) WK.16'!$B:NJ,OK$1,0),0)</f>
        <v>0</v>
      </c>
      <c r="OM28" s="128">
        <v>0</v>
      </c>
      <c r="ON28" s="32">
        <v>0</v>
      </c>
      <c r="OO28" s="100">
        <f t="shared" si="277"/>
        <v>-1340</v>
      </c>
      <c r="OQ28" s="37">
        <f t="shared" si="210"/>
        <v>-1340</v>
      </c>
      <c r="OR28" s="141">
        <f>IFERROR(VLOOKUP($D28,'Adient Assende (Belgium) WK.17'!$B:NN,OS$1,0),0)</f>
        <v>0</v>
      </c>
      <c r="OS28" s="140">
        <f>IFERROR(VLOOKUP($D28,'Adient Arendal (Malzia) WK.12'!$B:NO,OS$1,0),0)</f>
        <v>0</v>
      </c>
      <c r="OT28" s="140">
        <f>IFERROR(VLOOKUP($D28,'Adient Taizhou (China) WK.16'!$B:NR,OS$1,0),0)</f>
        <v>0</v>
      </c>
      <c r="OU28" s="128">
        <v>0</v>
      </c>
      <c r="OV28" s="32">
        <v>0</v>
      </c>
      <c r="OW28" s="100">
        <f t="shared" si="278"/>
        <v>-1340</v>
      </c>
      <c r="OY28" s="37">
        <f t="shared" si="211"/>
        <v>-1340</v>
      </c>
      <c r="OZ28" s="141">
        <f>IFERROR(VLOOKUP($D28,'Adient Assende (Belgium) WK.17'!$B:NV,PA$1,0),0)</f>
        <v>0</v>
      </c>
      <c r="PA28" s="140">
        <f>IFERROR(VLOOKUP($D28,'Adient Arendal (Malzia) WK.12'!$B:NW,PA$1,0),0)</f>
        <v>0</v>
      </c>
      <c r="PB28" s="140">
        <f>IFERROR(VLOOKUP($D28,'Adient Taizhou (China) WK.16'!$B:NZ,PA$1,0),0)</f>
        <v>0</v>
      </c>
      <c r="PC28" s="128">
        <v>0</v>
      </c>
      <c r="PD28" s="32">
        <v>0</v>
      </c>
      <c r="PE28" s="100">
        <f t="shared" si="279"/>
        <v>-1340</v>
      </c>
      <c r="PG28" s="37">
        <f t="shared" si="212"/>
        <v>-1340</v>
      </c>
      <c r="PH28" s="141">
        <f>IFERROR(VLOOKUP($D28,'Adient Assende (Belgium) WK.17'!$B:OD,PI$1,0),0)</f>
        <v>0</v>
      </c>
      <c r="PI28" s="140">
        <f>IFERROR(VLOOKUP($D28,'Adient Arendal (Malzia) WK.12'!$B:OE,PI$1,0),0)</f>
        <v>0</v>
      </c>
      <c r="PJ28" s="140">
        <f>IFERROR(VLOOKUP($D28,'Adient Taizhou (China) WK.16'!$B:OH,PI$1,0),0)</f>
        <v>0</v>
      </c>
      <c r="PK28" s="128">
        <v>0</v>
      </c>
      <c r="PL28" s="32">
        <v>0</v>
      </c>
      <c r="PM28" s="100">
        <f t="shared" si="280"/>
        <v>-1340</v>
      </c>
      <c r="PO28" s="37">
        <f t="shared" si="213"/>
        <v>-1340</v>
      </c>
      <c r="PP28" s="141">
        <f>IFERROR(VLOOKUP($D28,'Adient Assende (Belgium) WK.17'!$B:OL,PQ$1,0),0)</f>
        <v>0</v>
      </c>
      <c r="PQ28" s="140">
        <f>IFERROR(VLOOKUP($D28,'Adient Arendal (Malzia) WK.12'!$B:OM,PQ$1,0),0)</f>
        <v>0</v>
      </c>
      <c r="PR28" s="140">
        <f>IFERROR(VLOOKUP($D28,'Adient Taizhou (China) WK.16'!$B:OP,PQ$1,0),0)</f>
        <v>0</v>
      </c>
      <c r="PS28" s="128">
        <v>0</v>
      </c>
      <c r="PT28" s="32">
        <v>0</v>
      </c>
      <c r="PU28" s="100">
        <f t="shared" si="281"/>
        <v>-1340</v>
      </c>
      <c r="PW28" s="37">
        <f t="shared" si="214"/>
        <v>-1340</v>
      </c>
      <c r="PX28" s="141">
        <f>IFERROR(VLOOKUP($D28,'Adient Assende (Belgium) WK.17'!$B:OT,PY$1,0),0)</f>
        <v>160</v>
      </c>
      <c r="PY28" s="140">
        <f>IFERROR(VLOOKUP($D28,'Adient Arendal (Malzia) WK.12'!$B:OU,PY$1,0),0)</f>
        <v>0</v>
      </c>
      <c r="PZ28" s="140">
        <f>IFERROR(VLOOKUP($D28,'Adient Taizhou (China) WK.16'!$B:OX,PY$1,0),0)</f>
        <v>0</v>
      </c>
      <c r="QA28" s="128">
        <v>0</v>
      </c>
      <c r="QB28" s="32">
        <v>0</v>
      </c>
      <c r="QC28" s="100">
        <f t="shared" si="282"/>
        <v>-1500</v>
      </c>
      <c r="QE28" s="37">
        <f t="shared" si="215"/>
        <v>-1500</v>
      </c>
      <c r="QF28" s="141">
        <f>IFERROR(VLOOKUP($D28,'Adient Assende (Belgium) WK.17'!$B:PB,QG$1,0),0)</f>
        <v>160</v>
      </c>
      <c r="QG28" s="140">
        <f>IFERROR(VLOOKUP($D28,'Adient Arendal (Malzia) WK.12'!$B:PC,QG$1,0),0)</f>
        <v>0</v>
      </c>
      <c r="QH28" s="140">
        <f>IFERROR(VLOOKUP($D28,'Adient Taizhou (China) WK.16'!$B:PF,QG$1,0),0)</f>
        <v>0</v>
      </c>
      <c r="QI28" s="128">
        <v>0</v>
      </c>
      <c r="QJ28" s="32">
        <v>0</v>
      </c>
      <c r="QK28" s="100">
        <f t="shared" si="283"/>
        <v>-1660</v>
      </c>
      <c r="QM28" s="37">
        <f t="shared" si="216"/>
        <v>-1660</v>
      </c>
      <c r="QN28" s="141">
        <f>IFERROR(VLOOKUP($D28,'Adient Assende (Belgium) WK.17'!$B:PJ,QO$1,0),0)</f>
        <v>160</v>
      </c>
      <c r="QO28" s="140">
        <f>IFERROR(VLOOKUP($D28,'Adient Arendal (Malzia) WK.12'!$B:PK,QO$1,0),0)</f>
        <v>0</v>
      </c>
      <c r="QP28" s="140">
        <f>IFERROR(VLOOKUP($D28,'Adient Taizhou (China) WK.16'!$B:PN,QO$1,0),0)</f>
        <v>0</v>
      </c>
      <c r="QQ28" s="128">
        <v>0</v>
      </c>
      <c r="QR28" s="32">
        <v>0</v>
      </c>
      <c r="QS28" s="100">
        <f t="shared" si="284"/>
        <v>-1820</v>
      </c>
      <c r="QU28" s="37">
        <f t="shared" si="217"/>
        <v>-1820</v>
      </c>
      <c r="QV28" s="141">
        <f>IFERROR(VLOOKUP($D28,'Adient Assende (Belgium) WK.17'!$B:PR,QW$1,0),0)</f>
        <v>140</v>
      </c>
      <c r="QW28" s="140">
        <f>IFERROR(VLOOKUP($D28,'Adient Arendal (Malzia) WK.12'!$B:PS,QW$1,0),0)</f>
        <v>0</v>
      </c>
      <c r="QX28" s="140">
        <f>IFERROR(VLOOKUP($D28,'Adient Taizhou (China) WK.16'!$B:PV,QW$1,0),0)</f>
        <v>0</v>
      </c>
      <c r="QY28" s="128">
        <v>0</v>
      </c>
      <c r="QZ28" s="32">
        <v>0</v>
      </c>
      <c r="RA28" s="100">
        <f t="shared" si="285"/>
        <v>-1960</v>
      </c>
      <c r="RC28" s="37">
        <f t="shared" si="218"/>
        <v>-1960</v>
      </c>
      <c r="RD28" s="141">
        <f>IFERROR(VLOOKUP($D28,'Adient Assende (Belgium) WK.17'!$B:PZ,RE$1,0),0)</f>
        <v>140</v>
      </c>
      <c r="RE28" s="140">
        <f>IFERROR(VLOOKUP($D28,'Adient Arendal (Malzia) WK.12'!$B:QA,RE$1,0),0)</f>
        <v>0</v>
      </c>
      <c r="RF28" s="140">
        <f>IFERROR(VLOOKUP($D28,'Adient Taizhou (China) WK.16'!$B:QD,RE$1,0),0)</f>
        <v>0</v>
      </c>
      <c r="RG28" s="128">
        <v>0</v>
      </c>
      <c r="RH28" s="32">
        <v>0</v>
      </c>
      <c r="RI28" s="100">
        <f t="shared" si="286"/>
        <v>-2100</v>
      </c>
      <c r="RK28" s="37">
        <f t="shared" si="219"/>
        <v>-2100</v>
      </c>
      <c r="RL28" s="141">
        <f>IFERROR(VLOOKUP($D28,'Adient Assende (Belgium) WK.17'!$B:QH,RM$1,0),0)</f>
        <v>140</v>
      </c>
      <c r="RM28" s="140">
        <f>IFERROR(VLOOKUP($D28,'Adient Arendal (Malzia) WK.12'!$B:QI,RM$1,0),0)</f>
        <v>0</v>
      </c>
      <c r="RN28" s="140">
        <f>IFERROR(VLOOKUP($D28,'Adient Taizhou (China) WK.16'!$B:QL,RM$1,0),0)</f>
        <v>0</v>
      </c>
      <c r="RO28" s="128">
        <v>0</v>
      </c>
      <c r="RP28" s="32">
        <v>0</v>
      </c>
      <c r="RQ28" s="100">
        <f t="shared" si="287"/>
        <v>-2240</v>
      </c>
      <c r="RS28" s="37">
        <f t="shared" si="220"/>
        <v>-2240</v>
      </c>
      <c r="RT28" s="141">
        <f>IFERROR(VLOOKUP($D28,'Adient Assende (Belgium) WK.17'!$B:QP,RU$1,0),0)</f>
        <v>140</v>
      </c>
      <c r="RU28" s="140">
        <f>IFERROR(VLOOKUP($D28,'Adient Arendal (Malzia) WK.12'!$B:QQ,RU$1,0),0)</f>
        <v>0</v>
      </c>
      <c r="RV28" s="140">
        <f>IFERROR(VLOOKUP($D28,'Adient Taizhou (China) WK.16'!$B:QT,RU$1,0),0)</f>
        <v>0</v>
      </c>
      <c r="RW28" s="128">
        <v>0</v>
      </c>
      <c r="RX28" s="32">
        <v>0</v>
      </c>
      <c r="RY28" s="100">
        <f t="shared" si="288"/>
        <v>-2380</v>
      </c>
      <c r="SA28" s="37">
        <f t="shared" si="221"/>
        <v>-2380</v>
      </c>
      <c r="SB28" s="141">
        <f>IFERROR(VLOOKUP($D28,'Adient Assende (Belgium) WK.17'!$B:QX,SC$1,0),0)</f>
        <v>100</v>
      </c>
      <c r="SC28" s="140">
        <f>IFERROR(VLOOKUP($D28,'Adient Arendal (Malzia) WK.12'!$B:QY,SC$1,0),0)</f>
        <v>0</v>
      </c>
      <c r="SD28" s="140">
        <f>IFERROR(VLOOKUP($D28,'Adient Taizhou (China) WK.16'!$B:RB,SC$1,0),0)</f>
        <v>0</v>
      </c>
      <c r="SE28" s="128">
        <v>0</v>
      </c>
      <c r="SF28" s="32">
        <v>0</v>
      </c>
      <c r="SG28" s="100">
        <f t="shared" si="289"/>
        <v>-2480</v>
      </c>
      <c r="SI28" s="37">
        <f t="shared" si="222"/>
        <v>-2480</v>
      </c>
      <c r="SJ28" s="141">
        <f>IFERROR(VLOOKUP($D28,'Adient Assende (Belgium) WK.17'!$B:RF,SK$1,0),0)</f>
        <v>100</v>
      </c>
      <c r="SK28" s="140">
        <f>IFERROR(VLOOKUP($D28,'Adient Arendal (Malzia) WK.12'!$B:RG,SK$1,0),0)</f>
        <v>0</v>
      </c>
      <c r="SL28" s="140">
        <f>IFERROR(VLOOKUP($D28,'Adient Taizhou (China) WK.16'!$B:RJ,SK$1,0),0)</f>
        <v>0</v>
      </c>
      <c r="SM28" s="128">
        <v>0</v>
      </c>
      <c r="SN28" s="32">
        <v>0</v>
      </c>
      <c r="SO28" s="100">
        <f t="shared" si="290"/>
        <v>-2580</v>
      </c>
      <c r="SQ28" s="37">
        <f t="shared" si="223"/>
        <v>-2580</v>
      </c>
      <c r="SR28" s="141">
        <f>IFERROR(VLOOKUP($D28,'Adient Assende (Belgium) WK.17'!$B:RN,SS$1,0),0)</f>
        <v>100</v>
      </c>
      <c r="SS28" s="140">
        <f>IFERROR(VLOOKUP($D28,'Adient Arendal (Malzia) WK.12'!$B:RO,SS$1,0),0)</f>
        <v>0</v>
      </c>
      <c r="ST28" s="140">
        <f>IFERROR(VLOOKUP($D28,'Adient Taizhou (China) WK.16'!$B:RR,SS$1,0),0)</f>
        <v>0</v>
      </c>
      <c r="SU28" s="128">
        <v>0</v>
      </c>
      <c r="SV28" s="32">
        <v>0</v>
      </c>
      <c r="SW28" s="100">
        <f t="shared" si="291"/>
        <v>-2680</v>
      </c>
      <c r="SY28" s="37">
        <f t="shared" si="224"/>
        <v>-2680</v>
      </c>
      <c r="SZ28" s="141">
        <f>IFERROR(VLOOKUP($D28,'Adient Assende (Belgium) WK.17'!$B:RV,TA$1,0),0)</f>
        <v>100</v>
      </c>
      <c r="TA28" s="140">
        <f>IFERROR(VLOOKUP($D28,'Adient Arendal (Malzia) WK.12'!$B:RW,TA$1,0),0)</f>
        <v>0</v>
      </c>
      <c r="TB28" s="140">
        <f>IFERROR(VLOOKUP($D28,'Adient Taizhou (China) WK.16'!$B:RZ,TA$1,0),0)</f>
        <v>0</v>
      </c>
      <c r="TC28" s="128">
        <v>0</v>
      </c>
      <c r="TD28" s="32">
        <v>0</v>
      </c>
      <c r="TE28" s="100">
        <f t="shared" si="292"/>
        <v>-2780</v>
      </c>
      <c r="TG28" s="37">
        <f t="shared" si="225"/>
        <v>-2780</v>
      </c>
      <c r="TH28" s="141">
        <f>IFERROR(VLOOKUP($D28,'Adient Assende (Belgium) WK.17'!$B:SD,TI$1,0),0)</f>
        <v>150</v>
      </c>
      <c r="TI28" s="140">
        <f>IFERROR(VLOOKUP($D28,'Adient Arendal (Malzia) WK.12'!$B:SE,TI$1,0),0)</f>
        <v>0</v>
      </c>
      <c r="TJ28" s="140">
        <f>IFERROR(VLOOKUP($D28,'Adient Taizhou (China) WK.16'!$B:SH,TI$1,0),0)</f>
        <v>0</v>
      </c>
      <c r="TK28" s="128">
        <v>0</v>
      </c>
      <c r="TL28" s="32">
        <v>0</v>
      </c>
      <c r="TM28" s="100">
        <f t="shared" si="293"/>
        <v>-2930</v>
      </c>
      <c r="TO28" s="37">
        <f t="shared" si="226"/>
        <v>-2930</v>
      </c>
      <c r="TP28" s="141">
        <f>IFERROR(VLOOKUP($D28,'Adient Assende (Belgium) WK.17'!$B:SL,TQ$1,0),0)</f>
        <v>150</v>
      </c>
      <c r="TQ28" s="140">
        <f>IFERROR(VLOOKUP($D28,'Adient Arendal (Malzia) WK.12'!$B:SM,TQ$1,0),0)</f>
        <v>0</v>
      </c>
      <c r="TR28" s="140">
        <f>IFERROR(VLOOKUP($D28,'Adient Taizhou (China) WK.16'!$B:SP,TQ$1,0),0)</f>
        <v>0</v>
      </c>
      <c r="TS28" s="128">
        <v>0</v>
      </c>
      <c r="TT28" s="32">
        <v>0</v>
      </c>
      <c r="TU28" s="100">
        <f t="shared" si="294"/>
        <v>-3080</v>
      </c>
      <c r="TW28" s="37">
        <f t="shared" si="227"/>
        <v>-3080</v>
      </c>
      <c r="TX28" s="141">
        <f>IFERROR(VLOOKUP($D28,'Adient Assende (Belgium) WK.17'!$B:ST,TY$1,0),0)</f>
        <v>150</v>
      </c>
      <c r="TY28" s="140">
        <f>IFERROR(VLOOKUP($D28,'Adient Arendal (Malzia) WK.12'!$B:SU,TY$1,0),0)</f>
        <v>0</v>
      </c>
      <c r="TZ28" s="140">
        <f>IFERROR(VLOOKUP($D28,'Adient Taizhou (China) WK.16'!$B:SX,TY$1,0),0)</f>
        <v>0</v>
      </c>
      <c r="UA28" s="128">
        <v>0</v>
      </c>
      <c r="UB28" s="32">
        <v>0</v>
      </c>
      <c r="UC28" s="100">
        <f t="shared" si="295"/>
        <v>-3230</v>
      </c>
      <c r="UE28" s="37">
        <f t="shared" si="228"/>
        <v>-3230</v>
      </c>
      <c r="UF28" s="141">
        <f>IFERROR(VLOOKUP($D28,'Adient Assende (Belgium) WK.17'!$B:TB,UG$1,0),0)</f>
        <v>150</v>
      </c>
      <c r="UG28" s="140">
        <f>IFERROR(VLOOKUP($D28,'Adient Arendal (Malzia) WK.12'!$B:TC,UG$1,0),0)</f>
        <v>0</v>
      </c>
      <c r="UH28" s="140">
        <f>IFERROR(VLOOKUP($D28,'Adient Taizhou (China) WK.16'!$B:TF,UG$1,0),0)</f>
        <v>0</v>
      </c>
      <c r="UI28" s="128">
        <v>0</v>
      </c>
      <c r="UJ28" s="32">
        <v>0</v>
      </c>
      <c r="UK28" s="100">
        <f t="shared" si="296"/>
        <v>-3380</v>
      </c>
      <c r="UM28" s="37">
        <f t="shared" si="229"/>
        <v>-3380</v>
      </c>
      <c r="UN28" s="141">
        <f>IFERROR(VLOOKUP($D28,'Adient Assende (Belgium) WK.17'!$B:TJ,UO$1,0),0)</f>
        <v>120</v>
      </c>
      <c r="UO28" s="140">
        <f>IFERROR(VLOOKUP($D28,'Adient Arendal (Malzia) WK.12'!$B:TK,UO$1,0),0)</f>
        <v>0</v>
      </c>
      <c r="UP28" s="140">
        <f>IFERROR(VLOOKUP($D28,'Adient Taizhou (China) WK.16'!$B:TN,UO$1,0),0)</f>
        <v>0</v>
      </c>
      <c r="UQ28" s="128">
        <v>0</v>
      </c>
      <c r="UR28" s="32">
        <v>0</v>
      </c>
      <c r="US28" s="100">
        <f t="shared" si="297"/>
        <v>-3500</v>
      </c>
      <c r="UU28" s="37">
        <f t="shared" si="230"/>
        <v>-3500</v>
      </c>
      <c r="UV28" s="141">
        <f>IFERROR(VLOOKUP($D28,'Adient Assende (Belgium) WK.17'!$B:TR,UW$1,0),0)</f>
        <v>120</v>
      </c>
      <c r="UW28" s="140">
        <f>IFERROR(VLOOKUP($D28,'Adient Arendal (Malzia) WK.12'!$B:TS,UW$1,0),0)</f>
        <v>0</v>
      </c>
      <c r="UX28" s="140">
        <f>IFERROR(VLOOKUP($D28,'Adient Taizhou (China) WK.16'!$B:TV,UW$1,0),0)</f>
        <v>0</v>
      </c>
      <c r="UY28" s="128">
        <v>0</v>
      </c>
      <c r="UZ28" s="32">
        <v>0</v>
      </c>
      <c r="VA28" s="100">
        <f t="shared" si="298"/>
        <v>-3620</v>
      </c>
      <c r="VC28" s="37">
        <f t="shared" si="231"/>
        <v>-3620</v>
      </c>
      <c r="VD28" s="141">
        <f>IFERROR(VLOOKUP($D28,'Adient Assende (Belgium) WK.17'!$B:TZ,VE$1,0),0)</f>
        <v>120</v>
      </c>
      <c r="VE28" s="140">
        <f>IFERROR(VLOOKUP($D28,'Adient Arendal (Malzia) WK.12'!$B:UA,VE$1,0),0)</f>
        <v>0</v>
      </c>
      <c r="VF28" s="140">
        <f>IFERROR(VLOOKUP($D28,'Adient Taizhou (China) WK.16'!$B:UD,VE$1,0),0)</f>
        <v>0</v>
      </c>
      <c r="VG28" s="128">
        <v>0</v>
      </c>
      <c r="VH28" s="32">
        <v>0</v>
      </c>
      <c r="VI28" s="100">
        <f t="shared" si="299"/>
        <v>-3740</v>
      </c>
      <c r="VK28" s="37">
        <f t="shared" si="232"/>
        <v>-3740</v>
      </c>
      <c r="VL28" s="141">
        <f>IFERROR(VLOOKUP($D28,'Adient Assende (Belgium) WK.17'!$B:UH,VM$1,0),0)</f>
        <v>0</v>
      </c>
      <c r="VM28" s="140">
        <f>IFERROR(VLOOKUP($D28,'Adient Arendal (Malzia) WK.12'!$B:UI,VM$1,0),0)</f>
        <v>0</v>
      </c>
      <c r="VN28" s="140">
        <f>IFERROR(VLOOKUP($D28,'Adient Taizhou (China) WK.16'!$B:UL,VM$1,0),0)</f>
        <v>0</v>
      </c>
      <c r="VO28" s="128">
        <v>0</v>
      </c>
      <c r="VP28" s="32">
        <v>0</v>
      </c>
      <c r="VQ28" s="100">
        <f t="shared" si="300"/>
        <v>-3740</v>
      </c>
    </row>
    <row r="29" spans="1:589" x14ac:dyDescent="0.25">
      <c r="A29" s="10" t="s">
        <v>18</v>
      </c>
      <c r="B29" s="49" t="s">
        <v>19</v>
      </c>
      <c r="C29" s="90">
        <v>32332630</v>
      </c>
      <c r="D29" s="85">
        <v>5180033</v>
      </c>
      <c r="E29" s="11">
        <v>20</v>
      </c>
      <c r="F29" s="12"/>
      <c r="H29" s="122">
        <v>160</v>
      </c>
      <c r="I29" s="125">
        <f>IFERROR(VLOOKUP($D29,'Adient Assende (Belgium) WK.17'!$B:C,J$1,0),0)</f>
        <v>0</v>
      </c>
      <c r="J29" s="55">
        <f>IFERROR(VLOOKUP($D29,'Adient Arendal (Malzia) WK.12'!$B:C,J$1,0),0)</f>
        <v>0</v>
      </c>
      <c r="K29" s="55">
        <f>IFERROR(VLOOKUP($D29,'Adient Taizhou (China) WK.16'!$B:C,J$1,0),0)</f>
        <v>0</v>
      </c>
      <c r="L29" s="128">
        <v>0</v>
      </c>
      <c r="M29" s="32">
        <v>0</v>
      </c>
      <c r="N29" s="106">
        <f t="shared" si="233"/>
        <v>160</v>
      </c>
      <c r="P29" s="37">
        <f t="shared" si="234"/>
        <v>160</v>
      </c>
      <c r="Q29" s="125">
        <f>IFERROR(VLOOKUP($D29,'Adient Assende (Belgium) WK.17'!$B:K,R$1,0),0)</f>
        <v>0</v>
      </c>
      <c r="R29" s="55">
        <f>IFERROR(VLOOKUP($D29,'Adient Arendal (Malzia) WK.12'!$B:K,R$1,0),0)</f>
        <v>0</v>
      </c>
      <c r="S29" s="55">
        <f>IFERROR(VLOOKUP($D29,'Adient Taizhou (China) WK.16'!$B:K,R$1,0),0)</f>
        <v>0</v>
      </c>
      <c r="T29" s="41">
        <v>80</v>
      </c>
      <c r="U29" s="32">
        <v>0</v>
      </c>
      <c r="V29" s="106">
        <f t="shared" si="235"/>
        <v>80</v>
      </c>
      <c r="X29" s="37">
        <f t="shared" si="236"/>
        <v>80</v>
      </c>
      <c r="Y29" s="125">
        <f>IFERROR(VLOOKUP($D29,'Adient Assende (Belgium) WK.17'!$B:S,Z$1,0),0)</f>
        <v>80</v>
      </c>
      <c r="Z29" s="55">
        <f>IFERROR(VLOOKUP($D29,'Adient Arendal (Malzia) WK.12'!$B:S,Z$1,0),0)</f>
        <v>0</v>
      </c>
      <c r="AA29" s="55">
        <f>IFERROR(VLOOKUP($D29,'Adient Taizhou (China) WK.16'!$B:S,Z$1,0),0)</f>
        <v>0</v>
      </c>
      <c r="AB29" s="41">
        <v>0</v>
      </c>
      <c r="AC29" s="32">
        <v>0</v>
      </c>
      <c r="AD29" s="106">
        <f t="shared" si="237"/>
        <v>80</v>
      </c>
      <c r="AF29" s="37">
        <f t="shared" si="238"/>
        <v>80</v>
      </c>
      <c r="AG29" s="125">
        <f>IFERROR(VLOOKUP($D29,'Adient Assende (Belgium) WK.17'!$B:AA,AH$1,0),0)</f>
        <v>0</v>
      </c>
      <c r="AH29" s="55">
        <f>IFERROR(VLOOKUP($D29,'Adient Arendal (Malzia) WK.12'!$B:AA,AH$1,0),0)</f>
        <v>0</v>
      </c>
      <c r="AI29" s="55">
        <f>IFERROR(VLOOKUP($D29,'Adient Taizhou (China) WK.16'!$B:AA,AH$1,0),0)</f>
        <v>0</v>
      </c>
      <c r="AJ29" s="41">
        <v>0</v>
      </c>
      <c r="AK29" s="32">
        <v>0</v>
      </c>
      <c r="AL29" s="106">
        <f t="shared" si="239"/>
        <v>80</v>
      </c>
      <c r="AN29" s="37">
        <f t="shared" si="164"/>
        <v>80</v>
      </c>
      <c r="AO29" s="125">
        <f>IFERROR(VLOOKUP($D29,'Adient Assende (Belgium) WK.17'!$B:AI,AP$1,0),0)</f>
        <v>0</v>
      </c>
      <c r="AP29" s="55">
        <f>IFERROR(VLOOKUP($D29,'Adient Arendal (Malzia) WK.12'!$B:AI,AP$1,0),0)</f>
        <v>0</v>
      </c>
      <c r="AQ29" s="55">
        <f>IFERROR(VLOOKUP($D29,'Adient Taizhou (China) WK.16'!$B:AI,AP$1,0),0)</f>
        <v>0</v>
      </c>
      <c r="AR29" s="60">
        <v>0</v>
      </c>
      <c r="AS29" s="41">
        <v>0</v>
      </c>
      <c r="AT29" s="32">
        <v>0</v>
      </c>
      <c r="AU29" s="106">
        <f t="shared" si="240"/>
        <v>80</v>
      </c>
      <c r="AW29" s="37">
        <f t="shared" si="165"/>
        <v>80</v>
      </c>
      <c r="AX29" s="125">
        <f>IFERROR(VLOOKUP($D29,'Adient Assende (Belgium) WK.17'!$B:AR,AY$1,0),0)</f>
        <v>0</v>
      </c>
      <c r="AY29" s="55">
        <f>IFERROR(VLOOKUP($D29,'Adient Arendal (Malzia) WK.12'!$B:AR,AY$1,0),0)</f>
        <v>0</v>
      </c>
      <c r="AZ29" s="55">
        <f>IFERROR(VLOOKUP($D29,'Adient Taizhou (China) WK.16'!$B:AU,AY$1,0),0)</f>
        <v>0</v>
      </c>
      <c r="BA29" s="41">
        <v>0</v>
      </c>
      <c r="BB29" s="32">
        <v>0</v>
      </c>
      <c r="BC29" s="106">
        <f t="shared" si="241"/>
        <v>80</v>
      </c>
      <c r="BE29" s="37">
        <f t="shared" si="166"/>
        <v>80</v>
      </c>
      <c r="BF29" s="125">
        <f>IFERROR(VLOOKUP($D29,'Adient Assende (Belgium) WK.17'!$B:AX,BG$1,0),0)</f>
        <v>0</v>
      </c>
      <c r="BG29" s="55">
        <f>IFERROR(VLOOKUP($D29,'Adient Arendal (Malzia) WK.12'!$B:AZ,BG$1,0),0)</f>
        <v>0</v>
      </c>
      <c r="BH29" s="55">
        <f>IFERROR(VLOOKUP($D29,'Adient Taizhou (China) WK.16'!$B:BB,BG$1,0),0)</f>
        <v>0</v>
      </c>
      <c r="BI29" s="60">
        <v>0</v>
      </c>
      <c r="BJ29" s="60">
        <v>0</v>
      </c>
      <c r="BK29" s="41">
        <v>0</v>
      </c>
      <c r="BL29" s="32">
        <v>0</v>
      </c>
      <c r="BM29" s="106">
        <f t="shared" si="242"/>
        <v>80</v>
      </c>
      <c r="BN29" s="8"/>
      <c r="BO29" s="37">
        <f t="shared" si="167"/>
        <v>80</v>
      </c>
      <c r="BP29" s="125">
        <f>IFERROR(VLOOKUP($D29,'Adient Assende (Belgium) WK.17'!$B:BH,BQ$1,0),0)</f>
        <v>0</v>
      </c>
      <c r="BQ29" s="55">
        <f>IFERROR(VLOOKUP($D29,'Adient Arendal (Malzia) WK.12'!$B:BI,BQ$1,0),0)</f>
        <v>0</v>
      </c>
      <c r="BR29" s="55">
        <f>IFERROR(VLOOKUP($D29,'Adient Taizhou (China) WK.16'!$B:BL,BQ$1,0),0)</f>
        <v>0</v>
      </c>
      <c r="BS29" s="60">
        <v>0</v>
      </c>
      <c r="BT29" s="60">
        <v>0</v>
      </c>
      <c r="BU29" s="60">
        <v>0</v>
      </c>
      <c r="BV29" s="41">
        <v>0</v>
      </c>
      <c r="BW29" s="32">
        <v>0</v>
      </c>
      <c r="BX29" s="106">
        <f t="shared" si="243"/>
        <v>80</v>
      </c>
      <c r="BY29" s="8"/>
      <c r="BZ29" s="37">
        <f t="shared" si="168"/>
        <v>80</v>
      </c>
      <c r="CA29" s="125">
        <f>IFERROR(VLOOKUP($D29,'Adient Assende (Belgium) WK.17'!$B:BS,CB$1,0),0)</f>
        <v>0</v>
      </c>
      <c r="CB29" s="55">
        <f>IFERROR(VLOOKUP($D29,'Adient Arendal (Malzia) WK.12'!$B:BT,CB$1,0),0)</f>
        <v>0</v>
      </c>
      <c r="CC29" s="55">
        <f>IFERROR(VLOOKUP($D29,'Adient Taizhou (China) WK.16'!$B:BW,CB$1,0),0)</f>
        <v>0</v>
      </c>
      <c r="CD29" s="60">
        <v>0</v>
      </c>
      <c r="CE29" s="60">
        <v>0</v>
      </c>
      <c r="CF29" s="41">
        <v>0</v>
      </c>
      <c r="CG29" s="32">
        <v>0</v>
      </c>
      <c r="CH29" s="106">
        <f t="shared" si="244"/>
        <v>80</v>
      </c>
      <c r="CI29" s="8"/>
      <c r="CJ29" s="37">
        <f t="shared" si="169"/>
        <v>80</v>
      </c>
      <c r="CK29" s="125">
        <f>IFERROR(VLOOKUP($D29,'Adient Assende (Belgium) WK.17'!$B:CC,CL$1,0),0)</f>
        <v>0</v>
      </c>
      <c r="CL29" s="55">
        <f>IFERROR(VLOOKUP($D29,'Adient Arendal (Malzia) WK.12'!$B:CD,CL$1,0),0)</f>
        <v>0</v>
      </c>
      <c r="CM29" s="55">
        <f>IFERROR(VLOOKUP($D29,'Adient Taizhou (China) WK.16'!$B:CG,CL$1,0),0)</f>
        <v>0</v>
      </c>
      <c r="CN29" s="60">
        <v>0</v>
      </c>
      <c r="CO29" s="149">
        <v>0</v>
      </c>
      <c r="CP29" s="32">
        <v>0</v>
      </c>
      <c r="CQ29" s="106">
        <f t="shared" si="245"/>
        <v>80</v>
      </c>
      <c r="CR29" s="8"/>
      <c r="CS29" s="122">
        <f t="shared" si="170"/>
        <v>80</v>
      </c>
      <c r="CT29" s="154">
        <f>IFERROR(VLOOKUP($D29,'Adient Assende (Belgium) WK.17'!$B:CL,CU$1,0),0)</f>
        <v>0</v>
      </c>
      <c r="CU29" s="55">
        <f>IFERROR(VLOOKUP($D29,'Adient Arendal (Malzia) WK.12'!$B:CM,CU$1,0),0)</f>
        <v>0</v>
      </c>
      <c r="CV29" s="55">
        <f>IFERROR(VLOOKUP($D29,'Adient Taizhou (China) WK.16'!$B:CP,CU$1,0),0)</f>
        <v>0</v>
      </c>
      <c r="CW29" s="60">
        <v>0</v>
      </c>
      <c r="CX29" s="60">
        <v>0</v>
      </c>
      <c r="CY29" s="128">
        <v>0</v>
      </c>
      <c r="CZ29" s="32">
        <v>0</v>
      </c>
      <c r="DA29" s="106">
        <f t="shared" si="246"/>
        <v>80</v>
      </c>
      <c r="DB29" s="8"/>
      <c r="DC29" s="37">
        <f t="shared" si="171"/>
        <v>80</v>
      </c>
      <c r="DD29" s="125">
        <f>IFERROR(VLOOKUP($D29,'Adient Assende (Belgium) WK.17'!$B:CS,DE$1,0),0)</f>
        <v>0</v>
      </c>
      <c r="DE29" s="55">
        <f>IFERROR(VLOOKUP($D29,'Adient Arendal (Malzia) WK.12'!$B:CU,DE$1,0),0)</f>
        <v>0</v>
      </c>
      <c r="DF29" s="55">
        <f>IFERROR(VLOOKUP($D29,'Adient Taizhou (China) WK.16'!$B:CX,DE$1,0),0)</f>
        <v>0</v>
      </c>
      <c r="DG29" s="60">
        <v>0</v>
      </c>
      <c r="DH29" s="128">
        <v>0</v>
      </c>
      <c r="DI29" s="32">
        <v>0</v>
      </c>
      <c r="DJ29" s="106">
        <f t="shared" si="247"/>
        <v>80</v>
      </c>
      <c r="DL29" s="37">
        <f t="shared" si="172"/>
        <v>80</v>
      </c>
      <c r="DM29" s="125">
        <f>IFERROR(VLOOKUP($D29,'Adient Assende (Belgium) WK.17'!$B:DB,DN$1,0),0)</f>
        <v>0</v>
      </c>
      <c r="DN29" s="55">
        <f>IFERROR(VLOOKUP($D29,'Adient Arendal (Malzia) WK.12'!$B:DC,DN$1,0),0)</f>
        <v>0</v>
      </c>
      <c r="DO29" s="55">
        <f>IFERROR(VLOOKUP($D29,'Adient Taizhou (China) WK.16'!$B:DF,DN$1,0),0)</f>
        <v>0</v>
      </c>
      <c r="DP29" s="128">
        <v>0</v>
      </c>
      <c r="DQ29" s="32">
        <v>0</v>
      </c>
      <c r="DR29" s="106">
        <f t="shared" si="173"/>
        <v>80</v>
      </c>
      <c r="DS29" s="8"/>
      <c r="DT29" s="37">
        <f t="shared" si="174"/>
        <v>80</v>
      </c>
      <c r="DU29" s="125">
        <f>IFERROR(VLOOKUP($D29,'Adient Assende (Belgium) WK.17'!$B:DJ,DV$1,0),0)</f>
        <v>0</v>
      </c>
      <c r="DV29" s="55">
        <f>IFERROR(VLOOKUP($D29,'Adient Arendal (Malzia) WK.12'!$B:DK,DV$1,0),0)</f>
        <v>0</v>
      </c>
      <c r="DW29" s="55">
        <f>IFERROR(VLOOKUP($D29,'Adient Taizhou (China) WK.16'!$B:DN,DV$1,0),0)</f>
        <v>0</v>
      </c>
      <c r="DX29" s="60">
        <v>0</v>
      </c>
      <c r="DY29" s="60">
        <v>100</v>
      </c>
      <c r="DZ29" s="128">
        <v>0</v>
      </c>
      <c r="EA29" s="32">
        <v>0</v>
      </c>
      <c r="EB29" s="106">
        <f t="shared" si="248"/>
        <v>180</v>
      </c>
      <c r="EC29" s="8"/>
      <c r="ED29" s="37">
        <f t="shared" si="175"/>
        <v>180</v>
      </c>
      <c r="EE29" s="125">
        <f>IFERROR(VLOOKUP($D29,'Adient Assende (Belgium) WK.17'!$B:DR,EF$1,0),0)</f>
        <v>0</v>
      </c>
      <c r="EF29" s="55">
        <f>IFERROR(VLOOKUP($D29,'Adient Arendal (Malzia) WK.12'!$B:DS,EF$1,0),0)</f>
        <v>0</v>
      </c>
      <c r="EG29" s="55">
        <f>IFERROR(VLOOKUP($D29,'Adient Taizhou (China) WK.16'!$B:DV,EF$1,0),0)</f>
        <v>0</v>
      </c>
      <c r="EH29" s="60">
        <v>100</v>
      </c>
      <c r="EI29" s="128">
        <v>0</v>
      </c>
      <c r="EJ29" s="32">
        <v>0</v>
      </c>
      <c r="EK29" s="106">
        <f t="shared" si="249"/>
        <v>280</v>
      </c>
      <c r="EM29" s="37">
        <f t="shared" si="176"/>
        <v>280</v>
      </c>
      <c r="EN29" s="125">
        <f>IFERROR(VLOOKUP($D29,'Adient Assende (Belgium) WK.17'!$B:DZ,EO$1,0),0)</f>
        <v>0</v>
      </c>
      <c r="EO29" s="55">
        <f>IFERROR(VLOOKUP($D29,'Adient Arendal (Malzia) WK.12'!$B:EA,EO$1,0),0)</f>
        <v>0</v>
      </c>
      <c r="EP29" s="55">
        <f>IFERROR(VLOOKUP($D29,'Adient Taizhou (China) WK.16'!$B:ED,EO$1,0),0)</f>
        <v>0</v>
      </c>
      <c r="EQ29" s="128">
        <v>0</v>
      </c>
      <c r="ER29" s="32">
        <v>0</v>
      </c>
      <c r="ES29" s="106">
        <f t="shared" si="250"/>
        <v>280</v>
      </c>
      <c r="EU29" s="37">
        <f t="shared" si="177"/>
        <v>280</v>
      </c>
      <c r="EV29" s="125">
        <f>IFERROR(VLOOKUP($D29,'Adient Assende (Belgium) WK.17'!$B:EH,EW$1,0),0)</f>
        <v>0</v>
      </c>
      <c r="EW29" s="55">
        <f>IFERROR(VLOOKUP($D29,'Adient Arendal (Malzia) WK.12'!$B:EI,EW$1,0),0)</f>
        <v>0</v>
      </c>
      <c r="EX29" s="55">
        <f>IFERROR(VLOOKUP($D29,'Adient Taizhou (China) WK.16'!$B:EL,EW$1,0),0)</f>
        <v>0</v>
      </c>
      <c r="EY29" s="128">
        <v>0</v>
      </c>
      <c r="EZ29" s="32">
        <v>0</v>
      </c>
      <c r="FA29" s="106">
        <f t="shared" si="251"/>
        <v>280</v>
      </c>
      <c r="FC29" s="37">
        <f t="shared" si="178"/>
        <v>280</v>
      </c>
      <c r="FD29" s="154">
        <f>IFERROR(VLOOKUP($D29,'Adient Assende (Belgium) WK.17'!$B:EP,FE$1,0),0)</f>
        <v>0</v>
      </c>
      <c r="FE29" s="154">
        <f>IFERROR(VLOOKUP($D29,'Adient Arendal (Malzia) WK.12'!$B:EQ,FE$1,0),0)</f>
        <v>0</v>
      </c>
      <c r="FF29" s="154">
        <f>IFERROR(VLOOKUP($D29,'Adient Taizhou (China) WK.16'!$B:ET,FE$1,0),0)</f>
        <v>0</v>
      </c>
      <c r="FG29" s="128">
        <v>0</v>
      </c>
      <c r="FH29" s="32">
        <v>0</v>
      </c>
      <c r="FI29" s="106">
        <f t="shared" si="252"/>
        <v>280</v>
      </c>
      <c r="FK29" s="37">
        <f t="shared" si="179"/>
        <v>280</v>
      </c>
      <c r="FL29" s="125">
        <f>IFERROR(VLOOKUP($D29,'Adient Assende (Belgium) WK.17'!$B:EX,FM$1,0),0)</f>
        <v>0</v>
      </c>
      <c r="FM29" s="55">
        <f>IFERROR(VLOOKUP($D29,'Adient Arendal (Malzia) WK.12'!$B:EY,FM$1,0),0)</f>
        <v>0</v>
      </c>
      <c r="FN29" s="55">
        <f>IFERROR(VLOOKUP($D29,'Adient Taizhou (China) WK.16'!$B:FB,FM$1,0),0)</f>
        <v>0</v>
      </c>
      <c r="FO29" s="128">
        <v>80</v>
      </c>
      <c r="FP29" s="32">
        <v>0</v>
      </c>
      <c r="FQ29" s="106">
        <f t="shared" si="253"/>
        <v>200</v>
      </c>
      <c r="FR29" s="8"/>
      <c r="FS29" s="37">
        <f t="shared" si="180"/>
        <v>200</v>
      </c>
      <c r="FT29" s="125">
        <f>IFERROR(VLOOKUP($D29,'Adient Assende (Belgium) WK.17'!$B:FF,FU$1,0),0)</f>
        <v>80</v>
      </c>
      <c r="FU29" s="55">
        <f>IFERROR(VLOOKUP($D29,'Adient Arendal (Malzia) WK.12'!$B:FG,FU$1,0),0)</f>
        <v>0</v>
      </c>
      <c r="FV29" s="55">
        <f>IFERROR(VLOOKUP($D29,'Adient Taizhou (China) WK.16'!$B:FJ,FU$1,0),0)</f>
        <v>0</v>
      </c>
      <c r="FW29" s="60">
        <v>0</v>
      </c>
      <c r="FX29" s="60">
        <v>0</v>
      </c>
      <c r="FY29" s="60">
        <v>100</v>
      </c>
      <c r="FZ29" s="60">
        <v>0</v>
      </c>
      <c r="GA29" s="60">
        <v>0</v>
      </c>
      <c r="GB29" s="128">
        <v>0</v>
      </c>
      <c r="GC29" s="32">
        <v>0</v>
      </c>
      <c r="GD29" s="106">
        <f t="shared" si="254"/>
        <v>300</v>
      </c>
      <c r="GF29" s="37">
        <f t="shared" si="181"/>
        <v>300</v>
      </c>
      <c r="GG29" s="125">
        <f>IFERROR(VLOOKUP($D29,'Adient Assende (Belgium) WK.17'!$B:FN,GH$1,0),0)</f>
        <v>0</v>
      </c>
      <c r="GH29" s="55">
        <f>IFERROR(VLOOKUP($D29,'Adient Arendal (Malzia) WK.12'!$B:FO,GH$1,0),0)</f>
        <v>0</v>
      </c>
      <c r="GI29" s="55">
        <f>IFERROR(VLOOKUP($D29,'Adient Taizhou (China) WK.16'!$B:FR,GH$1,0),0)</f>
        <v>0</v>
      </c>
      <c r="GJ29" s="60">
        <v>0</v>
      </c>
      <c r="GK29" s="128">
        <v>0</v>
      </c>
      <c r="GL29" s="32">
        <v>0</v>
      </c>
      <c r="GM29" s="106">
        <f t="shared" si="255"/>
        <v>300</v>
      </c>
      <c r="GO29" s="37">
        <f t="shared" si="182"/>
        <v>300</v>
      </c>
      <c r="GP29" s="125">
        <f>IFERROR(VLOOKUP($D29,'Adient Assende (Belgium) WK.17'!$B:FV,GQ$1,0),0)</f>
        <v>0</v>
      </c>
      <c r="GQ29" s="55">
        <f>IFERROR(VLOOKUP($D29,'Adient Arendal (Malzia) WK.12'!$B:FW,GQ$1,0),0)</f>
        <v>0</v>
      </c>
      <c r="GR29" s="55">
        <f>IFERROR(VLOOKUP($D29,'Adient Taizhou (China) WK.16'!$B:FZ,GQ$1,0),0)</f>
        <v>0</v>
      </c>
      <c r="GS29" s="60">
        <v>0</v>
      </c>
      <c r="GT29" s="128">
        <v>0</v>
      </c>
      <c r="GU29" s="32">
        <v>0</v>
      </c>
      <c r="GV29" s="106">
        <f t="shared" si="256"/>
        <v>300</v>
      </c>
      <c r="GW29" s="8"/>
      <c r="GX29" s="37">
        <f t="shared" si="183"/>
        <v>300</v>
      </c>
      <c r="GY29" s="125">
        <f>IFERROR(VLOOKUP($D29,'Adient Assende (Belgium) WK.17'!$B:GD,GZ$1,0),0)</f>
        <v>0</v>
      </c>
      <c r="GZ29" s="55">
        <f>IFERROR(VLOOKUP($D29,'Adient Arendal (Malzia) WK.12'!$B:GE,GZ$1,0),0)</f>
        <v>0</v>
      </c>
      <c r="HA29" s="55">
        <f>IFERROR(VLOOKUP($D29,'Adient Taizhou (China) WK.16'!$B:GH,GZ$1,0),0)</f>
        <v>0</v>
      </c>
      <c r="HB29" s="60">
        <v>0</v>
      </c>
      <c r="HC29" s="128">
        <v>0</v>
      </c>
      <c r="HD29" s="32">
        <v>0</v>
      </c>
      <c r="HE29" s="106">
        <f t="shared" si="257"/>
        <v>300</v>
      </c>
      <c r="HF29" s="8"/>
      <c r="HG29" s="37">
        <f t="shared" si="184"/>
        <v>300</v>
      </c>
      <c r="HH29" s="125">
        <f>IFERROR(VLOOKUP($D29,'Adient Assende (Belgium) WK.17'!$B:GL,HI$1,0),0)</f>
        <v>0</v>
      </c>
      <c r="HI29" s="55">
        <f>IFERROR(VLOOKUP($D29,'Adient Arendal (Malzia) WK.12'!$B:GM,HI$1,0),0)</f>
        <v>0</v>
      </c>
      <c r="HJ29" s="55">
        <f>IFERROR(VLOOKUP($D29,'Adient Taizhou (China) WK.16'!$B:GP,HI$1,0),0)</f>
        <v>0</v>
      </c>
      <c r="HK29" s="60">
        <v>0</v>
      </c>
      <c r="HL29" s="128">
        <v>0</v>
      </c>
      <c r="HM29" s="32">
        <v>0</v>
      </c>
      <c r="HN29" s="106">
        <f t="shared" si="258"/>
        <v>300</v>
      </c>
      <c r="HO29" s="8"/>
      <c r="HP29" s="37">
        <f t="shared" si="185"/>
        <v>300</v>
      </c>
      <c r="HQ29" s="125">
        <f>IFERROR(VLOOKUP($D29,'Adient Assende (Belgium) WK.17'!$B:GT,HR$1,0),0)</f>
        <v>0</v>
      </c>
      <c r="HR29" s="55">
        <f>IFERROR(VLOOKUP($D29,'Adient Arendal (Malzia) WK.12'!$B:GU,HR$1,0),0)</f>
        <v>0</v>
      </c>
      <c r="HS29" s="55">
        <f>IFERROR(VLOOKUP($D29,'Adient Taizhou (China) WK.16'!$B:GX,HR$1,0),0)</f>
        <v>0</v>
      </c>
      <c r="HT29" s="60">
        <v>0</v>
      </c>
      <c r="HU29" s="128">
        <v>0</v>
      </c>
      <c r="HV29" s="32">
        <v>0</v>
      </c>
      <c r="HW29" s="106">
        <f t="shared" si="259"/>
        <v>300</v>
      </c>
      <c r="HX29" s="8"/>
      <c r="HY29" s="37">
        <f t="shared" si="186"/>
        <v>300</v>
      </c>
      <c r="HZ29" s="125">
        <f>IFERROR(VLOOKUP($D29,'Adient Assende (Belgium) WK.17'!$B:HB,IA$1,0),0)</f>
        <v>0</v>
      </c>
      <c r="IA29" s="55">
        <f>IFERROR(VLOOKUP($D29,'Adient Arendal (Malzia) WK.12'!$B:HC,IA$1,0),0)</f>
        <v>0</v>
      </c>
      <c r="IB29" s="55">
        <f>IFERROR(VLOOKUP($D29,'Adient Taizhou (China) WK.16'!$B:HF,IA$1,0),0)</f>
        <v>0</v>
      </c>
      <c r="IC29" s="60">
        <v>0</v>
      </c>
      <c r="ID29" s="128">
        <v>0</v>
      </c>
      <c r="IE29" s="32">
        <v>0</v>
      </c>
      <c r="IF29" s="106">
        <f t="shared" si="260"/>
        <v>300</v>
      </c>
      <c r="IG29" s="8"/>
      <c r="IH29" s="37">
        <f t="shared" si="187"/>
        <v>300</v>
      </c>
      <c r="II29" s="125">
        <f>IFERROR(VLOOKUP($D29,'Adient Assende (Belgium) WK.17'!$B:HJ,IJ$1,0),0)</f>
        <v>0</v>
      </c>
      <c r="IJ29" s="55">
        <f>IFERROR(VLOOKUP($D29,'Adient Arendal (Malzia) WK.12'!$B:HK,IJ$1,0),0)</f>
        <v>0</v>
      </c>
      <c r="IK29" s="55">
        <f>IFERROR(VLOOKUP($D29,'Adient Taizhou (China) WK.16'!$B:HN,IJ$1,0),0)</f>
        <v>0</v>
      </c>
      <c r="IL29" s="128">
        <v>80</v>
      </c>
      <c r="IM29" s="32">
        <v>0</v>
      </c>
      <c r="IN29" s="106">
        <f t="shared" si="188"/>
        <v>220</v>
      </c>
      <c r="IO29" s="8"/>
      <c r="IP29" s="37">
        <f t="shared" si="189"/>
        <v>220</v>
      </c>
      <c r="IQ29" s="125">
        <f>IFERROR(VLOOKUP($D29,'Adient Assende (Belgium) WK.17'!$B:HR,IR$1,0),0)</f>
        <v>80</v>
      </c>
      <c r="IR29" s="55">
        <f>IFERROR(VLOOKUP($D29,'Adient Arendal (Malzia) WK.12'!$B:HS,IR$1,0),0)</f>
        <v>0</v>
      </c>
      <c r="IS29" s="55">
        <f>IFERROR(VLOOKUP($D29,'Adient Taizhou (China) WK.16'!$B:HV,IR$1,0),0)</f>
        <v>0</v>
      </c>
      <c r="IT29" s="60">
        <v>0</v>
      </c>
      <c r="IU29" s="128">
        <v>0</v>
      </c>
      <c r="IV29" s="32">
        <v>0</v>
      </c>
      <c r="IW29" s="106">
        <f t="shared" si="261"/>
        <v>220</v>
      </c>
      <c r="IX29" s="8"/>
      <c r="IY29" s="37">
        <f t="shared" si="190"/>
        <v>220</v>
      </c>
      <c r="IZ29" s="125">
        <f>IFERROR(VLOOKUP($D29,'Adient Assende (Belgium) WK.17'!$B:HZ,JA$1,0),0)</f>
        <v>0</v>
      </c>
      <c r="JA29" s="55">
        <f>IFERROR(VLOOKUP($D29,'Adient Arendal (Malzia) WK.12'!$B:IA,JA$1,0),0)</f>
        <v>0</v>
      </c>
      <c r="JB29" s="55">
        <f>IFERROR(VLOOKUP($D29,'Adient Taizhou (China) WK.16'!$B:ID,JA$1,0),0)</f>
        <v>0</v>
      </c>
      <c r="JC29" s="128">
        <v>0</v>
      </c>
      <c r="JD29" s="32">
        <v>0</v>
      </c>
      <c r="JE29" s="106">
        <f t="shared" si="191"/>
        <v>220</v>
      </c>
      <c r="JF29" s="8"/>
      <c r="JG29" s="37">
        <f t="shared" si="192"/>
        <v>220</v>
      </c>
      <c r="JH29" s="125">
        <f>IFERROR(VLOOKUP($D29,'Adient Assende (Belgium) WK.17'!$B:IH,JI$1,0),0)</f>
        <v>0</v>
      </c>
      <c r="JI29" s="55">
        <f>IFERROR(VLOOKUP($D29,'Adient Arendal (Malzia) WK.12'!$B:II,JI$1,0),0)</f>
        <v>0</v>
      </c>
      <c r="JJ29" s="55">
        <f>IFERROR(VLOOKUP($D29,'Adient Taizhou (China) WK.16'!$B:IL,JI$1,0),0)</f>
        <v>0</v>
      </c>
      <c r="JK29" s="60">
        <v>0</v>
      </c>
      <c r="JL29" s="128">
        <v>0</v>
      </c>
      <c r="JM29" s="32">
        <v>0</v>
      </c>
      <c r="JN29" s="106">
        <f t="shared" si="262"/>
        <v>220</v>
      </c>
      <c r="JO29" s="8"/>
      <c r="JP29" s="37">
        <f t="shared" si="193"/>
        <v>220</v>
      </c>
      <c r="JQ29" s="125">
        <f>IFERROR(VLOOKUP($D29,'Adient Assende (Belgium) WK.17'!$B:IP,JR$1,0),0)</f>
        <v>0</v>
      </c>
      <c r="JR29" s="55">
        <f>IFERROR(VLOOKUP($D29,'Adient Arendal (Malzia) WK.12'!$B:IQ,JR$1,0),0)</f>
        <v>0</v>
      </c>
      <c r="JS29" s="55">
        <f>IFERROR(VLOOKUP($D29,'Adient Taizhou (China) WK.16'!$B:IT,JR$1,0),0)</f>
        <v>0</v>
      </c>
      <c r="JT29" s="128">
        <v>0</v>
      </c>
      <c r="JU29" s="32">
        <v>0</v>
      </c>
      <c r="JV29" s="106">
        <f t="shared" si="194"/>
        <v>220</v>
      </c>
      <c r="JW29" s="8"/>
      <c r="JX29" s="37">
        <f t="shared" si="195"/>
        <v>220</v>
      </c>
      <c r="JY29" s="154">
        <f>IFERROR(VLOOKUP($D29,'Adient Assende (Belgium) WK.17'!$B:IX,JZ$1,0),0)</f>
        <v>0</v>
      </c>
      <c r="JZ29" s="55">
        <f>IFERROR(VLOOKUP($D29,'Adient Arendal (Malzia) WK.12'!$B:IY,JZ$1,0),0)</f>
        <v>0</v>
      </c>
      <c r="KA29" s="55">
        <f>IFERROR(VLOOKUP($D29,'Adient Taizhou (China) WK.16'!$B:JB,JZ$1,0),0)</f>
        <v>0</v>
      </c>
      <c r="KB29" s="128">
        <v>0</v>
      </c>
      <c r="KC29" s="32">
        <v>0</v>
      </c>
      <c r="KD29" s="106">
        <f t="shared" si="263"/>
        <v>220</v>
      </c>
      <c r="KE29" s="8"/>
      <c r="KF29" s="37">
        <f t="shared" si="196"/>
        <v>220</v>
      </c>
      <c r="KG29" s="125">
        <f>IFERROR(VLOOKUP($D29,'Adient Assende (Belgium) WK.17'!$B:JF,KH$1,0),0)</f>
        <v>0</v>
      </c>
      <c r="KH29" s="55">
        <f>IFERROR(VLOOKUP($D29,'Adient Arendal (Malzia) WK.12'!$B:JG,KH$1,0),0)</f>
        <v>0</v>
      </c>
      <c r="KI29" s="55">
        <f>IFERROR(VLOOKUP($D29,'Adient Taizhou (China) WK.16'!$B:JJ,KH$1,0),0)</f>
        <v>0</v>
      </c>
      <c r="KJ29" s="60">
        <v>0</v>
      </c>
      <c r="KK29" s="128">
        <v>0</v>
      </c>
      <c r="KL29" s="32">
        <v>0</v>
      </c>
      <c r="KM29" s="106">
        <f t="shared" si="264"/>
        <v>220</v>
      </c>
      <c r="KN29" s="8"/>
      <c r="KO29" s="37">
        <f t="shared" si="197"/>
        <v>220</v>
      </c>
      <c r="KP29" s="141">
        <f>IFERROR(VLOOKUP($D29,'Adient Assende (Belgium) WK.17'!$B:JN,KQ$1,0),0)</f>
        <v>0</v>
      </c>
      <c r="KQ29" s="140">
        <f>IFERROR(VLOOKUP($D29,'Adient Arendal (Malzia) WK.12'!$B:JO,KQ$1,0),0)</f>
        <v>0</v>
      </c>
      <c r="KR29" s="140">
        <f>IFERROR(VLOOKUP($D29,'Adient Taizhou (China) WK.16'!$B:JR,KQ$1,0),0)</f>
        <v>0</v>
      </c>
      <c r="KS29" s="60">
        <v>0</v>
      </c>
      <c r="KT29" s="128">
        <v>0</v>
      </c>
      <c r="KU29" s="32">
        <v>0</v>
      </c>
      <c r="KV29" s="106">
        <f t="shared" si="265"/>
        <v>220</v>
      </c>
      <c r="KX29" s="37">
        <f t="shared" si="198"/>
        <v>220</v>
      </c>
      <c r="KY29" s="141">
        <f>IFERROR(VLOOKUP($D29,'Adient Assende (Belgium) WK.17'!$B:JV,KZ$1,0),0)</f>
        <v>0</v>
      </c>
      <c r="KZ29" s="140">
        <f>IFERROR(VLOOKUP($D29,'Adient Arendal (Malzia) WK.12'!$B:JW,KZ$1,0),0)</f>
        <v>0</v>
      </c>
      <c r="LA29" s="140">
        <f>IFERROR(VLOOKUP($D29,'Adient Taizhou (China) WK.16'!$B:JZ,KZ$1,0),0)</f>
        <v>0</v>
      </c>
      <c r="LB29" s="128">
        <v>0</v>
      </c>
      <c r="LC29" s="32">
        <v>0</v>
      </c>
      <c r="LD29" s="106">
        <f t="shared" si="266"/>
        <v>220</v>
      </c>
      <c r="LF29" s="37">
        <f t="shared" si="199"/>
        <v>220</v>
      </c>
      <c r="LG29" s="141">
        <f>IFERROR(VLOOKUP($D29,'Adient Assende (Belgium) WK.17'!$B:KD,LH$1,0),0)</f>
        <v>0</v>
      </c>
      <c r="LH29" s="140">
        <f>IFERROR(VLOOKUP($D29,'Adient Arendal (Malzia) WK.12'!$B:KE,LH$1,0),0)</f>
        <v>0</v>
      </c>
      <c r="LI29" s="140">
        <f>IFERROR(VLOOKUP($D29,'Adient Taizhou (China) WK.16'!$B:KH,LH$1,0),0)</f>
        <v>0</v>
      </c>
      <c r="LJ29" s="60">
        <v>0</v>
      </c>
      <c r="LK29" s="128">
        <v>0</v>
      </c>
      <c r="LL29" s="32">
        <v>0</v>
      </c>
      <c r="LM29" s="100">
        <f t="shared" si="267"/>
        <v>220</v>
      </c>
      <c r="LO29" s="37">
        <f t="shared" si="200"/>
        <v>220</v>
      </c>
      <c r="LP29" s="141">
        <f>IFERROR(VLOOKUP($D29,'Adient Assende (Belgium) WK.17'!$B:KL,LQ$1,0),0)</f>
        <v>0</v>
      </c>
      <c r="LQ29" s="140">
        <f>IFERROR(VLOOKUP($D29,'Adient Arendal (Malzia) WK.12'!$B:KM,LQ$1,0),0)</f>
        <v>0</v>
      </c>
      <c r="LR29" s="140">
        <f>IFERROR(VLOOKUP($D29,'Adient Taizhou (China) WK.16'!$B:KP,LQ$1,0),0)</f>
        <v>0</v>
      </c>
      <c r="LS29" s="128">
        <v>0</v>
      </c>
      <c r="LT29" s="32">
        <v>0</v>
      </c>
      <c r="LU29" s="100">
        <f t="shared" si="268"/>
        <v>220</v>
      </c>
      <c r="LW29" s="37">
        <f t="shared" si="201"/>
        <v>220</v>
      </c>
      <c r="LX29" s="141">
        <f>IFERROR(VLOOKUP($D29,'Adient Assende (Belgium) WK.17'!$B:KT,LY$1,0),0)</f>
        <v>0</v>
      </c>
      <c r="LY29" s="140">
        <f>IFERROR(VLOOKUP($D29,'Adient Arendal (Malzia) WK.12'!$B:KU,LY$1,0),0)</f>
        <v>0</v>
      </c>
      <c r="LZ29" s="140">
        <f>IFERROR(VLOOKUP($D29,'Adient Taizhou (China) WK.16'!$B:KX,LY$1,0),0)</f>
        <v>0</v>
      </c>
      <c r="MA29" s="128">
        <v>0</v>
      </c>
      <c r="MB29" s="32">
        <v>0</v>
      </c>
      <c r="MC29" s="100">
        <f t="shared" si="269"/>
        <v>220</v>
      </c>
      <c r="ME29" s="37">
        <f t="shared" si="202"/>
        <v>220</v>
      </c>
      <c r="MF29" s="154">
        <f>IFERROR(VLOOKUP($D29,'Adient Assende (Belgium) WK.17'!$B:LB,MG$1,0),0)</f>
        <v>0</v>
      </c>
      <c r="MG29" s="140">
        <f>IFERROR(VLOOKUP($D29,'Adient Arendal (Malzia) WK.12'!$B:LC,MG$1,0),0)</f>
        <v>0</v>
      </c>
      <c r="MH29" s="140">
        <f>IFERROR(VLOOKUP($D29,'Adient Taizhou (China) WK.16'!$B:LF,MG$1,0),0)</f>
        <v>0</v>
      </c>
      <c r="MI29" s="128">
        <v>0</v>
      </c>
      <c r="MJ29" s="32">
        <v>0</v>
      </c>
      <c r="MK29" s="100">
        <f t="shared" si="270"/>
        <v>220</v>
      </c>
      <c r="MM29" s="37">
        <f t="shared" si="203"/>
        <v>220</v>
      </c>
      <c r="MN29" s="141">
        <f>IFERROR(VLOOKUP($D29,'Adient Assende (Belgium) WK.17'!$B:LJ,MO$1,0),0)</f>
        <v>0</v>
      </c>
      <c r="MO29" s="140">
        <f>IFERROR(VLOOKUP($D29,'Adient Arendal (Malzia) WK.12'!$B:LK,MO$1,0),0)</f>
        <v>0</v>
      </c>
      <c r="MP29" s="140">
        <f>IFERROR(VLOOKUP($D29,'Adient Taizhou (China) WK.16'!$B:LN,MO$1,0),0)</f>
        <v>0</v>
      </c>
      <c r="MQ29" s="128">
        <v>0</v>
      </c>
      <c r="MR29" s="32">
        <v>0</v>
      </c>
      <c r="MS29" s="100">
        <f t="shared" si="271"/>
        <v>220</v>
      </c>
      <c r="MU29" s="37">
        <f t="shared" si="204"/>
        <v>220</v>
      </c>
      <c r="MV29" s="141">
        <f>IFERROR(VLOOKUP($D29,'Adient Assende (Belgium) WK.17'!$B:LR,MW$1,0),0)</f>
        <v>0</v>
      </c>
      <c r="MW29" s="140">
        <f>IFERROR(VLOOKUP($D29,'Adient Arendal (Malzia) WK.12'!$B:LS,MW$1,0),0)</f>
        <v>0</v>
      </c>
      <c r="MX29" s="140">
        <f>IFERROR(VLOOKUP($D29,'Adient Taizhou (China) WK.16'!$B:LV,MW$1,0),0)</f>
        <v>0</v>
      </c>
      <c r="MY29" s="128">
        <v>0</v>
      </c>
      <c r="MZ29" s="32">
        <v>0</v>
      </c>
      <c r="NA29" s="100">
        <f t="shared" si="272"/>
        <v>220</v>
      </c>
      <c r="NC29" s="37">
        <f t="shared" si="205"/>
        <v>220</v>
      </c>
      <c r="ND29" s="141">
        <f>IFERROR(VLOOKUP($D29,'Adient Assende (Belgium) WK.17'!$B:LZ,NE$1,0),0)</f>
        <v>0</v>
      </c>
      <c r="NE29" s="140">
        <f>IFERROR(VLOOKUP($D29,'Adient Arendal (Malzia) WK.12'!$B:MA,NE$1,0),0)</f>
        <v>0</v>
      </c>
      <c r="NF29" s="140">
        <f>IFERROR(VLOOKUP($D29,'Adient Taizhou (China) WK.16'!$B:MD,NE$1,0),0)</f>
        <v>0</v>
      </c>
      <c r="NG29" s="128">
        <v>0</v>
      </c>
      <c r="NH29" s="32">
        <v>0</v>
      </c>
      <c r="NI29" s="100">
        <f t="shared" si="273"/>
        <v>220</v>
      </c>
      <c r="NK29" s="37">
        <f t="shared" si="206"/>
        <v>220</v>
      </c>
      <c r="NL29" s="141">
        <f>IFERROR(VLOOKUP($D29,'Adient Assende (Belgium) WK.17'!$B:MH,NM$1,0),0)</f>
        <v>80</v>
      </c>
      <c r="NM29" s="140">
        <f>IFERROR(VLOOKUP($D29,'Adient Arendal (Malzia) WK.12'!$B:MI,NM$1,0),0)</f>
        <v>0</v>
      </c>
      <c r="NN29" s="140">
        <f>IFERROR(VLOOKUP($D29,'Adient Taizhou (China) WK.16'!$B:ML,NM$1,0),0)</f>
        <v>0</v>
      </c>
      <c r="NO29" s="128">
        <v>0</v>
      </c>
      <c r="NP29" s="32">
        <v>0</v>
      </c>
      <c r="NQ29" s="100">
        <f t="shared" si="274"/>
        <v>140</v>
      </c>
      <c r="NS29" s="37">
        <f t="shared" si="207"/>
        <v>140</v>
      </c>
      <c r="NT29" s="141">
        <f>IFERROR(VLOOKUP($D29,'Adient Assende (Belgium) WK.17'!$B:MP,NU$1,0),0)</f>
        <v>0</v>
      </c>
      <c r="NU29" s="140">
        <f>IFERROR(VLOOKUP($D29,'Adient Arendal (Malzia) WK.12'!$B:MQ,NU$1,0),0)</f>
        <v>0</v>
      </c>
      <c r="NV29" s="140">
        <f>IFERROR(VLOOKUP($D29,'Adient Taizhou (China) WK.16'!$B:MT,NU$1,0),0)</f>
        <v>0</v>
      </c>
      <c r="NW29" s="128">
        <v>0</v>
      </c>
      <c r="NX29" s="32">
        <v>0</v>
      </c>
      <c r="NY29" s="100">
        <f t="shared" si="275"/>
        <v>140</v>
      </c>
      <c r="OA29" s="37">
        <f t="shared" si="208"/>
        <v>140</v>
      </c>
      <c r="OB29" s="141">
        <f>IFERROR(VLOOKUP($D29,'Adient Assende (Belgium) WK.17'!$B:MX,OC$1,0),0)</f>
        <v>0</v>
      </c>
      <c r="OC29" s="140">
        <f>IFERROR(VLOOKUP($D29,'Adient Arendal (Malzia) WK.12'!$B:MY,OC$1,0),0)</f>
        <v>0</v>
      </c>
      <c r="OD29" s="140">
        <f>IFERROR(VLOOKUP($D29,'Adient Taizhou (China) WK.16'!$B:NB,OC$1,0),0)</f>
        <v>0</v>
      </c>
      <c r="OE29" s="128">
        <v>0</v>
      </c>
      <c r="OF29" s="32">
        <v>0</v>
      </c>
      <c r="OG29" s="100">
        <f t="shared" si="276"/>
        <v>140</v>
      </c>
      <c r="OI29" s="37">
        <f t="shared" si="209"/>
        <v>140</v>
      </c>
      <c r="OJ29" s="141">
        <f>IFERROR(VLOOKUP($D29,'Adient Assende (Belgium) WK.17'!$B:NF,OK$1,0),0)</f>
        <v>0</v>
      </c>
      <c r="OK29" s="140">
        <f>IFERROR(VLOOKUP($D29,'Adient Arendal (Malzia) WK.12'!$B:NG,OK$1,0),0)</f>
        <v>0</v>
      </c>
      <c r="OL29" s="140">
        <f>IFERROR(VLOOKUP($D29,'Adient Taizhou (China) WK.16'!$B:NJ,OK$1,0),0)</f>
        <v>0</v>
      </c>
      <c r="OM29" s="128">
        <v>0</v>
      </c>
      <c r="ON29" s="32">
        <v>0</v>
      </c>
      <c r="OO29" s="100">
        <f t="shared" si="277"/>
        <v>140</v>
      </c>
      <c r="OQ29" s="37">
        <f t="shared" si="210"/>
        <v>140</v>
      </c>
      <c r="OR29" s="141">
        <f>IFERROR(VLOOKUP($D29,'Adient Assende (Belgium) WK.17'!$B:NN,OS$1,0),0)</f>
        <v>0</v>
      </c>
      <c r="OS29" s="140">
        <f>IFERROR(VLOOKUP($D29,'Adient Arendal (Malzia) WK.12'!$B:NO,OS$1,0),0)</f>
        <v>0</v>
      </c>
      <c r="OT29" s="140">
        <f>IFERROR(VLOOKUP($D29,'Adient Taizhou (China) WK.16'!$B:NR,OS$1,0),0)</f>
        <v>0</v>
      </c>
      <c r="OU29" s="128">
        <v>0</v>
      </c>
      <c r="OV29" s="32">
        <v>0</v>
      </c>
      <c r="OW29" s="100">
        <f t="shared" si="278"/>
        <v>140</v>
      </c>
      <c r="OY29" s="37">
        <f t="shared" si="211"/>
        <v>140</v>
      </c>
      <c r="OZ29" s="141">
        <f>IFERROR(VLOOKUP($D29,'Adient Assende (Belgium) WK.17'!$B:NV,PA$1,0),0)</f>
        <v>0</v>
      </c>
      <c r="PA29" s="140">
        <f>IFERROR(VLOOKUP($D29,'Adient Arendal (Malzia) WK.12'!$B:NW,PA$1,0),0)</f>
        <v>0</v>
      </c>
      <c r="PB29" s="140">
        <f>IFERROR(VLOOKUP($D29,'Adient Taizhou (China) WK.16'!$B:NZ,PA$1,0),0)</f>
        <v>0</v>
      </c>
      <c r="PC29" s="128">
        <v>0</v>
      </c>
      <c r="PD29" s="32">
        <v>0</v>
      </c>
      <c r="PE29" s="100">
        <f t="shared" si="279"/>
        <v>140</v>
      </c>
      <c r="PG29" s="37">
        <f t="shared" si="212"/>
        <v>140</v>
      </c>
      <c r="PH29" s="141">
        <f>IFERROR(VLOOKUP($D29,'Adient Assende (Belgium) WK.17'!$B:OD,PI$1,0),0)</f>
        <v>0</v>
      </c>
      <c r="PI29" s="140">
        <f>IFERROR(VLOOKUP($D29,'Adient Arendal (Malzia) WK.12'!$B:OE,PI$1,0),0)</f>
        <v>0</v>
      </c>
      <c r="PJ29" s="140">
        <f>IFERROR(VLOOKUP($D29,'Adient Taizhou (China) WK.16'!$B:OH,PI$1,0),0)</f>
        <v>0</v>
      </c>
      <c r="PK29" s="128">
        <v>0</v>
      </c>
      <c r="PL29" s="32">
        <v>0</v>
      </c>
      <c r="PM29" s="100">
        <f t="shared" si="280"/>
        <v>140</v>
      </c>
      <c r="PO29" s="37">
        <f t="shared" si="213"/>
        <v>140</v>
      </c>
      <c r="PP29" s="141">
        <f>IFERROR(VLOOKUP($D29,'Adient Assende (Belgium) WK.17'!$B:OL,PQ$1,0),0)</f>
        <v>0</v>
      </c>
      <c r="PQ29" s="140">
        <f>IFERROR(VLOOKUP($D29,'Adient Arendal (Malzia) WK.12'!$B:OM,PQ$1,0),0)</f>
        <v>0</v>
      </c>
      <c r="PR29" s="140">
        <f>IFERROR(VLOOKUP($D29,'Adient Taizhou (China) WK.16'!$B:OP,PQ$1,0),0)</f>
        <v>0</v>
      </c>
      <c r="PS29" s="128">
        <v>0</v>
      </c>
      <c r="PT29" s="32">
        <v>0</v>
      </c>
      <c r="PU29" s="100">
        <f t="shared" si="281"/>
        <v>140</v>
      </c>
      <c r="PW29" s="37">
        <f t="shared" si="214"/>
        <v>140</v>
      </c>
      <c r="PX29" s="141">
        <f>IFERROR(VLOOKUP($D29,'Adient Assende (Belgium) WK.17'!$B:OT,PY$1,0),0)</f>
        <v>0</v>
      </c>
      <c r="PY29" s="140">
        <f>IFERROR(VLOOKUP($D29,'Adient Arendal (Malzia) WK.12'!$B:OU,PY$1,0),0)</f>
        <v>0</v>
      </c>
      <c r="PZ29" s="140">
        <f>IFERROR(VLOOKUP($D29,'Adient Taizhou (China) WK.16'!$B:OX,PY$1,0),0)</f>
        <v>0</v>
      </c>
      <c r="QA29" s="128">
        <v>0</v>
      </c>
      <c r="QB29" s="32">
        <v>0</v>
      </c>
      <c r="QC29" s="100">
        <f t="shared" si="282"/>
        <v>140</v>
      </c>
      <c r="QE29" s="37">
        <f t="shared" si="215"/>
        <v>140</v>
      </c>
      <c r="QF29" s="141">
        <f>IFERROR(VLOOKUP($D29,'Adient Assende (Belgium) WK.17'!$B:PB,QG$1,0),0)</f>
        <v>0</v>
      </c>
      <c r="QG29" s="140">
        <f>IFERROR(VLOOKUP($D29,'Adient Arendal (Malzia) WK.12'!$B:PC,QG$1,0),0)</f>
        <v>0</v>
      </c>
      <c r="QH29" s="140">
        <f>IFERROR(VLOOKUP($D29,'Adient Taizhou (China) WK.16'!$B:PF,QG$1,0),0)</f>
        <v>0</v>
      </c>
      <c r="QI29" s="128">
        <v>0</v>
      </c>
      <c r="QJ29" s="32">
        <v>0</v>
      </c>
      <c r="QK29" s="100">
        <f t="shared" si="283"/>
        <v>140</v>
      </c>
      <c r="QM29" s="37">
        <f t="shared" si="216"/>
        <v>140</v>
      </c>
      <c r="QN29" s="141">
        <f>IFERROR(VLOOKUP($D29,'Adient Assende (Belgium) WK.17'!$B:PJ,QO$1,0),0)</f>
        <v>0</v>
      </c>
      <c r="QO29" s="140">
        <f>IFERROR(VLOOKUP($D29,'Adient Arendal (Malzia) WK.12'!$B:PK,QO$1,0),0)</f>
        <v>0</v>
      </c>
      <c r="QP29" s="140">
        <f>IFERROR(VLOOKUP($D29,'Adient Taizhou (China) WK.16'!$B:PN,QO$1,0),0)</f>
        <v>0</v>
      </c>
      <c r="QQ29" s="128">
        <v>0</v>
      </c>
      <c r="QR29" s="32">
        <v>0</v>
      </c>
      <c r="QS29" s="100">
        <f t="shared" si="284"/>
        <v>140</v>
      </c>
      <c r="QU29" s="37">
        <f t="shared" si="217"/>
        <v>140</v>
      </c>
      <c r="QV29" s="141">
        <f>IFERROR(VLOOKUP($D29,'Adient Assende (Belgium) WK.17'!$B:PR,QW$1,0),0)</f>
        <v>20</v>
      </c>
      <c r="QW29" s="140">
        <f>IFERROR(VLOOKUP($D29,'Adient Arendal (Malzia) WK.12'!$B:PS,QW$1,0),0)</f>
        <v>0</v>
      </c>
      <c r="QX29" s="140">
        <f>IFERROR(VLOOKUP($D29,'Adient Taizhou (China) WK.16'!$B:PV,QW$1,0),0)</f>
        <v>0</v>
      </c>
      <c r="QY29" s="128">
        <v>0</v>
      </c>
      <c r="QZ29" s="32">
        <v>0</v>
      </c>
      <c r="RA29" s="100">
        <f t="shared" si="285"/>
        <v>120</v>
      </c>
      <c r="RC29" s="37">
        <f t="shared" si="218"/>
        <v>120</v>
      </c>
      <c r="RD29" s="141">
        <f>IFERROR(VLOOKUP($D29,'Adient Assende (Belgium) WK.17'!$B:PZ,RE$1,0),0)</f>
        <v>20</v>
      </c>
      <c r="RE29" s="140">
        <f>IFERROR(VLOOKUP($D29,'Adient Arendal (Malzia) WK.12'!$B:QA,RE$1,0),0)</f>
        <v>0</v>
      </c>
      <c r="RF29" s="140">
        <f>IFERROR(VLOOKUP($D29,'Adient Taizhou (China) WK.16'!$B:QD,RE$1,0),0)</f>
        <v>0</v>
      </c>
      <c r="RG29" s="128">
        <v>0</v>
      </c>
      <c r="RH29" s="32">
        <v>0</v>
      </c>
      <c r="RI29" s="100">
        <f t="shared" si="286"/>
        <v>100</v>
      </c>
      <c r="RK29" s="37">
        <f t="shared" si="219"/>
        <v>100</v>
      </c>
      <c r="RL29" s="141">
        <f>IFERROR(VLOOKUP($D29,'Adient Assende (Belgium) WK.17'!$B:QH,RM$1,0),0)</f>
        <v>20</v>
      </c>
      <c r="RM29" s="140">
        <f>IFERROR(VLOOKUP($D29,'Adient Arendal (Malzia) WK.12'!$B:QI,RM$1,0),0)</f>
        <v>0</v>
      </c>
      <c r="RN29" s="140">
        <f>IFERROR(VLOOKUP($D29,'Adient Taizhou (China) WK.16'!$B:QL,RM$1,0),0)</f>
        <v>0</v>
      </c>
      <c r="RO29" s="128">
        <v>0</v>
      </c>
      <c r="RP29" s="32">
        <v>0</v>
      </c>
      <c r="RQ29" s="100">
        <f t="shared" si="287"/>
        <v>80</v>
      </c>
      <c r="RS29" s="37">
        <f t="shared" si="220"/>
        <v>80</v>
      </c>
      <c r="RT29" s="141">
        <f>IFERROR(VLOOKUP($D29,'Adient Assende (Belgium) WK.17'!$B:QP,RU$1,0),0)</f>
        <v>20</v>
      </c>
      <c r="RU29" s="140">
        <f>IFERROR(VLOOKUP($D29,'Adient Arendal (Malzia) WK.12'!$B:QQ,RU$1,0),0)</f>
        <v>0</v>
      </c>
      <c r="RV29" s="140">
        <f>IFERROR(VLOOKUP($D29,'Adient Taizhou (China) WK.16'!$B:QT,RU$1,0),0)</f>
        <v>0</v>
      </c>
      <c r="RW29" s="128">
        <v>0</v>
      </c>
      <c r="RX29" s="32">
        <v>0</v>
      </c>
      <c r="RY29" s="100">
        <f t="shared" si="288"/>
        <v>60</v>
      </c>
      <c r="SA29" s="37">
        <f t="shared" si="221"/>
        <v>60</v>
      </c>
      <c r="SB29" s="141">
        <f>IFERROR(VLOOKUP($D29,'Adient Assende (Belgium) WK.17'!$B:QX,SC$1,0),0)</f>
        <v>0</v>
      </c>
      <c r="SC29" s="140">
        <f>IFERROR(VLOOKUP($D29,'Adient Arendal (Malzia) WK.12'!$B:QY,SC$1,0),0)</f>
        <v>0</v>
      </c>
      <c r="SD29" s="140">
        <f>IFERROR(VLOOKUP($D29,'Adient Taizhou (China) WK.16'!$B:RB,SC$1,0),0)</f>
        <v>0</v>
      </c>
      <c r="SE29" s="128">
        <v>0</v>
      </c>
      <c r="SF29" s="32">
        <v>0</v>
      </c>
      <c r="SG29" s="100">
        <f t="shared" si="289"/>
        <v>60</v>
      </c>
      <c r="SI29" s="37">
        <f t="shared" si="222"/>
        <v>60</v>
      </c>
      <c r="SJ29" s="141">
        <f>IFERROR(VLOOKUP($D29,'Adient Assende (Belgium) WK.17'!$B:RF,SK$1,0),0)</f>
        <v>0</v>
      </c>
      <c r="SK29" s="140">
        <f>IFERROR(VLOOKUP($D29,'Adient Arendal (Malzia) WK.12'!$B:RG,SK$1,0),0)</f>
        <v>0</v>
      </c>
      <c r="SL29" s="140">
        <f>IFERROR(VLOOKUP($D29,'Adient Taizhou (China) WK.16'!$B:RJ,SK$1,0),0)</f>
        <v>0</v>
      </c>
      <c r="SM29" s="128">
        <v>0</v>
      </c>
      <c r="SN29" s="32">
        <v>0</v>
      </c>
      <c r="SO29" s="100">
        <f t="shared" si="290"/>
        <v>60</v>
      </c>
      <c r="SQ29" s="37">
        <f t="shared" si="223"/>
        <v>60</v>
      </c>
      <c r="SR29" s="141">
        <f>IFERROR(VLOOKUP($D29,'Adient Assende (Belgium) WK.17'!$B:RN,SS$1,0),0)</f>
        <v>0</v>
      </c>
      <c r="SS29" s="140">
        <f>IFERROR(VLOOKUP($D29,'Adient Arendal (Malzia) WK.12'!$B:RO,SS$1,0),0)</f>
        <v>0</v>
      </c>
      <c r="ST29" s="140">
        <f>IFERROR(VLOOKUP($D29,'Adient Taizhou (China) WK.16'!$B:RR,SS$1,0),0)</f>
        <v>0</v>
      </c>
      <c r="SU29" s="128">
        <v>0</v>
      </c>
      <c r="SV29" s="32">
        <v>0</v>
      </c>
      <c r="SW29" s="100">
        <f t="shared" si="291"/>
        <v>60</v>
      </c>
      <c r="SY29" s="37">
        <f t="shared" si="224"/>
        <v>60</v>
      </c>
      <c r="SZ29" s="141">
        <f>IFERROR(VLOOKUP($D29,'Adient Assende (Belgium) WK.17'!$B:RV,TA$1,0),0)</f>
        <v>0</v>
      </c>
      <c r="TA29" s="140">
        <f>IFERROR(VLOOKUP($D29,'Adient Arendal (Malzia) WK.12'!$B:RW,TA$1,0),0)</f>
        <v>0</v>
      </c>
      <c r="TB29" s="140">
        <f>IFERROR(VLOOKUP($D29,'Adient Taizhou (China) WK.16'!$B:RZ,TA$1,0),0)</f>
        <v>0</v>
      </c>
      <c r="TC29" s="128">
        <v>0</v>
      </c>
      <c r="TD29" s="32">
        <v>0</v>
      </c>
      <c r="TE29" s="100">
        <f t="shared" si="292"/>
        <v>60</v>
      </c>
      <c r="TG29" s="37">
        <f t="shared" si="225"/>
        <v>60</v>
      </c>
      <c r="TH29" s="141">
        <f>IFERROR(VLOOKUP($D29,'Adient Assende (Belgium) WK.17'!$B:SD,TI$1,0),0)</f>
        <v>0</v>
      </c>
      <c r="TI29" s="140">
        <f>IFERROR(VLOOKUP($D29,'Adient Arendal (Malzia) WK.12'!$B:SE,TI$1,0),0)</f>
        <v>0</v>
      </c>
      <c r="TJ29" s="140">
        <f>IFERROR(VLOOKUP($D29,'Adient Taizhou (China) WK.16'!$B:SH,TI$1,0),0)</f>
        <v>0</v>
      </c>
      <c r="TK29" s="128">
        <v>0</v>
      </c>
      <c r="TL29" s="32">
        <v>0</v>
      </c>
      <c r="TM29" s="100">
        <f t="shared" si="293"/>
        <v>60</v>
      </c>
      <c r="TO29" s="37">
        <f t="shared" si="226"/>
        <v>60</v>
      </c>
      <c r="TP29" s="141">
        <f>IFERROR(VLOOKUP($D29,'Adient Assende (Belgium) WK.17'!$B:SL,TQ$1,0),0)</f>
        <v>0</v>
      </c>
      <c r="TQ29" s="140">
        <f>IFERROR(VLOOKUP($D29,'Adient Arendal (Malzia) WK.12'!$B:SM,TQ$1,0),0)</f>
        <v>0</v>
      </c>
      <c r="TR29" s="140">
        <f>IFERROR(VLOOKUP($D29,'Adient Taizhou (China) WK.16'!$B:SP,TQ$1,0),0)</f>
        <v>0</v>
      </c>
      <c r="TS29" s="128">
        <v>0</v>
      </c>
      <c r="TT29" s="32">
        <v>0</v>
      </c>
      <c r="TU29" s="100">
        <f t="shared" si="294"/>
        <v>60</v>
      </c>
      <c r="TW29" s="37">
        <f t="shared" si="227"/>
        <v>60</v>
      </c>
      <c r="TX29" s="141">
        <f>IFERROR(VLOOKUP($D29,'Adient Assende (Belgium) WK.17'!$B:ST,TY$1,0),0)</f>
        <v>0</v>
      </c>
      <c r="TY29" s="140">
        <f>IFERROR(VLOOKUP($D29,'Adient Arendal (Malzia) WK.12'!$B:SU,TY$1,0),0)</f>
        <v>0</v>
      </c>
      <c r="TZ29" s="140">
        <f>IFERROR(VLOOKUP($D29,'Adient Taizhou (China) WK.16'!$B:SX,TY$1,0),0)</f>
        <v>0</v>
      </c>
      <c r="UA29" s="128">
        <v>0</v>
      </c>
      <c r="UB29" s="32">
        <v>0</v>
      </c>
      <c r="UC29" s="100">
        <f t="shared" si="295"/>
        <v>60</v>
      </c>
      <c r="UE29" s="37">
        <f t="shared" si="228"/>
        <v>60</v>
      </c>
      <c r="UF29" s="141">
        <f>IFERROR(VLOOKUP($D29,'Adient Assende (Belgium) WK.17'!$B:TB,UG$1,0),0)</f>
        <v>0</v>
      </c>
      <c r="UG29" s="140">
        <f>IFERROR(VLOOKUP($D29,'Adient Arendal (Malzia) WK.12'!$B:TC,UG$1,0),0)</f>
        <v>0</v>
      </c>
      <c r="UH29" s="140">
        <f>IFERROR(VLOOKUP($D29,'Adient Taizhou (China) WK.16'!$B:TF,UG$1,0),0)</f>
        <v>0</v>
      </c>
      <c r="UI29" s="128">
        <v>0</v>
      </c>
      <c r="UJ29" s="32">
        <v>0</v>
      </c>
      <c r="UK29" s="100">
        <f t="shared" si="296"/>
        <v>60</v>
      </c>
      <c r="UM29" s="37">
        <f t="shared" si="229"/>
        <v>60</v>
      </c>
      <c r="UN29" s="141">
        <f>IFERROR(VLOOKUP($D29,'Adient Assende (Belgium) WK.17'!$B:TJ,UO$1,0),0)</f>
        <v>0</v>
      </c>
      <c r="UO29" s="140">
        <f>IFERROR(VLOOKUP($D29,'Adient Arendal (Malzia) WK.12'!$B:TK,UO$1,0),0)</f>
        <v>0</v>
      </c>
      <c r="UP29" s="140">
        <f>IFERROR(VLOOKUP($D29,'Adient Taizhou (China) WK.16'!$B:TN,UO$1,0),0)</f>
        <v>0</v>
      </c>
      <c r="UQ29" s="128">
        <v>0</v>
      </c>
      <c r="UR29" s="32">
        <v>0</v>
      </c>
      <c r="US29" s="100">
        <f t="shared" si="297"/>
        <v>60</v>
      </c>
      <c r="UU29" s="37">
        <f t="shared" si="230"/>
        <v>60</v>
      </c>
      <c r="UV29" s="141">
        <f>IFERROR(VLOOKUP($D29,'Adient Assende (Belgium) WK.17'!$B:TR,UW$1,0),0)</f>
        <v>0</v>
      </c>
      <c r="UW29" s="140">
        <f>IFERROR(VLOOKUP($D29,'Adient Arendal (Malzia) WK.12'!$B:TS,UW$1,0),0)</f>
        <v>0</v>
      </c>
      <c r="UX29" s="140">
        <f>IFERROR(VLOOKUP($D29,'Adient Taizhou (China) WK.16'!$B:TV,UW$1,0),0)</f>
        <v>0</v>
      </c>
      <c r="UY29" s="128">
        <v>0</v>
      </c>
      <c r="UZ29" s="32">
        <v>0</v>
      </c>
      <c r="VA29" s="100">
        <f t="shared" si="298"/>
        <v>60</v>
      </c>
      <c r="VC29" s="37">
        <f t="shared" si="231"/>
        <v>60</v>
      </c>
      <c r="VD29" s="141">
        <f>IFERROR(VLOOKUP($D29,'Adient Assende (Belgium) WK.17'!$B:TZ,VE$1,0),0)</f>
        <v>0</v>
      </c>
      <c r="VE29" s="140">
        <f>IFERROR(VLOOKUP($D29,'Adient Arendal (Malzia) WK.12'!$B:UA,VE$1,0),0)</f>
        <v>0</v>
      </c>
      <c r="VF29" s="140">
        <f>IFERROR(VLOOKUP($D29,'Adient Taizhou (China) WK.16'!$B:UD,VE$1,0),0)</f>
        <v>0</v>
      </c>
      <c r="VG29" s="128">
        <v>0</v>
      </c>
      <c r="VH29" s="32">
        <v>0</v>
      </c>
      <c r="VI29" s="100">
        <f t="shared" si="299"/>
        <v>60</v>
      </c>
      <c r="VK29" s="37">
        <f t="shared" si="232"/>
        <v>60</v>
      </c>
      <c r="VL29" s="141">
        <f>IFERROR(VLOOKUP($D29,'Adient Assende (Belgium) WK.17'!$B:UH,VM$1,0),0)</f>
        <v>0</v>
      </c>
      <c r="VM29" s="140">
        <f>IFERROR(VLOOKUP($D29,'Adient Arendal (Malzia) WK.12'!$B:UI,VM$1,0),0)</f>
        <v>0</v>
      </c>
      <c r="VN29" s="140">
        <f>IFERROR(VLOOKUP($D29,'Adient Taizhou (China) WK.16'!$B:UL,VM$1,0),0)</f>
        <v>0</v>
      </c>
      <c r="VO29" s="128">
        <v>0</v>
      </c>
      <c r="VP29" s="32">
        <v>0</v>
      </c>
      <c r="VQ29" s="100">
        <f t="shared" si="300"/>
        <v>60</v>
      </c>
    </row>
    <row r="30" spans="1:589" x14ac:dyDescent="0.25">
      <c r="A30" s="10" t="s">
        <v>18</v>
      </c>
      <c r="B30" s="11" t="s">
        <v>19</v>
      </c>
      <c r="C30" s="87">
        <v>32288785</v>
      </c>
      <c r="D30" s="81">
        <v>5073060</v>
      </c>
      <c r="E30" s="11">
        <v>20</v>
      </c>
      <c r="F30" s="12"/>
      <c r="H30" s="122">
        <v>0</v>
      </c>
      <c r="I30" s="125">
        <f>IFERROR(VLOOKUP($D30,'Adient Assende (Belgium) WK.17'!$B:C,J$1,0),0)</f>
        <v>0</v>
      </c>
      <c r="J30" s="55">
        <f>IFERROR(VLOOKUP($D30,'Adient Arendal (Malzia) WK.12'!$B:C,J$1,0),0)</f>
        <v>0</v>
      </c>
      <c r="K30" s="55">
        <f>IFERROR(VLOOKUP($D30,'Adient Taizhou (China) WK.16'!$B:C,J$1,0),0)</f>
        <v>0</v>
      </c>
      <c r="L30" s="128">
        <v>0</v>
      </c>
      <c r="M30" s="32">
        <v>0</v>
      </c>
      <c r="N30" s="106">
        <f t="shared" si="233"/>
        <v>0</v>
      </c>
      <c r="P30" s="37">
        <f t="shared" si="234"/>
        <v>0</v>
      </c>
      <c r="Q30" s="125">
        <f>IFERROR(VLOOKUP($D30,'Adient Assende (Belgium) WK.17'!$B:K,R$1,0),0)</f>
        <v>0</v>
      </c>
      <c r="R30" s="55">
        <f>IFERROR(VLOOKUP($D30,'Adient Arendal (Malzia) WK.12'!$B:K,R$1,0),0)</f>
        <v>0</v>
      </c>
      <c r="S30" s="55">
        <f>IFERROR(VLOOKUP($D30,'Adient Taizhou (China) WK.16'!$B:K,R$1,0),0)</f>
        <v>0</v>
      </c>
      <c r="T30" s="41">
        <v>0</v>
      </c>
      <c r="U30" s="32">
        <v>0</v>
      </c>
      <c r="V30" s="106">
        <f t="shared" si="235"/>
        <v>0</v>
      </c>
      <c r="X30" s="37">
        <f t="shared" si="236"/>
        <v>0</v>
      </c>
      <c r="Y30" s="125">
        <f>IFERROR(VLOOKUP($D30,'Adient Assende (Belgium) WK.17'!$B:S,Z$1,0),0)</f>
        <v>0</v>
      </c>
      <c r="Z30" s="55">
        <f>IFERROR(VLOOKUP($D30,'Adient Arendal (Malzia) WK.12'!$B:S,Z$1,0),0)</f>
        <v>0</v>
      </c>
      <c r="AA30" s="55">
        <f>IFERROR(VLOOKUP($D30,'Adient Taizhou (China) WK.16'!$B:S,Z$1,0),0)</f>
        <v>0</v>
      </c>
      <c r="AB30" s="41">
        <v>0</v>
      </c>
      <c r="AC30" s="32">
        <v>0</v>
      </c>
      <c r="AD30" s="106">
        <f t="shared" si="237"/>
        <v>0</v>
      </c>
      <c r="AF30" s="37">
        <f t="shared" si="238"/>
        <v>0</v>
      </c>
      <c r="AG30" s="125">
        <f>IFERROR(VLOOKUP($D30,'Adient Assende (Belgium) WK.17'!$B:AA,AH$1,0),0)</f>
        <v>0</v>
      </c>
      <c r="AH30" s="55">
        <f>IFERROR(VLOOKUP($D30,'Adient Arendal (Malzia) WK.12'!$B:AA,AH$1,0),0)</f>
        <v>0</v>
      </c>
      <c r="AI30" s="55">
        <f>IFERROR(VLOOKUP($D30,'Adient Taizhou (China) WK.16'!$B:AA,AH$1,0),0)</f>
        <v>0</v>
      </c>
      <c r="AJ30" s="41">
        <v>0</v>
      </c>
      <c r="AK30" s="32">
        <v>0</v>
      </c>
      <c r="AL30" s="106">
        <f t="shared" si="239"/>
        <v>0</v>
      </c>
      <c r="AN30" s="37">
        <f t="shared" si="164"/>
        <v>0</v>
      </c>
      <c r="AO30" s="125">
        <f>IFERROR(VLOOKUP($D30,'Adient Assende (Belgium) WK.17'!$B:AI,AP$1,0),0)</f>
        <v>0</v>
      </c>
      <c r="AP30" s="55">
        <f>IFERROR(VLOOKUP($D30,'Adient Arendal (Malzia) WK.12'!$B:AI,AP$1,0),0)</f>
        <v>0</v>
      </c>
      <c r="AQ30" s="55">
        <f>IFERROR(VLOOKUP($D30,'Adient Taizhou (China) WK.16'!$B:AI,AP$1,0),0)</f>
        <v>0</v>
      </c>
      <c r="AR30" s="60">
        <v>0</v>
      </c>
      <c r="AS30" s="41">
        <v>0</v>
      </c>
      <c r="AT30" s="32">
        <v>0</v>
      </c>
      <c r="AU30" s="106">
        <f t="shared" si="240"/>
        <v>0</v>
      </c>
      <c r="AW30" s="37">
        <f t="shared" si="165"/>
        <v>0</v>
      </c>
      <c r="AX30" s="125">
        <f>IFERROR(VLOOKUP($D30,'Adient Assende (Belgium) WK.17'!$B:AR,AY$1,0),0)</f>
        <v>0</v>
      </c>
      <c r="AY30" s="55">
        <f>IFERROR(VLOOKUP($D30,'Adient Arendal (Malzia) WK.12'!$B:AR,AY$1,0),0)</f>
        <v>0</v>
      </c>
      <c r="AZ30" s="55">
        <f>IFERROR(VLOOKUP($D30,'Adient Taizhou (China) WK.16'!$B:AU,AY$1,0),0)</f>
        <v>0</v>
      </c>
      <c r="BA30" s="41">
        <v>0</v>
      </c>
      <c r="BB30" s="32">
        <v>0</v>
      </c>
      <c r="BC30" s="106">
        <f t="shared" si="241"/>
        <v>0</v>
      </c>
      <c r="BE30" s="37">
        <f t="shared" si="166"/>
        <v>0</v>
      </c>
      <c r="BF30" s="125">
        <f>IFERROR(VLOOKUP($D30,'Adient Assende (Belgium) WK.17'!$B:AX,BG$1,0),0)</f>
        <v>0</v>
      </c>
      <c r="BG30" s="55">
        <f>IFERROR(VLOOKUP($D30,'Adient Arendal (Malzia) WK.12'!$B:AZ,BG$1,0),0)</f>
        <v>0</v>
      </c>
      <c r="BH30" s="55">
        <f>IFERROR(VLOOKUP($D30,'Adient Taizhou (China) WK.16'!$B:BB,BG$1,0),0)</f>
        <v>0</v>
      </c>
      <c r="BI30" s="60">
        <v>0</v>
      </c>
      <c r="BJ30" s="60">
        <v>0</v>
      </c>
      <c r="BK30" s="41">
        <v>0</v>
      </c>
      <c r="BL30" s="32">
        <v>0</v>
      </c>
      <c r="BM30" s="106">
        <f t="shared" si="242"/>
        <v>0</v>
      </c>
      <c r="BN30" s="8"/>
      <c r="BO30" s="37">
        <f t="shared" si="167"/>
        <v>0</v>
      </c>
      <c r="BP30" s="125">
        <f>IFERROR(VLOOKUP($D30,'Adient Assende (Belgium) WK.17'!$B:BH,BQ$1,0),0)</f>
        <v>0</v>
      </c>
      <c r="BQ30" s="55">
        <f>IFERROR(VLOOKUP($D30,'Adient Arendal (Malzia) WK.12'!$B:BI,BQ$1,0),0)</f>
        <v>0</v>
      </c>
      <c r="BR30" s="55">
        <f>IFERROR(VLOOKUP($D30,'Adient Taizhou (China) WK.16'!$B:BL,BQ$1,0),0)</f>
        <v>0</v>
      </c>
      <c r="BS30" s="60">
        <v>0</v>
      </c>
      <c r="BT30" s="60">
        <v>0</v>
      </c>
      <c r="BU30" s="60">
        <v>0</v>
      </c>
      <c r="BV30" s="41">
        <v>0</v>
      </c>
      <c r="BW30" s="32">
        <v>0</v>
      </c>
      <c r="BX30" s="106">
        <f t="shared" si="243"/>
        <v>0</v>
      </c>
      <c r="BY30" s="8"/>
      <c r="BZ30" s="37">
        <f t="shared" si="168"/>
        <v>0</v>
      </c>
      <c r="CA30" s="125">
        <f>IFERROR(VLOOKUP($D30,'Adient Assende (Belgium) WK.17'!$B:BS,CB$1,0),0)</f>
        <v>0</v>
      </c>
      <c r="CB30" s="55">
        <f>IFERROR(VLOOKUP($D30,'Adient Arendal (Malzia) WK.12'!$B:BT,CB$1,0),0)</f>
        <v>0</v>
      </c>
      <c r="CC30" s="55">
        <f>IFERROR(VLOOKUP($D30,'Adient Taizhou (China) WK.16'!$B:BW,CB$1,0),0)</f>
        <v>0</v>
      </c>
      <c r="CD30" s="60">
        <v>0</v>
      </c>
      <c r="CE30" s="60">
        <v>0</v>
      </c>
      <c r="CF30" s="41">
        <v>0</v>
      </c>
      <c r="CG30" s="32">
        <v>0</v>
      </c>
      <c r="CH30" s="106">
        <f t="shared" si="244"/>
        <v>0</v>
      </c>
      <c r="CI30" s="8"/>
      <c r="CJ30" s="37">
        <f t="shared" si="169"/>
        <v>0</v>
      </c>
      <c r="CK30" s="125">
        <f>IFERROR(VLOOKUP($D30,'Adient Assende (Belgium) WK.17'!$B:CC,CL$1,0),0)</f>
        <v>0</v>
      </c>
      <c r="CL30" s="55">
        <f>IFERROR(VLOOKUP($D30,'Adient Arendal (Malzia) WK.12'!$B:CD,CL$1,0),0)</f>
        <v>0</v>
      </c>
      <c r="CM30" s="55">
        <f>IFERROR(VLOOKUP($D30,'Adient Taizhou (China) WK.16'!$B:CG,CL$1,0),0)</f>
        <v>0</v>
      </c>
      <c r="CN30" s="60">
        <v>0</v>
      </c>
      <c r="CO30" s="149">
        <v>0</v>
      </c>
      <c r="CP30" s="32">
        <v>0</v>
      </c>
      <c r="CQ30" s="106">
        <f t="shared" si="245"/>
        <v>0</v>
      </c>
      <c r="CR30" s="8"/>
      <c r="CS30" s="122">
        <f t="shared" si="170"/>
        <v>0</v>
      </c>
      <c r="CT30" s="154">
        <f>IFERROR(VLOOKUP($D30,'Adient Assende (Belgium) WK.17'!$B:CL,CU$1,0),0)</f>
        <v>0</v>
      </c>
      <c r="CU30" s="55">
        <f>IFERROR(VLOOKUP($D30,'Adient Arendal (Malzia) WK.12'!$B:CM,CU$1,0),0)</f>
        <v>0</v>
      </c>
      <c r="CV30" s="55">
        <f>IFERROR(VLOOKUP($D30,'Adient Taizhou (China) WK.16'!$B:CP,CU$1,0),0)</f>
        <v>0</v>
      </c>
      <c r="CW30" s="60">
        <v>0</v>
      </c>
      <c r="CX30" s="60">
        <v>0</v>
      </c>
      <c r="CY30" s="128">
        <v>0</v>
      </c>
      <c r="CZ30" s="32">
        <v>0</v>
      </c>
      <c r="DA30" s="106">
        <f t="shared" si="246"/>
        <v>0</v>
      </c>
      <c r="DB30" s="8"/>
      <c r="DC30" s="37">
        <f t="shared" si="171"/>
        <v>0</v>
      </c>
      <c r="DD30" s="125">
        <f>IFERROR(VLOOKUP($D30,'Adient Assende (Belgium) WK.17'!$B:CS,DE$1,0),0)</f>
        <v>0</v>
      </c>
      <c r="DE30" s="55">
        <f>IFERROR(VLOOKUP($D30,'Adient Arendal (Malzia) WK.12'!$B:CU,DE$1,0),0)</f>
        <v>0</v>
      </c>
      <c r="DF30" s="55">
        <f>IFERROR(VLOOKUP($D30,'Adient Taizhou (China) WK.16'!$B:CX,DE$1,0),0)</f>
        <v>0</v>
      </c>
      <c r="DG30" s="60">
        <v>0</v>
      </c>
      <c r="DH30" s="128">
        <v>0</v>
      </c>
      <c r="DI30" s="32">
        <v>0</v>
      </c>
      <c r="DJ30" s="106">
        <f t="shared" si="247"/>
        <v>0</v>
      </c>
      <c r="DL30" s="37">
        <f t="shared" si="172"/>
        <v>0</v>
      </c>
      <c r="DM30" s="125">
        <f>IFERROR(VLOOKUP($D30,'Adient Assende (Belgium) WK.17'!$B:DB,DN$1,0),0)</f>
        <v>0</v>
      </c>
      <c r="DN30" s="55">
        <f>IFERROR(VLOOKUP($D30,'Adient Arendal (Malzia) WK.12'!$B:DC,DN$1,0),0)</f>
        <v>0</v>
      </c>
      <c r="DO30" s="55">
        <f>IFERROR(VLOOKUP($D30,'Adient Taizhou (China) WK.16'!$B:DF,DN$1,0),0)</f>
        <v>0</v>
      </c>
      <c r="DP30" s="128">
        <v>0</v>
      </c>
      <c r="DQ30" s="32">
        <v>0</v>
      </c>
      <c r="DR30" s="106">
        <f t="shared" si="173"/>
        <v>0</v>
      </c>
      <c r="DS30" s="8"/>
      <c r="DT30" s="37">
        <f t="shared" si="174"/>
        <v>0</v>
      </c>
      <c r="DU30" s="125">
        <f>IFERROR(VLOOKUP($D30,'Adient Assende (Belgium) WK.17'!$B:DJ,DV$1,0),0)</f>
        <v>0</v>
      </c>
      <c r="DV30" s="55">
        <f>IFERROR(VLOOKUP($D30,'Adient Arendal (Malzia) WK.12'!$B:DK,DV$1,0),0)</f>
        <v>0</v>
      </c>
      <c r="DW30" s="55">
        <f>IFERROR(VLOOKUP($D30,'Adient Taizhou (China) WK.16'!$B:DN,DV$1,0),0)</f>
        <v>0</v>
      </c>
      <c r="DX30" s="60">
        <v>0</v>
      </c>
      <c r="DY30" s="60">
        <v>0</v>
      </c>
      <c r="DZ30" s="128">
        <v>0</v>
      </c>
      <c r="EA30" s="32">
        <v>0</v>
      </c>
      <c r="EB30" s="106">
        <f t="shared" si="248"/>
        <v>0</v>
      </c>
      <c r="EC30" s="8"/>
      <c r="ED30" s="37">
        <f t="shared" si="175"/>
        <v>0</v>
      </c>
      <c r="EE30" s="125">
        <f>IFERROR(VLOOKUP($D30,'Adient Assende (Belgium) WK.17'!$B:DR,EF$1,0),0)</f>
        <v>0</v>
      </c>
      <c r="EF30" s="55">
        <f>IFERROR(VLOOKUP($D30,'Adient Arendal (Malzia) WK.12'!$B:DS,EF$1,0),0)</f>
        <v>0</v>
      </c>
      <c r="EG30" s="55">
        <f>IFERROR(VLOOKUP($D30,'Adient Taizhou (China) WK.16'!$B:DV,EF$1,0),0)</f>
        <v>0</v>
      </c>
      <c r="EH30" s="60">
        <v>0</v>
      </c>
      <c r="EI30" s="128">
        <v>0</v>
      </c>
      <c r="EJ30" s="32">
        <v>0</v>
      </c>
      <c r="EK30" s="106">
        <f t="shared" si="249"/>
        <v>0</v>
      </c>
      <c r="EM30" s="37">
        <f t="shared" si="176"/>
        <v>0</v>
      </c>
      <c r="EN30" s="125">
        <f>IFERROR(VLOOKUP($D30,'Adient Assende (Belgium) WK.17'!$B:DZ,EO$1,0),0)</f>
        <v>0</v>
      </c>
      <c r="EO30" s="55">
        <f>IFERROR(VLOOKUP($D30,'Adient Arendal (Malzia) WK.12'!$B:EA,EO$1,0),0)</f>
        <v>0</v>
      </c>
      <c r="EP30" s="55">
        <f>IFERROR(VLOOKUP($D30,'Adient Taizhou (China) WK.16'!$B:ED,EO$1,0),0)</f>
        <v>0</v>
      </c>
      <c r="EQ30" s="128">
        <v>0</v>
      </c>
      <c r="ER30" s="32">
        <v>0</v>
      </c>
      <c r="ES30" s="106">
        <f t="shared" si="250"/>
        <v>0</v>
      </c>
      <c r="EU30" s="37">
        <f t="shared" si="177"/>
        <v>0</v>
      </c>
      <c r="EV30" s="125">
        <f>IFERROR(VLOOKUP($D30,'Adient Assende (Belgium) WK.17'!$B:EH,EW$1,0),0)</f>
        <v>0</v>
      </c>
      <c r="EW30" s="55">
        <f>IFERROR(VLOOKUP($D30,'Adient Arendal (Malzia) WK.12'!$B:EI,EW$1,0),0)</f>
        <v>0</v>
      </c>
      <c r="EX30" s="55">
        <f>IFERROR(VLOOKUP($D30,'Adient Taizhou (China) WK.16'!$B:EL,EW$1,0),0)</f>
        <v>0</v>
      </c>
      <c r="EY30" s="128">
        <v>0</v>
      </c>
      <c r="EZ30" s="32">
        <v>0</v>
      </c>
      <c r="FA30" s="106">
        <f t="shared" si="251"/>
        <v>0</v>
      </c>
      <c r="FC30" s="37">
        <f t="shared" si="178"/>
        <v>0</v>
      </c>
      <c r="FD30" s="154">
        <f>IFERROR(VLOOKUP($D30,'Adient Assende (Belgium) WK.17'!$B:EP,FE$1,0),0)</f>
        <v>0</v>
      </c>
      <c r="FE30" s="154">
        <f>IFERROR(VLOOKUP($D30,'Adient Arendal (Malzia) WK.12'!$B:EQ,FE$1,0),0)</f>
        <v>0</v>
      </c>
      <c r="FF30" s="154">
        <f>IFERROR(VLOOKUP($D30,'Adient Taizhou (China) WK.16'!$B:ET,FE$1,0),0)</f>
        <v>0</v>
      </c>
      <c r="FG30" s="128">
        <v>0</v>
      </c>
      <c r="FH30" s="32">
        <v>0</v>
      </c>
      <c r="FI30" s="106">
        <f t="shared" si="252"/>
        <v>0</v>
      </c>
      <c r="FK30" s="37">
        <f t="shared" si="179"/>
        <v>0</v>
      </c>
      <c r="FL30" s="125">
        <f>IFERROR(VLOOKUP($D30,'Adient Assende (Belgium) WK.17'!$B:EX,FM$1,0),0)</f>
        <v>0</v>
      </c>
      <c r="FM30" s="55">
        <f>IFERROR(VLOOKUP($D30,'Adient Arendal (Malzia) WK.12'!$B:EY,FM$1,0),0)</f>
        <v>0</v>
      </c>
      <c r="FN30" s="55">
        <f>IFERROR(VLOOKUP($D30,'Adient Taizhou (China) WK.16'!$B:FB,FM$1,0),0)</f>
        <v>0</v>
      </c>
      <c r="FO30" s="128">
        <v>0</v>
      </c>
      <c r="FP30" s="32">
        <v>0</v>
      </c>
      <c r="FQ30" s="106">
        <f t="shared" si="253"/>
        <v>0</v>
      </c>
      <c r="FR30" s="8"/>
      <c r="FS30" s="37">
        <f t="shared" si="180"/>
        <v>0</v>
      </c>
      <c r="FT30" s="125">
        <f>IFERROR(VLOOKUP($D30,'Adient Assende (Belgium) WK.17'!$B:FF,FU$1,0),0)</f>
        <v>0</v>
      </c>
      <c r="FU30" s="55">
        <f>IFERROR(VLOOKUP($D30,'Adient Arendal (Malzia) WK.12'!$B:FG,FU$1,0),0)</f>
        <v>0</v>
      </c>
      <c r="FV30" s="55">
        <f>IFERROR(VLOOKUP($D30,'Adient Taizhou (China) WK.16'!$B:FJ,FU$1,0),0)</f>
        <v>0</v>
      </c>
      <c r="FW30" s="60">
        <v>0</v>
      </c>
      <c r="FX30" s="60">
        <v>0</v>
      </c>
      <c r="FY30" s="60">
        <v>0</v>
      </c>
      <c r="FZ30" s="60">
        <v>0</v>
      </c>
      <c r="GA30" s="60">
        <v>0</v>
      </c>
      <c r="GB30" s="128">
        <v>0</v>
      </c>
      <c r="GC30" s="32">
        <v>0</v>
      </c>
      <c r="GD30" s="106">
        <f t="shared" si="254"/>
        <v>0</v>
      </c>
      <c r="GF30" s="37">
        <f t="shared" si="181"/>
        <v>0</v>
      </c>
      <c r="GG30" s="125">
        <f>IFERROR(VLOOKUP($D30,'Adient Assende (Belgium) WK.17'!$B:FN,GH$1,0),0)</f>
        <v>0</v>
      </c>
      <c r="GH30" s="55">
        <f>IFERROR(VLOOKUP($D30,'Adient Arendal (Malzia) WK.12'!$B:FO,GH$1,0),0)</f>
        <v>0</v>
      </c>
      <c r="GI30" s="55">
        <f>IFERROR(VLOOKUP($D30,'Adient Taizhou (China) WK.16'!$B:FR,GH$1,0),0)</f>
        <v>0</v>
      </c>
      <c r="GJ30" s="60">
        <v>0</v>
      </c>
      <c r="GK30" s="128">
        <v>0</v>
      </c>
      <c r="GL30" s="32">
        <v>0</v>
      </c>
      <c r="GM30" s="106">
        <f t="shared" si="255"/>
        <v>0</v>
      </c>
      <c r="GO30" s="37">
        <f t="shared" si="182"/>
        <v>0</v>
      </c>
      <c r="GP30" s="125">
        <f>IFERROR(VLOOKUP($D30,'Adient Assende (Belgium) WK.17'!$B:FV,GQ$1,0),0)</f>
        <v>0</v>
      </c>
      <c r="GQ30" s="55">
        <f>IFERROR(VLOOKUP($D30,'Adient Arendal (Malzia) WK.12'!$B:FW,GQ$1,0),0)</f>
        <v>0</v>
      </c>
      <c r="GR30" s="55">
        <f>IFERROR(VLOOKUP($D30,'Adient Taizhou (China) WK.16'!$B:FZ,GQ$1,0),0)</f>
        <v>0</v>
      </c>
      <c r="GS30" s="60">
        <v>0</v>
      </c>
      <c r="GT30" s="128">
        <v>0</v>
      </c>
      <c r="GU30" s="32">
        <v>0</v>
      </c>
      <c r="GV30" s="106">
        <f t="shared" si="256"/>
        <v>0</v>
      </c>
      <c r="GW30" s="8"/>
      <c r="GX30" s="37">
        <f t="shared" si="183"/>
        <v>0</v>
      </c>
      <c r="GY30" s="125">
        <f>IFERROR(VLOOKUP($D30,'Adient Assende (Belgium) WK.17'!$B:GD,GZ$1,0),0)</f>
        <v>0</v>
      </c>
      <c r="GZ30" s="55">
        <f>IFERROR(VLOOKUP($D30,'Adient Arendal (Malzia) WK.12'!$B:GE,GZ$1,0),0)</f>
        <v>0</v>
      </c>
      <c r="HA30" s="55">
        <f>IFERROR(VLOOKUP($D30,'Adient Taizhou (China) WK.16'!$B:GH,GZ$1,0),0)</f>
        <v>0</v>
      </c>
      <c r="HB30" s="60">
        <v>0</v>
      </c>
      <c r="HC30" s="128">
        <v>0</v>
      </c>
      <c r="HD30" s="32">
        <v>0</v>
      </c>
      <c r="HE30" s="106">
        <f t="shared" si="257"/>
        <v>0</v>
      </c>
      <c r="HF30" s="8"/>
      <c r="HG30" s="37">
        <f t="shared" si="184"/>
        <v>0</v>
      </c>
      <c r="HH30" s="125">
        <f>IFERROR(VLOOKUP($D30,'Adient Assende (Belgium) WK.17'!$B:GL,HI$1,0),0)</f>
        <v>0</v>
      </c>
      <c r="HI30" s="55">
        <f>IFERROR(VLOOKUP($D30,'Adient Arendal (Malzia) WK.12'!$B:GM,HI$1,0),0)</f>
        <v>0</v>
      </c>
      <c r="HJ30" s="55">
        <f>IFERROR(VLOOKUP($D30,'Adient Taizhou (China) WK.16'!$B:GP,HI$1,0),0)</f>
        <v>0</v>
      </c>
      <c r="HK30" s="60">
        <v>0</v>
      </c>
      <c r="HL30" s="128">
        <v>0</v>
      </c>
      <c r="HM30" s="32">
        <v>0</v>
      </c>
      <c r="HN30" s="106">
        <f t="shared" si="258"/>
        <v>0</v>
      </c>
      <c r="HO30" s="8"/>
      <c r="HP30" s="37">
        <f t="shared" si="185"/>
        <v>0</v>
      </c>
      <c r="HQ30" s="125">
        <f>IFERROR(VLOOKUP($D30,'Adient Assende (Belgium) WK.17'!$B:GT,HR$1,0),0)</f>
        <v>0</v>
      </c>
      <c r="HR30" s="55">
        <f>IFERROR(VLOOKUP($D30,'Adient Arendal (Malzia) WK.12'!$B:GU,HR$1,0),0)</f>
        <v>0</v>
      </c>
      <c r="HS30" s="55">
        <f>IFERROR(VLOOKUP($D30,'Adient Taizhou (China) WK.16'!$B:GX,HR$1,0),0)</f>
        <v>0</v>
      </c>
      <c r="HT30" s="60">
        <v>0</v>
      </c>
      <c r="HU30" s="128">
        <v>0</v>
      </c>
      <c r="HV30" s="32">
        <v>0</v>
      </c>
      <c r="HW30" s="106">
        <f t="shared" si="259"/>
        <v>0</v>
      </c>
      <c r="HX30" s="8"/>
      <c r="HY30" s="37">
        <f t="shared" si="186"/>
        <v>0</v>
      </c>
      <c r="HZ30" s="125">
        <f>IFERROR(VLOOKUP($D30,'Adient Assende (Belgium) WK.17'!$B:HB,IA$1,0),0)</f>
        <v>0</v>
      </c>
      <c r="IA30" s="55">
        <f>IFERROR(VLOOKUP($D30,'Adient Arendal (Malzia) WK.12'!$B:HC,IA$1,0),0)</f>
        <v>0</v>
      </c>
      <c r="IB30" s="55">
        <f>IFERROR(VLOOKUP($D30,'Adient Taizhou (China) WK.16'!$B:HF,IA$1,0),0)</f>
        <v>0</v>
      </c>
      <c r="IC30" s="60">
        <v>0</v>
      </c>
      <c r="ID30" s="128">
        <v>0</v>
      </c>
      <c r="IE30" s="32">
        <v>0</v>
      </c>
      <c r="IF30" s="106">
        <f t="shared" si="260"/>
        <v>0</v>
      </c>
      <c r="IG30" s="8"/>
      <c r="IH30" s="37">
        <f t="shared" si="187"/>
        <v>0</v>
      </c>
      <c r="II30" s="125">
        <f>IFERROR(VLOOKUP($D30,'Adient Assende (Belgium) WK.17'!$B:HJ,IJ$1,0),0)</f>
        <v>0</v>
      </c>
      <c r="IJ30" s="55">
        <f>IFERROR(VLOOKUP($D30,'Adient Arendal (Malzia) WK.12'!$B:HK,IJ$1,0),0)</f>
        <v>0</v>
      </c>
      <c r="IK30" s="55">
        <f>IFERROR(VLOOKUP($D30,'Adient Taizhou (China) WK.16'!$B:HN,IJ$1,0),0)</f>
        <v>0</v>
      </c>
      <c r="IL30" s="128">
        <v>0</v>
      </c>
      <c r="IM30" s="32">
        <v>0</v>
      </c>
      <c r="IN30" s="106">
        <f t="shared" si="188"/>
        <v>0</v>
      </c>
      <c r="IO30" s="8"/>
      <c r="IP30" s="37">
        <f t="shared" si="189"/>
        <v>0</v>
      </c>
      <c r="IQ30" s="125">
        <f>IFERROR(VLOOKUP($D30,'Adient Assende (Belgium) WK.17'!$B:HR,IR$1,0),0)</f>
        <v>0</v>
      </c>
      <c r="IR30" s="55">
        <f>IFERROR(VLOOKUP($D30,'Adient Arendal (Malzia) WK.12'!$B:HS,IR$1,0),0)</f>
        <v>0</v>
      </c>
      <c r="IS30" s="55">
        <f>IFERROR(VLOOKUP($D30,'Adient Taizhou (China) WK.16'!$B:HV,IR$1,0),0)</f>
        <v>0</v>
      </c>
      <c r="IT30" s="60">
        <v>0</v>
      </c>
      <c r="IU30" s="128">
        <v>0</v>
      </c>
      <c r="IV30" s="32">
        <v>0</v>
      </c>
      <c r="IW30" s="106">
        <f t="shared" si="261"/>
        <v>0</v>
      </c>
      <c r="IX30" s="8"/>
      <c r="IY30" s="37">
        <f t="shared" si="190"/>
        <v>0</v>
      </c>
      <c r="IZ30" s="125">
        <f>IFERROR(VLOOKUP($D30,'Adient Assende (Belgium) WK.17'!$B:HZ,JA$1,0),0)</f>
        <v>0</v>
      </c>
      <c r="JA30" s="55">
        <f>IFERROR(VLOOKUP($D30,'Adient Arendal (Malzia) WK.12'!$B:IA,JA$1,0),0)</f>
        <v>0</v>
      </c>
      <c r="JB30" s="55">
        <f>IFERROR(VLOOKUP($D30,'Adient Taizhou (China) WK.16'!$B:ID,JA$1,0),0)</f>
        <v>0</v>
      </c>
      <c r="JC30" s="128">
        <v>0</v>
      </c>
      <c r="JD30" s="32">
        <v>0</v>
      </c>
      <c r="JE30" s="106">
        <f t="shared" si="191"/>
        <v>0</v>
      </c>
      <c r="JF30" s="8"/>
      <c r="JG30" s="37">
        <f t="shared" si="192"/>
        <v>0</v>
      </c>
      <c r="JH30" s="125">
        <f>IFERROR(VLOOKUP($D30,'Adient Assende (Belgium) WK.17'!$B:IH,JI$1,0),0)</f>
        <v>0</v>
      </c>
      <c r="JI30" s="55">
        <f>IFERROR(VLOOKUP($D30,'Adient Arendal (Malzia) WK.12'!$B:II,JI$1,0),0)</f>
        <v>0</v>
      </c>
      <c r="JJ30" s="55">
        <f>IFERROR(VLOOKUP($D30,'Adient Taizhou (China) WK.16'!$B:IL,JI$1,0),0)</f>
        <v>0</v>
      </c>
      <c r="JK30" s="60">
        <v>0</v>
      </c>
      <c r="JL30" s="128">
        <v>0</v>
      </c>
      <c r="JM30" s="32">
        <v>0</v>
      </c>
      <c r="JN30" s="106">
        <f t="shared" si="262"/>
        <v>0</v>
      </c>
      <c r="JO30" s="8"/>
      <c r="JP30" s="37">
        <f t="shared" si="193"/>
        <v>0</v>
      </c>
      <c r="JQ30" s="125">
        <f>IFERROR(VLOOKUP($D30,'Adient Assende (Belgium) WK.17'!$B:IP,JR$1,0),0)</f>
        <v>0</v>
      </c>
      <c r="JR30" s="55">
        <f>IFERROR(VLOOKUP($D30,'Adient Arendal (Malzia) WK.12'!$B:IQ,JR$1,0),0)</f>
        <v>0</v>
      </c>
      <c r="JS30" s="55">
        <f>IFERROR(VLOOKUP($D30,'Adient Taizhou (China) WK.16'!$B:IT,JR$1,0),0)</f>
        <v>0</v>
      </c>
      <c r="JT30" s="128">
        <v>0</v>
      </c>
      <c r="JU30" s="32">
        <v>0</v>
      </c>
      <c r="JV30" s="106">
        <f t="shared" si="194"/>
        <v>0</v>
      </c>
      <c r="JW30" s="8"/>
      <c r="JX30" s="37">
        <f t="shared" si="195"/>
        <v>0</v>
      </c>
      <c r="JY30" s="154">
        <f>IFERROR(VLOOKUP($D30,'Adient Assende (Belgium) WK.17'!$B:IX,JZ$1,0),0)</f>
        <v>0</v>
      </c>
      <c r="JZ30" s="55">
        <f>IFERROR(VLOOKUP($D30,'Adient Arendal (Malzia) WK.12'!$B:IY,JZ$1,0),0)</f>
        <v>0</v>
      </c>
      <c r="KA30" s="55">
        <f>IFERROR(VLOOKUP($D30,'Adient Taizhou (China) WK.16'!$B:JB,JZ$1,0),0)</f>
        <v>0</v>
      </c>
      <c r="KB30" s="128">
        <v>0</v>
      </c>
      <c r="KC30" s="32">
        <v>0</v>
      </c>
      <c r="KD30" s="106">
        <f t="shared" si="263"/>
        <v>0</v>
      </c>
      <c r="KE30" s="8"/>
      <c r="KF30" s="37">
        <f t="shared" si="196"/>
        <v>0</v>
      </c>
      <c r="KG30" s="125">
        <f>IFERROR(VLOOKUP($D30,'Adient Assende (Belgium) WK.17'!$B:JF,KH$1,0),0)</f>
        <v>0</v>
      </c>
      <c r="KH30" s="55">
        <f>IFERROR(VLOOKUP($D30,'Adient Arendal (Malzia) WK.12'!$B:JG,KH$1,0),0)</f>
        <v>0</v>
      </c>
      <c r="KI30" s="55">
        <f>IFERROR(VLOOKUP($D30,'Adient Taizhou (China) WK.16'!$B:JJ,KH$1,0),0)</f>
        <v>0</v>
      </c>
      <c r="KJ30" s="60">
        <v>0</v>
      </c>
      <c r="KK30" s="128">
        <v>0</v>
      </c>
      <c r="KL30" s="32">
        <v>0</v>
      </c>
      <c r="KM30" s="106">
        <f t="shared" si="264"/>
        <v>0</v>
      </c>
      <c r="KN30" s="8"/>
      <c r="KO30" s="37">
        <f t="shared" si="197"/>
        <v>0</v>
      </c>
      <c r="KP30" s="141">
        <f>IFERROR(VLOOKUP($D30,'Adient Assende (Belgium) WK.17'!$B:JN,KQ$1,0),0)</f>
        <v>0</v>
      </c>
      <c r="KQ30" s="140">
        <f>IFERROR(VLOOKUP($D30,'Adient Arendal (Malzia) WK.12'!$B:JO,KQ$1,0),0)</f>
        <v>0</v>
      </c>
      <c r="KR30" s="140">
        <f>IFERROR(VLOOKUP($D30,'Adient Taizhou (China) WK.16'!$B:JR,KQ$1,0),0)</f>
        <v>0</v>
      </c>
      <c r="KS30" s="60">
        <v>0</v>
      </c>
      <c r="KT30" s="128">
        <v>0</v>
      </c>
      <c r="KU30" s="32">
        <v>0</v>
      </c>
      <c r="KV30" s="106">
        <f t="shared" si="265"/>
        <v>0</v>
      </c>
      <c r="KX30" s="37">
        <f t="shared" si="198"/>
        <v>0</v>
      </c>
      <c r="KY30" s="141">
        <f>IFERROR(VLOOKUP($D30,'Adient Assende (Belgium) WK.17'!$B:JV,KZ$1,0),0)</f>
        <v>0</v>
      </c>
      <c r="KZ30" s="140">
        <f>IFERROR(VLOOKUP($D30,'Adient Arendal (Malzia) WK.12'!$B:JW,KZ$1,0),0)</f>
        <v>0</v>
      </c>
      <c r="LA30" s="140">
        <f>IFERROR(VLOOKUP($D30,'Adient Taizhou (China) WK.16'!$B:JZ,KZ$1,0),0)</f>
        <v>0</v>
      </c>
      <c r="LB30" s="128">
        <v>0</v>
      </c>
      <c r="LC30" s="32">
        <v>0</v>
      </c>
      <c r="LD30" s="106">
        <f t="shared" si="266"/>
        <v>0</v>
      </c>
      <c r="LF30" s="37">
        <f t="shared" si="199"/>
        <v>0</v>
      </c>
      <c r="LG30" s="141">
        <f>IFERROR(VLOOKUP($D30,'Adient Assende (Belgium) WK.17'!$B:KD,LH$1,0),0)</f>
        <v>0</v>
      </c>
      <c r="LH30" s="140">
        <f>IFERROR(VLOOKUP($D30,'Adient Arendal (Malzia) WK.12'!$B:KE,LH$1,0),0)</f>
        <v>0</v>
      </c>
      <c r="LI30" s="140">
        <f>IFERROR(VLOOKUP($D30,'Adient Taizhou (China) WK.16'!$B:KH,LH$1,0),0)</f>
        <v>0</v>
      </c>
      <c r="LJ30" s="60">
        <v>0</v>
      </c>
      <c r="LK30" s="128">
        <v>0</v>
      </c>
      <c r="LL30" s="32">
        <v>0</v>
      </c>
      <c r="LM30" s="100">
        <f t="shared" si="267"/>
        <v>0</v>
      </c>
      <c r="LO30" s="37">
        <f t="shared" si="200"/>
        <v>0</v>
      </c>
      <c r="LP30" s="141">
        <f>IFERROR(VLOOKUP($D30,'Adient Assende (Belgium) WK.17'!$B:KL,LQ$1,0),0)</f>
        <v>0</v>
      </c>
      <c r="LQ30" s="140">
        <f>IFERROR(VLOOKUP($D30,'Adient Arendal (Malzia) WK.12'!$B:KM,LQ$1,0),0)</f>
        <v>0</v>
      </c>
      <c r="LR30" s="140">
        <f>IFERROR(VLOOKUP($D30,'Adient Taizhou (China) WK.16'!$B:KP,LQ$1,0),0)</f>
        <v>0</v>
      </c>
      <c r="LS30" s="128">
        <v>0</v>
      </c>
      <c r="LT30" s="32">
        <v>0</v>
      </c>
      <c r="LU30" s="100">
        <f t="shared" si="268"/>
        <v>0</v>
      </c>
      <c r="LW30" s="37">
        <f t="shared" si="201"/>
        <v>0</v>
      </c>
      <c r="LX30" s="141">
        <f>IFERROR(VLOOKUP($D30,'Adient Assende (Belgium) WK.17'!$B:KT,LY$1,0),0)</f>
        <v>0</v>
      </c>
      <c r="LY30" s="140">
        <f>IFERROR(VLOOKUP($D30,'Adient Arendal (Malzia) WK.12'!$B:KU,LY$1,0),0)</f>
        <v>0</v>
      </c>
      <c r="LZ30" s="140">
        <f>IFERROR(VLOOKUP($D30,'Adient Taizhou (China) WK.16'!$B:KX,LY$1,0),0)</f>
        <v>0</v>
      </c>
      <c r="MA30" s="128">
        <v>0</v>
      </c>
      <c r="MB30" s="32">
        <v>0</v>
      </c>
      <c r="MC30" s="100">
        <f t="shared" si="269"/>
        <v>0</v>
      </c>
      <c r="ME30" s="37">
        <f t="shared" si="202"/>
        <v>0</v>
      </c>
      <c r="MF30" s="154">
        <f>IFERROR(VLOOKUP($D30,'Adient Assende (Belgium) WK.17'!$B:LB,MG$1,0),0)</f>
        <v>0</v>
      </c>
      <c r="MG30" s="140">
        <f>IFERROR(VLOOKUP($D30,'Adient Arendal (Malzia) WK.12'!$B:LC,MG$1,0),0)</f>
        <v>0</v>
      </c>
      <c r="MH30" s="140">
        <f>IFERROR(VLOOKUP($D30,'Adient Taizhou (China) WK.16'!$B:LF,MG$1,0),0)</f>
        <v>0</v>
      </c>
      <c r="MI30" s="128">
        <v>0</v>
      </c>
      <c r="MJ30" s="32">
        <v>0</v>
      </c>
      <c r="MK30" s="100">
        <f t="shared" si="270"/>
        <v>0</v>
      </c>
      <c r="MM30" s="37">
        <f t="shared" si="203"/>
        <v>0</v>
      </c>
      <c r="MN30" s="141">
        <f>IFERROR(VLOOKUP($D30,'Adient Assende (Belgium) WK.17'!$B:LJ,MO$1,0),0)</f>
        <v>0</v>
      </c>
      <c r="MO30" s="140">
        <f>IFERROR(VLOOKUP($D30,'Adient Arendal (Malzia) WK.12'!$B:LK,MO$1,0),0)</f>
        <v>0</v>
      </c>
      <c r="MP30" s="140">
        <f>IFERROR(VLOOKUP($D30,'Adient Taizhou (China) WK.16'!$B:LN,MO$1,0),0)</f>
        <v>0</v>
      </c>
      <c r="MQ30" s="128">
        <v>0</v>
      </c>
      <c r="MR30" s="32">
        <v>0</v>
      </c>
      <c r="MS30" s="100">
        <f t="shared" si="271"/>
        <v>0</v>
      </c>
      <c r="MU30" s="37">
        <f t="shared" si="204"/>
        <v>0</v>
      </c>
      <c r="MV30" s="141">
        <f>IFERROR(VLOOKUP($D30,'Adient Assende (Belgium) WK.17'!$B:LR,MW$1,0),0)</f>
        <v>0</v>
      </c>
      <c r="MW30" s="140">
        <f>IFERROR(VLOOKUP($D30,'Adient Arendal (Malzia) WK.12'!$B:LS,MW$1,0),0)</f>
        <v>0</v>
      </c>
      <c r="MX30" s="140">
        <f>IFERROR(VLOOKUP($D30,'Adient Taizhou (China) WK.16'!$B:LV,MW$1,0),0)</f>
        <v>0</v>
      </c>
      <c r="MY30" s="128">
        <v>0</v>
      </c>
      <c r="MZ30" s="32">
        <v>0</v>
      </c>
      <c r="NA30" s="100">
        <f t="shared" si="272"/>
        <v>0</v>
      </c>
      <c r="NC30" s="37">
        <f t="shared" si="205"/>
        <v>0</v>
      </c>
      <c r="ND30" s="141">
        <f>IFERROR(VLOOKUP($D30,'Adient Assende (Belgium) WK.17'!$B:LZ,NE$1,0),0)</f>
        <v>0</v>
      </c>
      <c r="NE30" s="140">
        <f>IFERROR(VLOOKUP($D30,'Adient Arendal (Malzia) WK.12'!$B:MA,NE$1,0),0)</f>
        <v>0</v>
      </c>
      <c r="NF30" s="140">
        <f>IFERROR(VLOOKUP($D30,'Adient Taizhou (China) WK.16'!$B:MD,NE$1,0),0)</f>
        <v>0</v>
      </c>
      <c r="NG30" s="128">
        <v>0</v>
      </c>
      <c r="NH30" s="32">
        <v>0</v>
      </c>
      <c r="NI30" s="100">
        <f t="shared" si="273"/>
        <v>0</v>
      </c>
      <c r="NK30" s="37">
        <f t="shared" si="206"/>
        <v>0</v>
      </c>
      <c r="NL30" s="141">
        <f>IFERROR(VLOOKUP($D30,'Adient Assende (Belgium) WK.17'!$B:MH,NM$1,0),0)</f>
        <v>0</v>
      </c>
      <c r="NM30" s="140">
        <f>IFERROR(VLOOKUP($D30,'Adient Arendal (Malzia) WK.12'!$B:MI,NM$1,0),0)</f>
        <v>0</v>
      </c>
      <c r="NN30" s="140">
        <f>IFERROR(VLOOKUP($D30,'Adient Taizhou (China) WK.16'!$B:ML,NM$1,0),0)</f>
        <v>0</v>
      </c>
      <c r="NO30" s="128">
        <v>0</v>
      </c>
      <c r="NP30" s="32">
        <v>0</v>
      </c>
      <c r="NQ30" s="100">
        <f t="shared" si="274"/>
        <v>0</v>
      </c>
      <c r="NS30" s="37">
        <f t="shared" si="207"/>
        <v>0</v>
      </c>
      <c r="NT30" s="141">
        <f>IFERROR(VLOOKUP($D30,'Adient Assende (Belgium) WK.17'!$B:MP,NU$1,0),0)</f>
        <v>0</v>
      </c>
      <c r="NU30" s="140">
        <f>IFERROR(VLOOKUP($D30,'Adient Arendal (Malzia) WK.12'!$B:MQ,NU$1,0),0)</f>
        <v>0</v>
      </c>
      <c r="NV30" s="140">
        <f>IFERROR(VLOOKUP($D30,'Adient Taizhou (China) WK.16'!$B:MT,NU$1,0),0)</f>
        <v>0</v>
      </c>
      <c r="NW30" s="128">
        <v>0</v>
      </c>
      <c r="NX30" s="32">
        <v>0</v>
      </c>
      <c r="NY30" s="100">
        <f t="shared" si="275"/>
        <v>0</v>
      </c>
      <c r="OA30" s="37">
        <f t="shared" si="208"/>
        <v>0</v>
      </c>
      <c r="OB30" s="141">
        <f>IFERROR(VLOOKUP($D30,'Adient Assende (Belgium) WK.17'!$B:MX,OC$1,0),0)</f>
        <v>0</v>
      </c>
      <c r="OC30" s="140">
        <f>IFERROR(VLOOKUP($D30,'Adient Arendal (Malzia) WK.12'!$B:MY,OC$1,0),0)</f>
        <v>0</v>
      </c>
      <c r="OD30" s="140">
        <f>IFERROR(VLOOKUP($D30,'Adient Taizhou (China) WK.16'!$B:NB,OC$1,0),0)</f>
        <v>0</v>
      </c>
      <c r="OE30" s="128">
        <v>0</v>
      </c>
      <c r="OF30" s="32">
        <v>0</v>
      </c>
      <c r="OG30" s="100">
        <f t="shared" si="276"/>
        <v>0</v>
      </c>
      <c r="OI30" s="37">
        <f t="shared" si="209"/>
        <v>0</v>
      </c>
      <c r="OJ30" s="141">
        <f>IFERROR(VLOOKUP($D30,'Adient Assende (Belgium) WK.17'!$B:NF,OK$1,0),0)</f>
        <v>0</v>
      </c>
      <c r="OK30" s="140">
        <f>IFERROR(VLOOKUP($D30,'Adient Arendal (Malzia) WK.12'!$B:NG,OK$1,0),0)</f>
        <v>0</v>
      </c>
      <c r="OL30" s="140">
        <f>IFERROR(VLOOKUP($D30,'Adient Taizhou (China) WK.16'!$B:NJ,OK$1,0),0)</f>
        <v>0</v>
      </c>
      <c r="OM30" s="128">
        <v>0</v>
      </c>
      <c r="ON30" s="32">
        <v>0</v>
      </c>
      <c r="OO30" s="100">
        <f t="shared" si="277"/>
        <v>0</v>
      </c>
      <c r="OQ30" s="37">
        <f t="shared" si="210"/>
        <v>0</v>
      </c>
      <c r="OR30" s="141">
        <f>IFERROR(VLOOKUP($D30,'Adient Assende (Belgium) WK.17'!$B:NN,OS$1,0),0)</f>
        <v>0</v>
      </c>
      <c r="OS30" s="140">
        <f>IFERROR(VLOOKUP($D30,'Adient Arendal (Malzia) WK.12'!$B:NO,OS$1,0),0)</f>
        <v>0</v>
      </c>
      <c r="OT30" s="140">
        <f>IFERROR(VLOOKUP($D30,'Adient Taizhou (China) WK.16'!$B:NR,OS$1,0),0)</f>
        <v>0</v>
      </c>
      <c r="OU30" s="128">
        <v>0</v>
      </c>
      <c r="OV30" s="32">
        <v>0</v>
      </c>
      <c r="OW30" s="100">
        <f t="shared" si="278"/>
        <v>0</v>
      </c>
      <c r="OY30" s="37">
        <f t="shared" si="211"/>
        <v>0</v>
      </c>
      <c r="OZ30" s="141">
        <f>IFERROR(VLOOKUP($D30,'Adient Assende (Belgium) WK.17'!$B:NV,PA$1,0),0)</f>
        <v>0</v>
      </c>
      <c r="PA30" s="140">
        <f>IFERROR(VLOOKUP($D30,'Adient Arendal (Malzia) WK.12'!$B:NW,PA$1,0),0)</f>
        <v>0</v>
      </c>
      <c r="PB30" s="140">
        <f>IFERROR(VLOOKUP($D30,'Adient Taizhou (China) WK.16'!$B:NZ,PA$1,0),0)</f>
        <v>0</v>
      </c>
      <c r="PC30" s="128">
        <v>0</v>
      </c>
      <c r="PD30" s="32">
        <v>0</v>
      </c>
      <c r="PE30" s="100">
        <f t="shared" si="279"/>
        <v>0</v>
      </c>
      <c r="PG30" s="37">
        <f t="shared" si="212"/>
        <v>0</v>
      </c>
      <c r="PH30" s="141">
        <f>IFERROR(VLOOKUP($D30,'Adient Assende (Belgium) WK.17'!$B:OD,PI$1,0),0)</f>
        <v>0</v>
      </c>
      <c r="PI30" s="140">
        <f>IFERROR(VLOOKUP($D30,'Adient Arendal (Malzia) WK.12'!$B:OE,PI$1,0),0)</f>
        <v>0</v>
      </c>
      <c r="PJ30" s="140">
        <f>IFERROR(VLOOKUP($D30,'Adient Taizhou (China) WK.16'!$B:OH,PI$1,0),0)</f>
        <v>0</v>
      </c>
      <c r="PK30" s="128">
        <v>0</v>
      </c>
      <c r="PL30" s="32">
        <v>0</v>
      </c>
      <c r="PM30" s="100">
        <f t="shared" si="280"/>
        <v>0</v>
      </c>
      <c r="PO30" s="37">
        <f t="shared" si="213"/>
        <v>0</v>
      </c>
      <c r="PP30" s="141">
        <f>IFERROR(VLOOKUP($D30,'Adient Assende (Belgium) WK.17'!$B:OL,PQ$1,0),0)</f>
        <v>0</v>
      </c>
      <c r="PQ30" s="140">
        <f>IFERROR(VLOOKUP($D30,'Adient Arendal (Malzia) WK.12'!$B:OM,PQ$1,0),0)</f>
        <v>0</v>
      </c>
      <c r="PR30" s="140">
        <f>IFERROR(VLOOKUP($D30,'Adient Taizhou (China) WK.16'!$B:OP,PQ$1,0),0)</f>
        <v>0</v>
      </c>
      <c r="PS30" s="128">
        <v>0</v>
      </c>
      <c r="PT30" s="32">
        <v>0</v>
      </c>
      <c r="PU30" s="100">
        <f t="shared" si="281"/>
        <v>0</v>
      </c>
      <c r="PW30" s="37">
        <f t="shared" si="214"/>
        <v>0</v>
      </c>
      <c r="PX30" s="141">
        <f>IFERROR(VLOOKUP($D30,'Adient Assende (Belgium) WK.17'!$B:OT,PY$1,0),0)</f>
        <v>0</v>
      </c>
      <c r="PY30" s="140">
        <f>IFERROR(VLOOKUP($D30,'Adient Arendal (Malzia) WK.12'!$B:OU,PY$1,0),0)</f>
        <v>0</v>
      </c>
      <c r="PZ30" s="140">
        <f>IFERROR(VLOOKUP($D30,'Adient Taizhou (China) WK.16'!$B:OX,PY$1,0),0)</f>
        <v>0</v>
      </c>
      <c r="QA30" s="128">
        <v>0</v>
      </c>
      <c r="QB30" s="32">
        <v>0</v>
      </c>
      <c r="QC30" s="100">
        <f t="shared" si="282"/>
        <v>0</v>
      </c>
      <c r="QE30" s="37">
        <f t="shared" si="215"/>
        <v>0</v>
      </c>
      <c r="QF30" s="141">
        <f>IFERROR(VLOOKUP($D30,'Adient Assende (Belgium) WK.17'!$B:PB,QG$1,0),0)</f>
        <v>0</v>
      </c>
      <c r="QG30" s="140">
        <f>IFERROR(VLOOKUP($D30,'Adient Arendal (Malzia) WK.12'!$B:PC,QG$1,0),0)</f>
        <v>0</v>
      </c>
      <c r="QH30" s="140">
        <f>IFERROR(VLOOKUP($D30,'Adient Taizhou (China) WK.16'!$B:PF,QG$1,0),0)</f>
        <v>0</v>
      </c>
      <c r="QI30" s="128">
        <v>0</v>
      </c>
      <c r="QJ30" s="32">
        <v>0</v>
      </c>
      <c r="QK30" s="100">
        <f t="shared" si="283"/>
        <v>0</v>
      </c>
      <c r="QM30" s="37">
        <f t="shared" si="216"/>
        <v>0</v>
      </c>
      <c r="QN30" s="141">
        <f>IFERROR(VLOOKUP($D30,'Adient Assende (Belgium) WK.17'!$B:PJ,QO$1,0),0)</f>
        <v>0</v>
      </c>
      <c r="QO30" s="140">
        <f>IFERROR(VLOOKUP($D30,'Adient Arendal (Malzia) WK.12'!$B:PK,QO$1,0),0)</f>
        <v>0</v>
      </c>
      <c r="QP30" s="140">
        <f>IFERROR(VLOOKUP($D30,'Adient Taizhou (China) WK.16'!$B:PN,QO$1,0),0)</f>
        <v>0</v>
      </c>
      <c r="QQ30" s="128">
        <v>0</v>
      </c>
      <c r="QR30" s="32">
        <v>0</v>
      </c>
      <c r="QS30" s="100">
        <f t="shared" si="284"/>
        <v>0</v>
      </c>
      <c r="QU30" s="37">
        <f t="shared" si="217"/>
        <v>0</v>
      </c>
      <c r="QV30" s="141">
        <f>IFERROR(VLOOKUP($D30,'Adient Assende (Belgium) WK.17'!$B:PR,QW$1,0),0)</f>
        <v>0</v>
      </c>
      <c r="QW30" s="140">
        <f>IFERROR(VLOOKUP($D30,'Adient Arendal (Malzia) WK.12'!$B:PS,QW$1,0),0)</f>
        <v>0</v>
      </c>
      <c r="QX30" s="140">
        <f>IFERROR(VLOOKUP($D30,'Adient Taizhou (China) WK.16'!$B:PV,QW$1,0),0)</f>
        <v>0</v>
      </c>
      <c r="QY30" s="128">
        <v>0</v>
      </c>
      <c r="QZ30" s="32">
        <v>0</v>
      </c>
      <c r="RA30" s="100">
        <f t="shared" si="285"/>
        <v>0</v>
      </c>
      <c r="RC30" s="37">
        <f t="shared" si="218"/>
        <v>0</v>
      </c>
      <c r="RD30" s="141">
        <f>IFERROR(VLOOKUP($D30,'Adient Assende (Belgium) WK.17'!$B:PZ,RE$1,0),0)</f>
        <v>0</v>
      </c>
      <c r="RE30" s="140">
        <f>IFERROR(VLOOKUP($D30,'Adient Arendal (Malzia) WK.12'!$B:QA,RE$1,0),0)</f>
        <v>0</v>
      </c>
      <c r="RF30" s="140">
        <f>IFERROR(VLOOKUP($D30,'Adient Taizhou (China) WK.16'!$B:QD,RE$1,0),0)</f>
        <v>0</v>
      </c>
      <c r="RG30" s="128">
        <v>0</v>
      </c>
      <c r="RH30" s="32">
        <v>0</v>
      </c>
      <c r="RI30" s="100">
        <f t="shared" si="286"/>
        <v>0</v>
      </c>
      <c r="RK30" s="37">
        <f t="shared" si="219"/>
        <v>0</v>
      </c>
      <c r="RL30" s="141">
        <f>IFERROR(VLOOKUP($D30,'Adient Assende (Belgium) WK.17'!$B:QH,RM$1,0),0)</f>
        <v>0</v>
      </c>
      <c r="RM30" s="140">
        <f>IFERROR(VLOOKUP($D30,'Adient Arendal (Malzia) WK.12'!$B:QI,RM$1,0),0)</f>
        <v>0</v>
      </c>
      <c r="RN30" s="140">
        <f>IFERROR(VLOOKUP($D30,'Adient Taizhou (China) WK.16'!$B:QL,RM$1,0),0)</f>
        <v>0</v>
      </c>
      <c r="RO30" s="128">
        <v>0</v>
      </c>
      <c r="RP30" s="32">
        <v>0</v>
      </c>
      <c r="RQ30" s="100">
        <f t="shared" si="287"/>
        <v>0</v>
      </c>
      <c r="RS30" s="37">
        <f t="shared" si="220"/>
        <v>0</v>
      </c>
      <c r="RT30" s="141">
        <f>IFERROR(VLOOKUP($D30,'Adient Assende (Belgium) WK.17'!$B:QP,RU$1,0),0)</f>
        <v>0</v>
      </c>
      <c r="RU30" s="140">
        <f>IFERROR(VLOOKUP($D30,'Adient Arendal (Malzia) WK.12'!$B:QQ,RU$1,0),0)</f>
        <v>0</v>
      </c>
      <c r="RV30" s="140">
        <f>IFERROR(VLOOKUP($D30,'Adient Taizhou (China) WK.16'!$B:QT,RU$1,0),0)</f>
        <v>0</v>
      </c>
      <c r="RW30" s="128">
        <v>0</v>
      </c>
      <c r="RX30" s="32">
        <v>0</v>
      </c>
      <c r="RY30" s="100">
        <f t="shared" si="288"/>
        <v>0</v>
      </c>
      <c r="SA30" s="37">
        <f t="shared" si="221"/>
        <v>0</v>
      </c>
      <c r="SB30" s="141">
        <f>IFERROR(VLOOKUP($D30,'Adient Assende (Belgium) WK.17'!$B:QX,SC$1,0),0)</f>
        <v>0</v>
      </c>
      <c r="SC30" s="140">
        <f>IFERROR(VLOOKUP($D30,'Adient Arendal (Malzia) WK.12'!$B:QY,SC$1,0),0)</f>
        <v>0</v>
      </c>
      <c r="SD30" s="140">
        <f>IFERROR(VLOOKUP($D30,'Adient Taizhou (China) WK.16'!$B:RB,SC$1,0),0)</f>
        <v>0</v>
      </c>
      <c r="SE30" s="128">
        <v>0</v>
      </c>
      <c r="SF30" s="32">
        <v>0</v>
      </c>
      <c r="SG30" s="100">
        <f t="shared" si="289"/>
        <v>0</v>
      </c>
      <c r="SI30" s="37">
        <f t="shared" si="222"/>
        <v>0</v>
      </c>
      <c r="SJ30" s="141">
        <f>IFERROR(VLOOKUP($D30,'Adient Assende (Belgium) WK.17'!$B:RF,SK$1,0),0)</f>
        <v>0</v>
      </c>
      <c r="SK30" s="140">
        <f>IFERROR(VLOOKUP($D30,'Adient Arendal (Malzia) WK.12'!$B:RG,SK$1,0),0)</f>
        <v>0</v>
      </c>
      <c r="SL30" s="140">
        <f>IFERROR(VLOOKUP($D30,'Adient Taizhou (China) WK.16'!$B:RJ,SK$1,0),0)</f>
        <v>0</v>
      </c>
      <c r="SM30" s="128">
        <v>0</v>
      </c>
      <c r="SN30" s="32">
        <v>0</v>
      </c>
      <c r="SO30" s="100">
        <f t="shared" si="290"/>
        <v>0</v>
      </c>
      <c r="SQ30" s="37">
        <f t="shared" si="223"/>
        <v>0</v>
      </c>
      <c r="SR30" s="141">
        <f>IFERROR(VLOOKUP($D30,'Adient Assende (Belgium) WK.17'!$B:RN,SS$1,0),0)</f>
        <v>0</v>
      </c>
      <c r="SS30" s="140">
        <f>IFERROR(VLOOKUP($D30,'Adient Arendal (Malzia) WK.12'!$B:RO,SS$1,0),0)</f>
        <v>0</v>
      </c>
      <c r="ST30" s="140">
        <f>IFERROR(VLOOKUP($D30,'Adient Taizhou (China) WK.16'!$B:RR,SS$1,0),0)</f>
        <v>0</v>
      </c>
      <c r="SU30" s="128">
        <v>0</v>
      </c>
      <c r="SV30" s="32">
        <v>0</v>
      </c>
      <c r="SW30" s="100">
        <f t="shared" si="291"/>
        <v>0</v>
      </c>
      <c r="SY30" s="37">
        <f t="shared" si="224"/>
        <v>0</v>
      </c>
      <c r="SZ30" s="141">
        <f>IFERROR(VLOOKUP($D30,'Adient Assende (Belgium) WK.17'!$B:RV,TA$1,0),0)</f>
        <v>0</v>
      </c>
      <c r="TA30" s="140">
        <f>IFERROR(VLOOKUP($D30,'Adient Arendal (Malzia) WK.12'!$B:RW,TA$1,0),0)</f>
        <v>0</v>
      </c>
      <c r="TB30" s="140">
        <f>IFERROR(VLOOKUP($D30,'Adient Taizhou (China) WK.16'!$B:RZ,TA$1,0),0)</f>
        <v>0</v>
      </c>
      <c r="TC30" s="128">
        <v>0</v>
      </c>
      <c r="TD30" s="32">
        <v>0</v>
      </c>
      <c r="TE30" s="100">
        <f t="shared" si="292"/>
        <v>0</v>
      </c>
      <c r="TG30" s="37">
        <f t="shared" si="225"/>
        <v>0</v>
      </c>
      <c r="TH30" s="141">
        <f>IFERROR(VLOOKUP($D30,'Adient Assende (Belgium) WK.17'!$B:SD,TI$1,0),0)</f>
        <v>0</v>
      </c>
      <c r="TI30" s="140">
        <f>IFERROR(VLOOKUP($D30,'Adient Arendal (Malzia) WK.12'!$B:SE,TI$1,0),0)</f>
        <v>0</v>
      </c>
      <c r="TJ30" s="140">
        <f>IFERROR(VLOOKUP($D30,'Adient Taizhou (China) WK.16'!$B:SH,TI$1,0),0)</f>
        <v>0</v>
      </c>
      <c r="TK30" s="128">
        <v>0</v>
      </c>
      <c r="TL30" s="32">
        <v>0</v>
      </c>
      <c r="TM30" s="100">
        <f t="shared" si="293"/>
        <v>0</v>
      </c>
      <c r="TO30" s="37">
        <f t="shared" si="226"/>
        <v>0</v>
      </c>
      <c r="TP30" s="141">
        <f>IFERROR(VLOOKUP($D30,'Adient Assende (Belgium) WK.17'!$B:SL,TQ$1,0),0)</f>
        <v>0</v>
      </c>
      <c r="TQ30" s="140">
        <f>IFERROR(VLOOKUP($D30,'Adient Arendal (Malzia) WK.12'!$B:SM,TQ$1,0),0)</f>
        <v>0</v>
      </c>
      <c r="TR30" s="140">
        <f>IFERROR(VLOOKUP($D30,'Adient Taizhou (China) WK.16'!$B:SP,TQ$1,0),0)</f>
        <v>0</v>
      </c>
      <c r="TS30" s="128">
        <v>0</v>
      </c>
      <c r="TT30" s="32">
        <v>0</v>
      </c>
      <c r="TU30" s="100">
        <f t="shared" si="294"/>
        <v>0</v>
      </c>
      <c r="TW30" s="37">
        <f t="shared" si="227"/>
        <v>0</v>
      </c>
      <c r="TX30" s="141">
        <f>IFERROR(VLOOKUP($D30,'Adient Assende (Belgium) WK.17'!$B:ST,TY$1,0),0)</f>
        <v>0</v>
      </c>
      <c r="TY30" s="140">
        <f>IFERROR(VLOOKUP($D30,'Adient Arendal (Malzia) WK.12'!$B:SU,TY$1,0),0)</f>
        <v>0</v>
      </c>
      <c r="TZ30" s="140">
        <f>IFERROR(VLOOKUP($D30,'Adient Taizhou (China) WK.16'!$B:SX,TY$1,0),0)</f>
        <v>0</v>
      </c>
      <c r="UA30" s="128">
        <v>0</v>
      </c>
      <c r="UB30" s="32">
        <v>0</v>
      </c>
      <c r="UC30" s="100">
        <f t="shared" si="295"/>
        <v>0</v>
      </c>
      <c r="UE30" s="37">
        <f t="shared" si="228"/>
        <v>0</v>
      </c>
      <c r="UF30" s="141">
        <f>IFERROR(VLOOKUP($D30,'Adient Assende (Belgium) WK.17'!$B:TB,UG$1,0),0)</f>
        <v>0</v>
      </c>
      <c r="UG30" s="140">
        <f>IFERROR(VLOOKUP($D30,'Adient Arendal (Malzia) WK.12'!$B:TC,UG$1,0),0)</f>
        <v>0</v>
      </c>
      <c r="UH30" s="140">
        <f>IFERROR(VLOOKUP($D30,'Adient Taizhou (China) WK.16'!$B:TF,UG$1,0),0)</f>
        <v>0</v>
      </c>
      <c r="UI30" s="128">
        <v>0</v>
      </c>
      <c r="UJ30" s="32">
        <v>0</v>
      </c>
      <c r="UK30" s="100">
        <f t="shared" si="296"/>
        <v>0</v>
      </c>
      <c r="UM30" s="37">
        <f t="shared" si="229"/>
        <v>0</v>
      </c>
      <c r="UN30" s="141">
        <f>IFERROR(VLOOKUP($D30,'Adient Assende (Belgium) WK.17'!$B:TJ,UO$1,0),0)</f>
        <v>0</v>
      </c>
      <c r="UO30" s="140">
        <f>IFERROR(VLOOKUP($D30,'Adient Arendal (Malzia) WK.12'!$B:TK,UO$1,0),0)</f>
        <v>0</v>
      </c>
      <c r="UP30" s="140">
        <f>IFERROR(VLOOKUP($D30,'Adient Taizhou (China) WK.16'!$B:TN,UO$1,0),0)</f>
        <v>0</v>
      </c>
      <c r="UQ30" s="128">
        <v>0</v>
      </c>
      <c r="UR30" s="32">
        <v>0</v>
      </c>
      <c r="US30" s="100">
        <f t="shared" si="297"/>
        <v>0</v>
      </c>
      <c r="UU30" s="37">
        <f t="shared" si="230"/>
        <v>0</v>
      </c>
      <c r="UV30" s="141">
        <f>IFERROR(VLOOKUP($D30,'Adient Assende (Belgium) WK.17'!$B:TR,UW$1,0),0)</f>
        <v>0</v>
      </c>
      <c r="UW30" s="140">
        <f>IFERROR(VLOOKUP($D30,'Adient Arendal (Malzia) WK.12'!$B:TS,UW$1,0),0)</f>
        <v>0</v>
      </c>
      <c r="UX30" s="140">
        <f>IFERROR(VLOOKUP($D30,'Adient Taizhou (China) WK.16'!$B:TV,UW$1,0),0)</f>
        <v>0</v>
      </c>
      <c r="UY30" s="128">
        <v>0</v>
      </c>
      <c r="UZ30" s="32">
        <v>0</v>
      </c>
      <c r="VA30" s="100">
        <f t="shared" si="298"/>
        <v>0</v>
      </c>
      <c r="VC30" s="37">
        <f t="shared" si="231"/>
        <v>0</v>
      </c>
      <c r="VD30" s="141">
        <f>IFERROR(VLOOKUP($D30,'Adient Assende (Belgium) WK.17'!$B:TZ,VE$1,0),0)</f>
        <v>0</v>
      </c>
      <c r="VE30" s="140">
        <f>IFERROR(VLOOKUP($D30,'Adient Arendal (Malzia) WK.12'!$B:UA,VE$1,0),0)</f>
        <v>0</v>
      </c>
      <c r="VF30" s="140">
        <f>IFERROR(VLOOKUP($D30,'Adient Taizhou (China) WK.16'!$B:UD,VE$1,0),0)</f>
        <v>0</v>
      </c>
      <c r="VG30" s="128">
        <v>0</v>
      </c>
      <c r="VH30" s="32">
        <v>0</v>
      </c>
      <c r="VI30" s="100">
        <f t="shared" si="299"/>
        <v>0</v>
      </c>
      <c r="VK30" s="37">
        <f t="shared" si="232"/>
        <v>0</v>
      </c>
      <c r="VL30" s="141">
        <f>IFERROR(VLOOKUP($D30,'Adient Assende (Belgium) WK.17'!$B:UH,VM$1,0),0)</f>
        <v>0</v>
      </c>
      <c r="VM30" s="140">
        <f>IFERROR(VLOOKUP($D30,'Adient Arendal (Malzia) WK.12'!$B:UI,VM$1,0),0)</f>
        <v>0</v>
      </c>
      <c r="VN30" s="140">
        <f>IFERROR(VLOOKUP($D30,'Adient Taizhou (China) WK.16'!$B:UL,VM$1,0),0)</f>
        <v>0</v>
      </c>
      <c r="VO30" s="128">
        <v>0</v>
      </c>
      <c r="VP30" s="32">
        <v>0</v>
      </c>
      <c r="VQ30" s="100">
        <f t="shared" si="300"/>
        <v>0</v>
      </c>
    </row>
    <row r="31" spans="1:589" x14ac:dyDescent="0.25">
      <c r="A31" s="10" t="s">
        <v>18</v>
      </c>
      <c r="B31" s="11" t="s">
        <v>19</v>
      </c>
      <c r="C31" s="87">
        <v>32248195</v>
      </c>
      <c r="D31" s="81">
        <v>4172763</v>
      </c>
      <c r="E31" s="11">
        <v>20</v>
      </c>
      <c r="F31" s="12"/>
      <c r="H31" s="122">
        <v>0</v>
      </c>
      <c r="I31" s="125">
        <f>IFERROR(VLOOKUP($D31,'Adient Assende (Belgium) WK.17'!$B:C,J$1,0),0)</f>
        <v>0</v>
      </c>
      <c r="J31" s="55">
        <f>IFERROR(VLOOKUP($D31,'Adient Arendal (Malzia) WK.12'!$B:C,J$1,0),0)</f>
        <v>0</v>
      </c>
      <c r="K31" s="55">
        <f>IFERROR(VLOOKUP($D31,'Adient Taizhou (China) WK.16'!$B:C,J$1,0),0)</f>
        <v>0</v>
      </c>
      <c r="L31" s="128">
        <v>0</v>
      </c>
      <c r="M31" s="32">
        <v>0</v>
      </c>
      <c r="N31" s="106">
        <f t="shared" si="233"/>
        <v>0</v>
      </c>
      <c r="P31" s="37">
        <f t="shared" si="234"/>
        <v>0</v>
      </c>
      <c r="Q31" s="125">
        <f>IFERROR(VLOOKUP($D31,'Adient Assende (Belgium) WK.17'!$B:K,R$1,0),0)</f>
        <v>0</v>
      </c>
      <c r="R31" s="55">
        <f>IFERROR(VLOOKUP($D31,'Adient Arendal (Malzia) WK.12'!$B:K,R$1,0),0)</f>
        <v>0</v>
      </c>
      <c r="S31" s="55">
        <f>IFERROR(VLOOKUP($D31,'Adient Taizhou (China) WK.16'!$B:K,R$1,0),0)</f>
        <v>0</v>
      </c>
      <c r="T31" s="41">
        <v>0</v>
      </c>
      <c r="U31" s="32">
        <v>0</v>
      </c>
      <c r="V31" s="106">
        <f t="shared" si="235"/>
        <v>0</v>
      </c>
      <c r="X31" s="37">
        <f t="shared" si="236"/>
        <v>0</v>
      </c>
      <c r="Y31" s="125">
        <f>IFERROR(VLOOKUP($D31,'Adient Assende (Belgium) WK.17'!$B:S,Z$1,0),0)</f>
        <v>0</v>
      </c>
      <c r="Z31" s="55">
        <f>IFERROR(VLOOKUP($D31,'Adient Arendal (Malzia) WK.12'!$B:S,Z$1,0),0)</f>
        <v>0</v>
      </c>
      <c r="AA31" s="55">
        <f>IFERROR(VLOOKUP($D31,'Adient Taizhou (China) WK.16'!$B:S,Z$1,0),0)</f>
        <v>0</v>
      </c>
      <c r="AB31" s="41">
        <v>0</v>
      </c>
      <c r="AC31" s="32">
        <v>0</v>
      </c>
      <c r="AD31" s="106">
        <f t="shared" si="237"/>
        <v>0</v>
      </c>
      <c r="AF31" s="37">
        <f t="shared" si="238"/>
        <v>0</v>
      </c>
      <c r="AG31" s="125">
        <f>IFERROR(VLOOKUP($D31,'Adient Assende (Belgium) WK.17'!$B:AA,AH$1,0),0)</f>
        <v>0</v>
      </c>
      <c r="AH31" s="55">
        <f>IFERROR(VLOOKUP($D31,'Adient Arendal (Malzia) WK.12'!$B:AA,AH$1,0),0)</f>
        <v>0</v>
      </c>
      <c r="AI31" s="55">
        <f>IFERROR(VLOOKUP($D31,'Adient Taizhou (China) WK.16'!$B:AA,AH$1,0),0)</f>
        <v>0</v>
      </c>
      <c r="AJ31" s="41">
        <v>0</v>
      </c>
      <c r="AK31" s="32">
        <v>0</v>
      </c>
      <c r="AL31" s="106">
        <f t="shared" si="239"/>
        <v>0</v>
      </c>
      <c r="AN31" s="37">
        <f t="shared" si="164"/>
        <v>0</v>
      </c>
      <c r="AO31" s="125">
        <f>IFERROR(VLOOKUP($D31,'Adient Assende (Belgium) WK.17'!$B:AI,AP$1,0),0)</f>
        <v>0</v>
      </c>
      <c r="AP31" s="55">
        <f>IFERROR(VLOOKUP($D31,'Adient Arendal (Malzia) WK.12'!$B:AI,AP$1,0),0)</f>
        <v>0</v>
      </c>
      <c r="AQ31" s="55">
        <f>IFERROR(VLOOKUP($D31,'Adient Taizhou (China) WK.16'!$B:AI,AP$1,0),0)</f>
        <v>0</v>
      </c>
      <c r="AR31" s="60">
        <v>0</v>
      </c>
      <c r="AS31" s="41">
        <v>0</v>
      </c>
      <c r="AT31" s="32">
        <v>0</v>
      </c>
      <c r="AU31" s="106">
        <f t="shared" si="240"/>
        <v>0</v>
      </c>
      <c r="AW31" s="37">
        <f t="shared" si="165"/>
        <v>0</v>
      </c>
      <c r="AX31" s="125">
        <f>IFERROR(VLOOKUP($D31,'Adient Assende (Belgium) WK.17'!$B:AR,AY$1,0),0)</f>
        <v>0</v>
      </c>
      <c r="AY31" s="55">
        <f>IFERROR(VLOOKUP($D31,'Adient Arendal (Malzia) WK.12'!$B:AR,AY$1,0),0)</f>
        <v>0</v>
      </c>
      <c r="AZ31" s="55">
        <f>IFERROR(VLOOKUP($D31,'Adient Taizhou (China) WK.16'!$B:AU,AY$1,0),0)</f>
        <v>0</v>
      </c>
      <c r="BA31" s="41">
        <v>0</v>
      </c>
      <c r="BB31" s="32">
        <v>0</v>
      </c>
      <c r="BC31" s="106">
        <f t="shared" si="241"/>
        <v>0</v>
      </c>
      <c r="BE31" s="37">
        <f t="shared" si="166"/>
        <v>0</v>
      </c>
      <c r="BF31" s="125">
        <f>IFERROR(VLOOKUP($D31,'Adient Assende (Belgium) WK.17'!$B:AX,BG$1,0),0)</f>
        <v>0</v>
      </c>
      <c r="BG31" s="55">
        <f>IFERROR(VLOOKUP($D31,'Adient Arendal (Malzia) WK.12'!$B:AZ,BG$1,0),0)</f>
        <v>0</v>
      </c>
      <c r="BH31" s="55">
        <f>IFERROR(VLOOKUP($D31,'Adient Taizhou (China) WK.16'!$B:BB,BG$1,0),0)</f>
        <v>0</v>
      </c>
      <c r="BI31" s="60">
        <v>0</v>
      </c>
      <c r="BJ31" s="60">
        <v>0</v>
      </c>
      <c r="BK31" s="41">
        <v>0</v>
      </c>
      <c r="BL31" s="32">
        <v>0</v>
      </c>
      <c r="BM31" s="106">
        <f t="shared" si="242"/>
        <v>0</v>
      </c>
      <c r="BN31" s="8"/>
      <c r="BO31" s="37">
        <f t="shared" si="167"/>
        <v>0</v>
      </c>
      <c r="BP31" s="125">
        <f>IFERROR(VLOOKUP($D31,'Adient Assende (Belgium) WK.17'!$B:BH,BQ$1,0),0)</f>
        <v>0</v>
      </c>
      <c r="BQ31" s="55">
        <f>IFERROR(VLOOKUP($D31,'Adient Arendal (Malzia) WK.12'!$B:BI,BQ$1,0),0)</f>
        <v>0</v>
      </c>
      <c r="BR31" s="55">
        <f>IFERROR(VLOOKUP($D31,'Adient Taizhou (China) WK.16'!$B:BL,BQ$1,0),0)</f>
        <v>0</v>
      </c>
      <c r="BS31" s="60">
        <v>0</v>
      </c>
      <c r="BT31" s="60">
        <v>0</v>
      </c>
      <c r="BU31" s="60">
        <v>0</v>
      </c>
      <c r="BV31" s="41">
        <v>0</v>
      </c>
      <c r="BW31" s="32">
        <v>0</v>
      </c>
      <c r="BX31" s="106">
        <f t="shared" si="243"/>
        <v>0</v>
      </c>
      <c r="BY31" s="8"/>
      <c r="BZ31" s="37">
        <f t="shared" si="168"/>
        <v>0</v>
      </c>
      <c r="CA31" s="125">
        <f>IFERROR(VLOOKUP($D31,'Adient Assende (Belgium) WK.17'!$B:BS,CB$1,0),0)</f>
        <v>0</v>
      </c>
      <c r="CB31" s="55">
        <f>IFERROR(VLOOKUP($D31,'Adient Arendal (Malzia) WK.12'!$B:BT,CB$1,0),0)</f>
        <v>0</v>
      </c>
      <c r="CC31" s="55">
        <f>IFERROR(VLOOKUP($D31,'Adient Taizhou (China) WK.16'!$B:BW,CB$1,0),0)</f>
        <v>0</v>
      </c>
      <c r="CD31" s="60">
        <v>0</v>
      </c>
      <c r="CE31" s="60">
        <v>0</v>
      </c>
      <c r="CF31" s="41">
        <v>0</v>
      </c>
      <c r="CG31" s="32">
        <v>0</v>
      </c>
      <c r="CH31" s="106">
        <f t="shared" si="244"/>
        <v>0</v>
      </c>
      <c r="CI31" s="8"/>
      <c r="CJ31" s="37">
        <f t="shared" si="169"/>
        <v>0</v>
      </c>
      <c r="CK31" s="125">
        <f>IFERROR(VLOOKUP($D31,'Adient Assende (Belgium) WK.17'!$B:CC,CL$1,0),0)</f>
        <v>0</v>
      </c>
      <c r="CL31" s="55">
        <f>IFERROR(VLOOKUP($D31,'Adient Arendal (Malzia) WK.12'!$B:CD,CL$1,0),0)</f>
        <v>0</v>
      </c>
      <c r="CM31" s="55">
        <f>IFERROR(VLOOKUP($D31,'Adient Taizhou (China) WK.16'!$B:CG,CL$1,0),0)</f>
        <v>0</v>
      </c>
      <c r="CN31" s="60">
        <v>0</v>
      </c>
      <c r="CO31" s="149">
        <v>0</v>
      </c>
      <c r="CP31" s="32">
        <v>0</v>
      </c>
      <c r="CQ31" s="106">
        <f t="shared" si="245"/>
        <v>0</v>
      </c>
      <c r="CR31" s="8"/>
      <c r="CS31" s="122">
        <f t="shared" si="170"/>
        <v>0</v>
      </c>
      <c r="CT31" s="154">
        <f>IFERROR(VLOOKUP($D31,'Adient Assende (Belgium) WK.17'!$B:CL,CU$1,0),0)</f>
        <v>0</v>
      </c>
      <c r="CU31" s="55">
        <f>IFERROR(VLOOKUP($D31,'Adient Arendal (Malzia) WK.12'!$B:CM,CU$1,0),0)</f>
        <v>0</v>
      </c>
      <c r="CV31" s="55">
        <f>IFERROR(VLOOKUP($D31,'Adient Taizhou (China) WK.16'!$B:CP,CU$1,0),0)</f>
        <v>0</v>
      </c>
      <c r="CW31" s="60">
        <v>0</v>
      </c>
      <c r="CX31" s="60">
        <v>0</v>
      </c>
      <c r="CY31" s="128">
        <v>0</v>
      </c>
      <c r="CZ31" s="32">
        <v>0</v>
      </c>
      <c r="DA31" s="106">
        <f t="shared" si="246"/>
        <v>0</v>
      </c>
      <c r="DB31" s="8"/>
      <c r="DC31" s="37">
        <f t="shared" si="171"/>
        <v>0</v>
      </c>
      <c r="DD31" s="125">
        <f>IFERROR(VLOOKUP($D31,'Adient Assende (Belgium) WK.17'!$B:CS,DE$1,0),0)</f>
        <v>0</v>
      </c>
      <c r="DE31" s="55">
        <f>IFERROR(VLOOKUP($D31,'Adient Arendal (Malzia) WK.12'!$B:CU,DE$1,0),0)</f>
        <v>0</v>
      </c>
      <c r="DF31" s="55">
        <f>IFERROR(VLOOKUP($D31,'Adient Taizhou (China) WK.16'!$B:CX,DE$1,0),0)</f>
        <v>0</v>
      </c>
      <c r="DG31" s="60">
        <v>0</v>
      </c>
      <c r="DH31" s="128">
        <v>0</v>
      </c>
      <c r="DI31" s="32">
        <v>0</v>
      </c>
      <c r="DJ31" s="106">
        <f t="shared" si="247"/>
        <v>0</v>
      </c>
      <c r="DL31" s="37">
        <f t="shared" si="172"/>
        <v>0</v>
      </c>
      <c r="DM31" s="125">
        <f>IFERROR(VLOOKUP($D31,'Adient Assende (Belgium) WK.17'!$B:DB,DN$1,0),0)</f>
        <v>0</v>
      </c>
      <c r="DN31" s="55">
        <f>IFERROR(VLOOKUP($D31,'Adient Arendal (Malzia) WK.12'!$B:DC,DN$1,0),0)</f>
        <v>0</v>
      </c>
      <c r="DO31" s="55">
        <f>IFERROR(VLOOKUP($D31,'Adient Taizhou (China) WK.16'!$B:DF,DN$1,0),0)</f>
        <v>0</v>
      </c>
      <c r="DP31" s="128">
        <v>0</v>
      </c>
      <c r="DQ31" s="32">
        <v>0</v>
      </c>
      <c r="DR31" s="106">
        <f t="shared" si="173"/>
        <v>0</v>
      </c>
      <c r="DS31" s="8"/>
      <c r="DT31" s="37">
        <f t="shared" si="174"/>
        <v>0</v>
      </c>
      <c r="DU31" s="125">
        <f>IFERROR(VLOOKUP($D31,'Adient Assende (Belgium) WK.17'!$B:DJ,DV$1,0),0)</f>
        <v>0</v>
      </c>
      <c r="DV31" s="55">
        <f>IFERROR(VLOOKUP($D31,'Adient Arendal (Malzia) WK.12'!$B:DK,DV$1,0),0)</f>
        <v>0</v>
      </c>
      <c r="DW31" s="55">
        <f>IFERROR(VLOOKUP($D31,'Adient Taizhou (China) WK.16'!$B:DN,DV$1,0),0)</f>
        <v>0</v>
      </c>
      <c r="DX31" s="60">
        <v>0</v>
      </c>
      <c r="DY31" s="60">
        <v>0</v>
      </c>
      <c r="DZ31" s="128">
        <v>0</v>
      </c>
      <c r="EA31" s="32">
        <v>0</v>
      </c>
      <c r="EB31" s="106">
        <f t="shared" si="248"/>
        <v>0</v>
      </c>
      <c r="EC31" s="8"/>
      <c r="ED31" s="37">
        <f t="shared" si="175"/>
        <v>0</v>
      </c>
      <c r="EE31" s="125">
        <f>IFERROR(VLOOKUP($D31,'Adient Assende (Belgium) WK.17'!$B:DR,EF$1,0),0)</f>
        <v>0</v>
      </c>
      <c r="EF31" s="55">
        <f>IFERROR(VLOOKUP($D31,'Adient Arendal (Malzia) WK.12'!$B:DS,EF$1,0),0)</f>
        <v>0</v>
      </c>
      <c r="EG31" s="55">
        <f>IFERROR(VLOOKUP($D31,'Adient Taizhou (China) WK.16'!$B:DV,EF$1,0),0)</f>
        <v>0</v>
      </c>
      <c r="EH31" s="60">
        <v>0</v>
      </c>
      <c r="EI31" s="128">
        <v>0</v>
      </c>
      <c r="EJ31" s="32">
        <v>0</v>
      </c>
      <c r="EK31" s="106">
        <f t="shared" si="249"/>
        <v>0</v>
      </c>
      <c r="EM31" s="37">
        <f t="shared" si="176"/>
        <v>0</v>
      </c>
      <c r="EN31" s="125">
        <f>IFERROR(VLOOKUP($D31,'Adient Assende (Belgium) WK.17'!$B:DZ,EO$1,0),0)</f>
        <v>0</v>
      </c>
      <c r="EO31" s="55">
        <f>IFERROR(VLOOKUP($D31,'Adient Arendal (Malzia) WK.12'!$B:EA,EO$1,0),0)</f>
        <v>0</v>
      </c>
      <c r="EP31" s="55">
        <f>IFERROR(VLOOKUP($D31,'Adient Taizhou (China) WK.16'!$B:ED,EO$1,0),0)</f>
        <v>0</v>
      </c>
      <c r="EQ31" s="128">
        <v>0</v>
      </c>
      <c r="ER31" s="32">
        <v>0</v>
      </c>
      <c r="ES31" s="106">
        <f t="shared" si="250"/>
        <v>0</v>
      </c>
      <c r="EU31" s="37">
        <f t="shared" si="177"/>
        <v>0</v>
      </c>
      <c r="EV31" s="125">
        <f>IFERROR(VLOOKUP($D31,'Adient Assende (Belgium) WK.17'!$B:EH,EW$1,0),0)</f>
        <v>0</v>
      </c>
      <c r="EW31" s="55">
        <f>IFERROR(VLOOKUP($D31,'Adient Arendal (Malzia) WK.12'!$B:EI,EW$1,0),0)</f>
        <v>0</v>
      </c>
      <c r="EX31" s="55">
        <f>IFERROR(VLOOKUP($D31,'Adient Taizhou (China) WK.16'!$B:EL,EW$1,0),0)</f>
        <v>0</v>
      </c>
      <c r="EY31" s="128">
        <v>0</v>
      </c>
      <c r="EZ31" s="32">
        <v>0</v>
      </c>
      <c r="FA31" s="106">
        <f t="shared" si="251"/>
        <v>0</v>
      </c>
      <c r="FC31" s="37">
        <f t="shared" si="178"/>
        <v>0</v>
      </c>
      <c r="FD31" s="154">
        <f>IFERROR(VLOOKUP($D31,'Adient Assende (Belgium) WK.17'!$B:EP,FE$1,0),0)</f>
        <v>0</v>
      </c>
      <c r="FE31" s="154">
        <f>IFERROR(VLOOKUP($D31,'Adient Arendal (Malzia) WK.12'!$B:EQ,FE$1,0),0)</f>
        <v>0</v>
      </c>
      <c r="FF31" s="154">
        <f>IFERROR(VLOOKUP($D31,'Adient Taizhou (China) WK.16'!$B:ET,FE$1,0),0)</f>
        <v>0</v>
      </c>
      <c r="FG31" s="128">
        <v>0</v>
      </c>
      <c r="FH31" s="32">
        <v>0</v>
      </c>
      <c r="FI31" s="106">
        <f t="shared" si="252"/>
        <v>0</v>
      </c>
      <c r="FK31" s="37">
        <f t="shared" si="179"/>
        <v>0</v>
      </c>
      <c r="FL31" s="125">
        <f>IFERROR(VLOOKUP($D31,'Adient Assende (Belgium) WK.17'!$B:EX,FM$1,0),0)</f>
        <v>0</v>
      </c>
      <c r="FM31" s="55">
        <f>IFERROR(VLOOKUP($D31,'Adient Arendal (Malzia) WK.12'!$B:EY,FM$1,0),0)</f>
        <v>0</v>
      </c>
      <c r="FN31" s="55">
        <f>IFERROR(VLOOKUP($D31,'Adient Taizhou (China) WK.16'!$B:FB,FM$1,0),0)</f>
        <v>0</v>
      </c>
      <c r="FO31" s="128">
        <v>0</v>
      </c>
      <c r="FP31" s="32">
        <v>0</v>
      </c>
      <c r="FQ31" s="106">
        <f t="shared" si="253"/>
        <v>0</v>
      </c>
      <c r="FR31" s="8"/>
      <c r="FS31" s="37">
        <f t="shared" si="180"/>
        <v>0</v>
      </c>
      <c r="FT31" s="125">
        <f>IFERROR(VLOOKUP($D31,'Adient Assende (Belgium) WK.17'!$B:FF,FU$1,0),0)</f>
        <v>0</v>
      </c>
      <c r="FU31" s="55">
        <f>IFERROR(VLOOKUP($D31,'Adient Arendal (Malzia) WK.12'!$B:FG,FU$1,0),0)</f>
        <v>0</v>
      </c>
      <c r="FV31" s="55">
        <f>IFERROR(VLOOKUP($D31,'Adient Taizhou (China) WK.16'!$B:FJ,FU$1,0),0)</f>
        <v>0</v>
      </c>
      <c r="FW31" s="60">
        <v>0</v>
      </c>
      <c r="FX31" s="60">
        <v>0</v>
      </c>
      <c r="FY31" s="60">
        <v>0</v>
      </c>
      <c r="FZ31" s="60">
        <v>0</v>
      </c>
      <c r="GA31" s="60">
        <v>0</v>
      </c>
      <c r="GB31" s="128">
        <v>0</v>
      </c>
      <c r="GC31" s="32">
        <v>0</v>
      </c>
      <c r="GD31" s="106">
        <f t="shared" si="254"/>
        <v>0</v>
      </c>
      <c r="GF31" s="37">
        <f t="shared" si="181"/>
        <v>0</v>
      </c>
      <c r="GG31" s="125">
        <f>IFERROR(VLOOKUP($D31,'Adient Assende (Belgium) WK.17'!$B:FN,GH$1,0),0)</f>
        <v>0</v>
      </c>
      <c r="GH31" s="55">
        <f>IFERROR(VLOOKUP($D31,'Adient Arendal (Malzia) WK.12'!$B:FO,GH$1,0),0)</f>
        <v>0</v>
      </c>
      <c r="GI31" s="55">
        <f>IFERROR(VLOOKUP($D31,'Adient Taizhou (China) WK.16'!$B:FR,GH$1,0),0)</f>
        <v>0</v>
      </c>
      <c r="GJ31" s="60">
        <v>0</v>
      </c>
      <c r="GK31" s="128">
        <v>0</v>
      </c>
      <c r="GL31" s="32">
        <v>0</v>
      </c>
      <c r="GM31" s="106">
        <f t="shared" si="255"/>
        <v>0</v>
      </c>
      <c r="GO31" s="37">
        <f t="shared" si="182"/>
        <v>0</v>
      </c>
      <c r="GP31" s="125">
        <f>IFERROR(VLOOKUP($D31,'Adient Assende (Belgium) WK.17'!$B:FV,GQ$1,0),0)</f>
        <v>0</v>
      </c>
      <c r="GQ31" s="55">
        <f>IFERROR(VLOOKUP($D31,'Adient Arendal (Malzia) WK.12'!$B:FW,GQ$1,0),0)</f>
        <v>0</v>
      </c>
      <c r="GR31" s="55">
        <f>IFERROR(VLOOKUP($D31,'Adient Taizhou (China) WK.16'!$B:FZ,GQ$1,0),0)</f>
        <v>0</v>
      </c>
      <c r="GS31" s="60">
        <v>0</v>
      </c>
      <c r="GT31" s="128">
        <v>0</v>
      </c>
      <c r="GU31" s="32">
        <v>0</v>
      </c>
      <c r="GV31" s="106">
        <f t="shared" si="256"/>
        <v>0</v>
      </c>
      <c r="GW31" s="8"/>
      <c r="GX31" s="37">
        <f t="shared" si="183"/>
        <v>0</v>
      </c>
      <c r="GY31" s="125">
        <f>IFERROR(VLOOKUP($D31,'Adient Assende (Belgium) WK.17'!$B:GD,GZ$1,0),0)</f>
        <v>0</v>
      </c>
      <c r="GZ31" s="55">
        <f>IFERROR(VLOOKUP($D31,'Adient Arendal (Malzia) WK.12'!$B:GE,GZ$1,0),0)</f>
        <v>0</v>
      </c>
      <c r="HA31" s="55">
        <f>IFERROR(VLOOKUP($D31,'Adient Taizhou (China) WK.16'!$B:GH,GZ$1,0),0)</f>
        <v>0</v>
      </c>
      <c r="HB31" s="60">
        <v>0</v>
      </c>
      <c r="HC31" s="128">
        <v>0</v>
      </c>
      <c r="HD31" s="32">
        <v>0</v>
      </c>
      <c r="HE31" s="106">
        <f t="shared" si="257"/>
        <v>0</v>
      </c>
      <c r="HF31" s="8"/>
      <c r="HG31" s="37">
        <f t="shared" si="184"/>
        <v>0</v>
      </c>
      <c r="HH31" s="125">
        <f>IFERROR(VLOOKUP($D31,'Adient Assende (Belgium) WK.17'!$B:GL,HI$1,0),0)</f>
        <v>0</v>
      </c>
      <c r="HI31" s="55">
        <f>IFERROR(VLOOKUP($D31,'Adient Arendal (Malzia) WK.12'!$B:GM,HI$1,0),0)</f>
        <v>0</v>
      </c>
      <c r="HJ31" s="55">
        <f>IFERROR(VLOOKUP($D31,'Adient Taizhou (China) WK.16'!$B:GP,HI$1,0),0)</f>
        <v>0</v>
      </c>
      <c r="HK31" s="60">
        <v>0</v>
      </c>
      <c r="HL31" s="128">
        <v>0</v>
      </c>
      <c r="HM31" s="32">
        <v>0</v>
      </c>
      <c r="HN31" s="106">
        <f t="shared" si="258"/>
        <v>0</v>
      </c>
      <c r="HO31" s="8"/>
      <c r="HP31" s="37">
        <f t="shared" si="185"/>
        <v>0</v>
      </c>
      <c r="HQ31" s="125">
        <f>IFERROR(VLOOKUP($D31,'Adient Assende (Belgium) WK.17'!$B:GT,HR$1,0),0)</f>
        <v>0</v>
      </c>
      <c r="HR31" s="55">
        <f>IFERROR(VLOOKUP($D31,'Adient Arendal (Malzia) WK.12'!$B:GU,HR$1,0),0)</f>
        <v>0</v>
      </c>
      <c r="HS31" s="55">
        <f>IFERROR(VLOOKUP($D31,'Adient Taizhou (China) WK.16'!$B:GX,HR$1,0),0)</f>
        <v>0</v>
      </c>
      <c r="HT31" s="60">
        <v>0</v>
      </c>
      <c r="HU31" s="128">
        <v>0</v>
      </c>
      <c r="HV31" s="32">
        <v>0</v>
      </c>
      <c r="HW31" s="106">
        <f t="shared" si="259"/>
        <v>0</v>
      </c>
      <c r="HX31" s="8"/>
      <c r="HY31" s="37">
        <f t="shared" si="186"/>
        <v>0</v>
      </c>
      <c r="HZ31" s="125">
        <f>IFERROR(VLOOKUP($D31,'Adient Assende (Belgium) WK.17'!$B:HB,IA$1,0),0)</f>
        <v>0</v>
      </c>
      <c r="IA31" s="55">
        <f>IFERROR(VLOOKUP($D31,'Adient Arendal (Malzia) WK.12'!$B:HC,IA$1,0),0)</f>
        <v>0</v>
      </c>
      <c r="IB31" s="55">
        <f>IFERROR(VLOOKUP($D31,'Adient Taizhou (China) WK.16'!$B:HF,IA$1,0),0)</f>
        <v>0</v>
      </c>
      <c r="IC31" s="60">
        <v>100</v>
      </c>
      <c r="ID31" s="128">
        <v>0</v>
      </c>
      <c r="IE31" s="32">
        <v>0</v>
      </c>
      <c r="IF31" s="106">
        <f t="shared" si="260"/>
        <v>100</v>
      </c>
      <c r="IG31" s="8"/>
      <c r="IH31" s="37">
        <f t="shared" si="187"/>
        <v>100</v>
      </c>
      <c r="II31" s="125">
        <f>IFERROR(VLOOKUP($D31,'Adient Assende (Belgium) WK.17'!$B:HJ,IJ$1,0),0)</f>
        <v>0</v>
      </c>
      <c r="IJ31" s="55">
        <f>IFERROR(VLOOKUP($D31,'Adient Arendal (Malzia) WK.12'!$B:HK,IJ$1,0),0)</f>
        <v>0</v>
      </c>
      <c r="IK31" s="55">
        <f>IFERROR(VLOOKUP($D31,'Adient Taizhou (China) WK.16'!$B:HN,IJ$1,0),0)</f>
        <v>0</v>
      </c>
      <c r="IL31" s="128">
        <v>0</v>
      </c>
      <c r="IM31" s="32">
        <v>0</v>
      </c>
      <c r="IN31" s="106">
        <f t="shared" si="188"/>
        <v>100</v>
      </c>
      <c r="IO31" s="8"/>
      <c r="IP31" s="37">
        <f t="shared" si="189"/>
        <v>100</v>
      </c>
      <c r="IQ31" s="125">
        <f>IFERROR(VLOOKUP($D31,'Adient Assende (Belgium) WK.17'!$B:HR,IR$1,0),0)</f>
        <v>0</v>
      </c>
      <c r="IR31" s="55">
        <f>IFERROR(VLOOKUP($D31,'Adient Arendal (Malzia) WK.12'!$B:HS,IR$1,0),0)</f>
        <v>0</v>
      </c>
      <c r="IS31" s="55">
        <f>IFERROR(VLOOKUP($D31,'Adient Taizhou (China) WK.16'!$B:HV,IR$1,0),0)</f>
        <v>0</v>
      </c>
      <c r="IT31" s="60">
        <v>0</v>
      </c>
      <c r="IU31" s="128">
        <v>0</v>
      </c>
      <c r="IV31" s="32">
        <v>0</v>
      </c>
      <c r="IW31" s="106">
        <f t="shared" si="261"/>
        <v>100</v>
      </c>
      <c r="IX31" s="8"/>
      <c r="IY31" s="37">
        <f t="shared" si="190"/>
        <v>100</v>
      </c>
      <c r="IZ31" s="125">
        <f>IFERROR(VLOOKUP($D31,'Adient Assende (Belgium) WK.17'!$B:HZ,JA$1,0),0)</f>
        <v>0</v>
      </c>
      <c r="JA31" s="55">
        <f>IFERROR(VLOOKUP($D31,'Adient Arendal (Malzia) WK.12'!$B:IA,JA$1,0),0)</f>
        <v>0</v>
      </c>
      <c r="JB31" s="55">
        <f>IFERROR(VLOOKUP($D31,'Adient Taizhou (China) WK.16'!$B:ID,JA$1,0),0)</f>
        <v>0</v>
      </c>
      <c r="JC31" s="128">
        <v>0</v>
      </c>
      <c r="JD31" s="32">
        <v>0</v>
      </c>
      <c r="JE31" s="106">
        <f t="shared" si="191"/>
        <v>100</v>
      </c>
      <c r="JF31" s="8"/>
      <c r="JG31" s="37">
        <f t="shared" si="192"/>
        <v>100</v>
      </c>
      <c r="JH31" s="125">
        <f>IFERROR(VLOOKUP($D31,'Adient Assende (Belgium) WK.17'!$B:IH,JI$1,0),0)</f>
        <v>0</v>
      </c>
      <c r="JI31" s="55">
        <f>IFERROR(VLOOKUP($D31,'Adient Arendal (Malzia) WK.12'!$B:II,JI$1,0),0)</f>
        <v>0</v>
      </c>
      <c r="JJ31" s="55">
        <f>IFERROR(VLOOKUP($D31,'Adient Taizhou (China) WK.16'!$B:IL,JI$1,0),0)</f>
        <v>0</v>
      </c>
      <c r="JK31" s="60">
        <v>0</v>
      </c>
      <c r="JL31" s="128">
        <v>0</v>
      </c>
      <c r="JM31" s="32">
        <v>0</v>
      </c>
      <c r="JN31" s="106">
        <f t="shared" si="262"/>
        <v>100</v>
      </c>
      <c r="JO31" s="8"/>
      <c r="JP31" s="37">
        <f t="shared" si="193"/>
        <v>100</v>
      </c>
      <c r="JQ31" s="125">
        <f>IFERROR(VLOOKUP($D31,'Adient Assende (Belgium) WK.17'!$B:IP,JR$1,0),0)</f>
        <v>0</v>
      </c>
      <c r="JR31" s="55">
        <f>IFERROR(VLOOKUP($D31,'Adient Arendal (Malzia) WK.12'!$B:IQ,JR$1,0),0)</f>
        <v>0</v>
      </c>
      <c r="JS31" s="55">
        <f>IFERROR(VLOOKUP($D31,'Adient Taizhou (China) WK.16'!$B:IT,JR$1,0),0)</f>
        <v>0</v>
      </c>
      <c r="JT31" s="128">
        <v>0</v>
      </c>
      <c r="JU31" s="32">
        <v>0</v>
      </c>
      <c r="JV31" s="106">
        <f t="shared" si="194"/>
        <v>100</v>
      </c>
      <c r="JW31" s="8"/>
      <c r="JX31" s="37">
        <f t="shared" si="195"/>
        <v>100</v>
      </c>
      <c r="JY31" s="154">
        <f>IFERROR(VLOOKUP($D31,'Adient Assende (Belgium) WK.17'!$B:IX,JZ$1,0),0)</f>
        <v>0</v>
      </c>
      <c r="JZ31" s="55">
        <f>IFERROR(VLOOKUP($D31,'Adient Arendal (Malzia) WK.12'!$B:IY,JZ$1,0),0)</f>
        <v>0</v>
      </c>
      <c r="KA31" s="55">
        <f>IFERROR(VLOOKUP($D31,'Adient Taizhou (China) WK.16'!$B:JB,JZ$1,0),0)</f>
        <v>0</v>
      </c>
      <c r="KB31" s="128">
        <v>0</v>
      </c>
      <c r="KC31" s="32">
        <v>0</v>
      </c>
      <c r="KD31" s="106">
        <f t="shared" si="263"/>
        <v>100</v>
      </c>
      <c r="KE31" s="8"/>
      <c r="KF31" s="37">
        <f t="shared" si="196"/>
        <v>100</v>
      </c>
      <c r="KG31" s="125">
        <f>IFERROR(VLOOKUP($D31,'Adient Assende (Belgium) WK.17'!$B:JF,KH$1,0),0)</f>
        <v>0</v>
      </c>
      <c r="KH31" s="55">
        <f>IFERROR(VLOOKUP($D31,'Adient Arendal (Malzia) WK.12'!$B:JG,KH$1,0),0)</f>
        <v>0</v>
      </c>
      <c r="KI31" s="55">
        <f>IFERROR(VLOOKUP($D31,'Adient Taizhou (China) WK.16'!$B:JJ,KH$1,0),0)</f>
        <v>0</v>
      </c>
      <c r="KJ31" s="60">
        <v>0</v>
      </c>
      <c r="KK31" s="128">
        <v>0</v>
      </c>
      <c r="KL31" s="32">
        <v>0</v>
      </c>
      <c r="KM31" s="106">
        <f t="shared" si="264"/>
        <v>100</v>
      </c>
      <c r="KN31" s="8"/>
      <c r="KO31" s="37">
        <f t="shared" si="197"/>
        <v>100</v>
      </c>
      <c r="KP31" s="141">
        <f>IFERROR(VLOOKUP($D31,'Adient Assende (Belgium) WK.17'!$B:JN,KQ$1,0),0)</f>
        <v>0</v>
      </c>
      <c r="KQ31" s="140">
        <f>IFERROR(VLOOKUP($D31,'Adient Arendal (Malzia) WK.12'!$B:JO,KQ$1,0),0)</f>
        <v>0</v>
      </c>
      <c r="KR31" s="140">
        <f>IFERROR(VLOOKUP($D31,'Adient Taizhou (China) WK.16'!$B:JR,KQ$1,0),0)</f>
        <v>0</v>
      </c>
      <c r="KS31" s="60">
        <v>0</v>
      </c>
      <c r="KT31" s="128">
        <v>0</v>
      </c>
      <c r="KU31" s="32">
        <v>0</v>
      </c>
      <c r="KV31" s="106">
        <f t="shared" si="265"/>
        <v>100</v>
      </c>
      <c r="KX31" s="37">
        <f t="shared" si="198"/>
        <v>100</v>
      </c>
      <c r="KY31" s="141">
        <f>IFERROR(VLOOKUP($D31,'Adient Assende (Belgium) WK.17'!$B:JV,KZ$1,0),0)</f>
        <v>0</v>
      </c>
      <c r="KZ31" s="140">
        <f>IFERROR(VLOOKUP($D31,'Adient Arendal (Malzia) WK.12'!$B:JW,KZ$1,0),0)</f>
        <v>0</v>
      </c>
      <c r="LA31" s="140">
        <f>IFERROR(VLOOKUP($D31,'Adient Taizhou (China) WK.16'!$B:JZ,KZ$1,0),0)</f>
        <v>0</v>
      </c>
      <c r="LB31" s="128">
        <v>0</v>
      </c>
      <c r="LC31" s="32">
        <v>0</v>
      </c>
      <c r="LD31" s="106">
        <f t="shared" si="266"/>
        <v>100</v>
      </c>
      <c r="LF31" s="37">
        <f t="shared" si="199"/>
        <v>100</v>
      </c>
      <c r="LG31" s="141">
        <f>IFERROR(VLOOKUP($D31,'Adient Assende (Belgium) WK.17'!$B:KD,LH$1,0),0)</f>
        <v>0</v>
      </c>
      <c r="LH31" s="140">
        <f>IFERROR(VLOOKUP($D31,'Adient Arendal (Malzia) WK.12'!$B:KE,LH$1,0),0)</f>
        <v>0</v>
      </c>
      <c r="LI31" s="140">
        <f>IFERROR(VLOOKUP($D31,'Adient Taizhou (China) WK.16'!$B:KH,LH$1,0),0)</f>
        <v>0</v>
      </c>
      <c r="LJ31" s="60">
        <v>0</v>
      </c>
      <c r="LK31" s="128">
        <v>0</v>
      </c>
      <c r="LL31" s="32">
        <v>0</v>
      </c>
      <c r="LM31" s="100">
        <f t="shared" si="267"/>
        <v>100</v>
      </c>
      <c r="LO31" s="37">
        <f t="shared" si="200"/>
        <v>100</v>
      </c>
      <c r="LP31" s="141">
        <f>IFERROR(VLOOKUP($D31,'Adient Assende (Belgium) WK.17'!$B:KL,LQ$1,0),0)</f>
        <v>0</v>
      </c>
      <c r="LQ31" s="140">
        <f>IFERROR(VLOOKUP($D31,'Adient Arendal (Malzia) WK.12'!$B:KM,LQ$1,0),0)</f>
        <v>0</v>
      </c>
      <c r="LR31" s="140">
        <f>IFERROR(VLOOKUP($D31,'Adient Taizhou (China) WK.16'!$B:KP,LQ$1,0),0)</f>
        <v>0</v>
      </c>
      <c r="LS31" s="128">
        <v>0</v>
      </c>
      <c r="LT31" s="32">
        <v>0</v>
      </c>
      <c r="LU31" s="100">
        <f t="shared" si="268"/>
        <v>100</v>
      </c>
      <c r="LW31" s="37">
        <f t="shared" si="201"/>
        <v>100</v>
      </c>
      <c r="LX31" s="141">
        <f>IFERROR(VLOOKUP($D31,'Adient Assende (Belgium) WK.17'!$B:KT,LY$1,0),0)</f>
        <v>0</v>
      </c>
      <c r="LY31" s="140">
        <f>IFERROR(VLOOKUP($D31,'Adient Arendal (Malzia) WK.12'!$B:KU,LY$1,0),0)</f>
        <v>0</v>
      </c>
      <c r="LZ31" s="140">
        <f>IFERROR(VLOOKUP($D31,'Adient Taizhou (China) WK.16'!$B:KX,LY$1,0),0)</f>
        <v>0</v>
      </c>
      <c r="MA31" s="128">
        <v>0</v>
      </c>
      <c r="MB31" s="32">
        <v>0</v>
      </c>
      <c r="MC31" s="100">
        <f t="shared" si="269"/>
        <v>100</v>
      </c>
      <c r="ME31" s="37">
        <f t="shared" si="202"/>
        <v>100</v>
      </c>
      <c r="MF31" s="154">
        <f>IFERROR(VLOOKUP($D31,'Adient Assende (Belgium) WK.17'!$B:LB,MG$1,0),0)</f>
        <v>0</v>
      </c>
      <c r="MG31" s="140">
        <f>IFERROR(VLOOKUP($D31,'Adient Arendal (Malzia) WK.12'!$B:LC,MG$1,0),0)</f>
        <v>0</v>
      </c>
      <c r="MH31" s="140">
        <f>IFERROR(VLOOKUP($D31,'Adient Taizhou (China) WK.16'!$B:LF,MG$1,0),0)</f>
        <v>0</v>
      </c>
      <c r="MI31" s="128">
        <v>0</v>
      </c>
      <c r="MJ31" s="32">
        <v>0</v>
      </c>
      <c r="MK31" s="100">
        <f t="shared" si="270"/>
        <v>100</v>
      </c>
      <c r="MM31" s="37">
        <f t="shared" si="203"/>
        <v>100</v>
      </c>
      <c r="MN31" s="141">
        <f>IFERROR(VLOOKUP($D31,'Adient Assende (Belgium) WK.17'!$B:LJ,MO$1,0),0)</f>
        <v>0</v>
      </c>
      <c r="MO31" s="140">
        <f>IFERROR(VLOOKUP($D31,'Adient Arendal (Malzia) WK.12'!$B:LK,MO$1,0),0)</f>
        <v>0</v>
      </c>
      <c r="MP31" s="140">
        <f>IFERROR(VLOOKUP($D31,'Adient Taizhou (China) WK.16'!$B:LN,MO$1,0),0)</f>
        <v>0</v>
      </c>
      <c r="MQ31" s="128">
        <v>0</v>
      </c>
      <c r="MR31" s="32">
        <v>0</v>
      </c>
      <c r="MS31" s="100">
        <f t="shared" si="271"/>
        <v>100</v>
      </c>
      <c r="MU31" s="37">
        <f t="shared" si="204"/>
        <v>100</v>
      </c>
      <c r="MV31" s="141">
        <f>IFERROR(VLOOKUP($D31,'Adient Assende (Belgium) WK.17'!$B:LR,MW$1,0),0)</f>
        <v>0</v>
      </c>
      <c r="MW31" s="140">
        <f>IFERROR(VLOOKUP($D31,'Adient Arendal (Malzia) WK.12'!$B:LS,MW$1,0),0)</f>
        <v>0</v>
      </c>
      <c r="MX31" s="140">
        <f>IFERROR(VLOOKUP($D31,'Adient Taizhou (China) WK.16'!$B:LV,MW$1,0),0)</f>
        <v>0</v>
      </c>
      <c r="MY31" s="128">
        <v>0</v>
      </c>
      <c r="MZ31" s="32">
        <v>0</v>
      </c>
      <c r="NA31" s="100">
        <f t="shared" si="272"/>
        <v>100</v>
      </c>
      <c r="NC31" s="37">
        <f t="shared" si="205"/>
        <v>100</v>
      </c>
      <c r="ND31" s="141">
        <f>IFERROR(VLOOKUP($D31,'Adient Assende (Belgium) WK.17'!$B:LZ,NE$1,0),0)</f>
        <v>0</v>
      </c>
      <c r="NE31" s="140">
        <f>IFERROR(VLOOKUP($D31,'Adient Arendal (Malzia) WK.12'!$B:MA,NE$1,0),0)</f>
        <v>0</v>
      </c>
      <c r="NF31" s="140">
        <f>IFERROR(VLOOKUP($D31,'Adient Taizhou (China) WK.16'!$B:MD,NE$1,0),0)</f>
        <v>0</v>
      </c>
      <c r="NG31" s="128">
        <v>0</v>
      </c>
      <c r="NH31" s="32">
        <v>0</v>
      </c>
      <c r="NI31" s="100">
        <f t="shared" si="273"/>
        <v>100</v>
      </c>
      <c r="NK31" s="37">
        <f t="shared" si="206"/>
        <v>100</v>
      </c>
      <c r="NL31" s="141">
        <f>IFERROR(VLOOKUP($D31,'Adient Assende (Belgium) WK.17'!$B:MH,NM$1,0),0)</f>
        <v>0</v>
      </c>
      <c r="NM31" s="140">
        <f>IFERROR(VLOOKUP($D31,'Adient Arendal (Malzia) WK.12'!$B:MI,NM$1,0),0)</f>
        <v>0</v>
      </c>
      <c r="NN31" s="140">
        <f>IFERROR(VLOOKUP($D31,'Adient Taizhou (China) WK.16'!$B:ML,NM$1,0),0)</f>
        <v>0</v>
      </c>
      <c r="NO31" s="128">
        <v>0</v>
      </c>
      <c r="NP31" s="32">
        <v>0</v>
      </c>
      <c r="NQ31" s="100">
        <f t="shared" si="274"/>
        <v>100</v>
      </c>
      <c r="NS31" s="37">
        <f t="shared" si="207"/>
        <v>100</v>
      </c>
      <c r="NT31" s="141">
        <f>IFERROR(VLOOKUP($D31,'Adient Assende (Belgium) WK.17'!$B:MP,NU$1,0),0)</f>
        <v>0</v>
      </c>
      <c r="NU31" s="140">
        <f>IFERROR(VLOOKUP($D31,'Adient Arendal (Malzia) WK.12'!$B:MQ,NU$1,0),0)</f>
        <v>0</v>
      </c>
      <c r="NV31" s="140">
        <f>IFERROR(VLOOKUP($D31,'Adient Taizhou (China) WK.16'!$B:MT,NU$1,0),0)</f>
        <v>0</v>
      </c>
      <c r="NW31" s="128">
        <v>0</v>
      </c>
      <c r="NX31" s="32">
        <v>0</v>
      </c>
      <c r="NY31" s="100">
        <f t="shared" si="275"/>
        <v>100</v>
      </c>
      <c r="OA31" s="37">
        <f t="shared" si="208"/>
        <v>100</v>
      </c>
      <c r="OB31" s="141">
        <f>IFERROR(VLOOKUP($D31,'Adient Assende (Belgium) WK.17'!$B:MX,OC$1,0),0)</f>
        <v>0</v>
      </c>
      <c r="OC31" s="140">
        <f>IFERROR(VLOOKUP($D31,'Adient Arendal (Malzia) WK.12'!$B:MY,OC$1,0),0)</f>
        <v>0</v>
      </c>
      <c r="OD31" s="140">
        <f>IFERROR(VLOOKUP($D31,'Adient Taizhou (China) WK.16'!$B:NB,OC$1,0),0)</f>
        <v>0</v>
      </c>
      <c r="OE31" s="128">
        <v>0</v>
      </c>
      <c r="OF31" s="32">
        <v>0</v>
      </c>
      <c r="OG31" s="100">
        <f t="shared" si="276"/>
        <v>100</v>
      </c>
      <c r="OI31" s="37">
        <f t="shared" si="209"/>
        <v>100</v>
      </c>
      <c r="OJ31" s="141">
        <f>IFERROR(VLOOKUP($D31,'Adient Assende (Belgium) WK.17'!$B:NF,OK$1,0),0)</f>
        <v>0</v>
      </c>
      <c r="OK31" s="140">
        <f>IFERROR(VLOOKUP($D31,'Adient Arendal (Malzia) WK.12'!$B:NG,OK$1,0),0)</f>
        <v>0</v>
      </c>
      <c r="OL31" s="140">
        <f>IFERROR(VLOOKUP($D31,'Adient Taizhou (China) WK.16'!$B:NJ,OK$1,0),0)</f>
        <v>0</v>
      </c>
      <c r="OM31" s="128">
        <v>0</v>
      </c>
      <c r="ON31" s="32">
        <v>0</v>
      </c>
      <c r="OO31" s="100">
        <f t="shared" si="277"/>
        <v>100</v>
      </c>
      <c r="OQ31" s="37">
        <f t="shared" si="210"/>
        <v>100</v>
      </c>
      <c r="OR31" s="141">
        <f>IFERROR(VLOOKUP($D31,'Adient Assende (Belgium) WK.17'!$B:NN,OS$1,0),0)</f>
        <v>0</v>
      </c>
      <c r="OS31" s="140">
        <f>IFERROR(VLOOKUP($D31,'Adient Arendal (Malzia) WK.12'!$B:NO,OS$1,0),0)</f>
        <v>0</v>
      </c>
      <c r="OT31" s="140">
        <f>IFERROR(VLOOKUP($D31,'Adient Taizhou (China) WK.16'!$B:NR,OS$1,0),0)</f>
        <v>0</v>
      </c>
      <c r="OU31" s="128">
        <v>0</v>
      </c>
      <c r="OV31" s="32">
        <v>0</v>
      </c>
      <c r="OW31" s="100">
        <f t="shared" si="278"/>
        <v>100</v>
      </c>
      <c r="OY31" s="37">
        <f t="shared" si="211"/>
        <v>100</v>
      </c>
      <c r="OZ31" s="141">
        <f>IFERROR(VLOOKUP($D31,'Adient Assende (Belgium) WK.17'!$B:NV,PA$1,0),0)</f>
        <v>0</v>
      </c>
      <c r="PA31" s="140">
        <f>IFERROR(VLOOKUP($D31,'Adient Arendal (Malzia) WK.12'!$B:NW,PA$1,0),0)</f>
        <v>0</v>
      </c>
      <c r="PB31" s="140">
        <f>IFERROR(VLOOKUP($D31,'Adient Taizhou (China) WK.16'!$B:NZ,PA$1,0),0)</f>
        <v>0</v>
      </c>
      <c r="PC31" s="128">
        <v>0</v>
      </c>
      <c r="PD31" s="32">
        <v>0</v>
      </c>
      <c r="PE31" s="100">
        <f t="shared" si="279"/>
        <v>100</v>
      </c>
      <c r="PG31" s="37">
        <f t="shared" si="212"/>
        <v>100</v>
      </c>
      <c r="PH31" s="141">
        <f>IFERROR(VLOOKUP($D31,'Adient Assende (Belgium) WK.17'!$B:OD,PI$1,0),0)</f>
        <v>0</v>
      </c>
      <c r="PI31" s="140">
        <f>IFERROR(VLOOKUP($D31,'Adient Arendal (Malzia) WK.12'!$B:OE,PI$1,0),0)</f>
        <v>0</v>
      </c>
      <c r="PJ31" s="140">
        <f>IFERROR(VLOOKUP($D31,'Adient Taizhou (China) WK.16'!$B:OH,PI$1,0),0)</f>
        <v>0</v>
      </c>
      <c r="PK31" s="128">
        <v>0</v>
      </c>
      <c r="PL31" s="32">
        <v>0</v>
      </c>
      <c r="PM31" s="100">
        <f t="shared" si="280"/>
        <v>100</v>
      </c>
      <c r="PO31" s="37">
        <f t="shared" si="213"/>
        <v>100</v>
      </c>
      <c r="PP31" s="141">
        <f>IFERROR(VLOOKUP($D31,'Adient Assende (Belgium) WK.17'!$B:OL,PQ$1,0),0)</f>
        <v>0</v>
      </c>
      <c r="PQ31" s="140">
        <f>IFERROR(VLOOKUP($D31,'Adient Arendal (Malzia) WK.12'!$B:OM,PQ$1,0),0)</f>
        <v>0</v>
      </c>
      <c r="PR31" s="140">
        <f>IFERROR(VLOOKUP($D31,'Adient Taizhou (China) WK.16'!$B:OP,PQ$1,0),0)</f>
        <v>0</v>
      </c>
      <c r="PS31" s="128">
        <v>0</v>
      </c>
      <c r="PT31" s="32">
        <v>0</v>
      </c>
      <c r="PU31" s="100">
        <f t="shared" si="281"/>
        <v>100</v>
      </c>
      <c r="PW31" s="37">
        <f t="shared" si="214"/>
        <v>100</v>
      </c>
      <c r="PX31" s="141">
        <f>IFERROR(VLOOKUP($D31,'Adient Assende (Belgium) WK.17'!$B:OT,PY$1,0),0)</f>
        <v>0</v>
      </c>
      <c r="PY31" s="140">
        <f>IFERROR(VLOOKUP($D31,'Adient Arendal (Malzia) WK.12'!$B:OU,PY$1,0),0)</f>
        <v>0</v>
      </c>
      <c r="PZ31" s="140">
        <f>IFERROR(VLOOKUP($D31,'Adient Taizhou (China) WK.16'!$B:OX,PY$1,0),0)</f>
        <v>0</v>
      </c>
      <c r="QA31" s="128">
        <v>0</v>
      </c>
      <c r="QB31" s="32">
        <v>0</v>
      </c>
      <c r="QC31" s="100">
        <f t="shared" si="282"/>
        <v>100</v>
      </c>
      <c r="QE31" s="37">
        <f t="shared" si="215"/>
        <v>100</v>
      </c>
      <c r="QF31" s="141">
        <f>IFERROR(VLOOKUP($D31,'Adient Assende (Belgium) WK.17'!$B:PB,QG$1,0),0)</f>
        <v>0</v>
      </c>
      <c r="QG31" s="140">
        <f>IFERROR(VLOOKUP($D31,'Adient Arendal (Malzia) WK.12'!$B:PC,QG$1,0),0)</f>
        <v>0</v>
      </c>
      <c r="QH31" s="140">
        <f>IFERROR(VLOOKUP($D31,'Adient Taizhou (China) WK.16'!$B:PF,QG$1,0),0)</f>
        <v>0</v>
      </c>
      <c r="QI31" s="128">
        <v>0</v>
      </c>
      <c r="QJ31" s="32">
        <v>0</v>
      </c>
      <c r="QK31" s="100">
        <f t="shared" si="283"/>
        <v>100</v>
      </c>
      <c r="QM31" s="37">
        <f t="shared" si="216"/>
        <v>100</v>
      </c>
      <c r="QN31" s="141">
        <f>IFERROR(VLOOKUP($D31,'Adient Assende (Belgium) WK.17'!$B:PJ,QO$1,0),0)</f>
        <v>0</v>
      </c>
      <c r="QO31" s="140">
        <f>IFERROR(VLOOKUP($D31,'Adient Arendal (Malzia) WK.12'!$B:PK,QO$1,0),0)</f>
        <v>0</v>
      </c>
      <c r="QP31" s="140">
        <f>IFERROR(VLOOKUP($D31,'Adient Taizhou (China) WK.16'!$B:PN,QO$1,0),0)</f>
        <v>0</v>
      </c>
      <c r="QQ31" s="128">
        <v>0</v>
      </c>
      <c r="QR31" s="32">
        <v>0</v>
      </c>
      <c r="QS31" s="100">
        <f t="shared" si="284"/>
        <v>100</v>
      </c>
      <c r="QU31" s="37">
        <f t="shared" si="217"/>
        <v>100</v>
      </c>
      <c r="QV31" s="141">
        <f>IFERROR(VLOOKUP($D31,'Adient Assende (Belgium) WK.17'!$B:PR,QW$1,0),0)</f>
        <v>0</v>
      </c>
      <c r="QW31" s="140">
        <f>IFERROR(VLOOKUP($D31,'Adient Arendal (Malzia) WK.12'!$B:PS,QW$1,0),0)</f>
        <v>0</v>
      </c>
      <c r="QX31" s="140">
        <f>IFERROR(VLOOKUP($D31,'Adient Taizhou (China) WK.16'!$B:PV,QW$1,0),0)</f>
        <v>0</v>
      </c>
      <c r="QY31" s="128">
        <v>0</v>
      </c>
      <c r="QZ31" s="32">
        <v>0</v>
      </c>
      <c r="RA31" s="100">
        <f t="shared" si="285"/>
        <v>100</v>
      </c>
      <c r="RC31" s="37">
        <f t="shared" si="218"/>
        <v>100</v>
      </c>
      <c r="RD31" s="141">
        <f>IFERROR(VLOOKUP($D31,'Adient Assende (Belgium) WK.17'!$B:PZ,RE$1,0),0)</f>
        <v>0</v>
      </c>
      <c r="RE31" s="140">
        <f>IFERROR(VLOOKUP($D31,'Adient Arendal (Malzia) WK.12'!$B:QA,RE$1,0),0)</f>
        <v>0</v>
      </c>
      <c r="RF31" s="140">
        <f>IFERROR(VLOOKUP($D31,'Adient Taizhou (China) WK.16'!$B:QD,RE$1,0),0)</f>
        <v>0</v>
      </c>
      <c r="RG31" s="128">
        <v>0</v>
      </c>
      <c r="RH31" s="32">
        <v>0</v>
      </c>
      <c r="RI31" s="100">
        <f t="shared" si="286"/>
        <v>100</v>
      </c>
      <c r="RK31" s="37">
        <f t="shared" si="219"/>
        <v>100</v>
      </c>
      <c r="RL31" s="141">
        <f>IFERROR(VLOOKUP($D31,'Adient Assende (Belgium) WK.17'!$B:QH,RM$1,0),0)</f>
        <v>0</v>
      </c>
      <c r="RM31" s="140">
        <f>IFERROR(VLOOKUP($D31,'Adient Arendal (Malzia) WK.12'!$B:QI,RM$1,0),0)</f>
        <v>0</v>
      </c>
      <c r="RN31" s="140">
        <f>IFERROR(VLOOKUP($D31,'Adient Taizhou (China) WK.16'!$B:QL,RM$1,0),0)</f>
        <v>0</v>
      </c>
      <c r="RO31" s="128">
        <v>0</v>
      </c>
      <c r="RP31" s="32">
        <v>0</v>
      </c>
      <c r="RQ31" s="100">
        <f t="shared" si="287"/>
        <v>100</v>
      </c>
      <c r="RS31" s="37">
        <f t="shared" si="220"/>
        <v>100</v>
      </c>
      <c r="RT31" s="141">
        <f>IFERROR(VLOOKUP($D31,'Adient Assende (Belgium) WK.17'!$B:QP,RU$1,0),0)</f>
        <v>0</v>
      </c>
      <c r="RU31" s="140">
        <f>IFERROR(VLOOKUP($D31,'Adient Arendal (Malzia) WK.12'!$B:QQ,RU$1,0),0)</f>
        <v>0</v>
      </c>
      <c r="RV31" s="140">
        <f>IFERROR(VLOOKUP($D31,'Adient Taizhou (China) WK.16'!$B:QT,RU$1,0),0)</f>
        <v>0</v>
      </c>
      <c r="RW31" s="128">
        <v>0</v>
      </c>
      <c r="RX31" s="32">
        <v>0</v>
      </c>
      <c r="RY31" s="100">
        <f t="shared" si="288"/>
        <v>100</v>
      </c>
      <c r="SA31" s="37">
        <f t="shared" si="221"/>
        <v>100</v>
      </c>
      <c r="SB31" s="141">
        <f>IFERROR(VLOOKUP($D31,'Adient Assende (Belgium) WK.17'!$B:QX,SC$1,0),0)</f>
        <v>0</v>
      </c>
      <c r="SC31" s="140">
        <f>IFERROR(VLOOKUP($D31,'Adient Arendal (Malzia) WK.12'!$B:QY,SC$1,0),0)</f>
        <v>0</v>
      </c>
      <c r="SD31" s="140">
        <f>IFERROR(VLOOKUP($D31,'Adient Taizhou (China) WK.16'!$B:RB,SC$1,0),0)</f>
        <v>0</v>
      </c>
      <c r="SE31" s="128">
        <v>0</v>
      </c>
      <c r="SF31" s="32">
        <v>0</v>
      </c>
      <c r="SG31" s="100">
        <f t="shared" si="289"/>
        <v>100</v>
      </c>
      <c r="SI31" s="37">
        <f t="shared" si="222"/>
        <v>100</v>
      </c>
      <c r="SJ31" s="141">
        <f>IFERROR(VLOOKUP($D31,'Adient Assende (Belgium) WK.17'!$B:RF,SK$1,0),0)</f>
        <v>0</v>
      </c>
      <c r="SK31" s="140">
        <f>IFERROR(VLOOKUP($D31,'Adient Arendal (Malzia) WK.12'!$B:RG,SK$1,0),0)</f>
        <v>0</v>
      </c>
      <c r="SL31" s="140">
        <f>IFERROR(VLOOKUP($D31,'Adient Taizhou (China) WK.16'!$B:RJ,SK$1,0),0)</f>
        <v>0</v>
      </c>
      <c r="SM31" s="128">
        <v>0</v>
      </c>
      <c r="SN31" s="32">
        <v>0</v>
      </c>
      <c r="SO31" s="100">
        <f t="shared" si="290"/>
        <v>100</v>
      </c>
      <c r="SQ31" s="37">
        <f t="shared" si="223"/>
        <v>100</v>
      </c>
      <c r="SR31" s="141">
        <f>IFERROR(VLOOKUP($D31,'Adient Assende (Belgium) WK.17'!$B:RN,SS$1,0),0)</f>
        <v>0</v>
      </c>
      <c r="SS31" s="140">
        <f>IFERROR(VLOOKUP($D31,'Adient Arendal (Malzia) WK.12'!$B:RO,SS$1,0),0)</f>
        <v>0</v>
      </c>
      <c r="ST31" s="140">
        <f>IFERROR(VLOOKUP($D31,'Adient Taizhou (China) WK.16'!$B:RR,SS$1,0),0)</f>
        <v>0</v>
      </c>
      <c r="SU31" s="128">
        <v>0</v>
      </c>
      <c r="SV31" s="32">
        <v>0</v>
      </c>
      <c r="SW31" s="100">
        <f t="shared" si="291"/>
        <v>100</v>
      </c>
      <c r="SY31" s="37">
        <f t="shared" si="224"/>
        <v>100</v>
      </c>
      <c r="SZ31" s="141">
        <f>IFERROR(VLOOKUP($D31,'Adient Assende (Belgium) WK.17'!$B:RV,TA$1,0),0)</f>
        <v>0</v>
      </c>
      <c r="TA31" s="140">
        <f>IFERROR(VLOOKUP($D31,'Adient Arendal (Malzia) WK.12'!$B:RW,TA$1,0),0)</f>
        <v>0</v>
      </c>
      <c r="TB31" s="140">
        <f>IFERROR(VLOOKUP($D31,'Adient Taizhou (China) WK.16'!$B:RZ,TA$1,0),0)</f>
        <v>0</v>
      </c>
      <c r="TC31" s="128">
        <v>0</v>
      </c>
      <c r="TD31" s="32">
        <v>0</v>
      </c>
      <c r="TE31" s="100">
        <f t="shared" si="292"/>
        <v>100</v>
      </c>
      <c r="TG31" s="37">
        <f t="shared" si="225"/>
        <v>100</v>
      </c>
      <c r="TH31" s="141">
        <f>IFERROR(VLOOKUP($D31,'Adient Assende (Belgium) WK.17'!$B:SD,TI$1,0),0)</f>
        <v>0</v>
      </c>
      <c r="TI31" s="140">
        <f>IFERROR(VLOOKUP($D31,'Adient Arendal (Malzia) WK.12'!$B:SE,TI$1,0),0)</f>
        <v>0</v>
      </c>
      <c r="TJ31" s="140">
        <f>IFERROR(VLOOKUP($D31,'Adient Taizhou (China) WK.16'!$B:SH,TI$1,0),0)</f>
        <v>0</v>
      </c>
      <c r="TK31" s="128">
        <v>0</v>
      </c>
      <c r="TL31" s="32">
        <v>0</v>
      </c>
      <c r="TM31" s="100">
        <f t="shared" si="293"/>
        <v>100</v>
      </c>
      <c r="TO31" s="37">
        <f t="shared" si="226"/>
        <v>100</v>
      </c>
      <c r="TP31" s="141">
        <f>IFERROR(VLOOKUP($D31,'Adient Assende (Belgium) WK.17'!$B:SL,TQ$1,0),0)</f>
        <v>0</v>
      </c>
      <c r="TQ31" s="140">
        <f>IFERROR(VLOOKUP($D31,'Adient Arendal (Malzia) WK.12'!$B:SM,TQ$1,0),0)</f>
        <v>0</v>
      </c>
      <c r="TR31" s="140">
        <f>IFERROR(VLOOKUP($D31,'Adient Taizhou (China) WK.16'!$B:SP,TQ$1,0),0)</f>
        <v>0</v>
      </c>
      <c r="TS31" s="128">
        <v>0</v>
      </c>
      <c r="TT31" s="32">
        <v>0</v>
      </c>
      <c r="TU31" s="100">
        <f t="shared" si="294"/>
        <v>100</v>
      </c>
      <c r="TW31" s="37">
        <f t="shared" si="227"/>
        <v>100</v>
      </c>
      <c r="TX31" s="141">
        <f>IFERROR(VLOOKUP($D31,'Adient Assende (Belgium) WK.17'!$B:ST,TY$1,0),0)</f>
        <v>0</v>
      </c>
      <c r="TY31" s="140">
        <f>IFERROR(VLOOKUP($D31,'Adient Arendal (Malzia) WK.12'!$B:SU,TY$1,0),0)</f>
        <v>0</v>
      </c>
      <c r="TZ31" s="140">
        <f>IFERROR(VLOOKUP($D31,'Adient Taizhou (China) WK.16'!$B:SX,TY$1,0),0)</f>
        <v>0</v>
      </c>
      <c r="UA31" s="128">
        <v>0</v>
      </c>
      <c r="UB31" s="32">
        <v>0</v>
      </c>
      <c r="UC31" s="100">
        <f t="shared" si="295"/>
        <v>100</v>
      </c>
      <c r="UE31" s="37">
        <f t="shared" si="228"/>
        <v>100</v>
      </c>
      <c r="UF31" s="141">
        <f>IFERROR(VLOOKUP($D31,'Adient Assende (Belgium) WK.17'!$B:TB,UG$1,0),0)</f>
        <v>0</v>
      </c>
      <c r="UG31" s="140">
        <f>IFERROR(VLOOKUP($D31,'Adient Arendal (Malzia) WK.12'!$B:TC,UG$1,0),0)</f>
        <v>0</v>
      </c>
      <c r="UH31" s="140">
        <f>IFERROR(VLOOKUP($D31,'Adient Taizhou (China) WK.16'!$B:TF,UG$1,0),0)</f>
        <v>0</v>
      </c>
      <c r="UI31" s="128">
        <v>0</v>
      </c>
      <c r="UJ31" s="32">
        <v>0</v>
      </c>
      <c r="UK31" s="100">
        <f t="shared" si="296"/>
        <v>100</v>
      </c>
      <c r="UM31" s="37">
        <f t="shared" si="229"/>
        <v>100</v>
      </c>
      <c r="UN31" s="141">
        <f>IFERROR(VLOOKUP($D31,'Adient Assende (Belgium) WK.17'!$B:TJ,UO$1,0),0)</f>
        <v>0</v>
      </c>
      <c r="UO31" s="140">
        <f>IFERROR(VLOOKUP($D31,'Adient Arendal (Malzia) WK.12'!$B:TK,UO$1,0),0)</f>
        <v>0</v>
      </c>
      <c r="UP31" s="140">
        <f>IFERROR(VLOOKUP($D31,'Adient Taizhou (China) WK.16'!$B:TN,UO$1,0),0)</f>
        <v>0</v>
      </c>
      <c r="UQ31" s="128">
        <v>0</v>
      </c>
      <c r="UR31" s="32">
        <v>0</v>
      </c>
      <c r="US31" s="100">
        <f t="shared" si="297"/>
        <v>100</v>
      </c>
      <c r="UU31" s="37">
        <f t="shared" si="230"/>
        <v>100</v>
      </c>
      <c r="UV31" s="141">
        <f>IFERROR(VLOOKUP($D31,'Adient Assende (Belgium) WK.17'!$B:TR,UW$1,0),0)</f>
        <v>0</v>
      </c>
      <c r="UW31" s="140">
        <f>IFERROR(VLOOKUP($D31,'Adient Arendal (Malzia) WK.12'!$B:TS,UW$1,0),0)</f>
        <v>0</v>
      </c>
      <c r="UX31" s="140">
        <f>IFERROR(VLOOKUP($D31,'Adient Taizhou (China) WK.16'!$B:TV,UW$1,0),0)</f>
        <v>0</v>
      </c>
      <c r="UY31" s="128">
        <v>0</v>
      </c>
      <c r="UZ31" s="32">
        <v>0</v>
      </c>
      <c r="VA31" s="100">
        <f t="shared" si="298"/>
        <v>100</v>
      </c>
      <c r="VC31" s="37">
        <f t="shared" si="231"/>
        <v>100</v>
      </c>
      <c r="VD31" s="141">
        <f>IFERROR(VLOOKUP($D31,'Adient Assende (Belgium) WK.17'!$B:TZ,VE$1,0),0)</f>
        <v>0</v>
      </c>
      <c r="VE31" s="140">
        <f>IFERROR(VLOOKUP($D31,'Adient Arendal (Malzia) WK.12'!$B:UA,VE$1,0),0)</f>
        <v>0</v>
      </c>
      <c r="VF31" s="140">
        <f>IFERROR(VLOOKUP($D31,'Adient Taizhou (China) WK.16'!$B:UD,VE$1,0),0)</f>
        <v>0</v>
      </c>
      <c r="VG31" s="128">
        <v>0</v>
      </c>
      <c r="VH31" s="32">
        <v>0</v>
      </c>
      <c r="VI31" s="100">
        <f t="shared" si="299"/>
        <v>100</v>
      </c>
      <c r="VK31" s="37">
        <f t="shared" si="232"/>
        <v>100</v>
      </c>
      <c r="VL31" s="141">
        <f>IFERROR(VLOOKUP($D31,'Adient Assende (Belgium) WK.17'!$B:UH,VM$1,0),0)</f>
        <v>0</v>
      </c>
      <c r="VM31" s="140">
        <f>IFERROR(VLOOKUP($D31,'Adient Arendal (Malzia) WK.12'!$B:UI,VM$1,0),0)</f>
        <v>0</v>
      </c>
      <c r="VN31" s="140">
        <f>IFERROR(VLOOKUP($D31,'Adient Taizhou (China) WK.16'!$B:UL,VM$1,0),0)</f>
        <v>0</v>
      </c>
      <c r="VO31" s="128">
        <v>0</v>
      </c>
      <c r="VP31" s="32">
        <v>0</v>
      </c>
      <c r="VQ31" s="100">
        <f t="shared" si="300"/>
        <v>100</v>
      </c>
    </row>
    <row r="32" spans="1:589" x14ac:dyDescent="0.25">
      <c r="A32" s="10" t="s">
        <v>18</v>
      </c>
      <c r="B32" s="11" t="s">
        <v>19</v>
      </c>
      <c r="C32" s="87">
        <v>32248196</v>
      </c>
      <c r="D32" s="81">
        <v>4172773</v>
      </c>
      <c r="E32" s="11">
        <v>20</v>
      </c>
      <c r="F32" s="12"/>
      <c r="H32" s="122">
        <v>29</v>
      </c>
      <c r="I32" s="125">
        <f>IFERROR(VLOOKUP($D32,'Adient Assende (Belgium) WK.17'!$B:C,J$1,0),0)</f>
        <v>0</v>
      </c>
      <c r="J32" s="55">
        <f>IFERROR(VLOOKUP($D32,'Adient Arendal (Malzia) WK.12'!$B:C,J$1,0),0)</f>
        <v>0</v>
      </c>
      <c r="K32" s="55">
        <f>IFERROR(VLOOKUP($D32,'Adient Taizhou (China) WK.16'!$B:C,J$1,0),0)</f>
        <v>0</v>
      </c>
      <c r="L32" s="128">
        <v>0</v>
      </c>
      <c r="M32" s="32">
        <v>0</v>
      </c>
      <c r="N32" s="106">
        <f t="shared" si="233"/>
        <v>29</v>
      </c>
      <c r="P32" s="37">
        <f t="shared" si="234"/>
        <v>29</v>
      </c>
      <c r="Q32" s="125">
        <f>IFERROR(VLOOKUP($D32,'Adient Assende (Belgium) WK.17'!$B:K,R$1,0),0)</f>
        <v>0</v>
      </c>
      <c r="R32" s="55">
        <f>IFERROR(VLOOKUP($D32,'Adient Arendal (Malzia) WK.12'!$B:K,R$1,0),0)</f>
        <v>0</v>
      </c>
      <c r="S32" s="55">
        <f>IFERROR(VLOOKUP($D32,'Adient Taizhou (China) WK.16'!$B:K,R$1,0),0)</f>
        <v>0</v>
      </c>
      <c r="T32" s="41">
        <v>0</v>
      </c>
      <c r="U32" s="32">
        <v>0</v>
      </c>
      <c r="V32" s="106">
        <f t="shared" si="235"/>
        <v>29</v>
      </c>
      <c r="X32" s="37">
        <f t="shared" si="236"/>
        <v>29</v>
      </c>
      <c r="Y32" s="125">
        <f>IFERROR(VLOOKUP($D32,'Adient Assende (Belgium) WK.17'!$B:S,Z$1,0),0)</f>
        <v>0</v>
      </c>
      <c r="Z32" s="55">
        <f>IFERROR(VLOOKUP($D32,'Adient Arendal (Malzia) WK.12'!$B:S,Z$1,0),0)</f>
        <v>0</v>
      </c>
      <c r="AA32" s="55">
        <f>IFERROR(VLOOKUP($D32,'Adient Taizhou (China) WK.16'!$B:S,Z$1,0),0)</f>
        <v>0</v>
      </c>
      <c r="AB32" s="41">
        <v>0</v>
      </c>
      <c r="AC32" s="32">
        <v>0</v>
      </c>
      <c r="AD32" s="106">
        <f t="shared" si="237"/>
        <v>29</v>
      </c>
      <c r="AF32" s="37">
        <f t="shared" si="238"/>
        <v>29</v>
      </c>
      <c r="AG32" s="125">
        <f>IFERROR(VLOOKUP($D32,'Adient Assende (Belgium) WK.17'!$B:AA,AH$1,0),0)</f>
        <v>0</v>
      </c>
      <c r="AH32" s="55">
        <f>IFERROR(VLOOKUP($D32,'Adient Arendal (Malzia) WK.12'!$B:AA,AH$1,0),0)</f>
        <v>0</v>
      </c>
      <c r="AI32" s="55">
        <f>IFERROR(VLOOKUP($D32,'Adient Taizhou (China) WK.16'!$B:AA,AH$1,0),0)</f>
        <v>0</v>
      </c>
      <c r="AJ32" s="41">
        <v>0</v>
      </c>
      <c r="AK32" s="32">
        <v>0</v>
      </c>
      <c r="AL32" s="106">
        <f t="shared" si="239"/>
        <v>29</v>
      </c>
      <c r="AN32" s="37">
        <f t="shared" si="164"/>
        <v>29</v>
      </c>
      <c r="AO32" s="125">
        <f>IFERROR(VLOOKUP($D32,'Adient Assende (Belgium) WK.17'!$B:AI,AP$1,0),0)</f>
        <v>0</v>
      </c>
      <c r="AP32" s="55">
        <f>IFERROR(VLOOKUP($D32,'Adient Arendal (Malzia) WK.12'!$B:AI,AP$1,0),0)</f>
        <v>0</v>
      </c>
      <c r="AQ32" s="55">
        <f>IFERROR(VLOOKUP($D32,'Adient Taizhou (China) WK.16'!$B:AI,AP$1,0),0)</f>
        <v>0</v>
      </c>
      <c r="AR32" s="60">
        <v>0</v>
      </c>
      <c r="AS32" s="41">
        <v>0</v>
      </c>
      <c r="AT32" s="32">
        <v>0</v>
      </c>
      <c r="AU32" s="106">
        <f t="shared" si="240"/>
        <v>29</v>
      </c>
      <c r="AW32" s="37">
        <f t="shared" si="165"/>
        <v>29</v>
      </c>
      <c r="AX32" s="125">
        <f>IFERROR(VLOOKUP($D32,'Adient Assende (Belgium) WK.17'!$B:AR,AY$1,0),0)</f>
        <v>0</v>
      </c>
      <c r="AY32" s="55">
        <f>IFERROR(VLOOKUP($D32,'Adient Arendal (Malzia) WK.12'!$B:AR,AY$1,0),0)</f>
        <v>0</v>
      </c>
      <c r="AZ32" s="55">
        <f>IFERROR(VLOOKUP($D32,'Adient Taizhou (China) WK.16'!$B:AU,AY$1,0),0)</f>
        <v>0</v>
      </c>
      <c r="BA32" s="41">
        <v>0</v>
      </c>
      <c r="BB32" s="32">
        <v>0</v>
      </c>
      <c r="BC32" s="106">
        <f t="shared" si="241"/>
        <v>29</v>
      </c>
      <c r="BE32" s="37">
        <f t="shared" si="166"/>
        <v>29</v>
      </c>
      <c r="BF32" s="125">
        <f>IFERROR(VLOOKUP($D32,'Adient Assende (Belgium) WK.17'!$B:AX,BG$1,0),0)</f>
        <v>0</v>
      </c>
      <c r="BG32" s="55">
        <f>IFERROR(VLOOKUP($D32,'Adient Arendal (Malzia) WK.12'!$B:AZ,BG$1,0),0)</f>
        <v>0</v>
      </c>
      <c r="BH32" s="55">
        <f>IFERROR(VLOOKUP($D32,'Adient Taizhou (China) WK.16'!$B:BB,BG$1,0),0)</f>
        <v>0</v>
      </c>
      <c r="BI32" s="60">
        <v>0</v>
      </c>
      <c r="BJ32" s="60">
        <v>0</v>
      </c>
      <c r="BK32" s="41">
        <v>0</v>
      </c>
      <c r="BL32" s="32">
        <v>0</v>
      </c>
      <c r="BM32" s="106">
        <f t="shared" si="242"/>
        <v>29</v>
      </c>
      <c r="BN32" s="8"/>
      <c r="BO32" s="37">
        <f t="shared" si="167"/>
        <v>29</v>
      </c>
      <c r="BP32" s="125">
        <f>IFERROR(VLOOKUP($D32,'Adient Assende (Belgium) WK.17'!$B:BH,BQ$1,0),0)</f>
        <v>0</v>
      </c>
      <c r="BQ32" s="55">
        <f>IFERROR(VLOOKUP($D32,'Adient Arendal (Malzia) WK.12'!$B:BI,BQ$1,0),0)</f>
        <v>0</v>
      </c>
      <c r="BR32" s="55">
        <f>IFERROR(VLOOKUP($D32,'Adient Taizhou (China) WK.16'!$B:BL,BQ$1,0),0)</f>
        <v>0</v>
      </c>
      <c r="BS32" s="60">
        <v>0</v>
      </c>
      <c r="BT32" s="60">
        <v>0</v>
      </c>
      <c r="BU32" s="60">
        <v>0</v>
      </c>
      <c r="BV32" s="41">
        <v>0</v>
      </c>
      <c r="BW32" s="32">
        <v>0</v>
      </c>
      <c r="BX32" s="106">
        <f t="shared" si="243"/>
        <v>29</v>
      </c>
      <c r="BY32" s="8"/>
      <c r="BZ32" s="37">
        <f t="shared" si="168"/>
        <v>29</v>
      </c>
      <c r="CA32" s="125">
        <f>IFERROR(VLOOKUP($D32,'Adient Assende (Belgium) WK.17'!$B:BS,CB$1,0),0)</f>
        <v>0</v>
      </c>
      <c r="CB32" s="55">
        <f>IFERROR(VLOOKUP($D32,'Adient Arendal (Malzia) WK.12'!$B:BT,CB$1,0),0)</f>
        <v>0</v>
      </c>
      <c r="CC32" s="55">
        <f>IFERROR(VLOOKUP($D32,'Adient Taizhou (China) WK.16'!$B:BW,CB$1,0),0)</f>
        <v>0</v>
      </c>
      <c r="CD32" s="60">
        <v>0</v>
      </c>
      <c r="CE32" s="60">
        <v>0</v>
      </c>
      <c r="CF32" s="41">
        <v>0</v>
      </c>
      <c r="CG32" s="32">
        <v>0</v>
      </c>
      <c r="CH32" s="106">
        <f t="shared" si="244"/>
        <v>29</v>
      </c>
      <c r="CI32" s="8"/>
      <c r="CJ32" s="37">
        <f t="shared" si="169"/>
        <v>29</v>
      </c>
      <c r="CK32" s="125">
        <f>IFERROR(VLOOKUP($D32,'Adient Assende (Belgium) WK.17'!$B:CC,CL$1,0),0)</f>
        <v>0</v>
      </c>
      <c r="CL32" s="55">
        <f>IFERROR(VLOOKUP($D32,'Adient Arendal (Malzia) WK.12'!$B:CD,CL$1,0),0)</f>
        <v>0</v>
      </c>
      <c r="CM32" s="55">
        <f>IFERROR(VLOOKUP($D32,'Adient Taizhou (China) WK.16'!$B:CG,CL$1,0),0)</f>
        <v>0</v>
      </c>
      <c r="CN32" s="60">
        <v>0</v>
      </c>
      <c r="CO32" s="149">
        <v>0</v>
      </c>
      <c r="CP32" s="32">
        <v>0</v>
      </c>
      <c r="CQ32" s="106">
        <f t="shared" si="245"/>
        <v>29</v>
      </c>
      <c r="CR32" s="8"/>
      <c r="CS32" s="122">
        <f t="shared" si="170"/>
        <v>29</v>
      </c>
      <c r="CT32" s="154">
        <f>IFERROR(VLOOKUP($D32,'Adient Assende (Belgium) WK.17'!$B:CL,CU$1,0),0)</f>
        <v>0</v>
      </c>
      <c r="CU32" s="55">
        <f>IFERROR(VLOOKUP($D32,'Adient Arendal (Malzia) WK.12'!$B:CM,CU$1,0),0)</f>
        <v>0</v>
      </c>
      <c r="CV32" s="55">
        <f>IFERROR(VLOOKUP($D32,'Adient Taizhou (China) WK.16'!$B:CP,CU$1,0),0)</f>
        <v>0</v>
      </c>
      <c r="CW32" s="60">
        <v>0</v>
      </c>
      <c r="CX32" s="60">
        <v>0</v>
      </c>
      <c r="CY32" s="128">
        <v>0</v>
      </c>
      <c r="CZ32" s="32">
        <v>0</v>
      </c>
      <c r="DA32" s="106">
        <f t="shared" si="246"/>
        <v>29</v>
      </c>
      <c r="DB32" s="8"/>
      <c r="DC32" s="37">
        <f t="shared" si="171"/>
        <v>29</v>
      </c>
      <c r="DD32" s="125">
        <f>IFERROR(VLOOKUP($D32,'Adient Assende (Belgium) WK.17'!$B:CS,DE$1,0),0)</f>
        <v>0</v>
      </c>
      <c r="DE32" s="55">
        <f>IFERROR(VLOOKUP($D32,'Adient Arendal (Malzia) WK.12'!$B:CU,DE$1,0),0)</f>
        <v>0</v>
      </c>
      <c r="DF32" s="55">
        <f>IFERROR(VLOOKUP($D32,'Adient Taizhou (China) WK.16'!$B:CX,DE$1,0),0)</f>
        <v>0</v>
      </c>
      <c r="DG32" s="60">
        <v>0</v>
      </c>
      <c r="DH32" s="128">
        <v>0</v>
      </c>
      <c r="DI32" s="32">
        <v>0</v>
      </c>
      <c r="DJ32" s="106">
        <f t="shared" si="247"/>
        <v>29</v>
      </c>
      <c r="DL32" s="37">
        <f t="shared" si="172"/>
        <v>29</v>
      </c>
      <c r="DM32" s="125">
        <f>IFERROR(VLOOKUP($D32,'Adient Assende (Belgium) WK.17'!$B:DB,DN$1,0),0)</f>
        <v>0</v>
      </c>
      <c r="DN32" s="55">
        <f>IFERROR(VLOOKUP($D32,'Adient Arendal (Malzia) WK.12'!$B:DC,DN$1,0),0)</f>
        <v>0</v>
      </c>
      <c r="DO32" s="55">
        <f>IFERROR(VLOOKUP($D32,'Adient Taizhou (China) WK.16'!$B:DF,DN$1,0),0)</f>
        <v>0</v>
      </c>
      <c r="DP32" s="128">
        <v>0</v>
      </c>
      <c r="DQ32" s="32">
        <v>0</v>
      </c>
      <c r="DR32" s="106">
        <f t="shared" si="173"/>
        <v>29</v>
      </c>
      <c r="DS32" s="8"/>
      <c r="DT32" s="37">
        <f t="shared" si="174"/>
        <v>29</v>
      </c>
      <c r="DU32" s="125">
        <f>IFERROR(VLOOKUP($D32,'Adient Assende (Belgium) WK.17'!$B:DJ,DV$1,0),0)</f>
        <v>0</v>
      </c>
      <c r="DV32" s="55">
        <f>IFERROR(VLOOKUP($D32,'Adient Arendal (Malzia) WK.12'!$B:DK,DV$1,0),0)</f>
        <v>0</v>
      </c>
      <c r="DW32" s="55">
        <f>IFERROR(VLOOKUP($D32,'Adient Taizhou (China) WK.16'!$B:DN,DV$1,0),0)</f>
        <v>0</v>
      </c>
      <c r="DX32" s="60">
        <v>0</v>
      </c>
      <c r="DY32" s="60">
        <v>0</v>
      </c>
      <c r="DZ32" s="128">
        <v>0</v>
      </c>
      <c r="EA32" s="32">
        <v>0</v>
      </c>
      <c r="EB32" s="106">
        <f t="shared" si="248"/>
        <v>29</v>
      </c>
      <c r="EC32" s="8"/>
      <c r="ED32" s="37">
        <f t="shared" si="175"/>
        <v>29</v>
      </c>
      <c r="EE32" s="125">
        <f>IFERROR(VLOOKUP($D32,'Adient Assende (Belgium) WK.17'!$B:DR,EF$1,0),0)</f>
        <v>0</v>
      </c>
      <c r="EF32" s="55">
        <f>IFERROR(VLOOKUP($D32,'Adient Arendal (Malzia) WK.12'!$B:DS,EF$1,0),0)</f>
        <v>0</v>
      </c>
      <c r="EG32" s="55">
        <f>IFERROR(VLOOKUP($D32,'Adient Taizhou (China) WK.16'!$B:DV,EF$1,0),0)</f>
        <v>0</v>
      </c>
      <c r="EH32" s="60">
        <v>0</v>
      </c>
      <c r="EI32" s="128">
        <v>0</v>
      </c>
      <c r="EJ32" s="32">
        <v>0</v>
      </c>
      <c r="EK32" s="106">
        <f t="shared" si="249"/>
        <v>29</v>
      </c>
      <c r="EM32" s="37">
        <f t="shared" si="176"/>
        <v>29</v>
      </c>
      <c r="EN32" s="125">
        <f>IFERROR(VLOOKUP($D32,'Adient Assende (Belgium) WK.17'!$B:DZ,EO$1,0),0)</f>
        <v>0</v>
      </c>
      <c r="EO32" s="55">
        <f>IFERROR(VLOOKUP($D32,'Adient Arendal (Malzia) WK.12'!$B:EA,EO$1,0),0)</f>
        <v>0</v>
      </c>
      <c r="EP32" s="55">
        <f>IFERROR(VLOOKUP($D32,'Adient Taizhou (China) WK.16'!$B:ED,EO$1,0),0)</f>
        <v>0</v>
      </c>
      <c r="EQ32" s="128">
        <v>0</v>
      </c>
      <c r="ER32" s="32">
        <v>0</v>
      </c>
      <c r="ES32" s="106">
        <f t="shared" si="250"/>
        <v>29</v>
      </c>
      <c r="EU32" s="37">
        <f t="shared" si="177"/>
        <v>29</v>
      </c>
      <c r="EV32" s="125">
        <f>IFERROR(VLOOKUP($D32,'Adient Assende (Belgium) WK.17'!$B:EH,EW$1,0),0)</f>
        <v>0</v>
      </c>
      <c r="EW32" s="55">
        <f>IFERROR(VLOOKUP($D32,'Adient Arendal (Malzia) WK.12'!$B:EI,EW$1,0),0)</f>
        <v>0</v>
      </c>
      <c r="EX32" s="55">
        <f>IFERROR(VLOOKUP($D32,'Adient Taizhou (China) WK.16'!$B:EL,EW$1,0),0)</f>
        <v>0</v>
      </c>
      <c r="EY32" s="128">
        <v>0</v>
      </c>
      <c r="EZ32" s="32">
        <v>0</v>
      </c>
      <c r="FA32" s="106">
        <f t="shared" si="251"/>
        <v>29</v>
      </c>
      <c r="FC32" s="37">
        <f t="shared" si="178"/>
        <v>29</v>
      </c>
      <c r="FD32" s="154">
        <f>IFERROR(VLOOKUP($D32,'Adient Assende (Belgium) WK.17'!$B:EP,FE$1,0),0)</f>
        <v>0</v>
      </c>
      <c r="FE32" s="154">
        <f>IFERROR(VLOOKUP($D32,'Adient Arendal (Malzia) WK.12'!$B:EQ,FE$1,0),0)</f>
        <v>0</v>
      </c>
      <c r="FF32" s="154">
        <f>IFERROR(VLOOKUP($D32,'Adient Taizhou (China) WK.16'!$B:ET,FE$1,0),0)</f>
        <v>0</v>
      </c>
      <c r="FG32" s="128">
        <v>0</v>
      </c>
      <c r="FH32" s="32">
        <v>0</v>
      </c>
      <c r="FI32" s="106">
        <f t="shared" si="252"/>
        <v>29</v>
      </c>
      <c r="FK32" s="37">
        <f t="shared" si="179"/>
        <v>29</v>
      </c>
      <c r="FL32" s="125">
        <f>IFERROR(VLOOKUP($D32,'Adient Assende (Belgium) WK.17'!$B:EX,FM$1,0),0)</f>
        <v>0</v>
      </c>
      <c r="FM32" s="55">
        <f>IFERROR(VLOOKUP($D32,'Adient Arendal (Malzia) WK.12'!$B:EY,FM$1,0),0)</f>
        <v>0</v>
      </c>
      <c r="FN32" s="55">
        <f>IFERROR(VLOOKUP($D32,'Adient Taizhou (China) WK.16'!$B:FB,FM$1,0),0)</f>
        <v>0</v>
      </c>
      <c r="FO32" s="128">
        <v>0</v>
      </c>
      <c r="FP32" s="32">
        <v>0</v>
      </c>
      <c r="FQ32" s="106">
        <f t="shared" si="253"/>
        <v>29</v>
      </c>
      <c r="FR32" s="8"/>
      <c r="FS32" s="37">
        <f t="shared" si="180"/>
        <v>29</v>
      </c>
      <c r="FT32" s="125">
        <f>IFERROR(VLOOKUP($D32,'Adient Assende (Belgium) WK.17'!$B:FF,FU$1,0),0)</f>
        <v>0</v>
      </c>
      <c r="FU32" s="55">
        <f>IFERROR(VLOOKUP($D32,'Adient Arendal (Malzia) WK.12'!$B:FG,FU$1,0),0)</f>
        <v>0</v>
      </c>
      <c r="FV32" s="55">
        <f>IFERROR(VLOOKUP($D32,'Adient Taizhou (China) WK.16'!$B:FJ,FU$1,0),0)</f>
        <v>0</v>
      </c>
      <c r="FW32" s="60">
        <v>0</v>
      </c>
      <c r="FX32" s="60">
        <v>0</v>
      </c>
      <c r="FY32" s="60">
        <v>0</v>
      </c>
      <c r="FZ32" s="60">
        <v>0</v>
      </c>
      <c r="GA32" s="60">
        <v>0</v>
      </c>
      <c r="GB32" s="128">
        <v>0</v>
      </c>
      <c r="GC32" s="32">
        <v>0</v>
      </c>
      <c r="GD32" s="106">
        <f t="shared" si="254"/>
        <v>29</v>
      </c>
      <c r="GF32" s="37">
        <f t="shared" si="181"/>
        <v>29</v>
      </c>
      <c r="GG32" s="125">
        <f>IFERROR(VLOOKUP($D32,'Adient Assende (Belgium) WK.17'!$B:FN,GH$1,0),0)</f>
        <v>0</v>
      </c>
      <c r="GH32" s="55">
        <f>IFERROR(VLOOKUP($D32,'Adient Arendal (Malzia) WK.12'!$B:FO,GH$1,0),0)</f>
        <v>0</v>
      </c>
      <c r="GI32" s="55">
        <f>IFERROR(VLOOKUP($D32,'Adient Taizhou (China) WK.16'!$B:FR,GH$1,0),0)</f>
        <v>0</v>
      </c>
      <c r="GJ32" s="60">
        <v>0</v>
      </c>
      <c r="GK32" s="128">
        <v>0</v>
      </c>
      <c r="GL32" s="32">
        <v>0</v>
      </c>
      <c r="GM32" s="106">
        <f t="shared" si="255"/>
        <v>29</v>
      </c>
      <c r="GO32" s="37">
        <f t="shared" si="182"/>
        <v>29</v>
      </c>
      <c r="GP32" s="125">
        <f>IFERROR(VLOOKUP($D32,'Adient Assende (Belgium) WK.17'!$B:FV,GQ$1,0),0)</f>
        <v>0</v>
      </c>
      <c r="GQ32" s="55">
        <f>IFERROR(VLOOKUP($D32,'Adient Arendal (Malzia) WK.12'!$B:FW,GQ$1,0),0)</f>
        <v>0</v>
      </c>
      <c r="GR32" s="55">
        <f>IFERROR(VLOOKUP($D32,'Adient Taizhou (China) WK.16'!$B:FZ,GQ$1,0),0)</f>
        <v>0</v>
      </c>
      <c r="GS32" s="60">
        <v>0</v>
      </c>
      <c r="GT32" s="128">
        <v>0</v>
      </c>
      <c r="GU32" s="32">
        <v>0</v>
      </c>
      <c r="GV32" s="106">
        <f t="shared" si="256"/>
        <v>29</v>
      </c>
      <c r="GW32" s="8"/>
      <c r="GX32" s="37">
        <f t="shared" si="183"/>
        <v>29</v>
      </c>
      <c r="GY32" s="125">
        <f>IFERROR(VLOOKUP($D32,'Adient Assende (Belgium) WK.17'!$B:GD,GZ$1,0),0)</f>
        <v>0</v>
      </c>
      <c r="GZ32" s="55">
        <f>IFERROR(VLOOKUP($D32,'Adient Arendal (Malzia) WK.12'!$B:GE,GZ$1,0),0)</f>
        <v>0</v>
      </c>
      <c r="HA32" s="55">
        <f>IFERROR(VLOOKUP($D32,'Adient Taizhou (China) WK.16'!$B:GH,GZ$1,0),0)</f>
        <v>0</v>
      </c>
      <c r="HB32" s="60">
        <v>0</v>
      </c>
      <c r="HC32" s="128">
        <v>0</v>
      </c>
      <c r="HD32" s="32">
        <v>0</v>
      </c>
      <c r="HE32" s="106">
        <f t="shared" si="257"/>
        <v>29</v>
      </c>
      <c r="HF32" s="8"/>
      <c r="HG32" s="37">
        <f t="shared" si="184"/>
        <v>29</v>
      </c>
      <c r="HH32" s="125">
        <f>IFERROR(VLOOKUP($D32,'Adient Assende (Belgium) WK.17'!$B:GL,HI$1,0),0)</f>
        <v>0</v>
      </c>
      <c r="HI32" s="55">
        <f>IFERROR(VLOOKUP($D32,'Adient Arendal (Malzia) WK.12'!$B:GM,HI$1,0),0)</f>
        <v>0</v>
      </c>
      <c r="HJ32" s="55">
        <f>IFERROR(VLOOKUP($D32,'Adient Taizhou (China) WK.16'!$B:GP,HI$1,0),0)</f>
        <v>0</v>
      </c>
      <c r="HK32" s="60">
        <v>0</v>
      </c>
      <c r="HL32" s="128">
        <v>0</v>
      </c>
      <c r="HM32" s="32">
        <v>0</v>
      </c>
      <c r="HN32" s="106">
        <f t="shared" si="258"/>
        <v>29</v>
      </c>
      <c r="HO32" s="8"/>
      <c r="HP32" s="37">
        <f t="shared" si="185"/>
        <v>29</v>
      </c>
      <c r="HQ32" s="125">
        <f>IFERROR(VLOOKUP($D32,'Adient Assende (Belgium) WK.17'!$B:GT,HR$1,0),0)</f>
        <v>0</v>
      </c>
      <c r="HR32" s="55">
        <f>IFERROR(VLOOKUP($D32,'Adient Arendal (Malzia) WK.12'!$B:GU,HR$1,0),0)</f>
        <v>0</v>
      </c>
      <c r="HS32" s="55">
        <f>IFERROR(VLOOKUP($D32,'Adient Taizhou (China) WK.16'!$B:GX,HR$1,0),0)</f>
        <v>0</v>
      </c>
      <c r="HT32" s="60">
        <v>0</v>
      </c>
      <c r="HU32" s="128">
        <v>0</v>
      </c>
      <c r="HV32" s="32">
        <v>0</v>
      </c>
      <c r="HW32" s="106">
        <f t="shared" si="259"/>
        <v>29</v>
      </c>
      <c r="HX32" s="8"/>
      <c r="HY32" s="37">
        <f t="shared" si="186"/>
        <v>29</v>
      </c>
      <c r="HZ32" s="125">
        <f>IFERROR(VLOOKUP($D32,'Adient Assende (Belgium) WK.17'!$B:HB,IA$1,0),0)</f>
        <v>0</v>
      </c>
      <c r="IA32" s="55">
        <f>IFERROR(VLOOKUP($D32,'Adient Arendal (Malzia) WK.12'!$B:HC,IA$1,0),0)</f>
        <v>0</v>
      </c>
      <c r="IB32" s="55">
        <f>IFERROR(VLOOKUP($D32,'Adient Taizhou (China) WK.16'!$B:HF,IA$1,0),0)</f>
        <v>0</v>
      </c>
      <c r="IC32" s="60">
        <v>200</v>
      </c>
      <c r="ID32" s="128">
        <v>0</v>
      </c>
      <c r="IE32" s="32">
        <v>0</v>
      </c>
      <c r="IF32" s="106">
        <f t="shared" si="260"/>
        <v>229</v>
      </c>
      <c r="IG32" s="8"/>
      <c r="IH32" s="37">
        <f t="shared" si="187"/>
        <v>229</v>
      </c>
      <c r="II32" s="125">
        <f>IFERROR(VLOOKUP($D32,'Adient Assende (Belgium) WK.17'!$B:HJ,IJ$1,0),0)</f>
        <v>0</v>
      </c>
      <c r="IJ32" s="55">
        <f>IFERROR(VLOOKUP($D32,'Adient Arendal (Malzia) WK.12'!$B:HK,IJ$1,0),0)</f>
        <v>0</v>
      </c>
      <c r="IK32" s="55">
        <f>IFERROR(VLOOKUP($D32,'Adient Taizhou (China) WK.16'!$B:HN,IJ$1,0),0)</f>
        <v>0</v>
      </c>
      <c r="IL32" s="128">
        <v>0</v>
      </c>
      <c r="IM32" s="32">
        <v>0</v>
      </c>
      <c r="IN32" s="106">
        <f t="shared" si="188"/>
        <v>229</v>
      </c>
      <c r="IO32" s="8"/>
      <c r="IP32" s="37">
        <f t="shared" si="189"/>
        <v>229</v>
      </c>
      <c r="IQ32" s="125">
        <f>IFERROR(VLOOKUP($D32,'Adient Assende (Belgium) WK.17'!$B:HR,IR$1,0),0)</f>
        <v>0</v>
      </c>
      <c r="IR32" s="55">
        <f>IFERROR(VLOOKUP($D32,'Adient Arendal (Malzia) WK.12'!$B:HS,IR$1,0),0)</f>
        <v>0</v>
      </c>
      <c r="IS32" s="55">
        <f>IFERROR(VLOOKUP($D32,'Adient Taizhou (China) WK.16'!$B:HV,IR$1,0),0)</f>
        <v>0</v>
      </c>
      <c r="IT32" s="60">
        <v>300</v>
      </c>
      <c r="IU32" s="128">
        <v>0</v>
      </c>
      <c r="IV32" s="32">
        <v>0</v>
      </c>
      <c r="IW32" s="106">
        <f t="shared" si="261"/>
        <v>529</v>
      </c>
      <c r="IX32" s="8"/>
      <c r="IY32" s="37">
        <f t="shared" si="190"/>
        <v>529</v>
      </c>
      <c r="IZ32" s="125">
        <f>IFERROR(VLOOKUP($D32,'Adient Assende (Belgium) WK.17'!$B:HZ,JA$1,0),0)</f>
        <v>0</v>
      </c>
      <c r="JA32" s="55">
        <f>IFERROR(VLOOKUP($D32,'Adient Arendal (Malzia) WK.12'!$B:IA,JA$1,0),0)</f>
        <v>0</v>
      </c>
      <c r="JB32" s="55">
        <f>IFERROR(VLOOKUP($D32,'Adient Taizhou (China) WK.16'!$B:ID,JA$1,0),0)</f>
        <v>0</v>
      </c>
      <c r="JC32" s="128">
        <v>0</v>
      </c>
      <c r="JD32" s="32">
        <v>0</v>
      </c>
      <c r="JE32" s="106">
        <f t="shared" si="191"/>
        <v>529</v>
      </c>
      <c r="JF32" s="8"/>
      <c r="JG32" s="37">
        <f t="shared" si="192"/>
        <v>529</v>
      </c>
      <c r="JH32" s="125">
        <f>IFERROR(VLOOKUP($D32,'Adient Assende (Belgium) WK.17'!$B:IH,JI$1,0),0)</f>
        <v>0</v>
      </c>
      <c r="JI32" s="55">
        <f>IFERROR(VLOOKUP($D32,'Adient Arendal (Malzia) WK.12'!$B:II,JI$1,0),0)</f>
        <v>0</v>
      </c>
      <c r="JJ32" s="55">
        <f>IFERROR(VLOOKUP($D32,'Adient Taizhou (China) WK.16'!$B:IL,JI$1,0),0)</f>
        <v>0</v>
      </c>
      <c r="JK32" s="60">
        <v>1040</v>
      </c>
      <c r="JL32" s="128">
        <v>0</v>
      </c>
      <c r="JM32" s="32">
        <v>0</v>
      </c>
      <c r="JN32" s="106">
        <f t="shared" si="262"/>
        <v>1569</v>
      </c>
      <c r="JO32" s="8"/>
      <c r="JP32" s="189">
        <f>JN32-29</f>
        <v>1540</v>
      </c>
      <c r="JQ32" s="125">
        <f>IFERROR(VLOOKUP($D32,'Adient Assende (Belgium) WK.17'!$B:IP,JR$1,0),0)</f>
        <v>0</v>
      </c>
      <c r="JR32" s="55">
        <f>IFERROR(VLOOKUP($D32,'Adient Arendal (Malzia) WK.12'!$B:IQ,JR$1,0),0)</f>
        <v>0</v>
      </c>
      <c r="JS32" s="55">
        <f>IFERROR(VLOOKUP($D32,'Adient Taizhou (China) WK.16'!$B:IT,JR$1,0),0)</f>
        <v>0</v>
      </c>
      <c r="JT32" s="128">
        <v>0</v>
      </c>
      <c r="JU32" s="32">
        <v>0</v>
      </c>
      <c r="JV32" s="106">
        <f t="shared" si="194"/>
        <v>1540</v>
      </c>
      <c r="JW32" s="8"/>
      <c r="JX32" s="37">
        <f t="shared" si="195"/>
        <v>1540</v>
      </c>
      <c r="JY32" s="154">
        <f>IFERROR(VLOOKUP($D32,'Adient Assende (Belgium) WK.17'!$B:IX,JZ$1,0),0)</f>
        <v>0</v>
      </c>
      <c r="JZ32" s="55">
        <f>IFERROR(VLOOKUP($D32,'Adient Arendal (Malzia) WK.12'!$B:IY,JZ$1,0),0)</f>
        <v>0</v>
      </c>
      <c r="KA32" s="55">
        <f>IFERROR(VLOOKUP($D32,'Adient Taizhou (China) WK.16'!$B:JB,JZ$1,0),0)</f>
        <v>0</v>
      </c>
      <c r="KB32" s="128">
        <v>160</v>
      </c>
      <c r="KC32" s="32">
        <v>0</v>
      </c>
      <c r="KD32" s="106">
        <f t="shared" si="263"/>
        <v>1380</v>
      </c>
      <c r="KE32" s="8"/>
      <c r="KF32" s="37">
        <f t="shared" si="196"/>
        <v>1380</v>
      </c>
      <c r="KG32" s="125">
        <f>IFERROR(VLOOKUP($D32,'Adient Assende (Belgium) WK.17'!$B:JF,KH$1,0),0)</f>
        <v>160</v>
      </c>
      <c r="KH32" s="55">
        <f>IFERROR(VLOOKUP($D32,'Adient Arendal (Malzia) WK.12'!$B:JG,KH$1,0),0)</f>
        <v>0</v>
      </c>
      <c r="KI32" s="55">
        <f>IFERROR(VLOOKUP($D32,'Adient Taizhou (China) WK.16'!$B:JJ,KH$1,0),0)</f>
        <v>0</v>
      </c>
      <c r="KJ32" s="60">
        <v>500</v>
      </c>
      <c r="KK32" s="128">
        <v>880</v>
      </c>
      <c r="KL32" s="32">
        <v>0</v>
      </c>
      <c r="KM32" s="106">
        <f t="shared" si="264"/>
        <v>1000</v>
      </c>
      <c r="KN32" s="8"/>
      <c r="KO32" s="37">
        <f t="shared" si="197"/>
        <v>1000</v>
      </c>
      <c r="KP32" s="141">
        <f>IFERROR(VLOOKUP($D32,'Adient Assende (Belgium) WK.17'!$B:JN,KQ$1,0),0)</f>
        <v>880</v>
      </c>
      <c r="KQ32" s="140">
        <f>IFERROR(VLOOKUP($D32,'Adient Arendal (Malzia) WK.12'!$B:JO,KQ$1,0),0)</f>
        <v>0</v>
      </c>
      <c r="KR32" s="140">
        <f>IFERROR(VLOOKUP($D32,'Adient Taizhou (China) WK.16'!$B:JR,KQ$1,0),0)</f>
        <v>0</v>
      </c>
      <c r="KS32" s="60">
        <v>860</v>
      </c>
      <c r="KT32" s="128">
        <v>640</v>
      </c>
      <c r="KU32" s="32">
        <v>0</v>
      </c>
      <c r="KV32" s="106">
        <f t="shared" si="265"/>
        <v>1220</v>
      </c>
      <c r="KX32" s="37">
        <f t="shared" si="198"/>
        <v>1220</v>
      </c>
      <c r="KY32" s="141">
        <f>IFERROR(VLOOKUP($D32,'Adient Assende (Belgium) WK.17'!$B:JV,KZ$1,0),0)</f>
        <v>640</v>
      </c>
      <c r="KZ32" s="140">
        <f>IFERROR(VLOOKUP($D32,'Adient Arendal (Malzia) WK.12'!$B:JW,KZ$1,0),0)</f>
        <v>0</v>
      </c>
      <c r="LA32" s="140">
        <f>IFERROR(VLOOKUP($D32,'Adient Taizhou (China) WK.16'!$B:JZ,KZ$1,0),0)</f>
        <v>0</v>
      </c>
      <c r="LB32" s="128">
        <v>0</v>
      </c>
      <c r="LC32" s="32">
        <v>0</v>
      </c>
      <c r="LD32" s="106">
        <f t="shared" si="266"/>
        <v>1220</v>
      </c>
      <c r="LF32" s="37">
        <f t="shared" si="199"/>
        <v>1220</v>
      </c>
      <c r="LG32" s="141">
        <f>IFERROR(VLOOKUP($D32,'Adient Assende (Belgium) WK.17'!$B:KD,LH$1,0),0)</f>
        <v>800</v>
      </c>
      <c r="LH32" s="140">
        <f>IFERROR(VLOOKUP($D32,'Adient Arendal (Malzia) WK.12'!$B:KE,LH$1,0),0)</f>
        <v>0</v>
      </c>
      <c r="LI32" s="140">
        <f>IFERROR(VLOOKUP($D32,'Adient Taizhou (China) WK.16'!$B:KH,LH$1,0),0)</f>
        <v>0</v>
      </c>
      <c r="LJ32" s="60">
        <v>0</v>
      </c>
      <c r="LK32" s="128">
        <v>0</v>
      </c>
      <c r="LL32" s="32">
        <v>0</v>
      </c>
      <c r="LM32" s="100">
        <f t="shared" si="267"/>
        <v>420</v>
      </c>
      <c r="LO32" s="37">
        <f t="shared" si="200"/>
        <v>420</v>
      </c>
      <c r="LP32" s="141">
        <f>IFERROR(VLOOKUP($D32,'Adient Assende (Belgium) WK.17'!$B:KL,LQ$1,0),0)</f>
        <v>400</v>
      </c>
      <c r="LQ32" s="140">
        <f>IFERROR(VLOOKUP($D32,'Adient Arendal (Malzia) WK.12'!$B:KM,LQ$1,0),0)</f>
        <v>0</v>
      </c>
      <c r="LR32" s="140">
        <f>IFERROR(VLOOKUP($D32,'Adient Taizhou (China) WK.16'!$B:KP,LQ$1,0),0)</f>
        <v>0</v>
      </c>
      <c r="LS32" s="128">
        <v>0</v>
      </c>
      <c r="LT32" s="32">
        <v>0</v>
      </c>
      <c r="LU32" s="100">
        <f t="shared" si="268"/>
        <v>20</v>
      </c>
      <c r="LW32" s="37">
        <f t="shared" si="201"/>
        <v>20</v>
      </c>
      <c r="LX32" s="141">
        <f>IFERROR(VLOOKUP($D32,'Adient Assende (Belgium) WK.17'!$B:KT,LY$1,0),0)</f>
        <v>1120</v>
      </c>
      <c r="LY32" s="140">
        <f>IFERROR(VLOOKUP($D32,'Adient Arendal (Malzia) WK.12'!$B:KU,LY$1,0),0)</f>
        <v>0</v>
      </c>
      <c r="LZ32" s="140">
        <f>IFERROR(VLOOKUP($D32,'Adient Taizhou (China) WK.16'!$B:KX,LY$1,0),0)</f>
        <v>0</v>
      </c>
      <c r="MA32" s="128">
        <v>0</v>
      </c>
      <c r="MB32" s="32">
        <v>0</v>
      </c>
      <c r="MC32" s="100">
        <f t="shared" si="269"/>
        <v>-1100</v>
      </c>
      <c r="ME32" s="37">
        <f t="shared" si="202"/>
        <v>-1100</v>
      </c>
      <c r="MF32" s="154">
        <f>IFERROR(VLOOKUP($D32,'Adient Assende (Belgium) WK.17'!$B:LB,MG$1,0),0)</f>
        <v>0</v>
      </c>
      <c r="MG32" s="140">
        <f>IFERROR(VLOOKUP($D32,'Adient Arendal (Malzia) WK.12'!$B:LC,MG$1,0),0)</f>
        <v>0</v>
      </c>
      <c r="MH32" s="140">
        <f>IFERROR(VLOOKUP($D32,'Adient Taizhou (China) WK.16'!$B:LF,MG$1,0),0)</f>
        <v>0</v>
      </c>
      <c r="MI32" s="128">
        <v>0</v>
      </c>
      <c r="MJ32" s="32">
        <v>0</v>
      </c>
      <c r="MK32" s="100">
        <f t="shared" si="270"/>
        <v>-1100</v>
      </c>
      <c r="MM32" s="37">
        <f t="shared" si="203"/>
        <v>-1100</v>
      </c>
      <c r="MN32" s="141">
        <f>IFERROR(VLOOKUP($D32,'Adient Assende (Belgium) WK.17'!$B:LJ,MO$1,0),0)</f>
        <v>640</v>
      </c>
      <c r="MO32" s="140">
        <f>IFERROR(VLOOKUP($D32,'Adient Arendal (Malzia) WK.12'!$B:LK,MO$1,0),0)</f>
        <v>0</v>
      </c>
      <c r="MP32" s="140">
        <f>IFERROR(VLOOKUP($D32,'Adient Taizhou (China) WK.16'!$B:LN,MO$1,0),0)</f>
        <v>0</v>
      </c>
      <c r="MQ32" s="128">
        <v>0</v>
      </c>
      <c r="MR32" s="32">
        <v>0</v>
      </c>
      <c r="MS32" s="100">
        <f t="shared" si="271"/>
        <v>-1740</v>
      </c>
      <c r="MU32" s="37">
        <f t="shared" si="204"/>
        <v>-1740</v>
      </c>
      <c r="MV32" s="141">
        <f>IFERROR(VLOOKUP($D32,'Adient Assende (Belgium) WK.17'!$B:LR,MW$1,0),0)</f>
        <v>640</v>
      </c>
      <c r="MW32" s="140">
        <f>IFERROR(VLOOKUP($D32,'Adient Arendal (Malzia) WK.12'!$B:LS,MW$1,0),0)</f>
        <v>0</v>
      </c>
      <c r="MX32" s="140">
        <f>IFERROR(VLOOKUP($D32,'Adient Taizhou (China) WK.16'!$B:LV,MW$1,0),0)</f>
        <v>0</v>
      </c>
      <c r="MY32" s="128">
        <v>0</v>
      </c>
      <c r="MZ32" s="32">
        <v>0</v>
      </c>
      <c r="NA32" s="100">
        <f t="shared" si="272"/>
        <v>-2380</v>
      </c>
      <c r="NC32" s="37">
        <f t="shared" si="205"/>
        <v>-2380</v>
      </c>
      <c r="ND32" s="141">
        <f>IFERROR(VLOOKUP($D32,'Adient Assende (Belgium) WK.17'!$B:LZ,NE$1,0),0)</f>
        <v>320</v>
      </c>
      <c r="NE32" s="140">
        <f>IFERROR(VLOOKUP($D32,'Adient Arendal (Malzia) WK.12'!$B:MA,NE$1,0),0)</f>
        <v>0</v>
      </c>
      <c r="NF32" s="140">
        <f>IFERROR(VLOOKUP($D32,'Adient Taizhou (China) WK.16'!$B:MD,NE$1,0),0)</f>
        <v>0</v>
      </c>
      <c r="NG32" s="128">
        <v>0</v>
      </c>
      <c r="NH32" s="32">
        <v>0</v>
      </c>
      <c r="NI32" s="100">
        <f t="shared" si="273"/>
        <v>-2700</v>
      </c>
      <c r="NK32" s="37">
        <f t="shared" si="206"/>
        <v>-2700</v>
      </c>
      <c r="NL32" s="141">
        <f>IFERROR(VLOOKUP($D32,'Adient Assende (Belgium) WK.17'!$B:MH,NM$1,0),0)</f>
        <v>880</v>
      </c>
      <c r="NM32" s="140">
        <f>IFERROR(VLOOKUP($D32,'Adient Arendal (Malzia) WK.12'!$B:MI,NM$1,0),0)</f>
        <v>0</v>
      </c>
      <c r="NN32" s="140">
        <f>IFERROR(VLOOKUP($D32,'Adient Taizhou (China) WK.16'!$B:ML,NM$1,0),0)</f>
        <v>0</v>
      </c>
      <c r="NO32" s="128">
        <v>0</v>
      </c>
      <c r="NP32" s="32">
        <v>0</v>
      </c>
      <c r="NQ32" s="100">
        <f t="shared" si="274"/>
        <v>-3580</v>
      </c>
      <c r="NS32" s="37">
        <f t="shared" si="207"/>
        <v>-3580</v>
      </c>
      <c r="NT32" s="141">
        <f>IFERROR(VLOOKUP($D32,'Adient Assende (Belgium) WK.17'!$B:MP,NU$1,0),0)</f>
        <v>960</v>
      </c>
      <c r="NU32" s="140">
        <f>IFERROR(VLOOKUP($D32,'Adient Arendal (Malzia) WK.12'!$B:MQ,NU$1,0),0)</f>
        <v>0</v>
      </c>
      <c r="NV32" s="140">
        <f>IFERROR(VLOOKUP($D32,'Adient Taizhou (China) WK.16'!$B:MT,NU$1,0),0)</f>
        <v>0</v>
      </c>
      <c r="NW32" s="128">
        <v>0</v>
      </c>
      <c r="NX32" s="32">
        <v>0</v>
      </c>
      <c r="NY32" s="100">
        <f t="shared" si="275"/>
        <v>-4540</v>
      </c>
      <c r="OA32" s="37">
        <f t="shared" si="208"/>
        <v>-4540</v>
      </c>
      <c r="OB32" s="141">
        <f>IFERROR(VLOOKUP($D32,'Adient Assende (Belgium) WK.17'!$B:MX,OC$1,0),0)</f>
        <v>800</v>
      </c>
      <c r="OC32" s="140">
        <f>IFERROR(VLOOKUP($D32,'Adient Arendal (Malzia) WK.12'!$B:MY,OC$1,0),0)</f>
        <v>0</v>
      </c>
      <c r="OD32" s="140">
        <f>IFERROR(VLOOKUP($D32,'Adient Taizhou (China) WK.16'!$B:NB,OC$1,0),0)</f>
        <v>0</v>
      </c>
      <c r="OE32" s="128">
        <v>0</v>
      </c>
      <c r="OF32" s="32">
        <v>0</v>
      </c>
      <c r="OG32" s="100">
        <f t="shared" si="276"/>
        <v>-5340</v>
      </c>
      <c r="OI32" s="37">
        <f t="shared" si="209"/>
        <v>-5340</v>
      </c>
      <c r="OJ32" s="141">
        <f>IFERROR(VLOOKUP($D32,'Adient Assende (Belgium) WK.17'!$B:NF,OK$1,0),0)</f>
        <v>1120</v>
      </c>
      <c r="OK32" s="140">
        <f>IFERROR(VLOOKUP($D32,'Adient Arendal (Malzia) WK.12'!$B:NG,OK$1,0),0)</f>
        <v>0</v>
      </c>
      <c r="OL32" s="140">
        <f>IFERROR(VLOOKUP($D32,'Adient Taizhou (China) WK.16'!$B:NJ,OK$1,0),0)</f>
        <v>0</v>
      </c>
      <c r="OM32" s="128">
        <v>0</v>
      </c>
      <c r="ON32" s="32">
        <v>0</v>
      </c>
      <c r="OO32" s="100">
        <f t="shared" si="277"/>
        <v>-6460</v>
      </c>
      <c r="OQ32" s="37">
        <f t="shared" si="210"/>
        <v>-6460</v>
      </c>
      <c r="OR32" s="141">
        <f>IFERROR(VLOOKUP($D32,'Adient Assende (Belgium) WK.17'!$B:NN,OS$1,0),0)</f>
        <v>0</v>
      </c>
      <c r="OS32" s="140">
        <f>IFERROR(VLOOKUP($D32,'Adient Arendal (Malzia) WK.12'!$B:NO,OS$1,0),0)</f>
        <v>0</v>
      </c>
      <c r="OT32" s="140">
        <f>IFERROR(VLOOKUP($D32,'Adient Taizhou (China) WK.16'!$B:NR,OS$1,0),0)</f>
        <v>0</v>
      </c>
      <c r="OU32" s="128">
        <v>0</v>
      </c>
      <c r="OV32" s="32">
        <v>0</v>
      </c>
      <c r="OW32" s="100">
        <f t="shared" si="278"/>
        <v>-6460</v>
      </c>
      <c r="OY32" s="37">
        <f t="shared" si="211"/>
        <v>-6460</v>
      </c>
      <c r="OZ32" s="141">
        <f>IFERROR(VLOOKUP($D32,'Adient Assende (Belgium) WK.17'!$B:NV,PA$1,0),0)</f>
        <v>0</v>
      </c>
      <c r="PA32" s="140">
        <f>IFERROR(VLOOKUP($D32,'Adient Arendal (Malzia) WK.12'!$B:NW,PA$1,0),0)</f>
        <v>0</v>
      </c>
      <c r="PB32" s="140">
        <f>IFERROR(VLOOKUP($D32,'Adient Taizhou (China) WK.16'!$B:NZ,PA$1,0),0)</f>
        <v>0</v>
      </c>
      <c r="PC32" s="128">
        <v>0</v>
      </c>
      <c r="PD32" s="32">
        <v>0</v>
      </c>
      <c r="PE32" s="100">
        <f t="shared" si="279"/>
        <v>-6460</v>
      </c>
      <c r="PG32" s="37">
        <f t="shared" si="212"/>
        <v>-6460</v>
      </c>
      <c r="PH32" s="141">
        <f>IFERROR(VLOOKUP($D32,'Adient Assende (Belgium) WK.17'!$B:OD,PI$1,0),0)</f>
        <v>0</v>
      </c>
      <c r="PI32" s="140">
        <f>IFERROR(VLOOKUP($D32,'Adient Arendal (Malzia) WK.12'!$B:OE,PI$1,0),0)</f>
        <v>0</v>
      </c>
      <c r="PJ32" s="140">
        <f>IFERROR(VLOOKUP($D32,'Adient Taizhou (China) WK.16'!$B:OH,PI$1,0),0)</f>
        <v>0</v>
      </c>
      <c r="PK32" s="128">
        <v>0</v>
      </c>
      <c r="PL32" s="32">
        <v>0</v>
      </c>
      <c r="PM32" s="100">
        <f t="shared" si="280"/>
        <v>-6460</v>
      </c>
      <c r="PO32" s="37">
        <f t="shared" si="213"/>
        <v>-6460</v>
      </c>
      <c r="PP32" s="141">
        <f>IFERROR(VLOOKUP($D32,'Adient Assende (Belgium) WK.17'!$B:OL,PQ$1,0),0)</f>
        <v>0</v>
      </c>
      <c r="PQ32" s="140">
        <f>IFERROR(VLOOKUP($D32,'Adient Arendal (Malzia) WK.12'!$B:OM,PQ$1,0),0)</f>
        <v>0</v>
      </c>
      <c r="PR32" s="140">
        <f>IFERROR(VLOOKUP($D32,'Adient Taizhou (China) WK.16'!$B:OP,PQ$1,0),0)</f>
        <v>0</v>
      </c>
      <c r="PS32" s="128">
        <v>0</v>
      </c>
      <c r="PT32" s="32">
        <v>0</v>
      </c>
      <c r="PU32" s="100">
        <f t="shared" si="281"/>
        <v>-6460</v>
      </c>
      <c r="PW32" s="37">
        <f t="shared" si="214"/>
        <v>-6460</v>
      </c>
      <c r="PX32" s="141">
        <f>IFERROR(VLOOKUP($D32,'Adient Assende (Belgium) WK.17'!$B:OT,PY$1,0),0)</f>
        <v>560</v>
      </c>
      <c r="PY32" s="140">
        <f>IFERROR(VLOOKUP($D32,'Adient Arendal (Malzia) WK.12'!$B:OU,PY$1,0),0)</f>
        <v>0</v>
      </c>
      <c r="PZ32" s="140">
        <f>IFERROR(VLOOKUP($D32,'Adient Taizhou (China) WK.16'!$B:OX,PY$1,0),0)</f>
        <v>0</v>
      </c>
      <c r="QA32" s="128">
        <v>0</v>
      </c>
      <c r="QB32" s="32">
        <v>0</v>
      </c>
      <c r="QC32" s="100">
        <f t="shared" si="282"/>
        <v>-7020</v>
      </c>
      <c r="QE32" s="37">
        <f t="shared" si="215"/>
        <v>-7020</v>
      </c>
      <c r="QF32" s="141">
        <f>IFERROR(VLOOKUP($D32,'Adient Assende (Belgium) WK.17'!$B:PB,QG$1,0),0)</f>
        <v>560</v>
      </c>
      <c r="QG32" s="140">
        <f>IFERROR(VLOOKUP($D32,'Adient Arendal (Malzia) WK.12'!$B:PC,QG$1,0),0)</f>
        <v>0</v>
      </c>
      <c r="QH32" s="140">
        <f>IFERROR(VLOOKUP($D32,'Adient Taizhou (China) WK.16'!$B:PF,QG$1,0),0)</f>
        <v>0</v>
      </c>
      <c r="QI32" s="128">
        <v>0</v>
      </c>
      <c r="QJ32" s="32">
        <v>0</v>
      </c>
      <c r="QK32" s="100">
        <f t="shared" si="283"/>
        <v>-7580</v>
      </c>
      <c r="QM32" s="37">
        <f t="shared" si="216"/>
        <v>-7580</v>
      </c>
      <c r="QN32" s="141">
        <f>IFERROR(VLOOKUP($D32,'Adient Assende (Belgium) WK.17'!$B:PJ,QO$1,0),0)</f>
        <v>480</v>
      </c>
      <c r="QO32" s="140">
        <f>IFERROR(VLOOKUP($D32,'Adient Arendal (Malzia) WK.12'!$B:PK,QO$1,0),0)</f>
        <v>0</v>
      </c>
      <c r="QP32" s="140">
        <f>IFERROR(VLOOKUP($D32,'Adient Taizhou (China) WK.16'!$B:PN,QO$1,0),0)</f>
        <v>0</v>
      </c>
      <c r="QQ32" s="128">
        <v>0</v>
      </c>
      <c r="QR32" s="32">
        <v>0</v>
      </c>
      <c r="QS32" s="100">
        <f t="shared" si="284"/>
        <v>-8060</v>
      </c>
      <c r="QU32" s="37">
        <f t="shared" si="217"/>
        <v>-8060</v>
      </c>
      <c r="QV32" s="141">
        <f>IFERROR(VLOOKUP($D32,'Adient Assende (Belgium) WK.17'!$B:PR,QW$1,0),0)</f>
        <v>580</v>
      </c>
      <c r="QW32" s="140">
        <f>IFERROR(VLOOKUP($D32,'Adient Arendal (Malzia) WK.12'!$B:PS,QW$1,0),0)</f>
        <v>0</v>
      </c>
      <c r="QX32" s="140">
        <f>IFERROR(VLOOKUP($D32,'Adient Taizhou (China) WK.16'!$B:PV,QW$1,0),0)</f>
        <v>0</v>
      </c>
      <c r="QY32" s="128">
        <v>0</v>
      </c>
      <c r="QZ32" s="32">
        <v>0</v>
      </c>
      <c r="RA32" s="100">
        <f t="shared" si="285"/>
        <v>-8640</v>
      </c>
      <c r="RC32" s="37">
        <f t="shared" si="218"/>
        <v>-8640</v>
      </c>
      <c r="RD32" s="141">
        <f>IFERROR(VLOOKUP($D32,'Adient Assende (Belgium) WK.17'!$B:PZ,RE$1,0),0)</f>
        <v>580</v>
      </c>
      <c r="RE32" s="140">
        <f>IFERROR(VLOOKUP($D32,'Adient Arendal (Malzia) WK.12'!$B:QA,RE$1,0),0)</f>
        <v>0</v>
      </c>
      <c r="RF32" s="140">
        <f>IFERROR(VLOOKUP($D32,'Adient Taizhou (China) WK.16'!$B:QD,RE$1,0),0)</f>
        <v>0</v>
      </c>
      <c r="RG32" s="128">
        <v>0</v>
      </c>
      <c r="RH32" s="32">
        <v>0</v>
      </c>
      <c r="RI32" s="100">
        <f t="shared" si="286"/>
        <v>-9220</v>
      </c>
      <c r="RK32" s="37">
        <f t="shared" si="219"/>
        <v>-9220</v>
      </c>
      <c r="RL32" s="141">
        <f>IFERROR(VLOOKUP($D32,'Adient Assende (Belgium) WK.17'!$B:QH,RM$1,0),0)</f>
        <v>580</v>
      </c>
      <c r="RM32" s="140">
        <f>IFERROR(VLOOKUP($D32,'Adient Arendal (Malzia) WK.12'!$B:QI,RM$1,0),0)</f>
        <v>0</v>
      </c>
      <c r="RN32" s="140">
        <f>IFERROR(VLOOKUP($D32,'Adient Taizhou (China) WK.16'!$B:QL,RM$1,0),0)</f>
        <v>0</v>
      </c>
      <c r="RO32" s="128">
        <v>0</v>
      </c>
      <c r="RP32" s="32">
        <v>0</v>
      </c>
      <c r="RQ32" s="100">
        <f t="shared" si="287"/>
        <v>-9800</v>
      </c>
      <c r="RS32" s="37">
        <f t="shared" si="220"/>
        <v>-9800</v>
      </c>
      <c r="RT32" s="141">
        <f>IFERROR(VLOOKUP($D32,'Adient Assende (Belgium) WK.17'!$B:QP,RU$1,0),0)</f>
        <v>580</v>
      </c>
      <c r="RU32" s="140">
        <f>IFERROR(VLOOKUP($D32,'Adient Arendal (Malzia) WK.12'!$B:QQ,RU$1,0),0)</f>
        <v>0</v>
      </c>
      <c r="RV32" s="140">
        <f>IFERROR(VLOOKUP($D32,'Adient Taizhou (China) WK.16'!$B:QT,RU$1,0),0)</f>
        <v>0</v>
      </c>
      <c r="RW32" s="128">
        <v>0</v>
      </c>
      <c r="RX32" s="32">
        <v>0</v>
      </c>
      <c r="RY32" s="100">
        <f t="shared" si="288"/>
        <v>-10380</v>
      </c>
      <c r="SA32" s="37">
        <f t="shared" si="221"/>
        <v>-10380</v>
      </c>
      <c r="SB32" s="141">
        <f>IFERROR(VLOOKUP($D32,'Adient Assende (Belgium) WK.17'!$B:QX,SC$1,0),0)</f>
        <v>440</v>
      </c>
      <c r="SC32" s="140">
        <f>IFERROR(VLOOKUP($D32,'Adient Arendal (Malzia) WK.12'!$B:QY,SC$1,0),0)</f>
        <v>0</v>
      </c>
      <c r="SD32" s="140">
        <f>IFERROR(VLOOKUP($D32,'Adient Taizhou (China) WK.16'!$B:RB,SC$1,0),0)</f>
        <v>0</v>
      </c>
      <c r="SE32" s="128">
        <v>0</v>
      </c>
      <c r="SF32" s="32">
        <v>0</v>
      </c>
      <c r="SG32" s="100">
        <f t="shared" si="289"/>
        <v>-10820</v>
      </c>
      <c r="SI32" s="37">
        <f t="shared" si="222"/>
        <v>-10820</v>
      </c>
      <c r="SJ32" s="141">
        <f>IFERROR(VLOOKUP($D32,'Adient Assende (Belgium) WK.17'!$B:RF,SK$1,0),0)</f>
        <v>440</v>
      </c>
      <c r="SK32" s="140">
        <f>IFERROR(VLOOKUP($D32,'Adient Arendal (Malzia) WK.12'!$B:RG,SK$1,0),0)</f>
        <v>0</v>
      </c>
      <c r="SL32" s="140">
        <f>IFERROR(VLOOKUP($D32,'Adient Taizhou (China) WK.16'!$B:RJ,SK$1,0),0)</f>
        <v>0</v>
      </c>
      <c r="SM32" s="128">
        <v>0</v>
      </c>
      <c r="SN32" s="32">
        <v>0</v>
      </c>
      <c r="SO32" s="100">
        <f t="shared" si="290"/>
        <v>-11260</v>
      </c>
      <c r="SQ32" s="37">
        <f t="shared" si="223"/>
        <v>-11260</v>
      </c>
      <c r="SR32" s="141">
        <f>IFERROR(VLOOKUP($D32,'Adient Assende (Belgium) WK.17'!$B:RN,SS$1,0),0)</f>
        <v>440</v>
      </c>
      <c r="SS32" s="140">
        <f>IFERROR(VLOOKUP($D32,'Adient Arendal (Malzia) WK.12'!$B:RO,SS$1,0),0)</f>
        <v>0</v>
      </c>
      <c r="ST32" s="140">
        <f>IFERROR(VLOOKUP($D32,'Adient Taizhou (China) WK.16'!$B:RR,SS$1,0),0)</f>
        <v>0</v>
      </c>
      <c r="SU32" s="128">
        <v>0</v>
      </c>
      <c r="SV32" s="32">
        <v>0</v>
      </c>
      <c r="SW32" s="100">
        <f t="shared" si="291"/>
        <v>-11700</v>
      </c>
      <c r="SY32" s="37">
        <f t="shared" si="224"/>
        <v>-11700</v>
      </c>
      <c r="SZ32" s="141">
        <f>IFERROR(VLOOKUP($D32,'Adient Assende (Belgium) WK.17'!$B:RV,TA$1,0),0)</f>
        <v>440</v>
      </c>
      <c r="TA32" s="140">
        <f>IFERROR(VLOOKUP($D32,'Adient Arendal (Malzia) WK.12'!$B:RW,TA$1,0),0)</f>
        <v>0</v>
      </c>
      <c r="TB32" s="140">
        <f>IFERROR(VLOOKUP($D32,'Adient Taizhou (China) WK.16'!$B:RZ,TA$1,0),0)</f>
        <v>0</v>
      </c>
      <c r="TC32" s="128">
        <v>0</v>
      </c>
      <c r="TD32" s="32">
        <v>0</v>
      </c>
      <c r="TE32" s="100">
        <f t="shared" si="292"/>
        <v>-12140</v>
      </c>
      <c r="TG32" s="37">
        <f t="shared" si="225"/>
        <v>-12140</v>
      </c>
      <c r="TH32" s="141">
        <f>IFERROR(VLOOKUP($D32,'Adient Assende (Belgium) WK.17'!$B:SD,TI$1,0),0)</f>
        <v>630</v>
      </c>
      <c r="TI32" s="140">
        <f>IFERROR(VLOOKUP($D32,'Adient Arendal (Malzia) WK.12'!$B:SE,TI$1,0),0)</f>
        <v>0</v>
      </c>
      <c r="TJ32" s="140">
        <f>IFERROR(VLOOKUP($D32,'Adient Taizhou (China) WK.16'!$B:SH,TI$1,0),0)</f>
        <v>0</v>
      </c>
      <c r="TK32" s="128">
        <v>0</v>
      </c>
      <c r="TL32" s="32">
        <v>0</v>
      </c>
      <c r="TM32" s="100">
        <f t="shared" si="293"/>
        <v>-12770</v>
      </c>
      <c r="TO32" s="37">
        <f t="shared" si="226"/>
        <v>-12770</v>
      </c>
      <c r="TP32" s="141">
        <f>IFERROR(VLOOKUP($D32,'Adient Assende (Belgium) WK.17'!$B:SL,TQ$1,0),0)</f>
        <v>630</v>
      </c>
      <c r="TQ32" s="140">
        <f>IFERROR(VLOOKUP($D32,'Adient Arendal (Malzia) WK.12'!$B:SM,TQ$1,0),0)</f>
        <v>0</v>
      </c>
      <c r="TR32" s="140">
        <f>IFERROR(VLOOKUP($D32,'Adient Taizhou (China) WK.16'!$B:SP,TQ$1,0),0)</f>
        <v>0</v>
      </c>
      <c r="TS32" s="128">
        <v>0</v>
      </c>
      <c r="TT32" s="32">
        <v>0</v>
      </c>
      <c r="TU32" s="100">
        <f t="shared" si="294"/>
        <v>-13400</v>
      </c>
      <c r="TW32" s="37">
        <f t="shared" si="227"/>
        <v>-13400</v>
      </c>
      <c r="TX32" s="141">
        <f>IFERROR(VLOOKUP($D32,'Adient Assende (Belgium) WK.17'!$B:ST,TY$1,0),0)</f>
        <v>630</v>
      </c>
      <c r="TY32" s="140">
        <f>IFERROR(VLOOKUP($D32,'Adient Arendal (Malzia) WK.12'!$B:SU,TY$1,0),0)</f>
        <v>0</v>
      </c>
      <c r="TZ32" s="140">
        <f>IFERROR(VLOOKUP($D32,'Adient Taizhou (China) WK.16'!$B:SX,TY$1,0),0)</f>
        <v>0</v>
      </c>
      <c r="UA32" s="128">
        <v>0</v>
      </c>
      <c r="UB32" s="32">
        <v>0</v>
      </c>
      <c r="UC32" s="100">
        <f t="shared" si="295"/>
        <v>-14030</v>
      </c>
      <c r="UE32" s="37">
        <f t="shared" si="228"/>
        <v>-14030</v>
      </c>
      <c r="UF32" s="141">
        <f>IFERROR(VLOOKUP($D32,'Adient Assende (Belgium) WK.17'!$B:TB,UG$1,0),0)</f>
        <v>630</v>
      </c>
      <c r="UG32" s="140">
        <f>IFERROR(VLOOKUP($D32,'Adient Arendal (Malzia) WK.12'!$B:TC,UG$1,0),0)</f>
        <v>0</v>
      </c>
      <c r="UH32" s="140">
        <f>IFERROR(VLOOKUP($D32,'Adient Taizhou (China) WK.16'!$B:TF,UG$1,0),0)</f>
        <v>0</v>
      </c>
      <c r="UI32" s="128">
        <v>0</v>
      </c>
      <c r="UJ32" s="32">
        <v>0</v>
      </c>
      <c r="UK32" s="100">
        <f t="shared" si="296"/>
        <v>-14660</v>
      </c>
      <c r="UM32" s="37">
        <f t="shared" si="229"/>
        <v>-14660</v>
      </c>
      <c r="UN32" s="141">
        <f>IFERROR(VLOOKUP($D32,'Adient Assende (Belgium) WK.17'!$B:TJ,UO$1,0),0)</f>
        <v>600</v>
      </c>
      <c r="UO32" s="140">
        <f>IFERROR(VLOOKUP($D32,'Adient Arendal (Malzia) WK.12'!$B:TK,UO$1,0),0)</f>
        <v>0</v>
      </c>
      <c r="UP32" s="140">
        <f>IFERROR(VLOOKUP($D32,'Adient Taizhou (China) WK.16'!$B:TN,UO$1,0),0)</f>
        <v>0</v>
      </c>
      <c r="UQ32" s="128">
        <v>0</v>
      </c>
      <c r="UR32" s="32">
        <v>0</v>
      </c>
      <c r="US32" s="100">
        <f t="shared" si="297"/>
        <v>-15260</v>
      </c>
      <c r="UU32" s="37">
        <f t="shared" si="230"/>
        <v>-15260</v>
      </c>
      <c r="UV32" s="141">
        <f>IFERROR(VLOOKUP($D32,'Adient Assende (Belgium) WK.17'!$B:TR,UW$1,0),0)</f>
        <v>920</v>
      </c>
      <c r="UW32" s="140">
        <f>IFERROR(VLOOKUP($D32,'Adient Arendal (Malzia) WK.12'!$B:TS,UW$1,0),0)</f>
        <v>0</v>
      </c>
      <c r="UX32" s="140">
        <f>IFERROR(VLOOKUP($D32,'Adient Taizhou (China) WK.16'!$B:TV,UW$1,0),0)</f>
        <v>0</v>
      </c>
      <c r="UY32" s="128">
        <v>0</v>
      </c>
      <c r="UZ32" s="32">
        <v>0</v>
      </c>
      <c r="VA32" s="100">
        <f t="shared" si="298"/>
        <v>-16180</v>
      </c>
      <c r="VC32" s="37">
        <f t="shared" si="231"/>
        <v>-16180</v>
      </c>
      <c r="VD32" s="141">
        <f>IFERROR(VLOOKUP($D32,'Adient Assende (Belgium) WK.17'!$B:TZ,VE$1,0),0)</f>
        <v>920</v>
      </c>
      <c r="VE32" s="140">
        <f>IFERROR(VLOOKUP($D32,'Adient Arendal (Malzia) WK.12'!$B:UA,VE$1,0),0)</f>
        <v>0</v>
      </c>
      <c r="VF32" s="140">
        <f>IFERROR(VLOOKUP($D32,'Adient Taizhou (China) WK.16'!$B:UD,VE$1,0),0)</f>
        <v>0</v>
      </c>
      <c r="VG32" s="128">
        <v>0</v>
      </c>
      <c r="VH32" s="32">
        <v>0</v>
      </c>
      <c r="VI32" s="100">
        <f t="shared" si="299"/>
        <v>-17100</v>
      </c>
      <c r="VK32" s="37">
        <f t="shared" si="232"/>
        <v>-17100</v>
      </c>
      <c r="VL32" s="141">
        <f>IFERROR(VLOOKUP($D32,'Adient Assende (Belgium) WK.17'!$B:UH,VM$1,0),0)</f>
        <v>0</v>
      </c>
      <c r="VM32" s="140">
        <f>IFERROR(VLOOKUP($D32,'Adient Arendal (Malzia) WK.12'!$B:UI,VM$1,0),0)</f>
        <v>0</v>
      </c>
      <c r="VN32" s="140">
        <f>IFERROR(VLOOKUP($D32,'Adient Taizhou (China) WK.16'!$B:UL,VM$1,0),0)</f>
        <v>0</v>
      </c>
      <c r="VO32" s="128">
        <v>0</v>
      </c>
      <c r="VP32" s="32">
        <v>0</v>
      </c>
      <c r="VQ32" s="100">
        <f t="shared" si="300"/>
        <v>-17100</v>
      </c>
    </row>
    <row r="33" spans="1:589" x14ac:dyDescent="0.25">
      <c r="A33" s="10" t="s">
        <v>18</v>
      </c>
      <c r="B33" s="11" t="s">
        <v>19</v>
      </c>
      <c r="C33" s="87">
        <v>32482092</v>
      </c>
      <c r="D33" s="81">
        <v>7506617</v>
      </c>
      <c r="E33" s="11">
        <v>20</v>
      </c>
      <c r="F33" s="168"/>
      <c r="H33" s="122">
        <v>0</v>
      </c>
      <c r="I33" s="125">
        <f>IFERROR(VLOOKUP($D33,'Adient Assende (Belgium) WK.17'!$B:C,J$1,0),0)</f>
        <v>0</v>
      </c>
      <c r="J33" s="55">
        <f>IFERROR(VLOOKUP($D33,'Adient Arendal (Malzia) WK.12'!$B:C,J$1,0),0)</f>
        <v>0</v>
      </c>
      <c r="K33" s="55">
        <f>IFERROR(VLOOKUP($D33,'Adient Taizhou (China) WK.16'!$B:C,J$1,0),0)</f>
        <v>0</v>
      </c>
      <c r="L33" s="128">
        <v>0</v>
      </c>
      <c r="M33" s="32">
        <v>0</v>
      </c>
      <c r="N33" s="106">
        <f t="shared" si="233"/>
        <v>0</v>
      </c>
      <c r="P33" s="37">
        <f t="shared" si="234"/>
        <v>0</v>
      </c>
      <c r="Q33" s="125">
        <f>IFERROR(VLOOKUP($D33,'Adient Assende (Belgium) WK.17'!$B:K,R$1,0),0)</f>
        <v>0</v>
      </c>
      <c r="R33" s="55">
        <f>IFERROR(VLOOKUP($D33,'Adient Arendal (Malzia) WK.12'!$B:K,R$1,0),0)</f>
        <v>0</v>
      </c>
      <c r="S33" s="55">
        <f>IFERROR(VLOOKUP($D33,'Adient Taizhou (China) WK.16'!$B:K,R$1,0),0)</f>
        <v>0</v>
      </c>
      <c r="T33" s="41">
        <v>0</v>
      </c>
      <c r="U33" s="32">
        <v>0</v>
      </c>
      <c r="V33" s="106">
        <f t="shared" si="235"/>
        <v>0</v>
      </c>
      <c r="X33" s="37">
        <f t="shared" si="236"/>
        <v>0</v>
      </c>
      <c r="Y33" s="125">
        <f>IFERROR(VLOOKUP($D33,'Adient Assende (Belgium) WK.17'!$B:S,Z$1,0),0)</f>
        <v>0</v>
      </c>
      <c r="Z33" s="55">
        <f>IFERROR(VLOOKUP($D33,'Adient Arendal (Malzia) WK.12'!$B:S,Z$1,0),0)</f>
        <v>0</v>
      </c>
      <c r="AA33" s="55">
        <f>IFERROR(VLOOKUP($D33,'Adient Taizhou (China) WK.16'!$B:S,Z$1,0),0)</f>
        <v>0</v>
      </c>
      <c r="AB33" s="41">
        <v>0</v>
      </c>
      <c r="AC33" s="32">
        <v>0</v>
      </c>
      <c r="AD33" s="106">
        <f t="shared" si="237"/>
        <v>0</v>
      </c>
      <c r="AF33" s="37">
        <f t="shared" si="238"/>
        <v>0</v>
      </c>
      <c r="AG33" s="125">
        <f>IFERROR(VLOOKUP($D33,'Adient Assende (Belgium) WK.17'!$B:AA,AH$1,0),0)</f>
        <v>0</v>
      </c>
      <c r="AH33" s="55">
        <f>IFERROR(VLOOKUP($D33,'Adient Arendal (Malzia) WK.12'!$B:AA,AH$1,0),0)</f>
        <v>0</v>
      </c>
      <c r="AI33" s="55">
        <f>IFERROR(VLOOKUP($D33,'Adient Taizhou (China) WK.16'!$B:AA,AH$1,0),0)</f>
        <v>0</v>
      </c>
      <c r="AJ33" s="41">
        <v>0</v>
      </c>
      <c r="AK33" s="32">
        <v>0</v>
      </c>
      <c r="AL33" s="106">
        <f t="shared" si="239"/>
        <v>0</v>
      </c>
      <c r="AN33" s="37">
        <f t="shared" si="164"/>
        <v>0</v>
      </c>
      <c r="AO33" s="125">
        <f>IFERROR(VLOOKUP($D33,'Adient Assende (Belgium) WK.17'!$B:AI,AP$1,0),0)</f>
        <v>0</v>
      </c>
      <c r="AP33" s="55">
        <f>IFERROR(VLOOKUP($D33,'Adient Arendal (Malzia) WK.12'!$B:AI,AP$1,0),0)</f>
        <v>0</v>
      </c>
      <c r="AQ33" s="55">
        <f>IFERROR(VLOOKUP($D33,'Adient Taizhou (China) WK.16'!$B:AI,AP$1,0),0)</f>
        <v>0</v>
      </c>
      <c r="AR33" s="60">
        <v>0</v>
      </c>
      <c r="AS33" s="41">
        <v>0</v>
      </c>
      <c r="AT33" s="32">
        <v>0</v>
      </c>
      <c r="AU33" s="106">
        <f t="shared" si="240"/>
        <v>0</v>
      </c>
      <c r="AW33" s="37">
        <f t="shared" si="165"/>
        <v>0</v>
      </c>
      <c r="AX33" s="125">
        <f>IFERROR(VLOOKUP($D33,'Adient Assende (Belgium) WK.17'!$B:AR,AY$1,0),0)</f>
        <v>0</v>
      </c>
      <c r="AY33" s="55">
        <f>IFERROR(VLOOKUP($D33,'Adient Arendal (Malzia) WK.12'!$B:AR,AY$1,0),0)</f>
        <v>0</v>
      </c>
      <c r="AZ33" s="55">
        <f>IFERROR(VLOOKUP($D33,'Adient Taizhou (China) WK.16'!$B:AU,AY$1,0),0)</f>
        <v>0</v>
      </c>
      <c r="BA33" s="41">
        <v>0</v>
      </c>
      <c r="BB33" s="32">
        <v>0</v>
      </c>
      <c r="BC33" s="106">
        <f t="shared" si="241"/>
        <v>0</v>
      </c>
      <c r="BE33" s="37">
        <f t="shared" si="166"/>
        <v>0</v>
      </c>
      <c r="BF33" s="125">
        <f>IFERROR(VLOOKUP($D33,'Adient Assende (Belgium) WK.17'!$B:AX,BG$1,0),0)</f>
        <v>0</v>
      </c>
      <c r="BG33" s="55">
        <f>IFERROR(VLOOKUP($D33,'Adient Arendal (Malzia) WK.12'!$B:AZ,BG$1,0),0)</f>
        <v>0</v>
      </c>
      <c r="BH33" s="55">
        <f>IFERROR(VLOOKUP($D33,'Adient Taizhou (China) WK.16'!$B:BB,BG$1,0),0)</f>
        <v>0</v>
      </c>
      <c r="BI33" s="60">
        <v>0</v>
      </c>
      <c r="BJ33" s="60">
        <v>0</v>
      </c>
      <c r="BK33" s="41">
        <v>0</v>
      </c>
      <c r="BL33" s="32">
        <v>0</v>
      </c>
      <c r="BM33" s="106">
        <f t="shared" si="242"/>
        <v>0</v>
      </c>
      <c r="BN33" s="8"/>
      <c r="BO33" s="37">
        <f t="shared" si="167"/>
        <v>0</v>
      </c>
      <c r="BP33" s="125">
        <f>IFERROR(VLOOKUP($D33,'Adient Assende (Belgium) WK.17'!$B:BH,BQ$1,0),0)</f>
        <v>0</v>
      </c>
      <c r="BQ33" s="55">
        <f>IFERROR(VLOOKUP($D33,'Adient Arendal (Malzia) WK.12'!$B:BI,BQ$1,0),0)</f>
        <v>0</v>
      </c>
      <c r="BR33" s="55">
        <f>IFERROR(VLOOKUP($D33,'Adient Taizhou (China) WK.16'!$B:BL,BQ$1,0),0)</f>
        <v>0</v>
      </c>
      <c r="BS33" s="60">
        <v>0</v>
      </c>
      <c r="BT33" s="60">
        <v>0</v>
      </c>
      <c r="BU33" s="60">
        <v>0</v>
      </c>
      <c r="BV33" s="41">
        <v>0</v>
      </c>
      <c r="BW33" s="32">
        <v>0</v>
      </c>
      <c r="BX33" s="106">
        <f t="shared" si="243"/>
        <v>0</v>
      </c>
      <c r="BY33" s="8"/>
      <c r="BZ33" s="37">
        <f t="shared" si="168"/>
        <v>0</v>
      </c>
      <c r="CA33" s="125">
        <f>IFERROR(VLOOKUP($D33,'Adient Assende (Belgium) WK.17'!$B:BS,CB$1,0),0)</f>
        <v>0</v>
      </c>
      <c r="CB33" s="55">
        <f>IFERROR(VLOOKUP($D33,'Adient Arendal (Malzia) WK.12'!$B:BT,CB$1,0),0)</f>
        <v>0</v>
      </c>
      <c r="CC33" s="55">
        <f>IFERROR(VLOOKUP($D33,'Adient Taizhou (China) WK.16'!$B:BW,CB$1,0),0)</f>
        <v>0</v>
      </c>
      <c r="CD33" s="60">
        <v>0</v>
      </c>
      <c r="CE33" s="60">
        <v>0</v>
      </c>
      <c r="CF33" s="41">
        <v>0</v>
      </c>
      <c r="CG33" s="32">
        <v>0</v>
      </c>
      <c r="CH33" s="106">
        <f t="shared" si="244"/>
        <v>0</v>
      </c>
      <c r="CI33" s="8"/>
      <c r="CJ33" s="37">
        <f t="shared" si="169"/>
        <v>0</v>
      </c>
      <c r="CK33" s="125">
        <f>IFERROR(VLOOKUP($D33,'Adient Assende (Belgium) WK.17'!$B:CC,CL$1,0),0)</f>
        <v>0</v>
      </c>
      <c r="CL33" s="55">
        <f>IFERROR(VLOOKUP($D33,'Adient Arendal (Malzia) WK.12'!$B:CD,CL$1,0),0)</f>
        <v>0</v>
      </c>
      <c r="CM33" s="55">
        <f>IFERROR(VLOOKUP($D33,'Adient Taizhou (China) WK.16'!$B:CG,CL$1,0),0)</f>
        <v>0</v>
      </c>
      <c r="CN33" s="60">
        <v>0</v>
      </c>
      <c r="CO33" s="149">
        <v>0</v>
      </c>
      <c r="CP33" s="32">
        <v>0</v>
      </c>
      <c r="CQ33" s="106">
        <f t="shared" si="245"/>
        <v>0</v>
      </c>
      <c r="CR33" s="8"/>
      <c r="CS33" s="122">
        <f t="shared" si="170"/>
        <v>0</v>
      </c>
      <c r="CT33" s="154">
        <f>IFERROR(VLOOKUP($D33,'Adient Assende (Belgium) WK.17'!$B:CL,CU$1,0),0)</f>
        <v>0</v>
      </c>
      <c r="CU33" s="55">
        <f>IFERROR(VLOOKUP($D33,'Adient Arendal (Malzia) WK.12'!$B:CM,CU$1,0),0)</f>
        <v>0</v>
      </c>
      <c r="CV33" s="55">
        <f>IFERROR(VLOOKUP($D33,'Adient Taizhou (China) WK.16'!$B:CP,CU$1,0),0)</f>
        <v>0</v>
      </c>
      <c r="CW33" s="60">
        <v>0</v>
      </c>
      <c r="CX33" s="60">
        <v>0</v>
      </c>
      <c r="CY33" s="128">
        <v>0</v>
      </c>
      <c r="CZ33" s="32">
        <v>0</v>
      </c>
      <c r="DA33" s="106">
        <f t="shared" si="246"/>
        <v>0</v>
      </c>
      <c r="DB33" s="8"/>
      <c r="DC33" s="37">
        <f t="shared" si="171"/>
        <v>0</v>
      </c>
      <c r="DD33" s="125">
        <f>IFERROR(VLOOKUP($D33,'Adient Assende (Belgium) WK.17'!$B:CS,DE$1,0),0)</f>
        <v>0</v>
      </c>
      <c r="DE33" s="55">
        <f>IFERROR(VLOOKUP($D33,'Adient Arendal (Malzia) WK.12'!$B:CU,DE$1,0),0)</f>
        <v>0</v>
      </c>
      <c r="DF33" s="55">
        <f>IFERROR(VLOOKUP($D33,'Adient Taizhou (China) WK.16'!$B:CX,DE$1,0),0)</f>
        <v>0</v>
      </c>
      <c r="DG33" s="60">
        <v>0</v>
      </c>
      <c r="DH33" s="128">
        <v>0</v>
      </c>
      <c r="DI33" s="32">
        <v>0</v>
      </c>
      <c r="DJ33" s="106">
        <f t="shared" si="247"/>
        <v>0</v>
      </c>
      <c r="DL33" s="37">
        <f t="shared" si="172"/>
        <v>0</v>
      </c>
      <c r="DM33" s="125">
        <f>IFERROR(VLOOKUP($D33,'Adient Assende (Belgium) WK.17'!$B:DB,DN$1,0),0)</f>
        <v>0</v>
      </c>
      <c r="DN33" s="55">
        <f>IFERROR(VLOOKUP($D33,'Adient Arendal (Malzia) WK.12'!$B:DC,DN$1,0),0)</f>
        <v>0</v>
      </c>
      <c r="DO33" s="55">
        <f>IFERROR(VLOOKUP($D33,'Adient Taizhou (China) WK.16'!$B:DF,DN$1,0),0)</f>
        <v>0</v>
      </c>
      <c r="DP33" s="128">
        <v>0</v>
      </c>
      <c r="DQ33" s="32">
        <v>0</v>
      </c>
      <c r="DR33" s="106">
        <f t="shared" si="173"/>
        <v>0</v>
      </c>
      <c r="DS33" s="8"/>
      <c r="DT33" s="37">
        <f t="shared" si="174"/>
        <v>0</v>
      </c>
      <c r="DU33" s="125">
        <f>IFERROR(VLOOKUP($D33,'Adient Assende (Belgium) WK.17'!$B:DJ,DV$1,0),0)</f>
        <v>0</v>
      </c>
      <c r="DV33" s="55">
        <f>IFERROR(VLOOKUP($D33,'Adient Arendal (Malzia) WK.12'!$B:DK,DV$1,0),0)</f>
        <v>0</v>
      </c>
      <c r="DW33" s="55">
        <f>IFERROR(VLOOKUP($D33,'Adient Taizhou (China) WK.16'!$B:DN,DV$1,0),0)</f>
        <v>0</v>
      </c>
      <c r="DX33" s="60">
        <v>0</v>
      </c>
      <c r="DY33" s="60">
        <v>0</v>
      </c>
      <c r="DZ33" s="128">
        <v>0</v>
      </c>
      <c r="EA33" s="32">
        <v>0</v>
      </c>
      <c r="EB33" s="106">
        <f t="shared" si="248"/>
        <v>0</v>
      </c>
      <c r="EC33" s="8"/>
      <c r="ED33" s="37">
        <f t="shared" si="175"/>
        <v>0</v>
      </c>
      <c r="EE33" s="125">
        <f>IFERROR(VLOOKUP($D33,'Adient Assende (Belgium) WK.17'!$B:DR,EF$1,0),0)</f>
        <v>0</v>
      </c>
      <c r="EF33" s="55">
        <f>IFERROR(VLOOKUP($D33,'Adient Arendal (Malzia) WK.12'!$B:DS,EF$1,0),0)</f>
        <v>0</v>
      </c>
      <c r="EG33" s="55">
        <f>IFERROR(VLOOKUP($D33,'Adient Taizhou (China) WK.16'!$B:DV,EF$1,0),0)</f>
        <v>0</v>
      </c>
      <c r="EH33" s="60">
        <v>0</v>
      </c>
      <c r="EI33" s="128">
        <v>0</v>
      </c>
      <c r="EJ33" s="32">
        <v>0</v>
      </c>
      <c r="EK33" s="106">
        <f t="shared" si="249"/>
        <v>0</v>
      </c>
      <c r="EM33" s="37">
        <f t="shared" si="176"/>
        <v>0</v>
      </c>
      <c r="EN33" s="125">
        <f>IFERROR(VLOOKUP($D33,'Adient Assende (Belgium) WK.17'!$B:DZ,EO$1,0),0)</f>
        <v>0</v>
      </c>
      <c r="EO33" s="55">
        <f>IFERROR(VLOOKUP($D33,'Adient Arendal (Malzia) WK.12'!$B:EA,EO$1,0),0)</f>
        <v>0</v>
      </c>
      <c r="EP33" s="55">
        <f>IFERROR(VLOOKUP($D33,'Adient Taizhou (China) WK.16'!$B:ED,EO$1,0),0)</f>
        <v>0</v>
      </c>
      <c r="EQ33" s="128">
        <v>0</v>
      </c>
      <c r="ER33" s="32">
        <v>0</v>
      </c>
      <c r="ES33" s="106">
        <f t="shared" si="250"/>
        <v>0</v>
      </c>
      <c r="EU33" s="37">
        <f t="shared" si="177"/>
        <v>0</v>
      </c>
      <c r="EV33" s="125">
        <f>IFERROR(VLOOKUP($D33,'Adient Assende (Belgium) WK.17'!$B:EH,EW$1,0),0)</f>
        <v>0</v>
      </c>
      <c r="EW33" s="55">
        <f>IFERROR(VLOOKUP($D33,'Adient Arendal (Malzia) WK.12'!$B:EI,EW$1,0),0)</f>
        <v>0</v>
      </c>
      <c r="EX33" s="55">
        <f>IFERROR(VLOOKUP($D33,'Adient Taizhou (China) WK.16'!$B:EL,EW$1,0),0)</f>
        <v>0</v>
      </c>
      <c r="EY33" s="128">
        <v>0</v>
      </c>
      <c r="EZ33" s="32">
        <v>0</v>
      </c>
      <c r="FA33" s="106">
        <f t="shared" si="251"/>
        <v>0</v>
      </c>
      <c r="FC33" s="37">
        <f t="shared" si="178"/>
        <v>0</v>
      </c>
      <c r="FD33" s="154">
        <f>IFERROR(VLOOKUP($D33,'Adient Assende (Belgium) WK.17'!$B:EP,FE$1,0),0)</f>
        <v>0</v>
      </c>
      <c r="FE33" s="154">
        <f>IFERROR(VLOOKUP($D33,'Adient Arendal (Malzia) WK.12'!$B:EQ,FE$1,0),0)</f>
        <v>0</v>
      </c>
      <c r="FF33" s="154">
        <f>IFERROR(VLOOKUP($D33,'Adient Taizhou (China) WK.16'!$B:ET,FE$1,0),0)</f>
        <v>0</v>
      </c>
      <c r="FG33" s="128">
        <v>0</v>
      </c>
      <c r="FH33" s="32">
        <v>0</v>
      </c>
      <c r="FI33" s="106">
        <f t="shared" si="252"/>
        <v>0</v>
      </c>
      <c r="FK33" s="37">
        <f t="shared" si="179"/>
        <v>0</v>
      </c>
      <c r="FL33" s="125">
        <f>IFERROR(VLOOKUP($D33,'Adient Assende (Belgium) WK.17'!$B:EX,FM$1,0),0)</f>
        <v>0</v>
      </c>
      <c r="FM33" s="55">
        <f>IFERROR(VLOOKUP($D33,'Adient Arendal (Malzia) WK.12'!$B:EY,FM$1,0),0)</f>
        <v>0</v>
      </c>
      <c r="FN33" s="55">
        <f>IFERROR(VLOOKUP($D33,'Adient Taizhou (China) WK.16'!$B:FB,FM$1,0),0)</f>
        <v>0</v>
      </c>
      <c r="FO33" s="128">
        <v>0</v>
      </c>
      <c r="FP33" s="32">
        <v>0</v>
      </c>
      <c r="FQ33" s="106">
        <f t="shared" si="253"/>
        <v>0</v>
      </c>
      <c r="FR33" s="8"/>
      <c r="FS33" s="37">
        <f t="shared" si="180"/>
        <v>0</v>
      </c>
      <c r="FT33" s="125">
        <f>IFERROR(VLOOKUP($D33,'Adient Assende (Belgium) WK.17'!$B:FF,FU$1,0),0)</f>
        <v>0</v>
      </c>
      <c r="FU33" s="55">
        <f>IFERROR(VLOOKUP($D33,'Adient Arendal (Malzia) WK.12'!$B:FG,FU$1,0),0)</f>
        <v>0</v>
      </c>
      <c r="FV33" s="55">
        <f>IFERROR(VLOOKUP($D33,'Adient Taizhou (China) WK.16'!$B:FJ,FU$1,0),0)</f>
        <v>0</v>
      </c>
      <c r="FW33" s="60">
        <v>0</v>
      </c>
      <c r="FX33" s="60">
        <v>0</v>
      </c>
      <c r="FY33" s="60">
        <v>0</v>
      </c>
      <c r="FZ33" s="60">
        <v>0</v>
      </c>
      <c r="GA33" s="60">
        <v>0</v>
      </c>
      <c r="GB33" s="128">
        <v>0</v>
      </c>
      <c r="GC33" s="32">
        <v>0</v>
      </c>
      <c r="GD33" s="106">
        <f t="shared" si="254"/>
        <v>0</v>
      </c>
      <c r="GF33" s="37">
        <f t="shared" si="181"/>
        <v>0</v>
      </c>
      <c r="GG33" s="125">
        <f>IFERROR(VLOOKUP($D33,'Adient Assende (Belgium) WK.17'!$B:FN,GH$1,0),0)</f>
        <v>0</v>
      </c>
      <c r="GH33" s="55">
        <f>IFERROR(VLOOKUP($D33,'Adient Arendal (Malzia) WK.12'!$B:FO,GH$1,0),0)</f>
        <v>0</v>
      </c>
      <c r="GI33" s="55">
        <f>IFERROR(VLOOKUP($D33,'Adient Taizhou (China) WK.16'!$B:FR,GH$1,0),0)</f>
        <v>0</v>
      </c>
      <c r="GJ33" s="60">
        <v>0</v>
      </c>
      <c r="GK33" s="128">
        <v>0</v>
      </c>
      <c r="GL33" s="32">
        <v>0</v>
      </c>
      <c r="GM33" s="106">
        <f t="shared" si="255"/>
        <v>0</v>
      </c>
      <c r="GO33" s="37">
        <f t="shared" si="182"/>
        <v>0</v>
      </c>
      <c r="GP33" s="125">
        <f>IFERROR(VLOOKUP($D33,'Adient Assende (Belgium) WK.17'!$B:FV,GQ$1,0),0)</f>
        <v>0</v>
      </c>
      <c r="GQ33" s="55">
        <f>IFERROR(VLOOKUP($D33,'Adient Arendal (Malzia) WK.12'!$B:FW,GQ$1,0),0)</f>
        <v>0</v>
      </c>
      <c r="GR33" s="55">
        <f>IFERROR(VLOOKUP($D33,'Adient Taizhou (China) WK.16'!$B:FZ,GQ$1,0),0)</f>
        <v>0</v>
      </c>
      <c r="GS33" s="60">
        <v>0</v>
      </c>
      <c r="GT33" s="128">
        <v>0</v>
      </c>
      <c r="GU33" s="32">
        <v>0</v>
      </c>
      <c r="GV33" s="106">
        <f t="shared" si="256"/>
        <v>0</v>
      </c>
      <c r="GW33" s="8"/>
      <c r="GX33" s="37">
        <f t="shared" si="183"/>
        <v>0</v>
      </c>
      <c r="GY33" s="125">
        <f>IFERROR(VLOOKUP($D33,'Adient Assende (Belgium) WK.17'!$B:GD,GZ$1,0),0)</f>
        <v>0</v>
      </c>
      <c r="GZ33" s="55">
        <f>IFERROR(VLOOKUP($D33,'Adient Arendal (Malzia) WK.12'!$B:GE,GZ$1,0),0)</f>
        <v>0</v>
      </c>
      <c r="HA33" s="55">
        <f>IFERROR(VLOOKUP($D33,'Adient Taizhou (China) WK.16'!$B:GH,GZ$1,0),0)</f>
        <v>0</v>
      </c>
      <c r="HB33" s="60">
        <v>0</v>
      </c>
      <c r="HC33" s="128">
        <v>0</v>
      </c>
      <c r="HD33" s="32">
        <v>0</v>
      </c>
      <c r="HE33" s="106">
        <f t="shared" si="257"/>
        <v>0</v>
      </c>
      <c r="HF33" s="8"/>
      <c r="HG33" s="37">
        <f t="shared" si="184"/>
        <v>0</v>
      </c>
      <c r="HH33" s="125">
        <f>IFERROR(VLOOKUP($D33,'Adient Assende (Belgium) WK.17'!$B:GL,HI$1,0),0)</f>
        <v>0</v>
      </c>
      <c r="HI33" s="55">
        <f>IFERROR(VLOOKUP($D33,'Adient Arendal (Malzia) WK.12'!$B:GM,HI$1,0),0)</f>
        <v>0</v>
      </c>
      <c r="HJ33" s="55">
        <f>IFERROR(VLOOKUP($D33,'Adient Taizhou (China) WK.16'!$B:GP,HI$1,0),0)</f>
        <v>0</v>
      </c>
      <c r="HK33" s="60">
        <v>0</v>
      </c>
      <c r="HL33" s="128">
        <v>0</v>
      </c>
      <c r="HM33" s="32">
        <v>0</v>
      </c>
      <c r="HN33" s="106">
        <f t="shared" si="258"/>
        <v>0</v>
      </c>
      <c r="HO33" s="8"/>
      <c r="HP33" s="37">
        <f t="shared" si="185"/>
        <v>0</v>
      </c>
      <c r="HQ33" s="125">
        <f>IFERROR(VLOOKUP($D33,'Adient Assende (Belgium) WK.17'!$B:GT,HR$1,0),0)</f>
        <v>0</v>
      </c>
      <c r="HR33" s="55">
        <f>IFERROR(VLOOKUP($D33,'Adient Arendal (Malzia) WK.12'!$B:GU,HR$1,0),0)</f>
        <v>0</v>
      </c>
      <c r="HS33" s="55">
        <f>IFERROR(VLOOKUP($D33,'Adient Taizhou (China) WK.16'!$B:GX,HR$1,0),0)</f>
        <v>0</v>
      </c>
      <c r="HT33" s="60">
        <v>0</v>
      </c>
      <c r="HU33" s="128">
        <v>0</v>
      </c>
      <c r="HV33" s="32">
        <v>0</v>
      </c>
      <c r="HW33" s="106">
        <f t="shared" si="259"/>
        <v>0</v>
      </c>
      <c r="HX33" s="8"/>
      <c r="HY33" s="37">
        <f t="shared" si="186"/>
        <v>0</v>
      </c>
      <c r="HZ33" s="125">
        <f>IFERROR(VLOOKUP($D33,'Adient Assende (Belgium) WK.17'!$B:HB,IA$1,0),0)</f>
        <v>0</v>
      </c>
      <c r="IA33" s="55">
        <f>IFERROR(VLOOKUP($D33,'Adient Arendal (Malzia) WK.12'!$B:HC,IA$1,0),0)</f>
        <v>0</v>
      </c>
      <c r="IB33" s="55">
        <f>IFERROR(VLOOKUP($D33,'Adient Taizhou (China) WK.16'!$B:HF,IA$1,0),0)</f>
        <v>0</v>
      </c>
      <c r="IC33" s="60">
        <v>200</v>
      </c>
      <c r="ID33" s="128">
        <v>0</v>
      </c>
      <c r="IE33" s="32">
        <v>0</v>
      </c>
      <c r="IF33" s="106">
        <f t="shared" si="260"/>
        <v>200</v>
      </c>
      <c r="IG33" s="8"/>
      <c r="IH33" s="37">
        <f t="shared" si="187"/>
        <v>200</v>
      </c>
      <c r="II33" s="125">
        <f>IFERROR(VLOOKUP($D33,'Adient Assende (Belgium) WK.17'!$B:HJ,IJ$1,0),0)</f>
        <v>0</v>
      </c>
      <c r="IJ33" s="55">
        <f>IFERROR(VLOOKUP($D33,'Adient Arendal (Malzia) WK.12'!$B:HK,IJ$1,0),0)</f>
        <v>0</v>
      </c>
      <c r="IK33" s="55">
        <f>IFERROR(VLOOKUP($D33,'Adient Taizhou (China) WK.16'!$B:HN,IJ$1,0),0)</f>
        <v>0</v>
      </c>
      <c r="IL33" s="128">
        <v>0</v>
      </c>
      <c r="IM33" s="32">
        <v>0</v>
      </c>
      <c r="IN33" s="106">
        <f t="shared" si="188"/>
        <v>200</v>
      </c>
      <c r="IO33" s="8"/>
      <c r="IP33" s="37">
        <f t="shared" si="189"/>
        <v>200</v>
      </c>
      <c r="IQ33" s="125">
        <f>IFERROR(VLOOKUP($D33,'Adient Assende (Belgium) WK.17'!$B:HR,IR$1,0),0)</f>
        <v>0</v>
      </c>
      <c r="IR33" s="55">
        <f>IFERROR(VLOOKUP($D33,'Adient Arendal (Malzia) WK.12'!$B:HS,IR$1,0),0)</f>
        <v>0</v>
      </c>
      <c r="IS33" s="55">
        <f>IFERROR(VLOOKUP($D33,'Adient Taizhou (China) WK.16'!$B:HV,IR$1,0),0)</f>
        <v>0</v>
      </c>
      <c r="IT33" s="60">
        <v>0</v>
      </c>
      <c r="IU33" s="128">
        <v>0</v>
      </c>
      <c r="IV33" s="32">
        <v>0</v>
      </c>
      <c r="IW33" s="106">
        <f t="shared" si="261"/>
        <v>200</v>
      </c>
      <c r="IX33" s="8"/>
      <c r="IY33" s="37">
        <f t="shared" si="190"/>
        <v>200</v>
      </c>
      <c r="IZ33" s="125">
        <f>IFERROR(VLOOKUP($D33,'Adient Assende (Belgium) WK.17'!$B:HZ,JA$1,0),0)</f>
        <v>0</v>
      </c>
      <c r="JA33" s="55">
        <f>IFERROR(VLOOKUP($D33,'Adient Arendal (Malzia) WK.12'!$B:IA,JA$1,0),0)</f>
        <v>0</v>
      </c>
      <c r="JB33" s="55">
        <f>IFERROR(VLOOKUP($D33,'Adient Taizhou (China) WK.16'!$B:ID,JA$1,0),0)</f>
        <v>0</v>
      </c>
      <c r="JC33" s="128">
        <v>0</v>
      </c>
      <c r="JD33" s="32">
        <v>0</v>
      </c>
      <c r="JE33" s="106">
        <f t="shared" si="191"/>
        <v>200</v>
      </c>
      <c r="JF33" s="8"/>
      <c r="JG33" s="37">
        <f t="shared" si="192"/>
        <v>200</v>
      </c>
      <c r="JH33" s="125">
        <f>IFERROR(VLOOKUP($D33,'Adient Assende (Belgium) WK.17'!$B:IH,JI$1,0),0)</f>
        <v>0</v>
      </c>
      <c r="JI33" s="55">
        <f>IFERROR(VLOOKUP($D33,'Adient Arendal (Malzia) WK.12'!$B:II,JI$1,0),0)</f>
        <v>0</v>
      </c>
      <c r="JJ33" s="55">
        <f>IFERROR(VLOOKUP($D33,'Adient Taizhou (China) WK.16'!$B:IL,JI$1,0),0)</f>
        <v>0</v>
      </c>
      <c r="JK33" s="60">
        <v>0</v>
      </c>
      <c r="JL33" s="128">
        <v>0</v>
      </c>
      <c r="JM33" s="32">
        <v>0</v>
      </c>
      <c r="JN33" s="106">
        <f t="shared" si="262"/>
        <v>200</v>
      </c>
      <c r="JO33" s="8"/>
      <c r="JP33" s="37">
        <f t="shared" si="193"/>
        <v>200</v>
      </c>
      <c r="JQ33" s="125">
        <f>IFERROR(VLOOKUP($D33,'Adient Assende (Belgium) WK.17'!$B:IP,JR$1,0),0)</f>
        <v>0</v>
      </c>
      <c r="JR33" s="55">
        <f>IFERROR(VLOOKUP($D33,'Adient Arendal (Malzia) WK.12'!$B:IQ,JR$1,0),0)</f>
        <v>0</v>
      </c>
      <c r="JS33" s="55">
        <f>IFERROR(VLOOKUP($D33,'Adient Taizhou (China) WK.16'!$B:IT,JR$1,0),0)</f>
        <v>0</v>
      </c>
      <c r="JT33" s="128">
        <v>0</v>
      </c>
      <c r="JU33" s="32">
        <v>0</v>
      </c>
      <c r="JV33" s="106">
        <f t="shared" si="194"/>
        <v>200</v>
      </c>
      <c r="JW33" s="8"/>
      <c r="JX33" s="37">
        <f t="shared" si="195"/>
        <v>200</v>
      </c>
      <c r="JY33" s="154">
        <f>IFERROR(VLOOKUP($D33,'Adient Assende (Belgium) WK.17'!$B:IX,JZ$1,0),0)</f>
        <v>0</v>
      </c>
      <c r="JZ33" s="55">
        <f>IFERROR(VLOOKUP($D33,'Adient Arendal (Malzia) WK.12'!$B:IY,JZ$1,0),0)</f>
        <v>0</v>
      </c>
      <c r="KA33" s="55">
        <f>IFERROR(VLOOKUP($D33,'Adient Taizhou (China) WK.16'!$B:JB,JZ$1,0),0)</f>
        <v>0</v>
      </c>
      <c r="KB33" s="128">
        <v>0</v>
      </c>
      <c r="KC33" s="32">
        <v>0</v>
      </c>
      <c r="KD33" s="106">
        <f t="shared" si="263"/>
        <v>200</v>
      </c>
      <c r="KE33" s="8"/>
      <c r="KF33" s="37">
        <f t="shared" si="196"/>
        <v>200</v>
      </c>
      <c r="KG33" s="125">
        <f>IFERROR(VLOOKUP($D33,'Adient Assende (Belgium) WK.17'!$B:JF,KH$1,0),0)</f>
        <v>0</v>
      </c>
      <c r="KH33" s="55">
        <f>IFERROR(VLOOKUP($D33,'Adient Arendal (Malzia) WK.12'!$B:JG,KH$1,0),0)</f>
        <v>0</v>
      </c>
      <c r="KI33" s="55">
        <f>IFERROR(VLOOKUP($D33,'Adient Taizhou (China) WK.16'!$B:JJ,KH$1,0),0)</f>
        <v>0</v>
      </c>
      <c r="KJ33" s="60">
        <v>0</v>
      </c>
      <c r="KK33" s="128">
        <v>80</v>
      </c>
      <c r="KL33" s="32">
        <v>0</v>
      </c>
      <c r="KM33" s="106">
        <f t="shared" si="264"/>
        <v>120</v>
      </c>
      <c r="KN33" s="8"/>
      <c r="KO33" s="37">
        <f t="shared" si="197"/>
        <v>120</v>
      </c>
      <c r="KP33" s="141">
        <f>IFERROR(VLOOKUP($D33,'Adient Assende (Belgium) WK.17'!$B:JN,KQ$1,0),0)</f>
        <v>80</v>
      </c>
      <c r="KQ33" s="140">
        <f>IFERROR(VLOOKUP($D33,'Adient Arendal (Malzia) WK.12'!$B:JO,KQ$1,0),0)</f>
        <v>0</v>
      </c>
      <c r="KR33" s="140">
        <f>IFERROR(VLOOKUP($D33,'Adient Taizhou (China) WK.16'!$B:JR,KQ$1,0),0)</f>
        <v>0</v>
      </c>
      <c r="KS33" s="60">
        <v>0</v>
      </c>
      <c r="KT33" s="128">
        <v>0</v>
      </c>
      <c r="KU33" s="32">
        <v>0</v>
      </c>
      <c r="KV33" s="106">
        <f t="shared" si="265"/>
        <v>120</v>
      </c>
      <c r="KX33" s="37">
        <f t="shared" si="198"/>
        <v>120</v>
      </c>
      <c r="KY33" s="141">
        <f>IFERROR(VLOOKUP($D33,'Adient Assende (Belgium) WK.17'!$B:JV,KZ$1,0),0)</f>
        <v>0</v>
      </c>
      <c r="KZ33" s="140">
        <f>IFERROR(VLOOKUP($D33,'Adient Arendal (Malzia) WK.12'!$B:JW,KZ$1,0),0)</f>
        <v>0</v>
      </c>
      <c r="LA33" s="140">
        <f>IFERROR(VLOOKUP($D33,'Adient Taizhou (China) WK.16'!$B:JZ,KZ$1,0),0)</f>
        <v>0</v>
      </c>
      <c r="LB33" s="128">
        <v>0</v>
      </c>
      <c r="LC33" s="32">
        <v>0</v>
      </c>
      <c r="LD33" s="106">
        <f t="shared" si="266"/>
        <v>120</v>
      </c>
      <c r="LF33" s="37">
        <f t="shared" si="199"/>
        <v>120</v>
      </c>
      <c r="LG33" s="141">
        <f>IFERROR(VLOOKUP($D33,'Adient Assende (Belgium) WK.17'!$B:KD,LH$1,0),0)</f>
        <v>0</v>
      </c>
      <c r="LH33" s="140">
        <f>IFERROR(VLOOKUP($D33,'Adient Arendal (Malzia) WK.12'!$B:KE,LH$1,0),0)</f>
        <v>0</v>
      </c>
      <c r="LI33" s="140">
        <f>IFERROR(VLOOKUP($D33,'Adient Taizhou (China) WK.16'!$B:KH,LH$1,0),0)</f>
        <v>0</v>
      </c>
      <c r="LJ33" s="60">
        <v>0</v>
      </c>
      <c r="LK33" s="128">
        <v>0</v>
      </c>
      <c r="LL33" s="32">
        <v>0</v>
      </c>
      <c r="LM33" s="100">
        <f t="shared" si="267"/>
        <v>120</v>
      </c>
      <c r="LO33" s="37">
        <f t="shared" si="200"/>
        <v>120</v>
      </c>
      <c r="LP33" s="141">
        <f>IFERROR(VLOOKUP($D33,'Adient Assende (Belgium) WK.17'!$B:KL,LQ$1,0),0)</f>
        <v>0</v>
      </c>
      <c r="LQ33" s="140">
        <f>IFERROR(VLOOKUP($D33,'Adient Arendal (Malzia) WK.12'!$B:KM,LQ$1,0),0)</f>
        <v>0</v>
      </c>
      <c r="LR33" s="140">
        <f>IFERROR(VLOOKUP($D33,'Adient Taizhou (China) WK.16'!$B:KP,LQ$1,0),0)</f>
        <v>0</v>
      </c>
      <c r="LS33" s="128">
        <v>0</v>
      </c>
      <c r="LT33" s="32">
        <v>0</v>
      </c>
      <c r="LU33" s="100">
        <f t="shared" si="268"/>
        <v>120</v>
      </c>
      <c r="LW33" s="37">
        <f t="shared" si="201"/>
        <v>120</v>
      </c>
      <c r="LX33" s="141">
        <f>IFERROR(VLOOKUP($D33,'Adient Assende (Belgium) WK.17'!$B:KT,LY$1,0),0)</f>
        <v>0</v>
      </c>
      <c r="LY33" s="140">
        <f>IFERROR(VLOOKUP($D33,'Adient Arendal (Malzia) WK.12'!$B:KU,LY$1,0),0)</f>
        <v>0</v>
      </c>
      <c r="LZ33" s="140">
        <f>IFERROR(VLOOKUP($D33,'Adient Taizhou (China) WK.16'!$B:KX,LY$1,0),0)</f>
        <v>0</v>
      </c>
      <c r="MA33" s="128">
        <v>0</v>
      </c>
      <c r="MB33" s="32">
        <v>0</v>
      </c>
      <c r="MC33" s="100">
        <f t="shared" si="269"/>
        <v>120</v>
      </c>
      <c r="ME33" s="37">
        <f t="shared" si="202"/>
        <v>120</v>
      </c>
      <c r="MF33" s="154">
        <f>IFERROR(VLOOKUP($D33,'Adient Assende (Belgium) WK.17'!$B:LB,MG$1,0),0)</f>
        <v>0</v>
      </c>
      <c r="MG33" s="140">
        <f>IFERROR(VLOOKUP($D33,'Adient Arendal (Malzia) WK.12'!$B:LC,MG$1,0),0)</f>
        <v>0</v>
      </c>
      <c r="MH33" s="140">
        <f>IFERROR(VLOOKUP($D33,'Adient Taizhou (China) WK.16'!$B:LF,MG$1,0),0)</f>
        <v>0</v>
      </c>
      <c r="MI33" s="128">
        <v>0</v>
      </c>
      <c r="MJ33" s="32">
        <v>0</v>
      </c>
      <c r="MK33" s="100">
        <f t="shared" si="270"/>
        <v>120</v>
      </c>
      <c r="MM33" s="37">
        <f t="shared" si="203"/>
        <v>120</v>
      </c>
      <c r="MN33" s="141">
        <f>IFERROR(VLOOKUP($D33,'Adient Assende (Belgium) WK.17'!$B:LJ,MO$1,0),0)</f>
        <v>0</v>
      </c>
      <c r="MO33" s="140">
        <f>IFERROR(VLOOKUP($D33,'Adient Arendal (Malzia) WK.12'!$B:LK,MO$1,0),0)</f>
        <v>0</v>
      </c>
      <c r="MP33" s="140">
        <f>IFERROR(VLOOKUP($D33,'Adient Taizhou (China) WK.16'!$B:LN,MO$1,0),0)</f>
        <v>0</v>
      </c>
      <c r="MQ33" s="128">
        <v>0</v>
      </c>
      <c r="MR33" s="32">
        <v>0</v>
      </c>
      <c r="MS33" s="100">
        <f t="shared" si="271"/>
        <v>120</v>
      </c>
      <c r="MU33" s="37">
        <f t="shared" si="204"/>
        <v>120</v>
      </c>
      <c r="MV33" s="141">
        <f>IFERROR(VLOOKUP($D33,'Adient Assende (Belgium) WK.17'!$B:LR,MW$1,0),0)</f>
        <v>0</v>
      </c>
      <c r="MW33" s="140">
        <f>IFERROR(VLOOKUP($D33,'Adient Arendal (Malzia) WK.12'!$B:LS,MW$1,0),0)</f>
        <v>0</v>
      </c>
      <c r="MX33" s="140">
        <f>IFERROR(VLOOKUP($D33,'Adient Taizhou (China) WK.16'!$B:LV,MW$1,0),0)</f>
        <v>0</v>
      </c>
      <c r="MY33" s="128">
        <v>0</v>
      </c>
      <c r="MZ33" s="32">
        <v>0</v>
      </c>
      <c r="NA33" s="100">
        <f t="shared" si="272"/>
        <v>120</v>
      </c>
      <c r="NC33" s="37">
        <f t="shared" si="205"/>
        <v>120</v>
      </c>
      <c r="ND33" s="141">
        <f>IFERROR(VLOOKUP($D33,'Adient Assende (Belgium) WK.17'!$B:LZ,NE$1,0),0)</f>
        <v>0</v>
      </c>
      <c r="NE33" s="140">
        <f>IFERROR(VLOOKUP($D33,'Adient Arendal (Malzia) WK.12'!$B:MA,NE$1,0),0)</f>
        <v>0</v>
      </c>
      <c r="NF33" s="140">
        <f>IFERROR(VLOOKUP($D33,'Adient Taizhou (China) WK.16'!$B:MD,NE$1,0),0)</f>
        <v>0</v>
      </c>
      <c r="NG33" s="128">
        <v>0</v>
      </c>
      <c r="NH33" s="32">
        <v>0</v>
      </c>
      <c r="NI33" s="100">
        <f t="shared" si="273"/>
        <v>120</v>
      </c>
      <c r="NK33" s="37">
        <f t="shared" si="206"/>
        <v>120</v>
      </c>
      <c r="NL33" s="141">
        <f>IFERROR(VLOOKUP($D33,'Adient Assende (Belgium) WK.17'!$B:MH,NM$1,0),0)</f>
        <v>0</v>
      </c>
      <c r="NM33" s="140">
        <f>IFERROR(VLOOKUP($D33,'Adient Arendal (Malzia) WK.12'!$B:MI,NM$1,0),0)</f>
        <v>0</v>
      </c>
      <c r="NN33" s="140">
        <f>IFERROR(VLOOKUP($D33,'Adient Taizhou (China) WK.16'!$B:ML,NM$1,0),0)</f>
        <v>0</v>
      </c>
      <c r="NO33" s="128">
        <v>0</v>
      </c>
      <c r="NP33" s="32">
        <v>0</v>
      </c>
      <c r="NQ33" s="100">
        <f t="shared" si="274"/>
        <v>120</v>
      </c>
      <c r="NS33" s="37">
        <f t="shared" si="207"/>
        <v>120</v>
      </c>
      <c r="NT33" s="141">
        <f>IFERROR(VLOOKUP($D33,'Adient Assende (Belgium) WK.17'!$B:MP,NU$1,0),0)</f>
        <v>0</v>
      </c>
      <c r="NU33" s="140">
        <f>IFERROR(VLOOKUP($D33,'Adient Arendal (Malzia) WK.12'!$B:MQ,NU$1,0),0)</f>
        <v>0</v>
      </c>
      <c r="NV33" s="140">
        <f>IFERROR(VLOOKUP($D33,'Adient Taizhou (China) WK.16'!$B:MT,NU$1,0),0)</f>
        <v>0</v>
      </c>
      <c r="NW33" s="128">
        <v>0</v>
      </c>
      <c r="NX33" s="32">
        <v>0</v>
      </c>
      <c r="NY33" s="100">
        <f t="shared" si="275"/>
        <v>120</v>
      </c>
      <c r="OA33" s="37">
        <f t="shared" si="208"/>
        <v>120</v>
      </c>
      <c r="OB33" s="141">
        <f>IFERROR(VLOOKUP($D33,'Adient Assende (Belgium) WK.17'!$B:MX,OC$1,0),0)</f>
        <v>0</v>
      </c>
      <c r="OC33" s="140">
        <f>IFERROR(VLOOKUP($D33,'Adient Arendal (Malzia) WK.12'!$B:MY,OC$1,0),0)</f>
        <v>0</v>
      </c>
      <c r="OD33" s="140">
        <f>IFERROR(VLOOKUP($D33,'Adient Taizhou (China) WK.16'!$B:NB,OC$1,0),0)</f>
        <v>0</v>
      </c>
      <c r="OE33" s="128">
        <v>0</v>
      </c>
      <c r="OF33" s="32">
        <v>0</v>
      </c>
      <c r="OG33" s="100">
        <f t="shared" si="276"/>
        <v>120</v>
      </c>
      <c r="OI33" s="37">
        <f t="shared" si="209"/>
        <v>120</v>
      </c>
      <c r="OJ33" s="141">
        <f>IFERROR(VLOOKUP($D33,'Adient Assende (Belgium) WK.17'!$B:NF,OK$1,0),0)</f>
        <v>80</v>
      </c>
      <c r="OK33" s="140">
        <f>IFERROR(VLOOKUP($D33,'Adient Arendal (Malzia) WK.12'!$B:NG,OK$1,0),0)</f>
        <v>0</v>
      </c>
      <c r="OL33" s="140">
        <f>IFERROR(VLOOKUP($D33,'Adient Taizhou (China) WK.16'!$B:NJ,OK$1,0),0)</f>
        <v>0</v>
      </c>
      <c r="OM33" s="128">
        <v>0</v>
      </c>
      <c r="ON33" s="32">
        <v>0</v>
      </c>
      <c r="OO33" s="100">
        <f t="shared" si="277"/>
        <v>40</v>
      </c>
      <c r="OQ33" s="37">
        <f t="shared" si="210"/>
        <v>40</v>
      </c>
      <c r="OR33" s="141">
        <f>IFERROR(VLOOKUP($D33,'Adient Assende (Belgium) WK.17'!$B:NN,OS$1,0),0)</f>
        <v>0</v>
      </c>
      <c r="OS33" s="140">
        <f>IFERROR(VLOOKUP($D33,'Adient Arendal (Malzia) WK.12'!$B:NO,OS$1,0),0)</f>
        <v>0</v>
      </c>
      <c r="OT33" s="140">
        <f>IFERROR(VLOOKUP($D33,'Adient Taizhou (China) WK.16'!$B:NR,OS$1,0),0)</f>
        <v>0</v>
      </c>
      <c r="OU33" s="128">
        <v>0</v>
      </c>
      <c r="OV33" s="32">
        <v>0</v>
      </c>
      <c r="OW33" s="100">
        <f t="shared" si="278"/>
        <v>40</v>
      </c>
      <c r="OY33" s="37">
        <f t="shared" si="211"/>
        <v>40</v>
      </c>
      <c r="OZ33" s="141">
        <f>IFERROR(VLOOKUP($D33,'Adient Assende (Belgium) WK.17'!$B:NV,PA$1,0),0)</f>
        <v>0</v>
      </c>
      <c r="PA33" s="140">
        <f>IFERROR(VLOOKUP($D33,'Adient Arendal (Malzia) WK.12'!$B:NW,PA$1,0),0)</f>
        <v>0</v>
      </c>
      <c r="PB33" s="140">
        <f>IFERROR(VLOOKUP($D33,'Adient Taizhou (China) WK.16'!$B:NZ,PA$1,0),0)</f>
        <v>0</v>
      </c>
      <c r="PC33" s="128">
        <v>0</v>
      </c>
      <c r="PD33" s="32">
        <v>0</v>
      </c>
      <c r="PE33" s="100">
        <f t="shared" si="279"/>
        <v>40</v>
      </c>
      <c r="PG33" s="37">
        <f t="shared" si="212"/>
        <v>40</v>
      </c>
      <c r="PH33" s="141">
        <f>IFERROR(VLOOKUP($D33,'Adient Assende (Belgium) WK.17'!$B:OD,PI$1,0),0)</f>
        <v>0</v>
      </c>
      <c r="PI33" s="140">
        <f>IFERROR(VLOOKUP($D33,'Adient Arendal (Malzia) WK.12'!$B:OE,PI$1,0),0)</f>
        <v>0</v>
      </c>
      <c r="PJ33" s="140">
        <f>IFERROR(VLOOKUP($D33,'Adient Taizhou (China) WK.16'!$B:OH,PI$1,0),0)</f>
        <v>0</v>
      </c>
      <c r="PK33" s="128">
        <v>0</v>
      </c>
      <c r="PL33" s="32">
        <v>0</v>
      </c>
      <c r="PM33" s="100">
        <f t="shared" si="280"/>
        <v>40</v>
      </c>
      <c r="PO33" s="37">
        <f t="shared" si="213"/>
        <v>40</v>
      </c>
      <c r="PP33" s="141">
        <f>IFERROR(VLOOKUP($D33,'Adient Assende (Belgium) WK.17'!$B:OL,PQ$1,0),0)</f>
        <v>0</v>
      </c>
      <c r="PQ33" s="140">
        <f>IFERROR(VLOOKUP($D33,'Adient Arendal (Malzia) WK.12'!$B:OM,PQ$1,0),0)</f>
        <v>0</v>
      </c>
      <c r="PR33" s="140">
        <f>IFERROR(VLOOKUP($D33,'Adient Taizhou (China) WK.16'!$B:OP,PQ$1,0),0)</f>
        <v>0</v>
      </c>
      <c r="PS33" s="128">
        <v>0</v>
      </c>
      <c r="PT33" s="32">
        <v>0</v>
      </c>
      <c r="PU33" s="100">
        <f t="shared" si="281"/>
        <v>40</v>
      </c>
      <c r="PW33" s="37">
        <f t="shared" si="214"/>
        <v>40</v>
      </c>
      <c r="PX33" s="141">
        <f>IFERROR(VLOOKUP($D33,'Adient Assende (Belgium) WK.17'!$B:OT,PY$1,0),0)</f>
        <v>0</v>
      </c>
      <c r="PY33" s="140">
        <f>IFERROR(VLOOKUP($D33,'Adient Arendal (Malzia) WK.12'!$B:OU,PY$1,0),0)</f>
        <v>0</v>
      </c>
      <c r="PZ33" s="140">
        <f>IFERROR(VLOOKUP($D33,'Adient Taizhou (China) WK.16'!$B:OX,PY$1,0),0)</f>
        <v>0</v>
      </c>
      <c r="QA33" s="128">
        <v>0</v>
      </c>
      <c r="QB33" s="32">
        <v>0</v>
      </c>
      <c r="QC33" s="100">
        <f t="shared" si="282"/>
        <v>40</v>
      </c>
      <c r="QE33" s="37">
        <f t="shared" si="215"/>
        <v>40</v>
      </c>
      <c r="QF33" s="141">
        <f>IFERROR(VLOOKUP($D33,'Adient Assende (Belgium) WK.17'!$B:PB,QG$1,0),0)</f>
        <v>0</v>
      </c>
      <c r="QG33" s="140">
        <f>IFERROR(VLOOKUP($D33,'Adient Arendal (Malzia) WK.12'!$B:PC,QG$1,0),0)</f>
        <v>0</v>
      </c>
      <c r="QH33" s="140">
        <f>IFERROR(VLOOKUP($D33,'Adient Taizhou (China) WK.16'!$B:PF,QG$1,0),0)</f>
        <v>0</v>
      </c>
      <c r="QI33" s="128">
        <v>0</v>
      </c>
      <c r="QJ33" s="32">
        <v>0</v>
      </c>
      <c r="QK33" s="100">
        <f t="shared" si="283"/>
        <v>40</v>
      </c>
      <c r="QM33" s="37">
        <f t="shared" si="216"/>
        <v>40</v>
      </c>
      <c r="QN33" s="141">
        <f>IFERROR(VLOOKUP($D33,'Adient Assende (Belgium) WK.17'!$B:PJ,QO$1,0),0)</f>
        <v>0</v>
      </c>
      <c r="QO33" s="140">
        <f>IFERROR(VLOOKUP($D33,'Adient Arendal (Malzia) WK.12'!$B:PK,QO$1,0),0)</f>
        <v>0</v>
      </c>
      <c r="QP33" s="140">
        <f>IFERROR(VLOOKUP($D33,'Adient Taizhou (China) WK.16'!$B:PN,QO$1,0),0)</f>
        <v>0</v>
      </c>
      <c r="QQ33" s="128">
        <v>0</v>
      </c>
      <c r="QR33" s="32">
        <v>0</v>
      </c>
      <c r="QS33" s="100">
        <f t="shared" si="284"/>
        <v>40</v>
      </c>
      <c r="QU33" s="37">
        <f t="shared" si="217"/>
        <v>40</v>
      </c>
      <c r="QV33" s="141">
        <f>IFERROR(VLOOKUP($D33,'Adient Assende (Belgium) WK.17'!$B:PR,QW$1,0),0)</f>
        <v>0</v>
      </c>
      <c r="QW33" s="140">
        <f>IFERROR(VLOOKUP($D33,'Adient Arendal (Malzia) WK.12'!$B:PS,QW$1,0),0)</f>
        <v>0</v>
      </c>
      <c r="QX33" s="140">
        <f>IFERROR(VLOOKUP($D33,'Adient Taizhou (China) WK.16'!$B:PV,QW$1,0),0)</f>
        <v>0</v>
      </c>
      <c r="QY33" s="128">
        <v>0</v>
      </c>
      <c r="QZ33" s="32">
        <v>0</v>
      </c>
      <c r="RA33" s="100">
        <f t="shared" si="285"/>
        <v>40</v>
      </c>
      <c r="RC33" s="37">
        <f t="shared" si="218"/>
        <v>40</v>
      </c>
      <c r="RD33" s="141">
        <f>IFERROR(VLOOKUP($D33,'Adient Assende (Belgium) WK.17'!$B:PZ,RE$1,0),0)</f>
        <v>0</v>
      </c>
      <c r="RE33" s="140">
        <f>IFERROR(VLOOKUP($D33,'Adient Arendal (Malzia) WK.12'!$B:QA,RE$1,0),0)</f>
        <v>0</v>
      </c>
      <c r="RF33" s="140">
        <f>IFERROR(VLOOKUP($D33,'Adient Taizhou (China) WK.16'!$B:QD,RE$1,0),0)</f>
        <v>0</v>
      </c>
      <c r="RG33" s="128">
        <v>0</v>
      </c>
      <c r="RH33" s="32">
        <v>0</v>
      </c>
      <c r="RI33" s="100">
        <f t="shared" si="286"/>
        <v>40</v>
      </c>
      <c r="RK33" s="37">
        <f t="shared" si="219"/>
        <v>40</v>
      </c>
      <c r="RL33" s="141">
        <f>IFERROR(VLOOKUP($D33,'Adient Assende (Belgium) WK.17'!$B:QH,RM$1,0),0)</f>
        <v>0</v>
      </c>
      <c r="RM33" s="140">
        <f>IFERROR(VLOOKUP($D33,'Adient Arendal (Malzia) WK.12'!$B:QI,RM$1,0),0)</f>
        <v>0</v>
      </c>
      <c r="RN33" s="140">
        <f>IFERROR(VLOOKUP($D33,'Adient Taizhou (China) WK.16'!$B:QL,RM$1,0),0)</f>
        <v>0</v>
      </c>
      <c r="RO33" s="128">
        <v>0</v>
      </c>
      <c r="RP33" s="32">
        <v>0</v>
      </c>
      <c r="RQ33" s="100">
        <f t="shared" si="287"/>
        <v>40</v>
      </c>
      <c r="RS33" s="37">
        <f t="shared" si="220"/>
        <v>40</v>
      </c>
      <c r="RT33" s="141">
        <f>IFERROR(VLOOKUP($D33,'Adient Assende (Belgium) WK.17'!$B:QP,RU$1,0),0)</f>
        <v>0</v>
      </c>
      <c r="RU33" s="140">
        <f>IFERROR(VLOOKUP($D33,'Adient Arendal (Malzia) WK.12'!$B:QQ,RU$1,0),0)</f>
        <v>0</v>
      </c>
      <c r="RV33" s="140">
        <f>IFERROR(VLOOKUP($D33,'Adient Taizhou (China) WK.16'!$B:QT,RU$1,0),0)</f>
        <v>0</v>
      </c>
      <c r="RW33" s="128">
        <v>0</v>
      </c>
      <c r="RX33" s="32">
        <v>0</v>
      </c>
      <c r="RY33" s="100">
        <f t="shared" si="288"/>
        <v>40</v>
      </c>
      <c r="SA33" s="37">
        <f t="shared" si="221"/>
        <v>40</v>
      </c>
      <c r="SB33" s="141">
        <f>IFERROR(VLOOKUP($D33,'Adient Assende (Belgium) WK.17'!$B:QX,SC$1,0),0)</f>
        <v>0</v>
      </c>
      <c r="SC33" s="140">
        <f>IFERROR(VLOOKUP($D33,'Adient Arendal (Malzia) WK.12'!$B:QY,SC$1,0),0)</f>
        <v>0</v>
      </c>
      <c r="SD33" s="140">
        <f>IFERROR(VLOOKUP($D33,'Adient Taizhou (China) WK.16'!$B:RB,SC$1,0),0)</f>
        <v>0</v>
      </c>
      <c r="SE33" s="128">
        <v>0</v>
      </c>
      <c r="SF33" s="32">
        <v>0</v>
      </c>
      <c r="SG33" s="100">
        <f t="shared" si="289"/>
        <v>40</v>
      </c>
      <c r="SI33" s="37">
        <f t="shared" si="222"/>
        <v>40</v>
      </c>
      <c r="SJ33" s="141">
        <f>IFERROR(VLOOKUP($D33,'Adient Assende (Belgium) WK.17'!$B:RF,SK$1,0),0)</f>
        <v>0</v>
      </c>
      <c r="SK33" s="140">
        <f>IFERROR(VLOOKUP($D33,'Adient Arendal (Malzia) WK.12'!$B:RG,SK$1,0),0)</f>
        <v>0</v>
      </c>
      <c r="SL33" s="140">
        <f>IFERROR(VLOOKUP($D33,'Adient Taizhou (China) WK.16'!$B:RJ,SK$1,0),0)</f>
        <v>0</v>
      </c>
      <c r="SM33" s="128">
        <v>0</v>
      </c>
      <c r="SN33" s="32">
        <v>0</v>
      </c>
      <c r="SO33" s="100">
        <f t="shared" si="290"/>
        <v>40</v>
      </c>
      <c r="SQ33" s="37">
        <f t="shared" si="223"/>
        <v>40</v>
      </c>
      <c r="SR33" s="141">
        <f>IFERROR(VLOOKUP($D33,'Adient Assende (Belgium) WK.17'!$B:RN,SS$1,0),0)</f>
        <v>0</v>
      </c>
      <c r="SS33" s="140">
        <f>IFERROR(VLOOKUP($D33,'Adient Arendal (Malzia) WK.12'!$B:RO,SS$1,0),0)</f>
        <v>0</v>
      </c>
      <c r="ST33" s="140">
        <f>IFERROR(VLOOKUP($D33,'Adient Taizhou (China) WK.16'!$B:RR,SS$1,0),0)</f>
        <v>0</v>
      </c>
      <c r="SU33" s="128">
        <v>0</v>
      </c>
      <c r="SV33" s="32">
        <v>0</v>
      </c>
      <c r="SW33" s="100">
        <f t="shared" si="291"/>
        <v>40</v>
      </c>
      <c r="SY33" s="37">
        <f t="shared" si="224"/>
        <v>40</v>
      </c>
      <c r="SZ33" s="141">
        <f>IFERROR(VLOOKUP($D33,'Adient Assende (Belgium) WK.17'!$B:RV,TA$1,0),0)</f>
        <v>0</v>
      </c>
      <c r="TA33" s="140">
        <f>IFERROR(VLOOKUP($D33,'Adient Arendal (Malzia) WK.12'!$B:RW,TA$1,0),0)</f>
        <v>0</v>
      </c>
      <c r="TB33" s="140">
        <f>IFERROR(VLOOKUP($D33,'Adient Taizhou (China) WK.16'!$B:RZ,TA$1,0),0)</f>
        <v>0</v>
      </c>
      <c r="TC33" s="128">
        <v>0</v>
      </c>
      <c r="TD33" s="32">
        <v>0</v>
      </c>
      <c r="TE33" s="100">
        <f t="shared" si="292"/>
        <v>40</v>
      </c>
      <c r="TG33" s="37">
        <f t="shared" si="225"/>
        <v>40</v>
      </c>
      <c r="TH33" s="141">
        <f>IFERROR(VLOOKUP($D33,'Adient Assende (Belgium) WK.17'!$B:SD,TI$1,0),0)</f>
        <v>20</v>
      </c>
      <c r="TI33" s="140">
        <f>IFERROR(VLOOKUP($D33,'Adient Arendal (Malzia) WK.12'!$B:SE,TI$1,0),0)</f>
        <v>0</v>
      </c>
      <c r="TJ33" s="140">
        <f>IFERROR(VLOOKUP($D33,'Adient Taizhou (China) WK.16'!$B:SH,TI$1,0),0)</f>
        <v>0</v>
      </c>
      <c r="TK33" s="128">
        <v>0</v>
      </c>
      <c r="TL33" s="32">
        <v>0</v>
      </c>
      <c r="TM33" s="100">
        <f t="shared" si="293"/>
        <v>20</v>
      </c>
      <c r="TO33" s="37">
        <f t="shared" si="226"/>
        <v>20</v>
      </c>
      <c r="TP33" s="141">
        <f>IFERROR(VLOOKUP($D33,'Adient Assende (Belgium) WK.17'!$B:SL,TQ$1,0),0)</f>
        <v>20</v>
      </c>
      <c r="TQ33" s="140">
        <f>IFERROR(VLOOKUP($D33,'Adient Arendal (Malzia) WK.12'!$B:SM,TQ$1,0),0)</f>
        <v>0</v>
      </c>
      <c r="TR33" s="140">
        <f>IFERROR(VLOOKUP($D33,'Adient Taizhou (China) WK.16'!$B:SP,TQ$1,0),0)</f>
        <v>0</v>
      </c>
      <c r="TS33" s="128">
        <v>0</v>
      </c>
      <c r="TT33" s="32">
        <v>0</v>
      </c>
      <c r="TU33" s="100">
        <f t="shared" si="294"/>
        <v>0</v>
      </c>
      <c r="TW33" s="37">
        <f t="shared" si="227"/>
        <v>0</v>
      </c>
      <c r="TX33" s="141">
        <f>IFERROR(VLOOKUP($D33,'Adient Assende (Belgium) WK.17'!$B:ST,TY$1,0),0)</f>
        <v>20</v>
      </c>
      <c r="TY33" s="140">
        <f>IFERROR(VLOOKUP($D33,'Adient Arendal (Malzia) WK.12'!$B:SU,TY$1,0),0)</f>
        <v>0</v>
      </c>
      <c r="TZ33" s="140">
        <f>IFERROR(VLOOKUP($D33,'Adient Taizhou (China) WK.16'!$B:SX,TY$1,0),0)</f>
        <v>0</v>
      </c>
      <c r="UA33" s="128">
        <v>0</v>
      </c>
      <c r="UB33" s="32">
        <v>0</v>
      </c>
      <c r="UC33" s="100">
        <f t="shared" si="295"/>
        <v>-20</v>
      </c>
      <c r="UE33" s="37">
        <f t="shared" si="228"/>
        <v>-20</v>
      </c>
      <c r="UF33" s="141">
        <f>IFERROR(VLOOKUP($D33,'Adient Assende (Belgium) WK.17'!$B:TB,UG$1,0),0)</f>
        <v>20</v>
      </c>
      <c r="UG33" s="140">
        <f>IFERROR(VLOOKUP($D33,'Adient Arendal (Malzia) WK.12'!$B:TC,UG$1,0),0)</f>
        <v>0</v>
      </c>
      <c r="UH33" s="140">
        <f>IFERROR(VLOOKUP($D33,'Adient Taizhou (China) WK.16'!$B:TF,UG$1,0),0)</f>
        <v>0</v>
      </c>
      <c r="UI33" s="128">
        <v>0</v>
      </c>
      <c r="UJ33" s="32">
        <v>0</v>
      </c>
      <c r="UK33" s="100">
        <f t="shared" si="296"/>
        <v>-40</v>
      </c>
      <c r="UM33" s="37">
        <f t="shared" si="229"/>
        <v>-40</v>
      </c>
      <c r="UN33" s="141">
        <f>IFERROR(VLOOKUP($D33,'Adient Assende (Belgium) WK.17'!$B:TJ,UO$1,0),0)</f>
        <v>0</v>
      </c>
      <c r="UO33" s="140">
        <f>IFERROR(VLOOKUP($D33,'Adient Arendal (Malzia) WK.12'!$B:TK,UO$1,0),0)</f>
        <v>0</v>
      </c>
      <c r="UP33" s="140">
        <f>IFERROR(VLOOKUP($D33,'Adient Taizhou (China) WK.16'!$B:TN,UO$1,0),0)</f>
        <v>0</v>
      </c>
      <c r="UQ33" s="128">
        <v>0</v>
      </c>
      <c r="UR33" s="32">
        <v>0</v>
      </c>
      <c r="US33" s="100">
        <f t="shared" si="297"/>
        <v>-40</v>
      </c>
      <c r="UU33" s="37">
        <f t="shared" si="230"/>
        <v>-40</v>
      </c>
      <c r="UV33" s="141">
        <f>IFERROR(VLOOKUP($D33,'Adient Assende (Belgium) WK.17'!$B:TR,UW$1,0),0)</f>
        <v>0</v>
      </c>
      <c r="UW33" s="140">
        <f>IFERROR(VLOOKUP($D33,'Adient Arendal (Malzia) WK.12'!$B:TS,UW$1,0),0)</f>
        <v>0</v>
      </c>
      <c r="UX33" s="140">
        <f>IFERROR(VLOOKUP($D33,'Adient Taizhou (China) WK.16'!$B:TV,UW$1,0),0)</f>
        <v>0</v>
      </c>
      <c r="UY33" s="128">
        <v>0</v>
      </c>
      <c r="UZ33" s="32">
        <v>0</v>
      </c>
      <c r="VA33" s="100">
        <f t="shared" si="298"/>
        <v>-40</v>
      </c>
      <c r="VC33" s="37">
        <f t="shared" si="231"/>
        <v>-40</v>
      </c>
      <c r="VD33" s="141">
        <f>IFERROR(VLOOKUP($D33,'Adient Assende (Belgium) WK.17'!$B:TZ,VE$1,0),0)</f>
        <v>0</v>
      </c>
      <c r="VE33" s="140">
        <f>IFERROR(VLOOKUP($D33,'Adient Arendal (Malzia) WK.12'!$B:UA,VE$1,0),0)</f>
        <v>0</v>
      </c>
      <c r="VF33" s="140">
        <f>IFERROR(VLOOKUP($D33,'Adient Taizhou (China) WK.16'!$B:UD,VE$1,0),0)</f>
        <v>0</v>
      </c>
      <c r="VG33" s="128">
        <v>0</v>
      </c>
      <c r="VH33" s="32">
        <v>0</v>
      </c>
      <c r="VI33" s="100">
        <f t="shared" si="299"/>
        <v>-40</v>
      </c>
      <c r="VK33" s="37">
        <f t="shared" si="232"/>
        <v>-40</v>
      </c>
      <c r="VL33" s="141">
        <f>IFERROR(VLOOKUP($D33,'Adient Assende (Belgium) WK.17'!$B:UH,VM$1,0),0)</f>
        <v>0</v>
      </c>
      <c r="VM33" s="140">
        <f>IFERROR(VLOOKUP($D33,'Adient Arendal (Malzia) WK.12'!$B:UI,VM$1,0),0)</f>
        <v>0</v>
      </c>
      <c r="VN33" s="140">
        <f>IFERROR(VLOOKUP($D33,'Adient Taizhou (China) WK.16'!$B:UL,VM$1,0),0)</f>
        <v>0</v>
      </c>
      <c r="VO33" s="128">
        <v>0</v>
      </c>
      <c r="VP33" s="32">
        <v>0</v>
      </c>
      <c r="VQ33" s="100">
        <f t="shared" si="300"/>
        <v>-40</v>
      </c>
    </row>
    <row r="34" spans="1:589" x14ac:dyDescent="0.25">
      <c r="A34" s="10" t="s">
        <v>18</v>
      </c>
      <c r="B34" s="11" t="s">
        <v>19</v>
      </c>
      <c r="C34" s="87">
        <v>32248189</v>
      </c>
      <c r="D34" s="81">
        <v>4172806</v>
      </c>
      <c r="E34" s="11">
        <v>20</v>
      </c>
      <c r="F34" s="168"/>
      <c r="H34" s="122">
        <v>0</v>
      </c>
      <c r="I34" s="125">
        <f>IFERROR(VLOOKUP($D34,'Adient Assende (Belgium) WK.17'!$B:C,J$1,0),0)</f>
        <v>0</v>
      </c>
      <c r="J34" s="55">
        <f>IFERROR(VLOOKUP($D34,'Adient Arendal (Malzia) WK.12'!$B:C,J$1,0),0)</f>
        <v>0</v>
      </c>
      <c r="K34" s="55">
        <f>IFERROR(VLOOKUP($D34,'Adient Taizhou (China) WK.16'!$B:C,J$1,0),0)</f>
        <v>0</v>
      </c>
      <c r="L34" s="128">
        <v>0</v>
      </c>
      <c r="M34" s="32">
        <v>0</v>
      </c>
      <c r="N34" s="106">
        <f t="shared" si="233"/>
        <v>0</v>
      </c>
      <c r="P34" s="37">
        <f t="shared" si="234"/>
        <v>0</v>
      </c>
      <c r="Q34" s="125">
        <f>IFERROR(VLOOKUP($D34,'Adient Assende (Belgium) WK.17'!$B:K,R$1,0),0)</f>
        <v>0</v>
      </c>
      <c r="R34" s="55">
        <f>IFERROR(VLOOKUP($D34,'Adient Arendal (Malzia) WK.12'!$B:K,R$1,0),0)</f>
        <v>0</v>
      </c>
      <c r="S34" s="55">
        <f>IFERROR(VLOOKUP($D34,'Adient Taizhou (China) WK.16'!$B:K,R$1,0),0)</f>
        <v>0</v>
      </c>
      <c r="T34" s="41">
        <v>0</v>
      </c>
      <c r="U34" s="32">
        <v>0</v>
      </c>
      <c r="V34" s="106">
        <f t="shared" si="235"/>
        <v>0</v>
      </c>
      <c r="X34" s="37">
        <f t="shared" si="236"/>
        <v>0</v>
      </c>
      <c r="Y34" s="125">
        <f>IFERROR(VLOOKUP($D34,'Adient Assende (Belgium) WK.17'!$B:S,Z$1,0),0)</f>
        <v>0</v>
      </c>
      <c r="Z34" s="55">
        <f>IFERROR(VLOOKUP($D34,'Adient Arendal (Malzia) WK.12'!$B:S,Z$1,0),0)</f>
        <v>0</v>
      </c>
      <c r="AA34" s="55">
        <f>IFERROR(VLOOKUP($D34,'Adient Taizhou (China) WK.16'!$B:S,Z$1,0),0)</f>
        <v>0</v>
      </c>
      <c r="AB34" s="41">
        <v>0</v>
      </c>
      <c r="AC34" s="32">
        <v>0</v>
      </c>
      <c r="AD34" s="106">
        <f t="shared" si="237"/>
        <v>0</v>
      </c>
      <c r="AF34" s="37">
        <f t="shared" si="238"/>
        <v>0</v>
      </c>
      <c r="AG34" s="125">
        <f>IFERROR(VLOOKUP($D34,'Adient Assende (Belgium) WK.17'!$B:AA,AH$1,0),0)</f>
        <v>0</v>
      </c>
      <c r="AH34" s="55">
        <f>IFERROR(VLOOKUP($D34,'Adient Arendal (Malzia) WK.12'!$B:AA,AH$1,0),0)</f>
        <v>0</v>
      </c>
      <c r="AI34" s="55">
        <f>IFERROR(VLOOKUP($D34,'Adient Taizhou (China) WK.16'!$B:AA,AH$1,0),0)</f>
        <v>0</v>
      </c>
      <c r="AJ34" s="41">
        <v>0</v>
      </c>
      <c r="AK34" s="32">
        <v>0</v>
      </c>
      <c r="AL34" s="106">
        <f t="shared" si="239"/>
        <v>0</v>
      </c>
      <c r="AN34" s="37">
        <f t="shared" si="164"/>
        <v>0</v>
      </c>
      <c r="AO34" s="125">
        <f>IFERROR(VLOOKUP($D34,'Adient Assende (Belgium) WK.17'!$B:AI,AP$1,0),0)</f>
        <v>0</v>
      </c>
      <c r="AP34" s="55">
        <f>IFERROR(VLOOKUP($D34,'Adient Arendal (Malzia) WK.12'!$B:AI,AP$1,0),0)</f>
        <v>0</v>
      </c>
      <c r="AQ34" s="55">
        <f>IFERROR(VLOOKUP($D34,'Adient Taizhou (China) WK.16'!$B:AI,AP$1,0),0)</f>
        <v>0</v>
      </c>
      <c r="AR34" s="60">
        <v>0</v>
      </c>
      <c r="AS34" s="41">
        <v>0</v>
      </c>
      <c r="AT34" s="32">
        <v>0</v>
      </c>
      <c r="AU34" s="106">
        <f t="shared" si="240"/>
        <v>0</v>
      </c>
      <c r="AW34" s="37">
        <f t="shared" si="165"/>
        <v>0</v>
      </c>
      <c r="AX34" s="125">
        <f>IFERROR(VLOOKUP($D34,'Adient Assende (Belgium) WK.17'!$B:AR,AY$1,0),0)</f>
        <v>0</v>
      </c>
      <c r="AY34" s="55">
        <f>IFERROR(VLOOKUP($D34,'Adient Arendal (Malzia) WK.12'!$B:AR,AY$1,0),0)</f>
        <v>0</v>
      </c>
      <c r="AZ34" s="55">
        <f>IFERROR(VLOOKUP($D34,'Adient Taizhou (China) WK.16'!$B:AU,AY$1,0),0)</f>
        <v>0</v>
      </c>
      <c r="BA34" s="41">
        <v>0</v>
      </c>
      <c r="BB34" s="32">
        <v>0</v>
      </c>
      <c r="BC34" s="106">
        <f t="shared" si="241"/>
        <v>0</v>
      </c>
      <c r="BE34" s="37">
        <f t="shared" si="166"/>
        <v>0</v>
      </c>
      <c r="BF34" s="125">
        <f>IFERROR(VLOOKUP($D34,'Adient Assende (Belgium) WK.17'!$B:AX,BG$1,0),0)</f>
        <v>0</v>
      </c>
      <c r="BG34" s="55">
        <f>IFERROR(VLOOKUP($D34,'Adient Arendal (Malzia) WK.12'!$B:AZ,BG$1,0),0)</f>
        <v>0</v>
      </c>
      <c r="BH34" s="55">
        <f>IFERROR(VLOOKUP($D34,'Adient Taizhou (China) WK.16'!$B:BB,BG$1,0),0)</f>
        <v>0</v>
      </c>
      <c r="BI34" s="60">
        <v>0</v>
      </c>
      <c r="BJ34" s="60">
        <v>0</v>
      </c>
      <c r="BK34" s="41">
        <v>0</v>
      </c>
      <c r="BL34" s="32">
        <v>0</v>
      </c>
      <c r="BM34" s="106">
        <f t="shared" si="242"/>
        <v>0</v>
      </c>
      <c r="BN34" s="8"/>
      <c r="BO34" s="37">
        <f t="shared" si="167"/>
        <v>0</v>
      </c>
      <c r="BP34" s="125">
        <f>IFERROR(VLOOKUP($D34,'Adient Assende (Belgium) WK.17'!$B:BH,BQ$1,0),0)</f>
        <v>0</v>
      </c>
      <c r="BQ34" s="55">
        <f>IFERROR(VLOOKUP($D34,'Adient Arendal (Malzia) WK.12'!$B:BI,BQ$1,0),0)</f>
        <v>0</v>
      </c>
      <c r="BR34" s="55">
        <f>IFERROR(VLOOKUP($D34,'Adient Taizhou (China) WK.16'!$B:BL,BQ$1,0),0)</f>
        <v>0</v>
      </c>
      <c r="BS34" s="60">
        <v>0</v>
      </c>
      <c r="BT34" s="60">
        <v>0</v>
      </c>
      <c r="BU34" s="60">
        <v>0</v>
      </c>
      <c r="BV34" s="41">
        <v>0</v>
      </c>
      <c r="BW34" s="32">
        <v>0</v>
      </c>
      <c r="BX34" s="106">
        <f t="shared" si="243"/>
        <v>0</v>
      </c>
      <c r="BY34" s="8"/>
      <c r="BZ34" s="37">
        <f t="shared" si="168"/>
        <v>0</v>
      </c>
      <c r="CA34" s="125">
        <f>IFERROR(VLOOKUP($D34,'Adient Assende (Belgium) WK.17'!$B:BS,CB$1,0),0)</f>
        <v>0</v>
      </c>
      <c r="CB34" s="55">
        <f>IFERROR(VLOOKUP($D34,'Adient Arendal (Malzia) WK.12'!$B:BT,CB$1,0),0)</f>
        <v>0</v>
      </c>
      <c r="CC34" s="55">
        <f>IFERROR(VLOOKUP($D34,'Adient Taizhou (China) WK.16'!$B:BW,CB$1,0),0)</f>
        <v>0</v>
      </c>
      <c r="CD34" s="60">
        <v>0</v>
      </c>
      <c r="CE34" s="60">
        <v>0</v>
      </c>
      <c r="CF34" s="41">
        <v>0</v>
      </c>
      <c r="CG34" s="32">
        <v>0</v>
      </c>
      <c r="CH34" s="106">
        <f t="shared" si="244"/>
        <v>0</v>
      </c>
      <c r="CI34" s="8"/>
      <c r="CJ34" s="37">
        <f t="shared" si="169"/>
        <v>0</v>
      </c>
      <c r="CK34" s="125">
        <f>IFERROR(VLOOKUP($D34,'Adient Assende (Belgium) WK.17'!$B:CC,CL$1,0),0)</f>
        <v>0</v>
      </c>
      <c r="CL34" s="55">
        <f>IFERROR(VLOOKUP($D34,'Adient Arendal (Malzia) WK.12'!$B:CD,CL$1,0),0)</f>
        <v>0</v>
      </c>
      <c r="CM34" s="55">
        <f>IFERROR(VLOOKUP($D34,'Adient Taizhou (China) WK.16'!$B:CG,CL$1,0),0)</f>
        <v>0</v>
      </c>
      <c r="CN34" s="60">
        <v>0</v>
      </c>
      <c r="CO34" s="149">
        <v>0</v>
      </c>
      <c r="CP34" s="32">
        <v>0</v>
      </c>
      <c r="CQ34" s="106">
        <f t="shared" si="245"/>
        <v>0</v>
      </c>
      <c r="CR34" s="8"/>
      <c r="CS34" s="122">
        <f t="shared" si="170"/>
        <v>0</v>
      </c>
      <c r="CT34" s="154">
        <f>IFERROR(VLOOKUP($D34,'Adient Assende (Belgium) WK.17'!$B:CL,CU$1,0),0)</f>
        <v>0</v>
      </c>
      <c r="CU34" s="55">
        <f>IFERROR(VLOOKUP($D34,'Adient Arendal (Malzia) WK.12'!$B:CM,CU$1,0),0)</f>
        <v>0</v>
      </c>
      <c r="CV34" s="55">
        <f>IFERROR(VLOOKUP($D34,'Adient Taizhou (China) WK.16'!$B:CP,CU$1,0),0)</f>
        <v>0</v>
      </c>
      <c r="CW34" s="60">
        <v>0</v>
      </c>
      <c r="CX34" s="60">
        <v>0</v>
      </c>
      <c r="CY34" s="128">
        <v>0</v>
      </c>
      <c r="CZ34" s="32">
        <v>0</v>
      </c>
      <c r="DA34" s="106">
        <f t="shared" si="246"/>
        <v>0</v>
      </c>
      <c r="DB34" s="8"/>
      <c r="DC34" s="37">
        <f t="shared" si="171"/>
        <v>0</v>
      </c>
      <c r="DD34" s="125">
        <f>IFERROR(VLOOKUP($D34,'Adient Assende (Belgium) WK.17'!$B:CS,DE$1,0),0)</f>
        <v>0</v>
      </c>
      <c r="DE34" s="55">
        <f>IFERROR(VLOOKUP($D34,'Adient Arendal (Malzia) WK.12'!$B:CU,DE$1,0),0)</f>
        <v>0</v>
      </c>
      <c r="DF34" s="55">
        <f>IFERROR(VLOOKUP($D34,'Adient Taizhou (China) WK.16'!$B:CX,DE$1,0),0)</f>
        <v>0</v>
      </c>
      <c r="DG34" s="60">
        <v>0</v>
      </c>
      <c r="DH34" s="128">
        <v>0</v>
      </c>
      <c r="DI34" s="32">
        <v>0</v>
      </c>
      <c r="DJ34" s="106">
        <f t="shared" si="247"/>
        <v>0</v>
      </c>
      <c r="DL34" s="37">
        <f t="shared" si="172"/>
        <v>0</v>
      </c>
      <c r="DM34" s="125">
        <f>IFERROR(VLOOKUP($D34,'Adient Assende (Belgium) WK.17'!$B:DB,DN$1,0),0)</f>
        <v>0</v>
      </c>
      <c r="DN34" s="55">
        <f>IFERROR(VLOOKUP($D34,'Adient Arendal (Malzia) WK.12'!$B:DC,DN$1,0),0)</f>
        <v>0</v>
      </c>
      <c r="DO34" s="55">
        <f>IFERROR(VLOOKUP($D34,'Adient Taizhou (China) WK.16'!$B:DF,DN$1,0),0)</f>
        <v>0</v>
      </c>
      <c r="DP34" s="128">
        <v>0</v>
      </c>
      <c r="DQ34" s="32">
        <v>0</v>
      </c>
      <c r="DR34" s="106">
        <f t="shared" si="173"/>
        <v>0</v>
      </c>
      <c r="DS34" s="8"/>
      <c r="DT34" s="37">
        <f t="shared" si="174"/>
        <v>0</v>
      </c>
      <c r="DU34" s="125">
        <f>IFERROR(VLOOKUP($D34,'Adient Assende (Belgium) WK.17'!$B:DJ,DV$1,0),0)</f>
        <v>0</v>
      </c>
      <c r="DV34" s="55">
        <f>IFERROR(VLOOKUP($D34,'Adient Arendal (Malzia) WK.12'!$B:DK,DV$1,0),0)</f>
        <v>0</v>
      </c>
      <c r="DW34" s="55">
        <f>IFERROR(VLOOKUP($D34,'Adient Taizhou (China) WK.16'!$B:DN,DV$1,0),0)</f>
        <v>0</v>
      </c>
      <c r="DX34" s="60">
        <v>0</v>
      </c>
      <c r="DY34" s="60">
        <v>0</v>
      </c>
      <c r="DZ34" s="128">
        <v>0</v>
      </c>
      <c r="EA34" s="32">
        <v>0</v>
      </c>
      <c r="EB34" s="106">
        <f t="shared" si="248"/>
        <v>0</v>
      </c>
      <c r="EC34" s="8"/>
      <c r="ED34" s="37">
        <f t="shared" si="175"/>
        <v>0</v>
      </c>
      <c r="EE34" s="125">
        <f>IFERROR(VLOOKUP($D34,'Adient Assende (Belgium) WK.17'!$B:DR,EF$1,0),0)</f>
        <v>0</v>
      </c>
      <c r="EF34" s="55">
        <f>IFERROR(VLOOKUP($D34,'Adient Arendal (Malzia) WK.12'!$B:DS,EF$1,0),0)</f>
        <v>0</v>
      </c>
      <c r="EG34" s="55">
        <f>IFERROR(VLOOKUP($D34,'Adient Taizhou (China) WK.16'!$B:DV,EF$1,0),0)</f>
        <v>0</v>
      </c>
      <c r="EH34" s="60">
        <v>0</v>
      </c>
      <c r="EI34" s="128">
        <v>0</v>
      </c>
      <c r="EJ34" s="32">
        <v>0</v>
      </c>
      <c r="EK34" s="106">
        <f t="shared" si="249"/>
        <v>0</v>
      </c>
      <c r="EM34" s="37">
        <f t="shared" si="176"/>
        <v>0</v>
      </c>
      <c r="EN34" s="125">
        <f>IFERROR(VLOOKUP($D34,'Adient Assende (Belgium) WK.17'!$B:DZ,EO$1,0),0)</f>
        <v>0</v>
      </c>
      <c r="EO34" s="55">
        <f>IFERROR(VLOOKUP($D34,'Adient Arendal (Malzia) WK.12'!$B:EA,EO$1,0),0)</f>
        <v>0</v>
      </c>
      <c r="EP34" s="55">
        <f>IFERROR(VLOOKUP($D34,'Adient Taizhou (China) WK.16'!$B:ED,EO$1,0),0)</f>
        <v>0</v>
      </c>
      <c r="EQ34" s="128">
        <v>0</v>
      </c>
      <c r="ER34" s="32">
        <v>0</v>
      </c>
      <c r="ES34" s="106">
        <f t="shared" si="250"/>
        <v>0</v>
      </c>
      <c r="EU34" s="37">
        <f t="shared" si="177"/>
        <v>0</v>
      </c>
      <c r="EV34" s="125">
        <f>IFERROR(VLOOKUP($D34,'Adient Assende (Belgium) WK.17'!$B:EH,EW$1,0),0)</f>
        <v>0</v>
      </c>
      <c r="EW34" s="55">
        <f>IFERROR(VLOOKUP($D34,'Adient Arendal (Malzia) WK.12'!$B:EI,EW$1,0),0)</f>
        <v>0</v>
      </c>
      <c r="EX34" s="55">
        <f>IFERROR(VLOOKUP($D34,'Adient Taizhou (China) WK.16'!$B:EL,EW$1,0),0)</f>
        <v>0</v>
      </c>
      <c r="EY34" s="128">
        <v>0</v>
      </c>
      <c r="EZ34" s="32">
        <v>0</v>
      </c>
      <c r="FA34" s="106">
        <f t="shared" si="251"/>
        <v>0</v>
      </c>
      <c r="FC34" s="37">
        <f t="shared" si="178"/>
        <v>0</v>
      </c>
      <c r="FD34" s="154">
        <f>IFERROR(VLOOKUP($D34,'Adient Assende (Belgium) WK.17'!$B:EP,FE$1,0),0)</f>
        <v>0</v>
      </c>
      <c r="FE34" s="154">
        <f>IFERROR(VLOOKUP($D34,'Adient Arendal (Malzia) WK.12'!$B:EQ,FE$1,0),0)</f>
        <v>0</v>
      </c>
      <c r="FF34" s="154">
        <f>IFERROR(VLOOKUP($D34,'Adient Taizhou (China) WK.16'!$B:ET,FE$1,0),0)</f>
        <v>0</v>
      </c>
      <c r="FG34" s="128">
        <v>0</v>
      </c>
      <c r="FH34" s="32">
        <v>0</v>
      </c>
      <c r="FI34" s="106">
        <f t="shared" si="252"/>
        <v>0</v>
      </c>
      <c r="FK34" s="37">
        <f t="shared" si="179"/>
        <v>0</v>
      </c>
      <c r="FL34" s="125">
        <f>IFERROR(VLOOKUP($D34,'Adient Assende (Belgium) WK.17'!$B:EX,FM$1,0),0)</f>
        <v>0</v>
      </c>
      <c r="FM34" s="55">
        <f>IFERROR(VLOOKUP($D34,'Adient Arendal (Malzia) WK.12'!$B:EY,FM$1,0),0)</f>
        <v>0</v>
      </c>
      <c r="FN34" s="55">
        <f>IFERROR(VLOOKUP($D34,'Adient Taizhou (China) WK.16'!$B:FB,FM$1,0),0)</f>
        <v>0</v>
      </c>
      <c r="FO34" s="128">
        <v>0</v>
      </c>
      <c r="FP34" s="32">
        <v>0</v>
      </c>
      <c r="FQ34" s="106">
        <f t="shared" si="253"/>
        <v>0</v>
      </c>
      <c r="FR34" s="8"/>
      <c r="FS34" s="37">
        <f t="shared" si="180"/>
        <v>0</v>
      </c>
      <c r="FT34" s="125">
        <f>IFERROR(VLOOKUP($D34,'Adient Assende (Belgium) WK.17'!$B:FF,FU$1,0),0)</f>
        <v>0</v>
      </c>
      <c r="FU34" s="55">
        <f>IFERROR(VLOOKUP($D34,'Adient Arendal (Malzia) WK.12'!$B:FG,FU$1,0),0)</f>
        <v>0</v>
      </c>
      <c r="FV34" s="55">
        <f>IFERROR(VLOOKUP($D34,'Adient Taizhou (China) WK.16'!$B:FJ,FU$1,0),0)</f>
        <v>0</v>
      </c>
      <c r="FW34" s="60">
        <v>0</v>
      </c>
      <c r="FX34" s="60">
        <v>0</v>
      </c>
      <c r="FY34" s="60">
        <v>0</v>
      </c>
      <c r="FZ34" s="60">
        <v>0</v>
      </c>
      <c r="GA34" s="60">
        <v>0</v>
      </c>
      <c r="GB34" s="128">
        <v>0</v>
      </c>
      <c r="GC34" s="32">
        <v>0</v>
      </c>
      <c r="GD34" s="106">
        <f t="shared" si="254"/>
        <v>0</v>
      </c>
      <c r="GF34" s="37">
        <f t="shared" si="181"/>
        <v>0</v>
      </c>
      <c r="GG34" s="125">
        <f>IFERROR(VLOOKUP($D34,'Adient Assende (Belgium) WK.17'!$B:FN,GH$1,0),0)</f>
        <v>0</v>
      </c>
      <c r="GH34" s="55">
        <f>IFERROR(VLOOKUP($D34,'Adient Arendal (Malzia) WK.12'!$B:FO,GH$1,0),0)</f>
        <v>0</v>
      </c>
      <c r="GI34" s="55">
        <f>IFERROR(VLOOKUP($D34,'Adient Taizhou (China) WK.16'!$B:FR,GH$1,0),0)</f>
        <v>0</v>
      </c>
      <c r="GJ34" s="60">
        <v>0</v>
      </c>
      <c r="GK34" s="128">
        <v>0</v>
      </c>
      <c r="GL34" s="32">
        <v>0</v>
      </c>
      <c r="GM34" s="106">
        <f t="shared" si="255"/>
        <v>0</v>
      </c>
      <c r="GO34" s="37">
        <f t="shared" si="182"/>
        <v>0</v>
      </c>
      <c r="GP34" s="125">
        <f>IFERROR(VLOOKUP($D34,'Adient Assende (Belgium) WK.17'!$B:FV,GQ$1,0),0)</f>
        <v>0</v>
      </c>
      <c r="GQ34" s="55">
        <f>IFERROR(VLOOKUP($D34,'Adient Arendal (Malzia) WK.12'!$B:FW,GQ$1,0),0)</f>
        <v>0</v>
      </c>
      <c r="GR34" s="55">
        <f>IFERROR(VLOOKUP($D34,'Adient Taizhou (China) WK.16'!$B:FZ,GQ$1,0),0)</f>
        <v>0</v>
      </c>
      <c r="GS34" s="60">
        <v>0</v>
      </c>
      <c r="GT34" s="128">
        <v>0</v>
      </c>
      <c r="GU34" s="32">
        <v>0</v>
      </c>
      <c r="GV34" s="106">
        <f t="shared" si="256"/>
        <v>0</v>
      </c>
      <c r="GW34" s="8"/>
      <c r="GX34" s="37">
        <f t="shared" si="183"/>
        <v>0</v>
      </c>
      <c r="GY34" s="125">
        <f>IFERROR(VLOOKUP($D34,'Adient Assende (Belgium) WK.17'!$B:GD,GZ$1,0),0)</f>
        <v>0</v>
      </c>
      <c r="GZ34" s="55">
        <f>IFERROR(VLOOKUP($D34,'Adient Arendal (Malzia) WK.12'!$B:GE,GZ$1,0),0)</f>
        <v>0</v>
      </c>
      <c r="HA34" s="55">
        <f>IFERROR(VLOOKUP($D34,'Adient Taizhou (China) WK.16'!$B:GH,GZ$1,0),0)</f>
        <v>0</v>
      </c>
      <c r="HB34" s="60">
        <v>0</v>
      </c>
      <c r="HC34" s="128">
        <v>0</v>
      </c>
      <c r="HD34" s="32">
        <v>0</v>
      </c>
      <c r="HE34" s="106">
        <f t="shared" si="257"/>
        <v>0</v>
      </c>
      <c r="HF34" s="8"/>
      <c r="HG34" s="37">
        <f t="shared" si="184"/>
        <v>0</v>
      </c>
      <c r="HH34" s="125">
        <f>IFERROR(VLOOKUP($D34,'Adient Assende (Belgium) WK.17'!$B:GL,HI$1,0),0)</f>
        <v>0</v>
      </c>
      <c r="HI34" s="55">
        <f>IFERROR(VLOOKUP($D34,'Adient Arendal (Malzia) WK.12'!$B:GM,HI$1,0),0)</f>
        <v>0</v>
      </c>
      <c r="HJ34" s="55">
        <f>IFERROR(VLOOKUP($D34,'Adient Taizhou (China) WK.16'!$B:GP,HI$1,0),0)</f>
        <v>0</v>
      </c>
      <c r="HK34" s="60">
        <v>0</v>
      </c>
      <c r="HL34" s="128">
        <v>0</v>
      </c>
      <c r="HM34" s="32">
        <v>0</v>
      </c>
      <c r="HN34" s="106">
        <f t="shared" si="258"/>
        <v>0</v>
      </c>
      <c r="HO34" s="8"/>
      <c r="HP34" s="37">
        <f t="shared" si="185"/>
        <v>0</v>
      </c>
      <c r="HQ34" s="125">
        <f>IFERROR(VLOOKUP($D34,'Adient Assende (Belgium) WK.17'!$B:GT,HR$1,0),0)</f>
        <v>0</v>
      </c>
      <c r="HR34" s="55">
        <f>IFERROR(VLOOKUP($D34,'Adient Arendal (Malzia) WK.12'!$B:GU,HR$1,0),0)</f>
        <v>0</v>
      </c>
      <c r="HS34" s="55">
        <f>IFERROR(VLOOKUP($D34,'Adient Taizhou (China) WK.16'!$B:GX,HR$1,0),0)</f>
        <v>0</v>
      </c>
      <c r="HT34" s="60">
        <v>0</v>
      </c>
      <c r="HU34" s="128">
        <v>0</v>
      </c>
      <c r="HV34" s="32">
        <v>0</v>
      </c>
      <c r="HW34" s="106">
        <f t="shared" si="259"/>
        <v>0</v>
      </c>
      <c r="HX34" s="8"/>
      <c r="HY34" s="37">
        <f t="shared" si="186"/>
        <v>0</v>
      </c>
      <c r="HZ34" s="125">
        <f>IFERROR(VLOOKUP($D34,'Adient Assende (Belgium) WK.17'!$B:HB,IA$1,0),0)</f>
        <v>0</v>
      </c>
      <c r="IA34" s="55">
        <f>IFERROR(VLOOKUP($D34,'Adient Arendal (Malzia) WK.12'!$B:HC,IA$1,0),0)</f>
        <v>0</v>
      </c>
      <c r="IB34" s="55">
        <f>IFERROR(VLOOKUP($D34,'Adient Taizhou (China) WK.16'!$B:HF,IA$1,0),0)</f>
        <v>0</v>
      </c>
      <c r="IC34" s="60">
        <v>0</v>
      </c>
      <c r="ID34" s="128">
        <v>0</v>
      </c>
      <c r="IE34" s="32">
        <v>0</v>
      </c>
      <c r="IF34" s="106">
        <f t="shared" si="260"/>
        <v>0</v>
      </c>
      <c r="IG34" s="8"/>
      <c r="IH34" s="37">
        <f t="shared" si="187"/>
        <v>0</v>
      </c>
      <c r="II34" s="125">
        <f>IFERROR(VLOOKUP($D34,'Adient Assende (Belgium) WK.17'!$B:HJ,IJ$1,0),0)</f>
        <v>0</v>
      </c>
      <c r="IJ34" s="55">
        <f>IFERROR(VLOOKUP($D34,'Adient Arendal (Malzia) WK.12'!$B:HK,IJ$1,0),0)</f>
        <v>0</v>
      </c>
      <c r="IK34" s="55">
        <f>IFERROR(VLOOKUP($D34,'Adient Taizhou (China) WK.16'!$B:HN,IJ$1,0),0)</f>
        <v>0</v>
      </c>
      <c r="IL34" s="128">
        <v>0</v>
      </c>
      <c r="IM34" s="32">
        <v>0</v>
      </c>
      <c r="IN34" s="106">
        <f t="shared" si="188"/>
        <v>0</v>
      </c>
      <c r="IO34" s="8"/>
      <c r="IP34" s="37">
        <f t="shared" si="189"/>
        <v>0</v>
      </c>
      <c r="IQ34" s="125">
        <f>IFERROR(VLOOKUP($D34,'Adient Assende (Belgium) WK.17'!$B:HR,IR$1,0),0)</f>
        <v>0</v>
      </c>
      <c r="IR34" s="55">
        <f>IFERROR(VLOOKUP($D34,'Adient Arendal (Malzia) WK.12'!$B:HS,IR$1,0),0)</f>
        <v>0</v>
      </c>
      <c r="IS34" s="55">
        <f>IFERROR(VLOOKUP($D34,'Adient Taizhou (China) WK.16'!$B:HV,IR$1,0),0)</f>
        <v>0</v>
      </c>
      <c r="IT34" s="60">
        <v>0</v>
      </c>
      <c r="IU34" s="128">
        <v>0</v>
      </c>
      <c r="IV34" s="32">
        <v>0</v>
      </c>
      <c r="IW34" s="106">
        <f t="shared" si="261"/>
        <v>0</v>
      </c>
      <c r="IX34" s="8"/>
      <c r="IY34" s="37">
        <f t="shared" si="190"/>
        <v>0</v>
      </c>
      <c r="IZ34" s="125">
        <f>IFERROR(VLOOKUP($D34,'Adient Assende (Belgium) WK.17'!$B:HZ,JA$1,0),0)</f>
        <v>0</v>
      </c>
      <c r="JA34" s="55">
        <f>IFERROR(VLOOKUP($D34,'Adient Arendal (Malzia) WK.12'!$B:IA,JA$1,0),0)</f>
        <v>0</v>
      </c>
      <c r="JB34" s="55">
        <f>IFERROR(VLOOKUP($D34,'Adient Taizhou (China) WK.16'!$B:ID,JA$1,0),0)</f>
        <v>0</v>
      </c>
      <c r="JC34" s="128">
        <v>0</v>
      </c>
      <c r="JD34" s="32">
        <v>0</v>
      </c>
      <c r="JE34" s="106">
        <f t="shared" si="191"/>
        <v>0</v>
      </c>
      <c r="JF34" s="8"/>
      <c r="JG34" s="37">
        <f t="shared" si="192"/>
        <v>0</v>
      </c>
      <c r="JH34" s="125">
        <f>IFERROR(VLOOKUP($D34,'Adient Assende (Belgium) WK.17'!$B:IH,JI$1,0),0)</f>
        <v>0</v>
      </c>
      <c r="JI34" s="55">
        <f>IFERROR(VLOOKUP($D34,'Adient Arendal (Malzia) WK.12'!$B:II,JI$1,0),0)</f>
        <v>0</v>
      </c>
      <c r="JJ34" s="55">
        <f>IFERROR(VLOOKUP($D34,'Adient Taizhou (China) WK.16'!$B:IL,JI$1,0),0)</f>
        <v>0</v>
      </c>
      <c r="JK34" s="60">
        <v>0</v>
      </c>
      <c r="JL34" s="128">
        <v>0</v>
      </c>
      <c r="JM34" s="32">
        <v>0</v>
      </c>
      <c r="JN34" s="106">
        <f t="shared" si="262"/>
        <v>0</v>
      </c>
      <c r="JO34" s="8"/>
      <c r="JP34" s="37">
        <f t="shared" si="193"/>
        <v>0</v>
      </c>
      <c r="JQ34" s="125">
        <f>IFERROR(VLOOKUP($D34,'Adient Assende (Belgium) WK.17'!$B:IP,JR$1,0),0)</f>
        <v>0</v>
      </c>
      <c r="JR34" s="55">
        <f>IFERROR(VLOOKUP($D34,'Adient Arendal (Malzia) WK.12'!$B:IQ,JR$1,0),0)</f>
        <v>0</v>
      </c>
      <c r="JS34" s="55">
        <f>IFERROR(VLOOKUP($D34,'Adient Taizhou (China) WK.16'!$B:IT,JR$1,0),0)</f>
        <v>0</v>
      </c>
      <c r="JT34" s="128">
        <v>0</v>
      </c>
      <c r="JU34" s="32">
        <v>0</v>
      </c>
      <c r="JV34" s="106">
        <f t="shared" si="194"/>
        <v>0</v>
      </c>
      <c r="JW34" s="8"/>
      <c r="JX34" s="37">
        <f t="shared" si="195"/>
        <v>0</v>
      </c>
      <c r="JY34" s="154">
        <f>IFERROR(VLOOKUP($D34,'Adient Assende (Belgium) WK.17'!$B:IX,JZ$1,0),0)</f>
        <v>0</v>
      </c>
      <c r="JZ34" s="55">
        <f>IFERROR(VLOOKUP($D34,'Adient Arendal (Malzia) WK.12'!$B:IY,JZ$1,0),0)</f>
        <v>0</v>
      </c>
      <c r="KA34" s="55">
        <f>IFERROR(VLOOKUP($D34,'Adient Taizhou (China) WK.16'!$B:JB,JZ$1,0),0)</f>
        <v>0</v>
      </c>
      <c r="KB34" s="128">
        <v>0</v>
      </c>
      <c r="KC34" s="32">
        <v>0</v>
      </c>
      <c r="KD34" s="106">
        <f t="shared" si="263"/>
        <v>0</v>
      </c>
      <c r="KE34" s="8"/>
      <c r="KF34" s="37">
        <f t="shared" si="196"/>
        <v>0</v>
      </c>
      <c r="KG34" s="125">
        <f>IFERROR(VLOOKUP($D34,'Adient Assende (Belgium) WK.17'!$B:JF,KH$1,0),0)</f>
        <v>0</v>
      </c>
      <c r="KH34" s="55">
        <f>IFERROR(VLOOKUP($D34,'Adient Arendal (Malzia) WK.12'!$B:JG,KH$1,0),0)</f>
        <v>0</v>
      </c>
      <c r="KI34" s="55">
        <f>IFERROR(VLOOKUP($D34,'Adient Taizhou (China) WK.16'!$B:JJ,KH$1,0),0)</f>
        <v>0</v>
      </c>
      <c r="KJ34" s="60">
        <v>0</v>
      </c>
      <c r="KK34" s="128">
        <v>0</v>
      </c>
      <c r="KL34" s="32">
        <v>0</v>
      </c>
      <c r="KM34" s="106">
        <f t="shared" si="264"/>
        <v>0</v>
      </c>
      <c r="KN34" s="8"/>
      <c r="KO34" s="37">
        <f t="shared" si="197"/>
        <v>0</v>
      </c>
      <c r="KP34" s="141">
        <f>IFERROR(VLOOKUP($D34,'Adient Assende (Belgium) WK.17'!$B:JN,KQ$1,0),0)</f>
        <v>0</v>
      </c>
      <c r="KQ34" s="140">
        <f>IFERROR(VLOOKUP($D34,'Adient Arendal (Malzia) WK.12'!$B:JO,KQ$1,0),0)</f>
        <v>0</v>
      </c>
      <c r="KR34" s="140">
        <f>IFERROR(VLOOKUP($D34,'Adient Taizhou (China) WK.16'!$B:JR,KQ$1,0),0)</f>
        <v>0</v>
      </c>
      <c r="KS34" s="60">
        <v>0</v>
      </c>
      <c r="KT34" s="128">
        <v>0</v>
      </c>
      <c r="KU34" s="32">
        <v>0</v>
      </c>
      <c r="KV34" s="106">
        <f t="shared" si="265"/>
        <v>0</v>
      </c>
      <c r="KX34" s="37">
        <f t="shared" si="198"/>
        <v>0</v>
      </c>
      <c r="KY34" s="141">
        <f>IFERROR(VLOOKUP($D34,'Adient Assende (Belgium) WK.17'!$B:JV,KZ$1,0),0)</f>
        <v>0</v>
      </c>
      <c r="KZ34" s="140">
        <f>IFERROR(VLOOKUP($D34,'Adient Arendal (Malzia) WK.12'!$B:JW,KZ$1,0),0)</f>
        <v>0</v>
      </c>
      <c r="LA34" s="140">
        <f>IFERROR(VLOOKUP($D34,'Adient Taizhou (China) WK.16'!$B:JZ,KZ$1,0),0)</f>
        <v>0</v>
      </c>
      <c r="LB34" s="128">
        <v>0</v>
      </c>
      <c r="LC34" s="32">
        <v>0</v>
      </c>
      <c r="LD34" s="106">
        <f t="shared" si="266"/>
        <v>0</v>
      </c>
      <c r="LF34" s="37">
        <f t="shared" si="199"/>
        <v>0</v>
      </c>
      <c r="LG34" s="141">
        <f>IFERROR(VLOOKUP($D34,'Adient Assende (Belgium) WK.17'!$B:KD,LH$1,0),0)</f>
        <v>0</v>
      </c>
      <c r="LH34" s="140">
        <f>IFERROR(VLOOKUP($D34,'Adient Arendal (Malzia) WK.12'!$B:KE,LH$1,0),0)</f>
        <v>0</v>
      </c>
      <c r="LI34" s="140">
        <f>IFERROR(VLOOKUP($D34,'Adient Taizhou (China) WK.16'!$B:KH,LH$1,0),0)</f>
        <v>0</v>
      </c>
      <c r="LJ34" s="60">
        <v>0</v>
      </c>
      <c r="LK34" s="128">
        <v>0</v>
      </c>
      <c r="LL34" s="32">
        <v>0</v>
      </c>
      <c r="LM34" s="100">
        <f t="shared" si="267"/>
        <v>0</v>
      </c>
      <c r="LO34" s="37">
        <f t="shared" si="200"/>
        <v>0</v>
      </c>
      <c r="LP34" s="141">
        <f>IFERROR(VLOOKUP($D34,'Adient Assende (Belgium) WK.17'!$B:KL,LQ$1,0),0)</f>
        <v>0</v>
      </c>
      <c r="LQ34" s="140">
        <f>IFERROR(VLOOKUP($D34,'Adient Arendal (Malzia) WK.12'!$B:KM,LQ$1,0),0)</f>
        <v>0</v>
      </c>
      <c r="LR34" s="140">
        <f>IFERROR(VLOOKUP($D34,'Adient Taizhou (China) WK.16'!$B:KP,LQ$1,0),0)</f>
        <v>0</v>
      </c>
      <c r="LS34" s="128">
        <v>0</v>
      </c>
      <c r="LT34" s="32">
        <v>0</v>
      </c>
      <c r="LU34" s="100">
        <f t="shared" si="268"/>
        <v>0</v>
      </c>
      <c r="LW34" s="37">
        <f t="shared" si="201"/>
        <v>0</v>
      </c>
      <c r="LX34" s="141">
        <f>IFERROR(VLOOKUP($D34,'Adient Assende (Belgium) WK.17'!$B:KT,LY$1,0),0)</f>
        <v>0</v>
      </c>
      <c r="LY34" s="140">
        <f>IFERROR(VLOOKUP($D34,'Adient Arendal (Malzia) WK.12'!$B:KU,LY$1,0),0)</f>
        <v>0</v>
      </c>
      <c r="LZ34" s="140">
        <f>IFERROR(VLOOKUP($D34,'Adient Taizhou (China) WK.16'!$B:KX,LY$1,0),0)</f>
        <v>0</v>
      </c>
      <c r="MA34" s="128">
        <v>0</v>
      </c>
      <c r="MB34" s="32">
        <v>0</v>
      </c>
      <c r="MC34" s="100">
        <f t="shared" si="269"/>
        <v>0</v>
      </c>
      <c r="ME34" s="37">
        <f t="shared" si="202"/>
        <v>0</v>
      </c>
      <c r="MF34" s="154">
        <f>IFERROR(VLOOKUP($D34,'Adient Assende (Belgium) WK.17'!$B:LB,MG$1,0),0)</f>
        <v>0</v>
      </c>
      <c r="MG34" s="140">
        <f>IFERROR(VLOOKUP($D34,'Adient Arendal (Malzia) WK.12'!$B:LC,MG$1,0),0)</f>
        <v>0</v>
      </c>
      <c r="MH34" s="140">
        <f>IFERROR(VLOOKUP($D34,'Adient Taizhou (China) WK.16'!$B:LF,MG$1,0),0)</f>
        <v>0</v>
      </c>
      <c r="MI34" s="128">
        <v>0</v>
      </c>
      <c r="MJ34" s="32">
        <v>0</v>
      </c>
      <c r="MK34" s="100">
        <f t="shared" si="270"/>
        <v>0</v>
      </c>
      <c r="MM34" s="37">
        <f t="shared" si="203"/>
        <v>0</v>
      </c>
      <c r="MN34" s="141">
        <f>IFERROR(VLOOKUP($D34,'Adient Assende (Belgium) WK.17'!$B:LJ,MO$1,0),0)</f>
        <v>0</v>
      </c>
      <c r="MO34" s="140">
        <f>IFERROR(VLOOKUP($D34,'Adient Arendal (Malzia) WK.12'!$B:LK,MO$1,0),0)</f>
        <v>0</v>
      </c>
      <c r="MP34" s="140">
        <f>IFERROR(VLOOKUP($D34,'Adient Taizhou (China) WK.16'!$B:LN,MO$1,0),0)</f>
        <v>0</v>
      </c>
      <c r="MQ34" s="128">
        <v>0</v>
      </c>
      <c r="MR34" s="32">
        <v>0</v>
      </c>
      <c r="MS34" s="100">
        <f t="shared" si="271"/>
        <v>0</v>
      </c>
      <c r="MU34" s="37">
        <f t="shared" si="204"/>
        <v>0</v>
      </c>
      <c r="MV34" s="141">
        <f>IFERROR(VLOOKUP($D34,'Adient Assende (Belgium) WK.17'!$B:LR,MW$1,0),0)</f>
        <v>0</v>
      </c>
      <c r="MW34" s="140">
        <f>IFERROR(VLOOKUP($D34,'Adient Arendal (Malzia) WK.12'!$B:LS,MW$1,0),0)</f>
        <v>0</v>
      </c>
      <c r="MX34" s="140">
        <f>IFERROR(VLOOKUP($D34,'Adient Taizhou (China) WK.16'!$B:LV,MW$1,0),0)</f>
        <v>0</v>
      </c>
      <c r="MY34" s="128">
        <v>0</v>
      </c>
      <c r="MZ34" s="32">
        <v>0</v>
      </c>
      <c r="NA34" s="100">
        <f t="shared" si="272"/>
        <v>0</v>
      </c>
      <c r="NC34" s="37">
        <f t="shared" si="205"/>
        <v>0</v>
      </c>
      <c r="ND34" s="141">
        <f>IFERROR(VLOOKUP($D34,'Adient Assende (Belgium) WK.17'!$B:LZ,NE$1,0),0)</f>
        <v>0</v>
      </c>
      <c r="NE34" s="140">
        <f>IFERROR(VLOOKUP($D34,'Adient Arendal (Malzia) WK.12'!$B:MA,NE$1,0),0)</f>
        <v>0</v>
      </c>
      <c r="NF34" s="140">
        <f>IFERROR(VLOOKUP($D34,'Adient Taizhou (China) WK.16'!$B:MD,NE$1,0),0)</f>
        <v>0</v>
      </c>
      <c r="NG34" s="128">
        <v>0</v>
      </c>
      <c r="NH34" s="32">
        <v>0</v>
      </c>
      <c r="NI34" s="100">
        <f t="shared" si="273"/>
        <v>0</v>
      </c>
      <c r="NK34" s="37">
        <f t="shared" si="206"/>
        <v>0</v>
      </c>
      <c r="NL34" s="141">
        <f>IFERROR(VLOOKUP($D34,'Adient Assende (Belgium) WK.17'!$B:MH,NM$1,0),0)</f>
        <v>0</v>
      </c>
      <c r="NM34" s="140">
        <f>IFERROR(VLOOKUP($D34,'Adient Arendal (Malzia) WK.12'!$B:MI,NM$1,0),0)</f>
        <v>0</v>
      </c>
      <c r="NN34" s="140">
        <f>IFERROR(VLOOKUP($D34,'Adient Taizhou (China) WK.16'!$B:ML,NM$1,0),0)</f>
        <v>0</v>
      </c>
      <c r="NO34" s="128">
        <v>0</v>
      </c>
      <c r="NP34" s="32">
        <v>0</v>
      </c>
      <c r="NQ34" s="100">
        <f t="shared" si="274"/>
        <v>0</v>
      </c>
      <c r="NS34" s="37">
        <f t="shared" si="207"/>
        <v>0</v>
      </c>
      <c r="NT34" s="141">
        <f>IFERROR(VLOOKUP($D34,'Adient Assende (Belgium) WK.17'!$B:MP,NU$1,0),0)</f>
        <v>0</v>
      </c>
      <c r="NU34" s="140">
        <f>IFERROR(VLOOKUP($D34,'Adient Arendal (Malzia) WK.12'!$B:MQ,NU$1,0),0)</f>
        <v>0</v>
      </c>
      <c r="NV34" s="140">
        <f>IFERROR(VLOOKUP($D34,'Adient Taizhou (China) WK.16'!$B:MT,NU$1,0),0)</f>
        <v>0</v>
      </c>
      <c r="NW34" s="128">
        <v>0</v>
      </c>
      <c r="NX34" s="32">
        <v>0</v>
      </c>
      <c r="NY34" s="100">
        <f t="shared" si="275"/>
        <v>0</v>
      </c>
      <c r="OA34" s="37">
        <f t="shared" si="208"/>
        <v>0</v>
      </c>
      <c r="OB34" s="141">
        <f>IFERROR(VLOOKUP($D34,'Adient Assende (Belgium) WK.17'!$B:MX,OC$1,0),0)</f>
        <v>0</v>
      </c>
      <c r="OC34" s="140">
        <f>IFERROR(VLOOKUP($D34,'Adient Arendal (Malzia) WK.12'!$B:MY,OC$1,0),0)</f>
        <v>0</v>
      </c>
      <c r="OD34" s="140">
        <f>IFERROR(VLOOKUP($D34,'Adient Taizhou (China) WK.16'!$B:NB,OC$1,0),0)</f>
        <v>0</v>
      </c>
      <c r="OE34" s="128">
        <v>0</v>
      </c>
      <c r="OF34" s="32">
        <v>0</v>
      </c>
      <c r="OG34" s="100">
        <f t="shared" si="276"/>
        <v>0</v>
      </c>
      <c r="OI34" s="37">
        <f t="shared" si="209"/>
        <v>0</v>
      </c>
      <c r="OJ34" s="141">
        <f>IFERROR(VLOOKUP($D34,'Adient Assende (Belgium) WK.17'!$B:NF,OK$1,0),0)</f>
        <v>0</v>
      </c>
      <c r="OK34" s="140">
        <f>IFERROR(VLOOKUP($D34,'Adient Arendal (Malzia) WK.12'!$B:NG,OK$1,0),0)</f>
        <v>0</v>
      </c>
      <c r="OL34" s="140">
        <f>IFERROR(VLOOKUP($D34,'Adient Taizhou (China) WK.16'!$B:NJ,OK$1,0),0)</f>
        <v>0</v>
      </c>
      <c r="OM34" s="128">
        <v>0</v>
      </c>
      <c r="ON34" s="32">
        <v>0</v>
      </c>
      <c r="OO34" s="100">
        <f t="shared" si="277"/>
        <v>0</v>
      </c>
      <c r="OQ34" s="37">
        <f t="shared" si="210"/>
        <v>0</v>
      </c>
      <c r="OR34" s="141">
        <f>IFERROR(VLOOKUP($D34,'Adient Assende (Belgium) WK.17'!$B:NN,OS$1,0),0)</f>
        <v>0</v>
      </c>
      <c r="OS34" s="140">
        <f>IFERROR(VLOOKUP($D34,'Adient Arendal (Malzia) WK.12'!$B:NO,OS$1,0),0)</f>
        <v>0</v>
      </c>
      <c r="OT34" s="140">
        <f>IFERROR(VLOOKUP($D34,'Adient Taizhou (China) WK.16'!$B:NR,OS$1,0),0)</f>
        <v>0</v>
      </c>
      <c r="OU34" s="128">
        <v>0</v>
      </c>
      <c r="OV34" s="32">
        <v>0</v>
      </c>
      <c r="OW34" s="100">
        <f t="shared" si="278"/>
        <v>0</v>
      </c>
      <c r="OY34" s="37">
        <f t="shared" si="211"/>
        <v>0</v>
      </c>
      <c r="OZ34" s="141">
        <f>IFERROR(VLOOKUP($D34,'Adient Assende (Belgium) WK.17'!$B:NV,PA$1,0),0)</f>
        <v>0</v>
      </c>
      <c r="PA34" s="140">
        <f>IFERROR(VLOOKUP($D34,'Adient Arendal (Malzia) WK.12'!$B:NW,PA$1,0),0)</f>
        <v>0</v>
      </c>
      <c r="PB34" s="140">
        <f>IFERROR(VLOOKUP($D34,'Adient Taizhou (China) WK.16'!$B:NZ,PA$1,0),0)</f>
        <v>0</v>
      </c>
      <c r="PC34" s="128">
        <v>0</v>
      </c>
      <c r="PD34" s="32">
        <v>0</v>
      </c>
      <c r="PE34" s="100">
        <f t="shared" si="279"/>
        <v>0</v>
      </c>
      <c r="PG34" s="37">
        <f t="shared" si="212"/>
        <v>0</v>
      </c>
      <c r="PH34" s="141">
        <f>IFERROR(VLOOKUP($D34,'Adient Assende (Belgium) WK.17'!$B:OD,PI$1,0),0)</f>
        <v>0</v>
      </c>
      <c r="PI34" s="140">
        <f>IFERROR(VLOOKUP($D34,'Adient Arendal (Malzia) WK.12'!$B:OE,PI$1,0),0)</f>
        <v>0</v>
      </c>
      <c r="PJ34" s="140">
        <f>IFERROR(VLOOKUP($D34,'Adient Taizhou (China) WK.16'!$B:OH,PI$1,0),0)</f>
        <v>0</v>
      </c>
      <c r="PK34" s="128">
        <v>0</v>
      </c>
      <c r="PL34" s="32">
        <v>0</v>
      </c>
      <c r="PM34" s="100">
        <f t="shared" si="280"/>
        <v>0</v>
      </c>
      <c r="PO34" s="37">
        <f t="shared" si="213"/>
        <v>0</v>
      </c>
      <c r="PP34" s="141">
        <f>IFERROR(VLOOKUP($D34,'Adient Assende (Belgium) WK.17'!$B:OL,PQ$1,0),0)</f>
        <v>0</v>
      </c>
      <c r="PQ34" s="140">
        <f>IFERROR(VLOOKUP($D34,'Adient Arendal (Malzia) WK.12'!$B:OM,PQ$1,0),0)</f>
        <v>0</v>
      </c>
      <c r="PR34" s="140">
        <f>IFERROR(VLOOKUP($D34,'Adient Taizhou (China) WK.16'!$B:OP,PQ$1,0),0)</f>
        <v>0</v>
      </c>
      <c r="PS34" s="128">
        <v>0</v>
      </c>
      <c r="PT34" s="32">
        <v>0</v>
      </c>
      <c r="PU34" s="100">
        <f t="shared" si="281"/>
        <v>0</v>
      </c>
      <c r="PW34" s="37">
        <f t="shared" si="214"/>
        <v>0</v>
      </c>
      <c r="PX34" s="141">
        <f>IFERROR(VLOOKUP($D34,'Adient Assende (Belgium) WK.17'!$B:OT,PY$1,0),0)</f>
        <v>0</v>
      </c>
      <c r="PY34" s="140">
        <f>IFERROR(VLOOKUP($D34,'Adient Arendal (Malzia) WK.12'!$B:OU,PY$1,0),0)</f>
        <v>0</v>
      </c>
      <c r="PZ34" s="140">
        <f>IFERROR(VLOOKUP($D34,'Adient Taizhou (China) WK.16'!$B:OX,PY$1,0),0)</f>
        <v>0</v>
      </c>
      <c r="QA34" s="128">
        <v>0</v>
      </c>
      <c r="QB34" s="32">
        <v>0</v>
      </c>
      <c r="QC34" s="100">
        <f t="shared" si="282"/>
        <v>0</v>
      </c>
      <c r="QE34" s="37">
        <f t="shared" si="215"/>
        <v>0</v>
      </c>
      <c r="QF34" s="141">
        <f>IFERROR(VLOOKUP($D34,'Adient Assende (Belgium) WK.17'!$B:PB,QG$1,0),0)</f>
        <v>0</v>
      </c>
      <c r="QG34" s="140">
        <f>IFERROR(VLOOKUP($D34,'Adient Arendal (Malzia) WK.12'!$B:PC,QG$1,0),0)</f>
        <v>0</v>
      </c>
      <c r="QH34" s="140">
        <f>IFERROR(VLOOKUP($D34,'Adient Taizhou (China) WK.16'!$B:PF,QG$1,0),0)</f>
        <v>0</v>
      </c>
      <c r="QI34" s="128">
        <v>0</v>
      </c>
      <c r="QJ34" s="32">
        <v>0</v>
      </c>
      <c r="QK34" s="100">
        <f t="shared" si="283"/>
        <v>0</v>
      </c>
      <c r="QM34" s="37">
        <f t="shared" si="216"/>
        <v>0</v>
      </c>
      <c r="QN34" s="141">
        <f>IFERROR(VLOOKUP($D34,'Adient Assende (Belgium) WK.17'!$B:PJ,QO$1,0),0)</f>
        <v>0</v>
      </c>
      <c r="QO34" s="140">
        <f>IFERROR(VLOOKUP($D34,'Adient Arendal (Malzia) WK.12'!$B:PK,QO$1,0),0)</f>
        <v>0</v>
      </c>
      <c r="QP34" s="140">
        <f>IFERROR(VLOOKUP($D34,'Adient Taizhou (China) WK.16'!$B:PN,QO$1,0),0)</f>
        <v>0</v>
      </c>
      <c r="QQ34" s="128">
        <v>0</v>
      </c>
      <c r="QR34" s="32">
        <v>0</v>
      </c>
      <c r="QS34" s="100">
        <f t="shared" si="284"/>
        <v>0</v>
      </c>
      <c r="QU34" s="37">
        <f t="shared" si="217"/>
        <v>0</v>
      </c>
      <c r="QV34" s="141">
        <f>IFERROR(VLOOKUP($D34,'Adient Assende (Belgium) WK.17'!$B:PR,QW$1,0),0)</f>
        <v>0</v>
      </c>
      <c r="QW34" s="140">
        <f>IFERROR(VLOOKUP($D34,'Adient Arendal (Malzia) WK.12'!$B:PS,QW$1,0),0)</f>
        <v>0</v>
      </c>
      <c r="QX34" s="140">
        <f>IFERROR(VLOOKUP($D34,'Adient Taizhou (China) WK.16'!$B:PV,QW$1,0),0)</f>
        <v>0</v>
      </c>
      <c r="QY34" s="128">
        <v>0</v>
      </c>
      <c r="QZ34" s="32">
        <v>0</v>
      </c>
      <c r="RA34" s="100">
        <f t="shared" si="285"/>
        <v>0</v>
      </c>
      <c r="RC34" s="37">
        <f t="shared" si="218"/>
        <v>0</v>
      </c>
      <c r="RD34" s="141">
        <f>IFERROR(VLOOKUP($D34,'Adient Assende (Belgium) WK.17'!$B:PZ,RE$1,0),0)</f>
        <v>0</v>
      </c>
      <c r="RE34" s="140">
        <f>IFERROR(VLOOKUP($D34,'Adient Arendal (Malzia) WK.12'!$B:QA,RE$1,0),0)</f>
        <v>0</v>
      </c>
      <c r="RF34" s="140">
        <f>IFERROR(VLOOKUP($D34,'Adient Taizhou (China) WK.16'!$B:QD,RE$1,0),0)</f>
        <v>0</v>
      </c>
      <c r="RG34" s="128">
        <v>0</v>
      </c>
      <c r="RH34" s="32">
        <v>0</v>
      </c>
      <c r="RI34" s="100">
        <f t="shared" si="286"/>
        <v>0</v>
      </c>
      <c r="RK34" s="37">
        <f t="shared" si="219"/>
        <v>0</v>
      </c>
      <c r="RL34" s="141">
        <f>IFERROR(VLOOKUP($D34,'Adient Assende (Belgium) WK.17'!$B:QH,RM$1,0),0)</f>
        <v>0</v>
      </c>
      <c r="RM34" s="140">
        <f>IFERROR(VLOOKUP($D34,'Adient Arendal (Malzia) WK.12'!$B:QI,RM$1,0),0)</f>
        <v>0</v>
      </c>
      <c r="RN34" s="140">
        <f>IFERROR(VLOOKUP($D34,'Adient Taizhou (China) WK.16'!$B:QL,RM$1,0),0)</f>
        <v>0</v>
      </c>
      <c r="RO34" s="128">
        <v>0</v>
      </c>
      <c r="RP34" s="32">
        <v>0</v>
      </c>
      <c r="RQ34" s="100">
        <f t="shared" si="287"/>
        <v>0</v>
      </c>
      <c r="RS34" s="37">
        <f t="shared" si="220"/>
        <v>0</v>
      </c>
      <c r="RT34" s="141">
        <f>IFERROR(VLOOKUP($D34,'Adient Assende (Belgium) WK.17'!$B:QP,RU$1,0),0)</f>
        <v>0</v>
      </c>
      <c r="RU34" s="140">
        <f>IFERROR(VLOOKUP($D34,'Adient Arendal (Malzia) WK.12'!$B:QQ,RU$1,0),0)</f>
        <v>0</v>
      </c>
      <c r="RV34" s="140">
        <f>IFERROR(VLOOKUP($D34,'Adient Taizhou (China) WK.16'!$B:QT,RU$1,0),0)</f>
        <v>0</v>
      </c>
      <c r="RW34" s="128">
        <v>0</v>
      </c>
      <c r="RX34" s="32">
        <v>0</v>
      </c>
      <c r="RY34" s="100">
        <f t="shared" si="288"/>
        <v>0</v>
      </c>
      <c r="SA34" s="37">
        <f t="shared" si="221"/>
        <v>0</v>
      </c>
      <c r="SB34" s="141">
        <f>IFERROR(VLOOKUP($D34,'Adient Assende (Belgium) WK.17'!$B:QX,SC$1,0),0)</f>
        <v>30</v>
      </c>
      <c r="SC34" s="140">
        <f>IFERROR(VLOOKUP($D34,'Adient Arendal (Malzia) WK.12'!$B:QY,SC$1,0),0)</f>
        <v>0</v>
      </c>
      <c r="SD34" s="140">
        <f>IFERROR(VLOOKUP($D34,'Adient Taizhou (China) WK.16'!$B:RB,SC$1,0),0)</f>
        <v>0</v>
      </c>
      <c r="SE34" s="128">
        <v>0</v>
      </c>
      <c r="SF34" s="32">
        <v>0</v>
      </c>
      <c r="SG34" s="100">
        <f t="shared" si="289"/>
        <v>-30</v>
      </c>
      <c r="SI34" s="37">
        <f t="shared" si="222"/>
        <v>-30</v>
      </c>
      <c r="SJ34" s="141">
        <f>IFERROR(VLOOKUP($D34,'Adient Assende (Belgium) WK.17'!$B:RF,SK$1,0),0)</f>
        <v>30</v>
      </c>
      <c r="SK34" s="140">
        <f>IFERROR(VLOOKUP($D34,'Adient Arendal (Malzia) WK.12'!$B:RG,SK$1,0),0)</f>
        <v>0</v>
      </c>
      <c r="SL34" s="140">
        <f>IFERROR(VLOOKUP($D34,'Adient Taizhou (China) WK.16'!$B:RJ,SK$1,0),0)</f>
        <v>0</v>
      </c>
      <c r="SM34" s="128">
        <v>0</v>
      </c>
      <c r="SN34" s="32">
        <v>0</v>
      </c>
      <c r="SO34" s="100">
        <f t="shared" si="290"/>
        <v>-60</v>
      </c>
      <c r="SQ34" s="37">
        <f t="shared" si="223"/>
        <v>-60</v>
      </c>
      <c r="SR34" s="141">
        <f>IFERROR(VLOOKUP($D34,'Adient Assende (Belgium) WK.17'!$B:RN,SS$1,0),0)</f>
        <v>30</v>
      </c>
      <c r="SS34" s="140">
        <f>IFERROR(VLOOKUP($D34,'Adient Arendal (Malzia) WK.12'!$B:RO,SS$1,0),0)</f>
        <v>0</v>
      </c>
      <c r="ST34" s="140">
        <f>IFERROR(VLOOKUP($D34,'Adient Taizhou (China) WK.16'!$B:RR,SS$1,0),0)</f>
        <v>0</v>
      </c>
      <c r="SU34" s="128">
        <v>0</v>
      </c>
      <c r="SV34" s="32">
        <v>0</v>
      </c>
      <c r="SW34" s="100">
        <f t="shared" si="291"/>
        <v>-90</v>
      </c>
      <c r="SY34" s="37">
        <f t="shared" si="224"/>
        <v>-90</v>
      </c>
      <c r="SZ34" s="141">
        <f>IFERROR(VLOOKUP($D34,'Adient Assende (Belgium) WK.17'!$B:RV,TA$1,0),0)</f>
        <v>10</v>
      </c>
      <c r="TA34" s="140">
        <f>IFERROR(VLOOKUP($D34,'Adient Arendal (Malzia) WK.12'!$B:RW,TA$1,0),0)</f>
        <v>0</v>
      </c>
      <c r="TB34" s="140">
        <f>IFERROR(VLOOKUP($D34,'Adient Taizhou (China) WK.16'!$B:RZ,TA$1,0),0)</f>
        <v>0</v>
      </c>
      <c r="TC34" s="128">
        <v>0</v>
      </c>
      <c r="TD34" s="32">
        <v>0</v>
      </c>
      <c r="TE34" s="100">
        <f t="shared" si="292"/>
        <v>-100</v>
      </c>
      <c r="TG34" s="37">
        <f t="shared" si="225"/>
        <v>-100</v>
      </c>
      <c r="TH34" s="141">
        <f>IFERROR(VLOOKUP($D34,'Adient Assende (Belgium) WK.17'!$B:SD,TI$1,0),0)</f>
        <v>40</v>
      </c>
      <c r="TI34" s="140">
        <f>IFERROR(VLOOKUP($D34,'Adient Arendal (Malzia) WK.12'!$B:SE,TI$1,0),0)</f>
        <v>0</v>
      </c>
      <c r="TJ34" s="140">
        <f>IFERROR(VLOOKUP($D34,'Adient Taizhou (China) WK.16'!$B:SH,TI$1,0),0)</f>
        <v>0</v>
      </c>
      <c r="TK34" s="128">
        <v>0</v>
      </c>
      <c r="TL34" s="32">
        <v>0</v>
      </c>
      <c r="TM34" s="100">
        <f t="shared" si="293"/>
        <v>-140</v>
      </c>
      <c r="TO34" s="37">
        <f t="shared" si="226"/>
        <v>-140</v>
      </c>
      <c r="TP34" s="141">
        <f>IFERROR(VLOOKUP($D34,'Adient Assende (Belgium) WK.17'!$B:SL,TQ$1,0),0)</f>
        <v>40</v>
      </c>
      <c r="TQ34" s="140">
        <f>IFERROR(VLOOKUP($D34,'Adient Arendal (Malzia) WK.12'!$B:SM,TQ$1,0),0)</f>
        <v>0</v>
      </c>
      <c r="TR34" s="140">
        <f>IFERROR(VLOOKUP($D34,'Adient Taizhou (China) WK.16'!$B:SP,TQ$1,0),0)</f>
        <v>0</v>
      </c>
      <c r="TS34" s="128">
        <v>0</v>
      </c>
      <c r="TT34" s="32">
        <v>0</v>
      </c>
      <c r="TU34" s="100">
        <f t="shared" si="294"/>
        <v>-180</v>
      </c>
      <c r="TW34" s="37">
        <f t="shared" si="227"/>
        <v>-180</v>
      </c>
      <c r="TX34" s="141">
        <f>IFERROR(VLOOKUP($D34,'Adient Assende (Belgium) WK.17'!$B:ST,TY$1,0),0)</f>
        <v>40</v>
      </c>
      <c r="TY34" s="140">
        <f>IFERROR(VLOOKUP($D34,'Adient Arendal (Malzia) WK.12'!$B:SU,TY$1,0),0)</f>
        <v>0</v>
      </c>
      <c r="TZ34" s="140">
        <f>IFERROR(VLOOKUP($D34,'Adient Taizhou (China) WK.16'!$B:SX,TY$1,0),0)</f>
        <v>0</v>
      </c>
      <c r="UA34" s="128">
        <v>0</v>
      </c>
      <c r="UB34" s="32">
        <v>0</v>
      </c>
      <c r="UC34" s="100">
        <f t="shared" si="295"/>
        <v>-220</v>
      </c>
      <c r="UE34" s="37">
        <f t="shared" si="228"/>
        <v>-220</v>
      </c>
      <c r="UF34" s="141">
        <f>IFERROR(VLOOKUP($D34,'Adient Assende (Belgium) WK.17'!$B:TB,UG$1,0),0)</f>
        <v>40</v>
      </c>
      <c r="UG34" s="140">
        <f>IFERROR(VLOOKUP($D34,'Adient Arendal (Malzia) WK.12'!$B:TC,UG$1,0),0)</f>
        <v>0</v>
      </c>
      <c r="UH34" s="140">
        <f>IFERROR(VLOOKUP($D34,'Adient Taizhou (China) WK.16'!$B:TF,UG$1,0),0)</f>
        <v>0</v>
      </c>
      <c r="UI34" s="128">
        <v>0</v>
      </c>
      <c r="UJ34" s="32">
        <v>0</v>
      </c>
      <c r="UK34" s="100">
        <f t="shared" si="296"/>
        <v>-260</v>
      </c>
      <c r="UM34" s="37">
        <f t="shared" si="229"/>
        <v>-260</v>
      </c>
      <c r="UN34" s="141">
        <f>IFERROR(VLOOKUP($D34,'Adient Assende (Belgium) WK.17'!$B:TJ,UO$1,0),0)</f>
        <v>40</v>
      </c>
      <c r="UO34" s="140">
        <f>IFERROR(VLOOKUP($D34,'Adient Arendal (Malzia) WK.12'!$B:TK,UO$1,0),0)</f>
        <v>0</v>
      </c>
      <c r="UP34" s="140">
        <f>IFERROR(VLOOKUP($D34,'Adient Taizhou (China) WK.16'!$B:TN,UO$1,0),0)</f>
        <v>0</v>
      </c>
      <c r="UQ34" s="128">
        <v>0</v>
      </c>
      <c r="UR34" s="32">
        <v>0</v>
      </c>
      <c r="US34" s="100">
        <f t="shared" si="297"/>
        <v>-300</v>
      </c>
      <c r="UU34" s="37">
        <f t="shared" si="230"/>
        <v>-300</v>
      </c>
      <c r="UV34" s="141">
        <f>IFERROR(VLOOKUP($D34,'Adient Assende (Belgium) WK.17'!$B:TR,UW$1,0),0)</f>
        <v>100</v>
      </c>
      <c r="UW34" s="140">
        <f>IFERROR(VLOOKUP($D34,'Adient Arendal (Malzia) WK.12'!$B:TS,UW$1,0),0)</f>
        <v>0</v>
      </c>
      <c r="UX34" s="140">
        <f>IFERROR(VLOOKUP($D34,'Adient Taizhou (China) WK.16'!$B:TV,UW$1,0),0)</f>
        <v>0</v>
      </c>
      <c r="UY34" s="128">
        <v>0</v>
      </c>
      <c r="UZ34" s="32">
        <v>0</v>
      </c>
      <c r="VA34" s="100">
        <f t="shared" si="298"/>
        <v>-400</v>
      </c>
      <c r="VC34" s="37">
        <f t="shared" si="231"/>
        <v>-400</v>
      </c>
      <c r="VD34" s="141">
        <f>IFERROR(VLOOKUP($D34,'Adient Assende (Belgium) WK.17'!$B:TZ,VE$1,0),0)</f>
        <v>100</v>
      </c>
      <c r="VE34" s="140">
        <f>IFERROR(VLOOKUP($D34,'Adient Arendal (Malzia) WK.12'!$B:UA,VE$1,0),0)</f>
        <v>0</v>
      </c>
      <c r="VF34" s="140">
        <f>IFERROR(VLOOKUP($D34,'Adient Taizhou (China) WK.16'!$B:UD,VE$1,0),0)</f>
        <v>0</v>
      </c>
      <c r="VG34" s="128">
        <v>0</v>
      </c>
      <c r="VH34" s="32">
        <v>0</v>
      </c>
      <c r="VI34" s="100">
        <f t="shared" si="299"/>
        <v>-500</v>
      </c>
      <c r="VK34" s="37">
        <f t="shared" si="232"/>
        <v>-500</v>
      </c>
      <c r="VL34" s="141">
        <f>IFERROR(VLOOKUP($D34,'Adient Assende (Belgium) WK.17'!$B:UH,VM$1,0),0)</f>
        <v>0</v>
      </c>
      <c r="VM34" s="140">
        <f>IFERROR(VLOOKUP($D34,'Adient Arendal (Malzia) WK.12'!$B:UI,VM$1,0),0)</f>
        <v>0</v>
      </c>
      <c r="VN34" s="140">
        <f>IFERROR(VLOOKUP($D34,'Adient Taizhou (China) WK.16'!$B:UL,VM$1,0),0)</f>
        <v>0</v>
      </c>
      <c r="VO34" s="128">
        <v>0</v>
      </c>
      <c r="VP34" s="32">
        <v>0</v>
      </c>
      <c r="VQ34" s="100">
        <f t="shared" si="300"/>
        <v>-500</v>
      </c>
    </row>
    <row r="35" spans="1:589" x14ac:dyDescent="0.25">
      <c r="A35" s="10" t="s">
        <v>18</v>
      </c>
      <c r="B35" s="48" t="s">
        <v>19</v>
      </c>
      <c r="C35" s="88">
        <v>32272709</v>
      </c>
      <c r="D35" s="82">
        <v>4817101</v>
      </c>
      <c r="E35" s="11">
        <v>20</v>
      </c>
      <c r="F35" s="12"/>
      <c r="H35" s="122">
        <v>860</v>
      </c>
      <c r="I35" s="125">
        <f>IFERROR(VLOOKUP($D35,'Adient Assende (Belgium) WK.17'!$B:C,J$1,0),0)</f>
        <v>80</v>
      </c>
      <c r="J35" s="55">
        <f>IFERROR(VLOOKUP($D35,'Adient Arendal (Malzia) WK.12'!$B:C,J$1,0),0)</f>
        <v>0</v>
      </c>
      <c r="K35" s="55">
        <f>IFERROR(VLOOKUP($D35,'Adient Taizhou (China) WK.16'!$B:C,J$1,0),0)</f>
        <v>0</v>
      </c>
      <c r="L35" s="128">
        <v>0</v>
      </c>
      <c r="M35" s="32">
        <v>0</v>
      </c>
      <c r="N35" s="106">
        <f t="shared" si="233"/>
        <v>860</v>
      </c>
      <c r="P35" s="37">
        <f t="shared" si="234"/>
        <v>860</v>
      </c>
      <c r="Q35" s="125">
        <f>IFERROR(VLOOKUP($D35,'Adient Assende (Belgium) WK.17'!$B:K,R$1,0),0)</f>
        <v>0</v>
      </c>
      <c r="R35" s="55">
        <f>IFERROR(VLOOKUP($D35,'Adient Arendal (Malzia) WK.12'!$B:K,R$1,0),0)</f>
        <v>0</v>
      </c>
      <c r="S35" s="55">
        <f>IFERROR(VLOOKUP($D35,'Adient Taizhou (China) WK.16'!$B:K,R$1,0),0)</f>
        <v>0</v>
      </c>
      <c r="T35" s="41">
        <v>0</v>
      </c>
      <c r="U35" s="32">
        <v>0</v>
      </c>
      <c r="V35" s="106">
        <f t="shared" si="235"/>
        <v>860</v>
      </c>
      <c r="X35" s="37">
        <f t="shared" si="236"/>
        <v>860</v>
      </c>
      <c r="Y35" s="125">
        <f>IFERROR(VLOOKUP($D35,'Adient Assende (Belgium) WK.17'!$B:S,Z$1,0),0)</f>
        <v>0</v>
      </c>
      <c r="Z35" s="55">
        <f>IFERROR(VLOOKUP($D35,'Adient Arendal (Malzia) WK.12'!$B:S,Z$1,0),0)</f>
        <v>0</v>
      </c>
      <c r="AA35" s="55">
        <f>IFERROR(VLOOKUP($D35,'Adient Taizhou (China) WK.16'!$B:S,Z$1,0),0)</f>
        <v>0</v>
      </c>
      <c r="AB35" s="41">
        <v>0</v>
      </c>
      <c r="AC35" s="32">
        <v>0</v>
      </c>
      <c r="AD35" s="106">
        <f t="shared" si="237"/>
        <v>860</v>
      </c>
      <c r="AF35" s="37">
        <f t="shared" si="238"/>
        <v>860</v>
      </c>
      <c r="AG35" s="125">
        <f>IFERROR(VLOOKUP($D35,'Adient Assende (Belgium) WK.17'!$B:AA,AH$1,0),0)</f>
        <v>0</v>
      </c>
      <c r="AH35" s="55">
        <f>IFERROR(VLOOKUP($D35,'Adient Arendal (Malzia) WK.12'!$B:AA,AH$1,0),0)</f>
        <v>0</v>
      </c>
      <c r="AI35" s="55">
        <f>IFERROR(VLOOKUP($D35,'Adient Taizhou (China) WK.16'!$B:AA,AH$1,0),0)</f>
        <v>0</v>
      </c>
      <c r="AJ35" s="41">
        <v>80</v>
      </c>
      <c r="AK35" s="32">
        <v>0</v>
      </c>
      <c r="AL35" s="106">
        <f t="shared" si="239"/>
        <v>780</v>
      </c>
      <c r="AN35" s="37">
        <f t="shared" si="164"/>
        <v>780</v>
      </c>
      <c r="AO35" s="125">
        <f>IFERROR(VLOOKUP($D35,'Adient Assende (Belgium) WK.17'!$B:AI,AP$1,0),0)</f>
        <v>80</v>
      </c>
      <c r="AP35" s="55">
        <f>IFERROR(VLOOKUP($D35,'Adient Arendal (Malzia) WK.12'!$B:AI,AP$1,0),0)</f>
        <v>0</v>
      </c>
      <c r="AQ35" s="55">
        <f>IFERROR(VLOOKUP($D35,'Adient Taizhou (China) WK.16'!$B:AI,AP$1,0),0)</f>
        <v>0</v>
      </c>
      <c r="AR35" s="60">
        <v>0</v>
      </c>
      <c r="AS35" s="41">
        <v>0</v>
      </c>
      <c r="AT35" s="32">
        <v>0</v>
      </c>
      <c r="AU35" s="106">
        <f t="shared" si="240"/>
        <v>780</v>
      </c>
      <c r="AW35" s="37">
        <f t="shared" si="165"/>
        <v>780</v>
      </c>
      <c r="AX35" s="125">
        <f>IFERROR(VLOOKUP($D35,'Adient Assende (Belgium) WK.17'!$B:AR,AY$1,0),0)</f>
        <v>0</v>
      </c>
      <c r="AY35" s="55">
        <f>IFERROR(VLOOKUP($D35,'Adient Arendal (Malzia) WK.12'!$B:AR,AY$1,0),0)</f>
        <v>0</v>
      </c>
      <c r="AZ35" s="55">
        <f>IFERROR(VLOOKUP($D35,'Adient Taizhou (China) WK.16'!$B:AU,AY$1,0),0)</f>
        <v>0</v>
      </c>
      <c r="BA35" s="41">
        <v>0</v>
      </c>
      <c r="BB35" s="32">
        <v>0</v>
      </c>
      <c r="BC35" s="106">
        <f t="shared" si="241"/>
        <v>780</v>
      </c>
      <c r="BE35" s="37">
        <f t="shared" si="166"/>
        <v>780</v>
      </c>
      <c r="BF35" s="125">
        <f>IFERROR(VLOOKUP($D35,'Adient Assende (Belgium) WK.17'!$B:AX,BG$1,0),0)</f>
        <v>0</v>
      </c>
      <c r="BG35" s="55">
        <f>IFERROR(VLOOKUP($D35,'Adient Arendal (Malzia) WK.12'!$B:AZ,BG$1,0),0)</f>
        <v>0</v>
      </c>
      <c r="BH35" s="55">
        <f>IFERROR(VLOOKUP($D35,'Adient Taizhou (China) WK.16'!$B:BB,BG$1,0),0)</f>
        <v>0</v>
      </c>
      <c r="BI35" s="60">
        <v>0</v>
      </c>
      <c r="BJ35" s="60">
        <v>0</v>
      </c>
      <c r="BK35" s="41">
        <v>0</v>
      </c>
      <c r="BL35" s="32">
        <v>0</v>
      </c>
      <c r="BM35" s="106">
        <f t="shared" si="242"/>
        <v>780</v>
      </c>
      <c r="BN35" s="8"/>
      <c r="BO35" s="37">
        <f t="shared" si="167"/>
        <v>780</v>
      </c>
      <c r="BP35" s="125">
        <f>IFERROR(VLOOKUP($D35,'Adient Assende (Belgium) WK.17'!$B:BH,BQ$1,0),0)</f>
        <v>0</v>
      </c>
      <c r="BQ35" s="55">
        <f>IFERROR(VLOOKUP($D35,'Adient Arendal (Malzia) WK.12'!$B:BI,BQ$1,0),0)</f>
        <v>0</v>
      </c>
      <c r="BR35" s="55">
        <f>IFERROR(VLOOKUP($D35,'Adient Taizhou (China) WK.16'!$B:BL,BQ$1,0),0)</f>
        <v>0</v>
      </c>
      <c r="BS35" s="60">
        <v>0</v>
      </c>
      <c r="BT35" s="60">
        <v>0</v>
      </c>
      <c r="BU35" s="60">
        <v>0</v>
      </c>
      <c r="BV35" s="41">
        <v>0</v>
      </c>
      <c r="BW35" s="32">
        <v>0</v>
      </c>
      <c r="BX35" s="106">
        <f t="shared" si="243"/>
        <v>780</v>
      </c>
      <c r="BY35" s="8"/>
      <c r="BZ35" s="37">
        <f t="shared" si="168"/>
        <v>780</v>
      </c>
      <c r="CA35" s="125">
        <f>IFERROR(VLOOKUP($D35,'Adient Assende (Belgium) WK.17'!$B:BS,CB$1,0),0)</f>
        <v>0</v>
      </c>
      <c r="CB35" s="55">
        <f>IFERROR(VLOOKUP($D35,'Adient Arendal (Malzia) WK.12'!$B:BT,CB$1,0),0)</f>
        <v>0</v>
      </c>
      <c r="CC35" s="55">
        <f>IFERROR(VLOOKUP($D35,'Adient Taizhou (China) WK.16'!$B:BW,CB$1,0),0)</f>
        <v>0</v>
      </c>
      <c r="CD35" s="60">
        <v>0</v>
      </c>
      <c r="CE35" s="60">
        <v>0</v>
      </c>
      <c r="CF35" s="41">
        <v>0</v>
      </c>
      <c r="CG35" s="32">
        <v>0</v>
      </c>
      <c r="CH35" s="106">
        <f t="shared" si="244"/>
        <v>780</v>
      </c>
      <c r="CI35" s="8"/>
      <c r="CJ35" s="37">
        <f t="shared" si="169"/>
        <v>780</v>
      </c>
      <c r="CK35" s="125">
        <f>IFERROR(VLOOKUP($D35,'Adient Assende (Belgium) WK.17'!$B:CC,CL$1,0),0)</f>
        <v>0</v>
      </c>
      <c r="CL35" s="55">
        <f>IFERROR(VLOOKUP($D35,'Adient Arendal (Malzia) WK.12'!$B:CD,CL$1,0),0)</f>
        <v>0</v>
      </c>
      <c r="CM35" s="55">
        <f>IFERROR(VLOOKUP($D35,'Adient Taizhou (China) WK.16'!$B:CG,CL$1,0),0)</f>
        <v>0</v>
      </c>
      <c r="CN35" s="60">
        <v>0</v>
      </c>
      <c r="CO35" s="149">
        <v>0</v>
      </c>
      <c r="CP35" s="32">
        <v>0</v>
      </c>
      <c r="CQ35" s="106">
        <f t="shared" si="245"/>
        <v>780</v>
      </c>
      <c r="CR35" s="8"/>
      <c r="CS35" s="122">
        <f t="shared" si="170"/>
        <v>780</v>
      </c>
      <c r="CT35" s="154">
        <f>IFERROR(VLOOKUP($D35,'Adient Assende (Belgium) WK.17'!$B:CL,CU$1,0),0)</f>
        <v>0</v>
      </c>
      <c r="CU35" s="55">
        <f>IFERROR(VLOOKUP($D35,'Adient Arendal (Malzia) WK.12'!$B:CM,CU$1,0),0)</f>
        <v>0</v>
      </c>
      <c r="CV35" s="55">
        <f>IFERROR(VLOOKUP($D35,'Adient Taizhou (China) WK.16'!$B:CP,CU$1,0),0)</f>
        <v>0</v>
      </c>
      <c r="CW35" s="60">
        <v>0</v>
      </c>
      <c r="CX35" s="60">
        <v>0</v>
      </c>
      <c r="CY35" s="128">
        <v>80</v>
      </c>
      <c r="CZ35" s="32">
        <v>0</v>
      </c>
      <c r="DA35" s="106">
        <f t="shared" si="246"/>
        <v>700</v>
      </c>
      <c r="DB35" s="8"/>
      <c r="DC35" s="37">
        <f t="shared" si="171"/>
        <v>700</v>
      </c>
      <c r="DD35" s="125">
        <f>IFERROR(VLOOKUP($D35,'Adient Assende (Belgium) WK.17'!$B:CS,DE$1,0),0)</f>
        <v>80</v>
      </c>
      <c r="DE35" s="55">
        <f>IFERROR(VLOOKUP($D35,'Adient Arendal (Malzia) WK.12'!$B:CU,DE$1,0),0)</f>
        <v>0</v>
      </c>
      <c r="DF35" s="55">
        <f>IFERROR(VLOOKUP($D35,'Adient Taizhou (China) WK.16'!$B:CX,DE$1,0),0)</f>
        <v>0</v>
      </c>
      <c r="DG35" s="60">
        <v>0</v>
      </c>
      <c r="DH35" s="128">
        <v>0</v>
      </c>
      <c r="DI35" s="32">
        <v>0</v>
      </c>
      <c r="DJ35" s="106">
        <f t="shared" si="247"/>
        <v>700</v>
      </c>
      <c r="DL35" s="37">
        <f t="shared" si="172"/>
        <v>700</v>
      </c>
      <c r="DM35" s="125">
        <f>IFERROR(VLOOKUP($D35,'Adient Assende (Belgium) WK.17'!$B:DB,DN$1,0),0)</f>
        <v>0</v>
      </c>
      <c r="DN35" s="55">
        <f>IFERROR(VLOOKUP($D35,'Adient Arendal (Malzia) WK.12'!$B:DC,DN$1,0),0)</f>
        <v>0</v>
      </c>
      <c r="DO35" s="55">
        <f>IFERROR(VLOOKUP($D35,'Adient Taizhou (China) WK.16'!$B:DF,DN$1,0),0)</f>
        <v>0</v>
      </c>
      <c r="DP35" s="128">
        <v>0</v>
      </c>
      <c r="DQ35" s="32">
        <v>0</v>
      </c>
      <c r="DR35" s="106">
        <f t="shared" si="173"/>
        <v>700</v>
      </c>
      <c r="DS35" s="8"/>
      <c r="DT35" s="37">
        <f t="shared" si="174"/>
        <v>700</v>
      </c>
      <c r="DU35" s="125">
        <f>IFERROR(VLOOKUP($D35,'Adient Assende (Belgium) WK.17'!$B:DJ,DV$1,0),0)</f>
        <v>0</v>
      </c>
      <c r="DV35" s="55">
        <f>IFERROR(VLOOKUP($D35,'Adient Arendal (Malzia) WK.12'!$B:DK,DV$1,0),0)</f>
        <v>0</v>
      </c>
      <c r="DW35" s="55">
        <f>IFERROR(VLOOKUP($D35,'Adient Taizhou (China) WK.16'!$B:DN,DV$1,0),0)</f>
        <v>0</v>
      </c>
      <c r="DX35" s="60">
        <v>0</v>
      </c>
      <c r="DY35" s="60">
        <v>0</v>
      </c>
      <c r="DZ35" s="128">
        <v>0</v>
      </c>
      <c r="EA35" s="32">
        <v>0</v>
      </c>
      <c r="EB35" s="106">
        <f t="shared" si="248"/>
        <v>700</v>
      </c>
      <c r="EC35" s="8"/>
      <c r="ED35" s="37">
        <f t="shared" si="175"/>
        <v>700</v>
      </c>
      <c r="EE35" s="125">
        <f>IFERROR(VLOOKUP($D35,'Adient Assende (Belgium) WK.17'!$B:DR,EF$1,0),0)</f>
        <v>0</v>
      </c>
      <c r="EF35" s="55">
        <f>IFERROR(VLOOKUP($D35,'Adient Arendal (Malzia) WK.12'!$B:DS,EF$1,0),0)</f>
        <v>0</v>
      </c>
      <c r="EG35" s="55">
        <f>IFERROR(VLOOKUP($D35,'Adient Taizhou (China) WK.16'!$B:DV,EF$1,0),0)</f>
        <v>0</v>
      </c>
      <c r="EH35" s="60">
        <v>0</v>
      </c>
      <c r="EI35" s="128">
        <v>80</v>
      </c>
      <c r="EJ35" s="32">
        <v>0</v>
      </c>
      <c r="EK35" s="106">
        <f t="shared" si="249"/>
        <v>620</v>
      </c>
      <c r="EM35" s="37">
        <f t="shared" si="176"/>
        <v>620</v>
      </c>
      <c r="EN35" s="125">
        <f>IFERROR(VLOOKUP($D35,'Adient Assende (Belgium) WK.17'!$B:DZ,EO$1,0),0)</f>
        <v>80</v>
      </c>
      <c r="EO35" s="55">
        <f>IFERROR(VLOOKUP($D35,'Adient Arendal (Malzia) WK.12'!$B:EA,EO$1,0),0)</f>
        <v>0</v>
      </c>
      <c r="EP35" s="55">
        <f>IFERROR(VLOOKUP($D35,'Adient Taizhou (China) WK.16'!$B:ED,EO$1,0),0)</f>
        <v>0</v>
      </c>
      <c r="EQ35" s="128">
        <v>80</v>
      </c>
      <c r="ER35" s="32">
        <v>0</v>
      </c>
      <c r="ES35" s="106">
        <f t="shared" si="250"/>
        <v>540</v>
      </c>
      <c r="EU35" s="37">
        <f t="shared" si="177"/>
        <v>540</v>
      </c>
      <c r="EV35" s="125">
        <f>IFERROR(VLOOKUP($D35,'Adient Assende (Belgium) WK.17'!$B:EH,EW$1,0),0)</f>
        <v>80</v>
      </c>
      <c r="EW35" s="55">
        <f>IFERROR(VLOOKUP($D35,'Adient Arendal (Malzia) WK.12'!$B:EI,EW$1,0),0)</f>
        <v>0</v>
      </c>
      <c r="EX35" s="55">
        <f>IFERROR(VLOOKUP($D35,'Adient Taizhou (China) WK.16'!$B:EL,EW$1,0),0)</f>
        <v>0</v>
      </c>
      <c r="EY35" s="128">
        <v>0</v>
      </c>
      <c r="EZ35" s="32">
        <v>0</v>
      </c>
      <c r="FA35" s="106">
        <f t="shared" si="251"/>
        <v>540</v>
      </c>
      <c r="FC35" s="37">
        <f t="shared" si="178"/>
        <v>540</v>
      </c>
      <c r="FD35" s="154">
        <f>IFERROR(VLOOKUP($D35,'Adient Assende (Belgium) WK.17'!$B:EP,FE$1,0),0)</f>
        <v>0</v>
      </c>
      <c r="FE35" s="154">
        <f>IFERROR(VLOOKUP($D35,'Adient Arendal (Malzia) WK.12'!$B:EQ,FE$1,0),0)</f>
        <v>0</v>
      </c>
      <c r="FF35" s="154">
        <f>IFERROR(VLOOKUP($D35,'Adient Taizhou (China) WK.16'!$B:ET,FE$1,0),0)</f>
        <v>0</v>
      </c>
      <c r="FG35" s="128">
        <v>0</v>
      </c>
      <c r="FH35" s="32">
        <v>0</v>
      </c>
      <c r="FI35" s="106">
        <f t="shared" si="252"/>
        <v>540</v>
      </c>
      <c r="FK35" s="37">
        <f t="shared" si="179"/>
        <v>540</v>
      </c>
      <c r="FL35" s="125">
        <f>IFERROR(VLOOKUP($D35,'Adient Assende (Belgium) WK.17'!$B:EX,FM$1,0),0)</f>
        <v>0</v>
      </c>
      <c r="FM35" s="55">
        <f>IFERROR(VLOOKUP($D35,'Adient Arendal (Malzia) WK.12'!$B:EY,FM$1,0),0)</f>
        <v>0</v>
      </c>
      <c r="FN35" s="55">
        <f>IFERROR(VLOOKUP($D35,'Adient Taizhou (China) WK.16'!$B:FB,FM$1,0),0)</f>
        <v>0</v>
      </c>
      <c r="FO35" s="128">
        <v>80</v>
      </c>
      <c r="FP35" s="32">
        <v>0</v>
      </c>
      <c r="FQ35" s="106">
        <f t="shared" si="253"/>
        <v>460</v>
      </c>
      <c r="FR35" s="8"/>
      <c r="FS35" s="37">
        <f t="shared" si="180"/>
        <v>460</v>
      </c>
      <c r="FT35" s="125">
        <f>IFERROR(VLOOKUP($D35,'Adient Assende (Belgium) WK.17'!$B:FF,FU$1,0),0)</f>
        <v>80</v>
      </c>
      <c r="FU35" s="55">
        <f>IFERROR(VLOOKUP($D35,'Adient Arendal (Malzia) WK.12'!$B:FG,FU$1,0),0)</f>
        <v>0</v>
      </c>
      <c r="FV35" s="55">
        <f>IFERROR(VLOOKUP($D35,'Adient Taizhou (China) WK.16'!$B:FJ,FU$1,0),0)</f>
        <v>0</v>
      </c>
      <c r="FW35" s="60">
        <v>0</v>
      </c>
      <c r="FX35" s="60">
        <v>0</v>
      </c>
      <c r="FY35" s="60">
        <v>0</v>
      </c>
      <c r="FZ35" s="60">
        <v>180</v>
      </c>
      <c r="GA35" s="60">
        <v>160</v>
      </c>
      <c r="GB35" s="128">
        <v>80</v>
      </c>
      <c r="GC35" s="32">
        <v>0</v>
      </c>
      <c r="GD35" s="106">
        <f t="shared" si="254"/>
        <v>720</v>
      </c>
      <c r="GF35" s="37">
        <f t="shared" si="181"/>
        <v>720</v>
      </c>
      <c r="GG35" s="125">
        <f>IFERROR(VLOOKUP($D35,'Adient Assende (Belgium) WK.17'!$B:FN,GH$1,0),0)</f>
        <v>80</v>
      </c>
      <c r="GH35" s="55">
        <f>IFERROR(VLOOKUP($D35,'Adient Arendal (Malzia) WK.12'!$B:FO,GH$1,0),0)</f>
        <v>0</v>
      </c>
      <c r="GI35" s="55">
        <f>IFERROR(VLOOKUP($D35,'Adient Taizhou (China) WK.16'!$B:FR,GH$1,0),0)</f>
        <v>0</v>
      </c>
      <c r="GJ35" s="60">
        <v>60</v>
      </c>
      <c r="GK35" s="128">
        <v>80</v>
      </c>
      <c r="GL35" s="32">
        <v>0</v>
      </c>
      <c r="GM35" s="106">
        <f t="shared" si="255"/>
        <v>700</v>
      </c>
      <c r="GO35" s="37">
        <f t="shared" si="182"/>
        <v>700</v>
      </c>
      <c r="GP35" s="125">
        <f>IFERROR(VLOOKUP($D35,'Adient Assende (Belgium) WK.17'!$B:FV,GQ$1,0),0)</f>
        <v>80</v>
      </c>
      <c r="GQ35" s="55">
        <f>IFERROR(VLOOKUP($D35,'Adient Arendal (Malzia) WK.12'!$B:FW,GQ$1,0),0)</f>
        <v>0</v>
      </c>
      <c r="GR35" s="55">
        <f>IFERROR(VLOOKUP($D35,'Adient Taizhou (China) WK.16'!$B:FZ,GQ$1,0),0)</f>
        <v>0</v>
      </c>
      <c r="GS35" s="60">
        <v>60</v>
      </c>
      <c r="GT35" s="128">
        <v>80</v>
      </c>
      <c r="GU35" s="32">
        <v>0</v>
      </c>
      <c r="GV35" s="106">
        <f t="shared" si="256"/>
        <v>680</v>
      </c>
      <c r="GW35" s="8"/>
      <c r="GX35" s="37">
        <f t="shared" si="183"/>
        <v>680</v>
      </c>
      <c r="GY35" s="125">
        <f>IFERROR(VLOOKUP($D35,'Adient Assende (Belgium) WK.17'!$B:GD,GZ$1,0),0)</f>
        <v>80</v>
      </c>
      <c r="GZ35" s="55">
        <f>IFERROR(VLOOKUP($D35,'Adient Arendal (Malzia) WK.12'!$B:GE,GZ$1,0),0)</f>
        <v>0</v>
      </c>
      <c r="HA35" s="55">
        <f>IFERROR(VLOOKUP($D35,'Adient Taizhou (China) WK.16'!$B:GH,GZ$1,0),0)</f>
        <v>0</v>
      </c>
      <c r="HB35" s="60">
        <v>0</v>
      </c>
      <c r="HC35" s="128">
        <v>80</v>
      </c>
      <c r="HD35" s="32">
        <v>0</v>
      </c>
      <c r="HE35" s="106">
        <f t="shared" si="257"/>
        <v>600</v>
      </c>
      <c r="HF35" s="8"/>
      <c r="HG35" s="37">
        <f t="shared" si="184"/>
        <v>600</v>
      </c>
      <c r="HH35" s="125">
        <f>IFERROR(VLOOKUP($D35,'Adient Assende (Belgium) WK.17'!$B:GL,HI$1,0),0)</f>
        <v>80</v>
      </c>
      <c r="HI35" s="55">
        <f>IFERROR(VLOOKUP($D35,'Adient Arendal (Malzia) WK.12'!$B:GM,HI$1,0),0)</f>
        <v>0</v>
      </c>
      <c r="HJ35" s="55">
        <f>IFERROR(VLOOKUP($D35,'Adient Taizhou (China) WK.16'!$B:GP,HI$1,0),0)</f>
        <v>0</v>
      </c>
      <c r="HK35" s="60">
        <v>0</v>
      </c>
      <c r="HL35" s="128">
        <v>80</v>
      </c>
      <c r="HM35" s="32">
        <v>0</v>
      </c>
      <c r="HN35" s="106">
        <f t="shared" si="258"/>
        <v>520</v>
      </c>
      <c r="HO35" s="8"/>
      <c r="HP35" s="37">
        <f t="shared" si="185"/>
        <v>520</v>
      </c>
      <c r="HQ35" s="125">
        <f>IFERROR(VLOOKUP($D35,'Adient Assende (Belgium) WK.17'!$B:GT,HR$1,0),0)</f>
        <v>80</v>
      </c>
      <c r="HR35" s="55">
        <f>IFERROR(VLOOKUP($D35,'Adient Arendal (Malzia) WK.12'!$B:GU,HR$1,0),0)</f>
        <v>0</v>
      </c>
      <c r="HS35" s="55">
        <f>IFERROR(VLOOKUP($D35,'Adient Taizhou (China) WK.16'!$B:GX,HR$1,0),0)</f>
        <v>0</v>
      </c>
      <c r="HT35" s="60">
        <v>0</v>
      </c>
      <c r="HU35" s="128">
        <v>0</v>
      </c>
      <c r="HV35" s="32">
        <v>0</v>
      </c>
      <c r="HW35" s="106">
        <f t="shared" si="259"/>
        <v>520</v>
      </c>
      <c r="HX35" s="8"/>
      <c r="HY35" s="37">
        <f t="shared" si="186"/>
        <v>520</v>
      </c>
      <c r="HZ35" s="125">
        <f>IFERROR(VLOOKUP($D35,'Adient Assende (Belgium) WK.17'!$B:HB,IA$1,0),0)</f>
        <v>0</v>
      </c>
      <c r="IA35" s="55">
        <f>IFERROR(VLOOKUP($D35,'Adient Arendal (Malzia) WK.12'!$B:HC,IA$1,0),0)</f>
        <v>0</v>
      </c>
      <c r="IB35" s="55">
        <f>IFERROR(VLOOKUP($D35,'Adient Taizhou (China) WK.16'!$B:HF,IA$1,0),0)</f>
        <v>0</v>
      </c>
      <c r="IC35" s="60">
        <v>0</v>
      </c>
      <c r="ID35" s="128">
        <v>140</v>
      </c>
      <c r="IE35" s="32">
        <v>0</v>
      </c>
      <c r="IF35" s="106">
        <f t="shared" si="260"/>
        <v>380</v>
      </c>
      <c r="IG35" s="8"/>
      <c r="IH35" s="37">
        <f t="shared" si="187"/>
        <v>380</v>
      </c>
      <c r="II35" s="125">
        <f>IFERROR(VLOOKUP($D35,'Adient Assende (Belgium) WK.17'!$B:HJ,IJ$1,0),0)</f>
        <v>140</v>
      </c>
      <c r="IJ35" s="55">
        <f>IFERROR(VLOOKUP($D35,'Adient Arendal (Malzia) WK.12'!$B:HK,IJ$1,0),0)</f>
        <v>0</v>
      </c>
      <c r="IK35" s="55">
        <f>IFERROR(VLOOKUP($D35,'Adient Taizhou (China) WK.16'!$B:HN,IJ$1,0),0)</f>
        <v>0</v>
      </c>
      <c r="IL35" s="128">
        <v>80</v>
      </c>
      <c r="IM35" s="32">
        <v>0</v>
      </c>
      <c r="IN35" s="106">
        <f t="shared" si="188"/>
        <v>300</v>
      </c>
      <c r="IO35" s="8"/>
      <c r="IP35" s="37">
        <f t="shared" si="189"/>
        <v>300</v>
      </c>
      <c r="IQ35" s="125">
        <f>IFERROR(VLOOKUP($D35,'Adient Assende (Belgium) WK.17'!$B:HR,IR$1,0),0)</f>
        <v>80</v>
      </c>
      <c r="IR35" s="55">
        <f>IFERROR(VLOOKUP($D35,'Adient Arendal (Malzia) WK.12'!$B:HS,IR$1,0),0)</f>
        <v>0</v>
      </c>
      <c r="IS35" s="55">
        <f>IFERROR(VLOOKUP($D35,'Adient Taizhou (China) WK.16'!$B:HV,IR$1,0),0)</f>
        <v>0</v>
      </c>
      <c r="IT35" s="60">
        <v>0</v>
      </c>
      <c r="IU35" s="128">
        <v>80</v>
      </c>
      <c r="IV35" s="32">
        <v>0</v>
      </c>
      <c r="IW35" s="106">
        <f t="shared" si="261"/>
        <v>220</v>
      </c>
      <c r="IX35" s="8"/>
      <c r="IY35" s="37">
        <f t="shared" si="190"/>
        <v>220</v>
      </c>
      <c r="IZ35" s="125">
        <f>IFERROR(VLOOKUP($D35,'Adient Assende (Belgium) WK.17'!$B:HZ,JA$1,0),0)</f>
        <v>80</v>
      </c>
      <c r="JA35" s="55">
        <f>IFERROR(VLOOKUP($D35,'Adient Arendal (Malzia) WK.12'!$B:IA,JA$1,0),0)</f>
        <v>0</v>
      </c>
      <c r="JB35" s="55">
        <f>IFERROR(VLOOKUP($D35,'Adient Taizhou (China) WK.16'!$B:ID,JA$1,0),0)</f>
        <v>0</v>
      </c>
      <c r="JC35" s="128">
        <v>0</v>
      </c>
      <c r="JD35" s="32">
        <v>0</v>
      </c>
      <c r="JE35" s="106">
        <f t="shared" si="191"/>
        <v>220</v>
      </c>
      <c r="JF35" s="8"/>
      <c r="JG35" s="37">
        <f t="shared" si="192"/>
        <v>220</v>
      </c>
      <c r="JH35" s="125">
        <f>IFERROR(VLOOKUP($D35,'Adient Assende (Belgium) WK.17'!$B:IH,JI$1,0),0)</f>
        <v>0</v>
      </c>
      <c r="JI35" s="55">
        <f>IFERROR(VLOOKUP($D35,'Adient Arendal (Malzia) WK.12'!$B:II,JI$1,0),0)</f>
        <v>0</v>
      </c>
      <c r="JJ35" s="55">
        <f>IFERROR(VLOOKUP($D35,'Adient Taizhou (China) WK.16'!$B:IL,JI$1,0),0)</f>
        <v>0</v>
      </c>
      <c r="JK35" s="60">
        <v>260</v>
      </c>
      <c r="JL35" s="128">
        <v>80</v>
      </c>
      <c r="JM35" s="32">
        <v>0</v>
      </c>
      <c r="JN35" s="106">
        <f t="shared" si="262"/>
        <v>400</v>
      </c>
      <c r="JO35" s="8"/>
      <c r="JP35" s="37">
        <f t="shared" si="193"/>
        <v>400</v>
      </c>
      <c r="JQ35" s="125">
        <f>IFERROR(VLOOKUP($D35,'Adient Assende (Belgium) WK.17'!$B:IP,JR$1,0),0)</f>
        <v>80</v>
      </c>
      <c r="JR35" s="55">
        <f>IFERROR(VLOOKUP($D35,'Adient Arendal (Malzia) WK.12'!$B:IQ,JR$1,0),0)</f>
        <v>0</v>
      </c>
      <c r="JS35" s="55">
        <f>IFERROR(VLOOKUP($D35,'Adient Taizhou (China) WK.16'!$B:IT,JR$1,0),0)</f>
        <v>0</v>
      </c>
      <c r="JT35" s="128">
        <v>0</v>
      </c>
      <c r="JU35" s="32">
        <v>0</v>
      </c>
      <c r="JV35" s="106">
        <f t="shared" si="194"/>
        <v>400</v>
      </c>
      <c r="JW35" s="8"/>
      <c r="JX35" s="37">
        <f t="shared" si="195"/>
        <v>400</v>
      </c>
      <c r="JY35" s="154">
        <f>IFERROR(VLOOKUP($D35,'Adient Assende (Belgium) WK.17'!$B:IX,JZ$1,0),0)</f>
        <v>0</v>
      </c>
      <c r="JZ35" s="55">
        <f>IFERROR(VLOOKUP($D35,'Adient Arendal (Malzia) WK.12'!$B:IY,JZ$1,0),0)</f>
        <v>0</v>
      </c>
      <c r="KA35" s="55">
        <f>IFERROR(VLOOKUP($D35,'Adient Taizhou (China) WK.16'!$B:JB,JZ$1,0),0)</f>
        <v>0</v>
      </c>
      <c r="KB35" s="128">
        <v>80</v>
      </c>
      <c r="KC35" s="32">
        <v>0</v>
      </c>
      <c r="KD35" s="106">
        <f t="shared" si="263"/>
        <v>320</v>
      </c>
      <c r="KE35" s="8"/>
      <c r="KF35" s="37">
        <f t="shared" si="196"/>
        <v>320</v>
      </c>
      <c r="KG35" s="125">
        <f>IFERROR(VLOOKUP($D35,'Adient Assende (Belgium) WK.17'!$B:JF,KH$1,0),0)</f>
        <v>80</v>
      </c>
      <c r="KH35" s="55">
        <f>IFERROR(VLOOKUP($D35,'Adient Arendal (Malzia) WK.12'!$B:JG,KH$1,0),0)</f>
        <v>0</v>
      </c>
      <c r="KI35" s="55">
        <f>IFERROR(VLOOKUP($D35,'Adient Taizhou (China) WK.16'!$B:JJ,KH$1,0),0)</f>
        <v>0</v>
      </c>
      <c r="KJ35" s="60">
        <v>0</v>
      </c>
      <c r="KK35" s="128">
        <v>0</v>
      </c>
      <c r="KL35" s="32">
        <v>0</v>
      </c>
      <c r="KM35" s="106">
        <f t="shared" si="264"/>
        <v>320</v>
      </c>
      <c r="KN35" s="8"/>
      <c r="KO35" s="37">
        <f t="shared" si="197"/>
        <v>320</v>
      </c>
      <c r="KP35" s="141">
        <f>IFERROR(VLOOKUP($D35,'Adient Assende (Belgium) WK.17'!$B:JN,KQ$1,0),0)</f>
        <v>0</v>
      </c>
      <c r="KQ35" s="140">
        <f>IFERROR(VLOOKUP($D35,'Adient Arendal (Malzia) WK.12'!$B:JO,KQ$1,0),0)</f>
        <v>0</v>
      </c>
      <c r="KR35" s="140">
        <f>IFERROR(VLOOKUP($D35,'Adient Taizhou (China) WK.16'!$B:JR,KQ$1,0),0)</f>
        <v>0</v>
      </c>
      <c r="KS35" s="60">
        <v>0</v>
      </c>
      <c r="KT35" s="128">
        <v>80</v>
      </c>
      <c r="KU35" s="32">
        <v>0</v>
      </c>
      <c r="KV35" s="106">
        <f t="shared" si="265"/>
        <v>240</v>
      </c>
      <c r="KX35" s="37">
        <f t="shared" si="198"/>
        <v>240</v>
      </c>
      <c r="KY35" s="141">
        <f>IFERROR(VLOOKUP($D35,'Adient Assende (Belgium) WK.17'!$B:JV,KZ$1,0),0)</f>
        <v>80</v>
      </c>
      <c r="KZ35" s="140">
        <f>IFERROR(VLOOKUP($D35,'Adient Arendal (Malzia) WK.12'!$B:JW,KZ$1,0),0)</f>
        <v>0</v>
      </c>
      <c r="LA35" s="140">
        <f>IFERROR(VLOOKUP($D35,'Adient Taizhou (China) WK.16'!$B:JZ,KZ$1,0),0)</f>
        <v>0</v>
      </c>
      <c r="LB35" s="128">
        <v>0</v>
      </c>
      <c r="LC35" s="32">
        <v>0</v>
      </c>
      <c r="LD35" s="106">
        <f t="shared" si="266"/>
        <v>240</v>
      </c>
      <c r="LF35" s="37">
        <f t="shared" si="199"/>
        <v>240</v>
      </c>
      <c r="LG35" s="141">
        <f>IFERROR(VLOOKUP($D35,'Adient Assende (Belgium) WK.17'!$B:KD,LH$1,0),0)</f>
        <v>80</v>
      </c>
      <c r="LH35" s="140">
        <f>IFERROR(VLOOKUP($D35,'Adient Arendal (Malzia) WK.12'!$B:KE,LH$1,0),0)</f>
        <v>0</v>
      </c>
      <c r="LI35" s="140">
        <f>IFERROR(VLOOKUP($D35,'Adient Taizhou (China) WK.16'!$B:KH,LH$1,0),0)</f>
        <v>0</v>
      </c>
      <c r="LJ35" s="60">
        <v>0</v>
      </c>
      <c r="LK35" s="128">
        <v>0</v>
      </c>
      <c r="LL35" s="32">
        <v>0</v>
      </c>
      <c r="LM35" s="100">
        <f t="shared" si="267"/>
        <v>160</v>
      </c>
      <c r="LO35" s="37">
        <f t="shared" si="200"/>
        <v>160</v>
      </c>
      <c r="LP35" s="141">
        <f>IFERROR(VLOOKUP($D35,'Adient Assende (Belgium) WK.17'!$B:KL,LQ$1,0),0)</f>
        <v>0</v>
      </c>
      <c r="LQ35" s="140">
        <f>IFERROR(VLOOKUP($D35,'Adient Arendal (Malzia) WK.12'!$B:KM,LQ$1,0),0)</f>
        <v>0</v>
      </c>
      <c r="LR35" s="140">
        <f>IFERROR(VLOOKUP($D35,'Adient Taizhou (China) WK.16'!$B:KP,LQ$1,0),0)</f>
        <v>0</v>
      </c>
      <c r="LS35" s="128">
        <v>0</v>
      </c>
      <c r="LT35" s="32">
        <v>0</v>
      </c>
      <c r="LU35" s="100">
        <f t="shared" si="268"/>
        <v>160</v>
      </c>
      <c r="LW35" s="37">
        <f t="shared" si="201"/>
        <v>160</v>
      </c>
      <c r="LX35" s="141">
        <f>IFERROR(VLOOKUP($D35,'Adient Assende (Belgium) WK.17'!$B:KT,LY$1,0),0)</f>
        <v>160</v>
      </c>
      <c r="LY35" s="140">
        <f>IFERROR(VLOOKUP($D35,'Adient Arendal (Malzia) WK.12'!$B:KU,LY$1,0),0)</f>
        <v>0</v>
      </c>
      <c r="LZ35" s="140">
        <f>IFERROR(VLOOKUP($D35,'Adient Taizhou (China) WK.16'!$B:KX,LY$1,0),0)</f>
        <v>0</v>
      </c>
      <c r="MA35" s="128">
        <v>0</v>
      </c>
      <c r="MB35" s="32">
        <v>0</v>
      </c>
      <c r="MC35" s="100">
        <f t="shared" si="269"/>
        <v>0</v>
      </c>
      <c r="ME35" s="37">
        <f t="shared" si="202"/>
        <v>0</v>
      </c>
      <c r="MF35" s="154">
        <f>IFERROR(VLOOKUP($D35,'Adient Assende (Belgium) WK.17'!$B:LB,MG$1,0),0)</f>
        <v>0</v>
      </c>
      <c r="MG35" s="140">
        <f>IFERROR(VLOOKUP($D35,'Adient Arendal (Malzia) WK.12'!$B:LC,MG$1,0),0)</f>
        <v>0</v>
      </c>
      <c r="MH35" s="140">
        <f>IFERROR(VLOOKUP($D35,'Adient Taizhou (China) WK.16'!$B:LF,MG$1,0),0)</f>
        <v>0</v>
      </c>
      <c r="MI35" s="128">
        <v>0</v>
      </c>
      <c r="MJ35" s="32">
        <v>0</v>
      </c>
      <c r="MK35" s="100">
        <f t="shared" si="270"/>
        <v>0</v>
      </c>
      <c r="MM35" s="37">
        <f t="shared" si="203"/>
        <v>0</v>
      </c>
      <c r="MN35" s="141">
        <f>IFERROR(VLOOKUP($D35,'Adient Assende (Belgium) WK.17'!$B:LJ,MO$1,0),0)</f>
        <v>80</v>
      </c>
      <c r="MO35" s="140">
        <f>IFERROR(VLOOKUP($D35,'Adient Arendal (Malzia) WK.12'!$B:LK,MO$1,0),0)</f>
        <v>0</v>
      </c>
      <c r="MP35" s="140">
        <f>IFERROR(VLOOKUP($D35,'Adient Taizhou (China) WK.16'!$B:LN,MO$1,0),0)</f>
        <v>0</v>
      </c>
      <c r="MQ35" s="128">
        <v>0</v>
      </c>
      <c r="MR35" s="32">
        <v>0</v>
      </c>
      <c r="MS35" s="100">
        <f t="shared" si="271"/>
        <v>-80</v>
      </c>
      <c r="MU35" s="37">
        <f t="shared" si="204"/>
        <v>-80</v>
      </c>
      <c r="MV35" s="141">
        <f>IFERROR(VLOOKUP($D35,'Adient Assende (Belgium) WK.17'!$B:LR,MW$1,0),0)</f>
        <v>80</v>
      </c>
      <c r="MW35" s="140">
        <f>IFERROR(VLOOKUP($D35,'Adient Arendal (Malzia) WK.12'!$B:LS,MW$1,0),0)</f>
        <v>0</v>
      </c>
      <c r="MX35" s="140">
        <f>IFERROR(VLOOKUP($D35,'Adient Taizhou (China) WK.16'!$B:LV,MW$1,0),0)</f>
        <v>0</v>
      </c>
      <c r="MY35" s="128">
        <v>0</v>
      </c>
      <c r="MZ35" s="32">
        <v>0</v>
      </c>
      <c r="NA35" s="100">
        <f t="shared" si="272"/>
        <v>-160</v>
      </c>
      <c r="NC35" s="37">
        <f t="shared" si="205"/>
        <v>-160</v>
      </c>
      <c r="ND35" s="141">
        <f>IFERROR(VLOOKUP($D35,'Adient Assende (Belgium) WK.17'!$B:LZ,NE$1,0),0)</f>
        <v>160</v>
      </c>
      <c r="NE35" s="140">
        <f>IFERROR(VLOOKUP($D35,'Adient Arendal (Malzia) WK.12'!$B:MA,NE$1,0),0)</f>
        <v>0</v>
      </c>
      <c r="NF35" s="140">
        <f>IFERROR(VLOOKUP($D35,'Adient Taizhou (China) WK.16'!$B:MD,NE$1,0),0)</f>
        <v>0</v>
      </c>
      <c r="NG35" s="128">
        <v>0</v>
      </c>
      <c r="NH35" s="32">
        <v>0</v>
      </c>
      <c r="NI35" s="100">
        <f t="shared" si="273"/>
        <v>-320</v>
      </c>
      <c r="NK35" s="37">
        <f t="shared" si="206"/>
        <v>-320</v>
      </c>
      <c r="NL35" s="141">
        <f>IFERROR(VLOOKUP($D35,'Adient Assende (Belgium) WK.17'!$B:MH,NM$1,0),0)</f>
        <v>80</v>
      </c>
      <c r="NM35" s="140">
        <f>IFERROR(VLOOKUP($D35,'Adient Arendal (Malzia) WK.12'!$B:MI,NM$1,0),0)</f>
        <v>0</v>
      </c>
      <c r="NN35" s="140">
        <f>IFERROR(VLOOKUP($D35,'Adient Taizhou (China) WK.16'!$B:ML,NM$1,0),0)</f>
        <v>0</v>
      </c>
      <c r="NO35" s="128">
        <v>0</v>
      </c>
      <c r="NP35" s="32">
        <v>0</v>
      </c>
      <c r="NQ35" s="100">
        <f t="shared" si="274"/>
        <v>-400</v>
      </c>
      <c r="NS35" s="37">
        <f t="shared" si="207"/>
        <v>-400</v>
      </c>
      <c r="NT35" s="141">
        <f>IFERROR(VLOOKUP($D35,'Adient Assende (Belgium) WK.17'!$B:MP,NU$1,0),0)</f>
        <v>80</v>
      </c>
      <c r="NU35" s="140">
        <f>IFERROR(VLOOKUP($D35,'Adient Arendal (Malzia) WK.12'!$B:MQ,NU$1,0),0)</f>
        <v>0</v>
      </c>
      <c r="NV35" s="140">
        <f>IFERROR(VLOOKUP($D35,'Adient Taizhou (China) WK.16'!$B:MT,NU$1,0),0)</f>
        <v>0</v>
      </c>
      <c r="NW35" s="128">
        <v>0</v>
      </c>
      <c r="NX35" s="32">
        <v>0</v>
      </c>
      <c r="NY35" s="100">
        <f t="shared" si="275"/>
        <v>-480</v>
      </c>
      <c r="OA35" s="37">
        <f t="shared" si="208"/>
        <v>-480</v>
      </c>
      <c r="OB35" s="141">
        <f>IFERROR(VLOOKUP($D35,'Adient Assende (Belgium) WK.17'!$B:MX,OC$1,0),0)</f>
        <v>80</v>
      </c>
      <c r="OC35" s="140">
        <f>IFERROR(VLOOKUP($D35,'Adient Arendal (Malzia) WK.12'!$B:MY,OC$1,0),0)</f>
        <v>0</v>
      </c>
      <c r="OD35" s="140">
        <f>IFERROR(VLOOKUP($D35,'Adient Taizhou (China) WK.16'!$B:NB,OC$1,0),0)</f>
        <v>0</v>
      </c>
      <c r="OE35" s="128">
        <v>0</v>
      </c>
      <c r="OF35" s="32">
        <v>0</v>
      </c>
      <c r="OG35" s="100">
        <f t="shared" si="276"/>
        <v>-560</v>
      </c>
      <c r="OI35" s="37">
        <f t="shared" si="209"/>
        <v>-560</v>
      </c>
      <c r="OJ35" s="141">
        <f>IFERROR(VLOOKUP($D35,'Adient Assende (Belgium) WK.17'!$B:NF,OK$1,0),0)</f>
        <v>240</v>
      </c>
      <c r="OK35" s="140">
        <f>IFERROR(VLOOKUP($D35,'Adient Arendal (Malzia) WK.12'!$B:NG,OK$1,0),0)</f>
        <v>0</v>
      </c>
      <c r="OL35" s="140">
        <f>IFERROR(VLOOKUP($D35,'Adient Taizhou (China) WK.16'!$B:NJ,OK$1,0),0)</f>
        <v>0</v>
      </c>
      <c r="OM35" s="128">
        <v>0</v>
      </c>
      <c r="ON35" s="32">
        <v>0</v>
      </c>
      <c r="OO35" s="100">
        <f t="shared" si="277"/>
        <v>-800</v>
      </c>
      <c r="OQ35" s="37">
        <f t="shared" si="210"/>
        <v>-800</v>
      </c>
      <c r="OR35" s="141">
        <f>IFERROR(VLOOKUP($D35,'Adient Assende (Belgium) WK.17'!$B:NN,OS$1,0),0)</f>
        <v>0</v>
      </c>
      <c r="OS35" s="140">
        <f>IFERROR(VLOOKUP($D35,'Adient Arendal (Malzia) WK.12'!$B:NO,OS$1,0),0)</f>
        <v>0</v>
      </c>
      <c r="OT35" s="140">
        <f>IFERROR(VLOOKUP($D35,'Adient Taizhou (China) WK.16'!$B:NR,OS$1,0),0)</f>
        <v>0</v>
      </c>
      <c r="OU35" s="128">
        <v>0</v>
      </c>
      <c r="OV35" s="32">
        <v>0</v>
      </c>
      <c r="OW35" s="100">
        <f t="shared" si="278"/>
        <v>-800</v>
      </c>
      <c r="OY35" s="37">
        <f t="shared" si="211"/>
        <v>-800</v>
      </c>
      <c r="OZ35" s="141">
        <f>IFERROR(VLOOKUP($D35,'Adient Assende (Belgium) WK.17'!$B:NV,PA$1,0),0)</f>
        <v>0</v>
      </c>
      <c r="PA35" s="140">
        <f>IFERROR(VLOOKUP($D35,'Adient Arendal (Malzia) WK.12'!$B:NW,PA$1,0),0)</f>
        <v>0</v>
      </c>
      <c r="PB35" s="140">
        <f>IFERROR(VLOOKUP($D35,'Adient Taizhou (China) WK.16'!$B:NZ,PA$1,0),0)</f>
        <v>0</v>
      </c>
      <c r="PC35" s="128">
        <v>0</v>
      </c>
      <c r="PD35" s="32">
        <v>0</v>
      </c>
      <c r="PE35" s="100">
        <f t="shared" si="279"/>
        <v>-800</v>
      </c>
      <c r="PG35" s="37">
        <f t="shared" si="212"/>
        <v>-800</v>
      </c>
      <c r="PH35" s="141">
        <f>IFERROR(VLOOKUP($D35,'Adient Assende (Belgium) WK.17'!$B:OD,PI$1,0),0)</f>
        <v>0</v>
      </c>
      <c r="PI35" s="140">
        <f>IFERROR(VLOOKUP($D35,'Adient Arendal (Malzia) WK.12'!$B:OE,PI$1,0),0)</f>
        <v>0</v>
      </c>
      <c r="PJ35" s="140">
        <f>IFERROR(VLOOKUP($D35,'Adient Taizhou (China) WK.16'!$B:OH,PI$1,0),0)</f>
        <v>0</v>
      </c>
      <c r="PK35" s="128">
        <v>0</v>
      </c>
      <c r="PL35" s="32">
        <v>0</v>
      </c>
      <c r="PM35" s="100">
        <f t="shared" si="280"/>
        <v>-800</v>
      </c>
      <c r="PO35" s="37">
        <f t="shared" si="213"/>
        <v>-800</v>
      </c>
      <c r="PP35" s="141">
        <f>IFERROR(VLOOKUP($D35,'Adient Assende (Belgium) WK.17'!$B:OL,PQ$1,0),0)</f>
        <v>0</v>
      </c>
      <c r="PQ35" s="140">
        <f>IFERROR(VLOOKUP($D35,'Adient Arendal (Malzia) WK.12'!$B:OM,PQ$1,0),0)</f>
        <v>0</v>
      </c>
      <c r="PR35" s="140">
        <f>IFERROR(VLOOKUP($D35,'Adient Taizhou (China) WK.16'!$B:OP,PQ$1,0),0)</f>
        <v>0</v>
      </c>
      <c r="PS35" s="128">
        <v>0</v>
      </c>
      <c r="PT35" s="32">
        <v>0</v>
      </c>
      <c r="PU35" s="100">
        <f t="shared" si="281"/>
        <v>-800</v>
      </c>
      <c r="PW35" s="37">
        <f t="shared" si="214"/>
        <v>-800</v>
      </c>
      <c r="PX35" s="141">
        <f>IFERROR(VLOOKUP($D35,'Adient Assende (Belgium) WK.17'!$B:OT,PY$1,0),0)</f>
        <v>160</v>
      </c>
      <c r="PY35" s="140">
        <f>IFERROR(VLOOKUP($D35,'Adient Arendal (Malzia) WK.12'!$B:OU,PY$1,0),0)</f>
        <v>0</v>
      </c>
      <c r="PZ35" s="140">
        <f>IFERROR(VLOOKUP($D35,'Adient Taizhou (China) WK.16'!$B:OX,PY$1,0),0)</f>
        <v>0</v>
      </c>
      <c r="QA35" s="128">
        <v>0</v>
      </c>
      <c r="QB35" s="32">
        <v>0</v>
      </c>
      <c r="QC35" s="100">
        <f t="shared" si="282"/>
        <v>-960</v>
      </c>
      <c r="QE35" s="37">
        <f t="shared" si="215"/>
        <v>-960</v>
      </c>
      <c r="QF35" s="141">
        <f>IFERROR(VLOOKUP($D35,'Adient Assende (Belgium) WK.17'!$B:PB,QG$1,0),0)</f>
        <v>80</v>
      </c>
      <c r="QG35" s="140">
        <f>IFERROR(VLOOKUP($D35,'Adient Arendal (Malzia) WK.12'!$B:PC,QG$1,0),0)</f>
        <v>0</v>
      </c>
      <c r="QH35" s="140">
        <f>IFERROR(VLOOKUP($D35,'Adient Taizhou (China) WK.16'!$B:PF,QG$1,0),0)</f>
        <v>0</v>
      </c>
      <c r="QI35" s="128">
        <v>0</v>
      </c>
      <c r="QJ35" s="32">
        <v>0</v>
      </c>
      <c r="QK35" s="100">
        <f t="shared" si="283"/>
        <v>-1040</v>
      </c>
      <c r="QM35" s="37">
        <f t="shared" si="216"/>
        <v>-1040</v>
      </c>
      <c r="QN35" s="141">
        <f>IFERROR(VLOOKUP($D35,'Adient Assende (Belgium) WK.17'!$B:PJ,QO$1,0),0)</f>
        <v>80</v>
      </c>
      <c r="QO35" s="140">
        <f>IFERROR(VLOOKUP($D35,'Adient Arendal (Malzia) WK.12'!$B:PK,QO$1,0),0)</f>
        <v>0</v>
      </c>
      <c r="QP35" s="140">
        <f>IFERROR(VLOOKUP($D35,'Adient Taizhou (China) WK.16'!$B:PN,QO$1,0),0)</f>
        <v>0</v>
      </c>
      <c r="QQ35" s="128">
        <v>0</v>
      </c>
      <c r="QR35" s="32">
        <v>0</v>
      </c>
      <c r="QS35" s="100">
        <f t="shared" si="284"/>
        <v>-1120</v>
      </c>
      <c r="QU35" s="37">
        <f t="shared" si="217"/>
        <v>-1120</v>
      </c>
      <c r="QV35" s="141">
        <f>IFERROR(VLOOKUP($D35,'Adient Assende (Belgium) WK.17'!$B:PR,QW$1,0),0)</f>
        <v>100</v>
      </c>
      <c r="QW35" s="140">
        <f>IFERROR(VLOOKUP($D35,'Adient Arendal (Malzia) WK.12'!$B:PS,QW$1,0),0)</f>
        <v>0</v>
      </c>
      <c r="QX35" s="140">
        <f>IFERROR(VLOOKUP($D35,'Adient Taizhou (China) WK.16'!$B:PV,QW$1,0),0)</f>
        <v>0</v>
      </c>
      <c r="QY35" s="128">
        <v>0</v>
      </c>
      <c r="QZ35" s="32">
        <v>0</v>
      </c>
      <c r="RA35" s="100">
        <f t="shared" si="285"/>
        <v>-1220</v>
      </c>
      <c r="RC35" s="37">
        <f t="shared" si="218"/>
        <v>-1220</v>
      </c>
      <c r="RD35" s="141">
        <f>IFERROR(VLOOKUP($D35,'Adient Assende (Belgium) WK.17'!$B:PZ,RE$1,0),0)</f>
        <v>100</v>
      </c>
      <c r="RE35" s="140">
        <f>IFERROR(VLOOKUP($D35,'Adient Arendal (Malzia) WK.12'!$B:QA,RE$1,0),0)</f>
        <v>0</v>
      </c>
      <c r="RF35" s="140">
        <f>IFERROR(VLOOKUP($D35,'Adient Taizhou (China) WK.16'!$B:QD,RE$1,0),0)</f>
        <v>0</v>
      </c>
      <c r="RG35" s="128">
        <v>0</v>
      </c>
      <c r="RH35" s="32">
        <v>0</v>
      </c>
      <c r="RI35" s="100">
        <f t="shared" si="286"/>
        <v>-1320</v>
      </c>
      <c r="RK35" s="37">
        <f t="shared" si="219"/>
        <v>-1320</v>
      </c>
      <c r="RL35" s="141">
        <f>IFERROR(VLOOKUP($D35,'Adient Assende (Belgium) WK.17'!$B:QH,RM$1,0),0)</f>
        <v>100</v>
      </c>
      <c r="RM35" s="140">
        <f>IFERROR(VLOOKUP($D35,'Adient Arendal (Malzia) WK.12'!$B:QI,RM$1,0),0)</f>
        <v>0</v>
      </c>
      <c r="RN35" s="140">
        <f>IFERROR(VLOOKUP($D35,'Adient Taizhou (China) WK.16'!$B:QL,RM$1,0),0)</f>
        <v>0</v>
      </c>
      <c r="RO35" s="128">
        <v>0</v>
      </c>
      <c r="RP35" s="32">
        <v>0</v>
      </c>
      <c r="RQ35" s="100">
        <f t="shared" si="287"/>
        <v>-1420</v>
      </c>
      <c r="RS35" s="37">
        <f t="shared" si="220"/>
        <v>-1420</v>
      </c>
      <c r="RT35" s="141">
        <f>IFERROR(VLOOKUP($D35,'Adient Assende (Belgium) WK.17'!$B:QP,RU$1,0),0)</f>
        <v>100</v>
      </c>
      <c r="RU35" s="140">
        <f>IFERROR(VLOOKUP($D35,'Adient Arendal (Malzia) WK.12'!$B:QQ,RU$1,0),0)</f>
        <v>0</v>
      </c>
      <c r="RV35" s="140">
        <f>IFERROR(VLOOKUP($D35,'Adient Taizhou (China) WK.16'!$B:QT,RU$1,0),0)</f>
        <v>0</v>
      </c>
      <c r="RW35" s="128">
        <v>0</v>
      </c>
      <c r="RX35" s="32">
        <v>0</v>
      </c>
      <c r="RY35" s="100">
        <f t="shared" si="288"/>
        <v>-1520</v>
      </c>
      <c r="SA35" s="37">
        <f t="shared" si="221"/>
        <v>-1520</v>
      </c>
      <c r="SB35" s="141">
        <f>IFERROR(VLOOKUP($D35,'Adient Assende (Belgium) WK.17'!$B:QX,SC$1,0),0)</f>
        <v>100</v>
      </c>
      <c r="SC35" s="140">
        <f>IFERROR(VLOOKUP($D35,'Adient Arendal (Malzia) WK.12'!$B:QY,SC$1,0),0)</f>
        <v>0</v>
      </c>
      <c r="SD35" s="140">
        <f>IFERROR(VLOOKUP($D35,'Adient Taizhou (China) WK.16'!$B:RB,SC$1,0),0)</f>
        <v>0</v>
      </c>
      <c r="SE35" s="128">
        <v>0</v>
      </c>
      <c r="SF35" s="32">
        <v>0</v>
      </c>
      <c r="SG35" s="100">
        <f t="shared" si="289"/>
        <v>-1620</v>
      </c>
      <c r="SI35" s="37">
        <f t="shared" si="222"/>
        <v>-1620</v>
      </c>
      <c r="SJ35" s="141">
        <f>IFERROR(VLOOKUP($D35,'Adient Assende (Belgium) WK.17'!$B:RF,SK$1,0),0)</f>
        <v>100</v>
      </c>
      <c r="SK35" s="140">
        <f>IFERROR(VLOOKUP($D35,'Adient Arendal (Malzia) WK.12'!$B:RG,SK$1,0),0)</f>
        <v>0</v>
      </c>
      <c r="SL35" s="140">
        <f>IFERROR(VLOOKUP($D35,'Adient Taizhou (China) WK.16'!$B:RJ,SK$1,0),0)</f>
        <v>0</v>
      </c>
      <c r="SM35" s="128">
        <v>0</v>
      </c>
      <c r="SN35" s="32">
        <v>0</v>
      </c>
      <c r="SO35" s="100">
        <f t="shared" si="290"/>
        <v>-1720</v>
      </c>
      <c r="SQ35" s="37">
        <f t="shared" si="223"/>
        <v>-1720</v>
      </c>
      <c r="SR35" s="141">
        <f>IFERROR(VLOOKUP($D35,'Adient Assende (Belgium) WK.17'!$B:RN,SS$1,0),0)</f>
        <v>100</v>
      </c>
      <c r="SS35" s="140">
        <f>IFERROR(VLOOKUP($D35,'Adient Arendal (Malzia) WK.12'!$B:RO,SS$1,0),0)</f>
        <v>0</v>
      </c>
      <c r="ST35" s="140">
        <f>IFERROR(VLOOKUP($D35,'Adient Taizhou (China) WK.16'!$B:RR,SS$1,0),0)</f>
        <v>0</v>
      </c>
      <c r="SU35" s="128">
        <v>0</v>
      </c>
      <c r="SV35" s="32">
        <v>0</v>
      </c>
      <c r="SW35" s="100">
        <f t="shared" si="291"/>
        <v>-1820</v>
      </c>
      <c r="SY35" s="37">
        <f t="shared" si="224"/>
        <v>-1820</v>
      </c>
      <c r="SZ35" s="141">
        <f>IFERROR(VLOOKUP($D35,'Adient Assende (Belgium) WK.17'!$B:RV,TA$1,0),0)</f>
        <v>100</v>
      </c>
      <c r="TA35" s="140">
        <f>IFERROR(VLOOKUP($D35,'Adient Arendal (Malzia) WK.12'!$B:RW,TA$1,0),0)</f>
        <v>0</v>
      </c>
      <c r="TB35" s="140">
        <f>IFERROR(VLOOKUP($D35,'Adient Taizhou (China) WK.16'!$B:RZ,TA$1,0),0)</f>
        <v>0</v>
      </c>
      <c r="TC35" s="128">
        <v>0</v>
      </c>
      <c r="TD35" s="32">
        <v>0</v>
      </c>
      <c r="TE35" s="100">
        <f t="shared" si="292"/>
        <v>-1920</v>
      </c>
      <c r="TG35" s="37">
        <f t="shared" si="225"/>
        <v>-1920</v>
      </c>
      <c r="TH35" s="141">
        <f>IFERROR(VLOOKUP($D35,'Adient Assende (Belgium) WK.17'!$B:SD,TI$1,0),0)</f>
        <v>440</v>
      </c>
      <c r="TI35" s="140">
        <f>IFERROR(VLOOKUP($D35,'Adient Arendal (Malzia) WK.12'!$B:SE,TI$1,0),0)</f>
        <v>0</v>
      </c>
      <c r="TJ35" s="140">
        <f>IFERROR(VLOOKUP($D35,'Adient Taizhou (China) WK.16'!$B:SH,TI$1,0),0)</f>
        <v>0</v>
      </c>
      <c r="TK35" s="128">
        <v>0</v>
      </c>
      <c r="TL35" s="32">
        <v>0</v>
      </c>
      <c r="TM35" s="100">
        <f t="shared" si="293"/>
        <v>-2360</v>
      </c>
      <c r="TO35" s="37">
        <f t="shared" si="226"/>
        <v>-2360</v>
      </c>
      <c r="TP35" s="141">
        <f>IFERROR(VLOOKUP($D35,'Adient Assende (Belgium) WK.17'!$B:SL,TQ$1,0),0)</f>
        <v>440</v>
      </c>
      <c r="TQ35" s="140">
        <f>IFERROR(VLOOKUP($D35,'Adient Arendal (Malzia) WK.12'!$B:SM,TQ$1,0),0)</f>
        <v>0</v>
      </c>
      <c r="TR35" s="140">
        <f>IFERROR(VLOOKUP($D35,'Adient Taizhou (China) WK.16'!$B:SP,TQ$1,0),0)</f>
        <v>0</v>
      </c>
      <c r="TS35" s="128">
        <v>0</v>
      </c>
      <c r="TT35" s="32">
        <v>0</v>
      </c>
      <c r="TU35" s="100">
        <f t="shared" si="294"/>
        <v>-2800</v>
      </c>
      <c r="TW35" s="37">
        <f t="shared" si="227"/>
        <v>-2800</v>
      </c>
      <c r="TX35" s="141">
        <f>IFERROR(VLOOKUP($D35,'Adient Assende (Belgium) WK.17'!$B:ST,TY$1,0),0)</f>
        <v>440</v>
      </c>
      <c r="TY35" s="140">
        <f>IFERROR(VLOOKUP($D35,'Adient Arendal (Malzia) WK.12'!$B:SU,TY$1,0),0)</f>
        <v>0</v>
      </c>
      <c r="TZ35" s="140">
        <f>IFERROR(VLOOKUP($D35,'Adient Taizhou (China) WK.16'!$B:SX,TY$1,0),0)</f>
        <v>0</v>
      </c>
      <c r="UA35" s="128">
        <v>0</v>
      </c>
      <c r="UB35" s="32">
        <v>0</v>
      </c>
      <c r="UC35" s="100">
        <f t="shared" si="295"/>
        <v>-3240</v>
      </c>
      <c r="UE35" s="37">
        <f t="shared" si="228"/>
        <v>-3240</v>
      </c>
      <c r="UF35" s="141">
        <f>IFERROR(VLOOKUP($D35,'Adient Assende (Belgium) WK.17'!$B:TB,UG$1,0),0)</f>
        <v>440</v>
      </c>
      <c r="UG35" s="140">
        <f>IFERROR(VLOOKUP($D35,'Adient Arendal (Malzia) WK.12'!$B:TC,UG$1,0),0)</f>
        <v>0</v>
      </c>
      <c r="UH35" s="140">
        <f>IFERROR(VLOOKUP($D35,'Adient Taizhou (China) WK.16'!$B:TF,UG$1,0),0)</f>
        <v>0</v>
      </c>
      <c r="UI35" s="128">
        <v>0</v>
      </c>
      <c r="UJ35" s="32">
        <v>0</v>
      </c>
      <c r="UK35" s="100">
        <f t="shared" si="296"/>
        <v>-3680</v>
      </c>
      <c r="UM35" s="37">
        <f t="shared" si="229"/>
        <v>-3680</v>
      </c>
      <c r="UN35" s="141">
        <f>IFERROR(VLOOKUP($D35,'Adient Assende (Belgium) WK.17'!$B:TJ,UO$1,0),0)</f>
        <v>400</v>
      </c>
      <c r="UO35" s="140">
        <f>IFERROR(VLOOKUP($D35,'Adient Arendal (Malzia) WK.12'!$B:TK,UO$1,0),0)</f>
        <v>0</v>
      </c>
      <c r="UP35" s="140">
        <f>IFERROR(VLOOKUP($D35,'Adient Taizhou (China) WK.16'!$B:TN,UO$1,0),0)</f>
        <v>0</v>
      </c>
      <c r="UQ35" s="128">
        <v>0</v>
      </c>
      <c r="UR35" s="32">
        <v>0</v>
      </c>
      <c r="US35" s="100">
        <f t="shared" si="297"/>
        <v>-4080</v>
      </c>
      <c r="UU35" s="37">
        <f t="shared" si="230"/>
        <v>-4080</v>
      </c>
      <c r="UV35" s="141">
        <f>IFERROR(VLOOKUP($D35,'Adient Assende (Belgium) WK.17'!$B:TR,UW$1,0),0)</f>
        <v>360</v>
      </c>
      <c r="UW35" s="140">
        <f>IFERROR(VLOOKUP($D35,'Adient Arendal (Malzia) WK.12'!$B:TS,UW$1,0),0)</f>
        <v>0</v>
      </c>
      <c r="UX35" s="140">
        <f>IFERROR(VLOOKUP($D35,'Adient Taizhou (China) WK.16'!$B:TV,UW$1,0),0)</f>
        <v>0</v>
      </c>
      <c r="UY35" s="128">
        <v>0</v>
      </c>
      <c r="UZ35" s="32">
        <v>0</v>
      </c>
      <c r="VA35" s="100">
        <f t="shared" si="298"/>
        <v>-4440</v>
      </c>
      <c r="VC35" s="37">
        <f t="shared" si="231"/>
        <v>-4440</v>
      </c>
      <c r="VD35" s="141">
        <f>IFERROR(VLOOKUP($D35,'Adient Assende (Belgium) WK.17'!$B:TZ,VE$1,0),0)</f>
        <v>360</v>
      </c>
      <c r="VE35" s="140">
        <f>IFERROR(VLOOKUP($D35,'Adient Arendal (Malzia) WK.12'!$B:UA,VE$1,0),0)</f>
        <v>0</v>
      </c>
      <c r="VF35" s="140">
        <f>IFERROR(VLOOKUP($D35,'Adient Taizhou (China) WK.16'!$B:UD,VE$1,0),0)</f>
        <v>0</v>
      </c>
      <c r="VG35" s="128">
        <v>0</v>
      </c>
      <c r="VH35" s="32">
        <v>0</v>
      </c>
      <c r="VI35" s="100">
        <f t="shared" si="299"/>
        <v>-4800</v>
      </c>
      <c r="VK35" s="37">
        <f t="shared" si="232"/>
        <v>-4800</v>
      </c>
      <c r="VL35" s="141">
        <f>IFERROR(VLOOKUP($D35,'Adient Assende (Belgium) WK.17'!$B:UH,VM$1,0),0)</f>
        <v>0</v>
      </c>
      <c r="VM35" s="140">
        <f>IFERROR(VLOOKUP($D35,'Adient Arendal (Malzia) WK.12'!$B:UI,VM$1,0),0)</f>
        <v>0</v>
      </c>
      <c r="VN35" s="140">
        <f>IFERROR(VLOOKUP($D35,'Adient Taizhou (China) WK.16'!$B:UL,VM$1,0),0)</f>
        <v>0</v>
      </c>
      <c r="VO35" s="128">
        <v>0</v>
      </c>
      <c r="VP35" s="32">
        <v>0</v>
      </c>
      <c r="VQ35" s="100">
        <f t="shared" si="300"/>
        <v>-4800</v>
      </c>
    </row>
    <row r="36" spans="1:589" x14ac:dyDescent="0.25">
      <c r="A36" s="10" t="s">
        <v>18</v>
      </c>
      <c r="B36" s="48" t="s">
        <v>19</v>
      </c>
      <c r="C36" s="88">
        <v>32272854</v>
      </c>
      <c r="D36" s="82">
        <v>5080285</v>
      </c>
      <c r="E36" s="11">
        <v>20</v>
      </c>
      <c r="F36" s="12"/>
      <c r="H36" s="122">
        <v>400</v>
      </c>
      <c r="I36" s="125">
        <f>IFERROR(VLOOKUP($D36,'Adient Assende (Belgium) WK.17'!$B:C,J$1,0),0)</f>
        <v>80</v>
      </c>
      <c r="J36" s="55">
        <f>IFERROR(VLOOKUP($D36,'Adient Arendal (Malzia) WK.12'!$B:C,J$1,0),0)</f>
        <v>0</v>
      </c>
      <c r="K36" s="55">
        <f>IFERROR(VLOOKUP($D36,'Adient Taizhou (China) WK.16'!$B:C,J$1,0),0)</f>
        <v>0</v>
      </c>
      <c r="L36" s="128">
        <v>0</v>
      </c>
      <c r="M36" s="32">
        <v>0</v>
      </c>
      <c r="N36" s="106">
        <f t="shared" si="233"/>
        <v>400</v>
      </c>
      <c r="P36" s="37">
        <f t="shared" si="234"/>
        <v>400</v>
      </c>
      <c r="Q36" s="125">
        <f>IFERROR(VLOOKUP($D36,'Adient Assende (Belgium) WK.17'!$B:K,R$1,0),0)</f>
        <v>0</v>
      </c>
      <c r="R36" s="55">
        <f>IFERROR(VLOOKUP($D36,'Adient Arendal (Malzia) WK.12'!$B:K,R$1,0),0)</f>
        <v>0</v>
      </c>
      <c r="S36" s="55">
        <f>IFERROR(VLOOKUP($D36,'Adient Taizhou (China) WK.16'!$B:K,R$1,0),0)</f>
        <v>0</v>
      </c>
      <c r="T36" s="41">
        <v>0</v>
      </c>
      <c r="U36" s="32">
        <v>0</v>
      </c>
      <c r="V36" s="106">
        <f t="shared" si="235"/>
        <v>400</v>
      </c>
      <c r="X36" s="37">
        <f t="shared" si="236"/>
        <v>400</v>
      </c>
      <c r="Y36" s="125">
        <f>IFERROR(VLOOKUP($D36,'Adient Assende (Belgium) WK.17'!$B:S,Z$1,0),0)</f>
        <v>0</v>
      </c>
      <c r="Z36" s="55">
        <f>IFERROR(VLOOKUP($D36,'Adient Arendal (Malzia) WK.12'!$B:S,Z$1,0),0)</f>
        <v>0</v>
      </c>
      <c r="AA36" s="55">
        <f>IFERROR(VLOOKUP($D36,'Adient Taizhou (China) WK.16'!$B:S,Z$1,0),0)</f>
        <v>0</v>
      </c>
      <c r="AB36" s="41">
        <v>0</v>
      </c>
      <c r="AC36" s="32">
        <v>0</v>
      </c>
      <c r="AD36" s="106">
        <f t="shared" si="237"/>
        <v>400</v>
      </c>
      <c r="AF36" s="37">
        <f t="shared" si="238"/>
        <v>400</v>
      </c>
      <c r="AG36" s="125">
        <f>IFERROR(VLOOKUP($D36,'Adient Assende (Belgium) WK.17'!$B:AA,AH$1,0),0)</f>
        <v>0</v>
      </c>
      <c r="AH36" s="55">
        <f>IFERROR(VLOOKUP($D36,'Adient Arendal (Malzia) WK.12'!$B:AA,AH$1,0),0)</f>
        <v>0</v>
      </c>
      <c r="AI36" s="55">
        <f>IFERROR(VLOOKUP($D36,'Adient Taizhou (China) WK.16'!$B:AA,AH$1,0),0)</f>
        <v>0</v>
      </c>
      <c r="AJ36" s="41">
        <v>80</v>
      </c>
      <c r="AK36" s="32">
        <v>0</v>
      </c>
      <c r="AL36" s="106">
        <f t="shared" si="239"/>
        <v>320</v>
      </c>
      <c r="AN36" s="37">
        <f t="shared" si="164"/>
        <v>320</v>
      </c>
      <c r="AO36" s="125">
        <f>IFERROR(VLOOKUP($D36,'Adient Assende (Belgium) WK.17'!$B:AI,AP$1,0),0)</f>
        <v>80</v>
      </c>
      <c r="AP36" s="55">
        <f>IFERROR(VLOOKUP($D36,'Adient Arendal (Malzia) WK.12'!$B:AI,AP$1,0),0)</f>
        <v>0</v>
      </c>
      <c r="AQ36" s="55">
        <f>IFERROR(VLOOKUP($D36,'Adient Taizhou (China) WK.16'!$B:AI,AP$1,0),0)</f>
        <v>0</v>
      </c>
      <c r="AR36" s="60">
        <v>0</v>
      </c>
      <c r="AS36" s="41">
        <v>0</v>
      </c>
      <c r="AT36" s="32">
        <v>0</v>
      </c>
      <c r="AU36" s="106">
        <f t="shared" si="240"/>
        <v>320</v>
      </c>
      <c r="AW36" s="37">
        <f t="shared" si="165"/>
        <v>320</v>
      </c>
      <c r="AX36" s="125">
        <f>IFERROR(VLOOKUP($D36,'Adient Assende (Belgium) WK.17'!$B:AR,AY$1,0),0)</f>
        <v>0</v>
      </c>
      <c r="AY36" s="55">
        <f>IFERROR(VLOOKUP($D36,'Adient Arendal (Malzia) WK.12'!$B:AR,AY$1,0),0)</f>
        <v>0</v>
      </c>
      <c r="AZ36" s="55">
        <f>IFERROR(VLOOKUP($D36,'Adient Taizhou (China) WK.16'!$B:AU,AY$1,0),0)</f>
        <v>0</v>
      </c>
      <c r="BA36" s="41">
        <v>0</v>
      </c>
      <c r="BB36" s="32">
        <v>0</v>
      </c>
      <c r="BC36" s="106">
        <f t="shared" si="241"/>
        <v>320</v>
      </c>
      <c r="BE36" s="37">
        <f t="shared" si="166"/>
        <v>320</v>
      </c>
      <c r="BF36" s="125">
        <f>IFERROR(VLOOKUP($D36,'Adient Assende (Belgium) WK.17'!$B:AX,BG$1,0),0)</f>
        <v>0</v>
      </c>
      <c r="BG36" s="55">
        <f>IFERROR(VLOOKUP($D36,'Adient Arendal (Malzia) WK.12'!$B:AZ,BG$1,0),0)</f>
        <v>0</v>
      </c>
      <c r="BH36" s="55">
        <f>IFERROR(VLOOKUP($D36,'Adient Taizhou (China) WK.16'!$B:BB,BG$1,0),0)</f>
        <v>0</v>
      </c>
      <c r="BI36" s="60">
        <v>0</v>
      </c>
      <c r="BJ36" s="60">
        <v>0</v>
      </c>
      <c r="BK36" s="41">
        <v>0</v>
      </c>
      <c r="BL36" s="32">
        <v>0</v>
      </c>
      <c r="BM36" s="106">
        <f t="shared" si="242"/>
        <v>320</v>
      </c>
      <c r="BN36" s="8"/>
      <c r="BO36" s="37">
        <f t="shared" si="167"/>
        <v>320</v>
      </c>
      <c r="BP36" s="125">
        <f>IFERROR(VLOOKUP($D36,'Adient Assende (Belgium) WK.17'!$B:BH,BQ$1,0),0)</f>
        <v>0</v>
      </c>
      <c r="BQ36" s="55">
        <f>IFERROR(VLOOKUP($D36,'Adient Arendal (Malzia) WK.12'!$B:BI,BQ$1,0),0)</f>
        <v>0</v>
      </c>
      <c r="BR36" s="55">
        <f>IFERROR(VLOOKUP($D36,'Adient Taizhou (China) WK.16'!$B:BL,BQ$1,0),0)</f>
        <v>0</v>
      </c>
      <c r="BS36" s="60">
        <v>0</v>
      </c>
      <c r="BT36" s="60">
        <v>0</v>
      </c>
      <c r="BU36" s="60">
        <v>0</v>
      </c>
      <c r="BV36" s="41">
        <v>80</v>
      </c>
      <c r="BW36" s="32">
        <v>0</v>
      </c>
      <c r="BX36" s="106">
        <f t="shared" si="243"/>
        <v>240</v>
      </c>
      <c r="BY36" s="8"/>
      <c r="BZ36" s="37">
        <f t="shared" si="168"/>
        <v>240</v>
      </c>
      <c r="CA36" s="125">
        <f>IFERROR(VLOOKUP($D36,'Adient Assende (Belgium) WK.17'!$B:BS,CB$1,0),0)</f>
        <v>80</v>
      </c>
      <c r="CB36" s="55">
        <f>IFERROR(VLOOKUP($D36,'Adient Arendal (Malzia) WK.12'!$B:BT,CB$1,0),0)</f>
        <v>20</v>
      </c>
      <c r="CC36" s="55">
        <f>IFERROR(VLOOKUP($D36,'Adient Taizhou (China) WK.16'!$B:BW,CB$1,0),0)</f>
        <v>0</v>
      </c>
      <c r="CD36" s="60">
        <v>0</v>
      </c>
      <c r="CE36" s="60">
        <v>0</v>
      </c>
      <c r="CF36" s="41">
        <v>0</v>
      </c>
      <c r="CG36" s="32">
        <v>0</v>
      </c>
      <c r="CH36" s="106">
        <f t="shared" si="244"/>
        <v>220</v>
      </c>
      <c r="CI36" s="8"/>
      <c r="CJ36" s="37">
        <f t="shared" si="169"/>
        <v>220</v>
      </c>
      <c r="CK36" s="125">
        <f>IFERROR(VLOOKUP($D36,'Adient Assende (Belgium) WK.17'!$B:CC,CL$1,0),0)</f>
        <v>0</v>
      </c>
      <c r="CL36" s="55">
        <f>IFERROR(VLOOKUP($D36,'Adient Arendal (Malzia) WK.12'!$B:CD,CL$1,0),0)</f>
        <v>0</v>
      </c>
      <c r="CM36" s="55">
        <f>IFERROR(VLOOKUP($D36,'Adient Taizhou (China) WK.16'!$B:CG,CL$1,0),0)</f>
        <v>0</v>
      </c>
      <c r="CN36" s="60">
        <v>0</v>
      </c>
      <c r="CO36" s="149">
        <v>0</v>
      </c>
      <c r="CP36" s="32">
        <v>0</v>
      </c>
      <c r="CQ36" s="106">
        <f t="shared" si="245"/>
        <v>220</v>
      </c>
      <c r="CR36" s="8"/>
      <c r="CS36" s="122">
        <f t="shared" si="170"/>
        <v>220</v>
      </c>
      <c r="CT36" s="154">
        <f>IFERROR(VLOOKUP($D36,'Adient Assende (Belgium) WK.17'!$B:CL,CU$1,0),0)</f>
        <v>0</v>
      </c>
      <c r="CU36" s="55">
        <f>IFERROR(VLOOKUP($D36,'Adient Arendal (Malzia) WK.12'!$B:CM,CU$1,0),0)</f>
        <v>0</v>
      </c>
      <c r="CV36" s="55">
        <f>IFERROR(VLOOKUP($D36,'Adient Taizhou (China) WK.16'!$B:CP,CU$1,0),0)</f>
        <v>0</v>
      </c>
      <c r="CW36" s="60">
        <v>0</v>
      </c>
      <c r="CX36" s="60">
        <v>0</v>
      </c>
      <c r="CY36" s="128">
        <v>0</v>
      </c>
      <c r="CZ36" s="32">
        <v>0</v>
      </c>
      <c r="DA36" s="106">
        <f t="shared" si="246"/>
        <v>220</v>
      </c>
      <c r="DB36" s="8"/>
      <c r="DC36" s="37">
        <f t="shared" si="171"/>
        <v>220</v>
      </c>
      <c r="DD36" s="125">
        <f>IFERROR(VLOOKUP($D36,'Adient Assende (Belgium) WK.17'!$B:CS,DE$1,0),0)</f>
        <v>0</v>
      </c>
      <c r="DE36" s="55">
        <f>IFERROR(VLOOKUP($D36,'Adient Arendal (Malzia) WK.12'!$B:CU,DE$1,0),0)</f>
        <v>0</v>
      </c>
      <c r="DF36" s="55">
        <f>IFERROR(VLOOKUP($D36,'Adient Taizhou (China) WK.16'!$B:CX,DE$1,0),0)</f>
        <v>0</v>
      </c>
      <c r="DG36" s="60">
        <v>0</v>
      </c>
      <c r="DH36" s="128">
        <v>80</v>
      </c>
      <c r="DI36" s="32">
        <v>0</v>
      </c>
      <c r="DJ36" s="106">
        <f t="shared" si="247"/>
        <v>140</v>
      </c>
      <c r="DL36" s="37">
        <f t="shared" si="172"/>
        <v>140</v>
      </c>
      <c r="DM36" s="125">
        <f>IFERROR(VLOOKUP($D36,'Adient Assende (Belgium) WK.17'!$B:DB,DN$1,0),0)</f>
        <v>80</v>
      </c>
      <c r="DN36" s="55">
        <f>IFERROR(VLOOKUP($D36,'Adient Arendal (Malzia) WK.12'!$B:DC,DN$1,0),0)</f>
        <v>0</v>
      </c>
      <c r="DO36" s="55">
        <f>IFERROR(VLOOKUP($D36,'Adient Taizhou (China) WK.16'!$B:DF,DN$1,0),0)</f>
        <v>0</v>
      </c>
      <c r="DP36" s="128">
        <v>0</v>
      </c>
      <c r="DQ36" s="32">
        <v>0</v>
      </c>
      <c r="DR36" s="106">
        <f t="shared" si="173"/>
        <v>140</v>
      </c>
      <c r="DS36" s="8"/>
      <c r="DT36" s="37">
        <f t="shared" si="174"/>
        <v>140</v>
      </c>
      <c r="DU36" s="125">
        <f>IFERROR(VLOOKUP($D36,'Adient Assende (Belgium) WK.17'!$B:DJ,DV$1,0),0)</f>
        <v>0</v>
      </c>
      <c r="DV36" s="55">
        <f>IFERROR(VLOOKUP($D36,'Adient Arendal (Malzia) WK.12'!$B:DK,DV$1,0),0)</f>
        <v>0</v>
      </c>
      <c r="DW36" s="55">
        <f>IFERROR(VLOOKUP($D36,'Adient Taizhou (China) WK.16'!$B:DN,DV$1,0),0)</f>
        <v>0</v>
      </c>
      <c r="DX36" s="60">
        <v>0</v>
      </c>
      <c r="DY36" s="60">
        <v>100</v>
      </c>
      <c r="DZ36" s="128">
        <v>0</v>
      </c>
      <c r="EA36" s="32">
        <v>0</v>
      </c>
      <c r="EB36" s="106">
        <f t="shared" si="248"/>
        <v>240</v>
      </c>
      <c r="EC36" s="8"/>
      <c r="ED36" s="37">
        <f t="shared" si="175"/>
        <v>240</v>
      </c>
      <c r="EE36" s="125">
        <f>IFERROR(VLOOKUP($D36,'Adient Assende (Belgium) WK.17'!$B:DR,EF$1,0),0)</f>
        <v>0</v>
      </c>
      <c r="EF36" s="55">
        <f>IFERROR(VLOOKUP($D36,'Adient Arendal (Malzia) WK.12'!$B:DS,EF$1,0),0)</f>
        <v>0</v>
      </c>
      <c r="EG36" s="55">
        <f>IFERROR(VLOOKUP($D36,'Adient Taizhou (China) WK.16'!$B:DV,EF$1,0),0)</f>
        <v>0</v>
      </c>
      <c r="EH36" s="60">
        <v>0</v>
      </c>
      <c r="EI36" s="128">
        <v>0</v>
      </c>
      <c r="EJ36" s="32">
        <v>0</v>
      </c>
      <c r="EK36" s="106">
        <f t="shared" si="249"/>
        <v>240</v>
      </c>
      <c r="EM36" s="37">
        <f t="shared" si="176"/>
        <v>240</v>
      </c>
      <c r="EN36" s="125">
        <f>IFERROR(VLOOKUP($D36,'Adient Assende (Belgium) WK.17'!$B:DZ,EO$1,0),0)</f>
        <v>0</v>
      </c>
      <c r="EO36" s="55">
        <f>IFERROR(VLOOKUP($D36,'Adient Arendal (Malzia) WK.12'!$B:EA,EO$1,0),0)</f>
        <v>0</v>
      </c>
      <c r="EP36" s="55">
        <f>IFERROR(VLOOKUP($D36,'Adient Taizhou (China) WK.16'!$B:ED,EO$1,0),0)</f>
        <v>0</v>
      </c>
      <c r="EQ36" s="128">
        <v>80</v>
      </c>
      <c r="ER36" s="32">
        <v>0</v>
      </c>
      <c r="ES36" s="106">
        <f t="shared" si="250"/>
        <v>160</v>
      </c>
      <c r="EU36" s="37">
        <f t="shared" si="177"/>
        <v>160</v>
      </c>
      <c r="EV36" s="125">
        <f>IFERROR(VLOOKUP($D36,'Adient Assende (Belgium) WK.17'!$B:EH,EW$1,0),0)</f>
        <v>80</v>
      </c>
      <c r="EW36" s="55">
        <f>IFERROR(VLOOKUP($D36,'Adient Arendal (Malzia) WK.12'!$B:EI,EW$1,0),0)</f>
        <v>0</v>
      </c>
      <c r="EX36" s="55">
        <f>IFERROR(VLOOKUP($D36,'Adient Taizhou (China) WK.16'!$B:EL,EW$1,0),0)</f>
        <v>0</v>
      </c>
      <c r="EY36" s="128">
        <v>0</v>
      </c>
      <c r="EZ36" s="32">
        <v>0</v>
      </c>
      <c r="FA36" s="106">
        <f t="shared" si="251"/>
        <v>160</v>
      </c>
      <c r="FC36" s="37">
        <f t="shared" si="178"/>
        <v>160</v>
      </c>
      <c r="FD36" s="154">
        <f>IFERROR(VLOOKUP($D36,'Adient Assende (Belgium) WK.17'!$B:EP,FE$1,0),0)</f>
        <v>0</v>
      </c>
      <c r="FE36" s="154">
        <f>IFERROR(VLOOKUP($D36,'Adient Arendal (Malzia) WK.12'!$B:EQ,FE$1,0),0)</f>
        <v>0</v>
      </c>
      <c r="FF36" s="154">
        <f>IFERROR(VLOOKUP($D36,'Adient Taizhou (China) WK.16'!$B:ET,FE$1,0),0)</f>
        <v>0</v>
      </c>
      <c r="FG36" s="128">
        <v>0</v>
      </c>
      <c r="FH36" s="32">
        <v>0</v>
      </c>
      <c r="FI36" s="106">
        <f t="shared" si="252"/>
        <v>160</v>
      </c>
      <c r="FK36" s="37">
        <f t="shared" si="179"/>
        <v>160</v>
      </c>
      <c r="FL36" s="125">
        <f>IFERROR(VLOOKUP($D36,'Adient Assende (Belgium) WK.17'!$B:EX,FM$1,0),0)</f>
        <v>0</v>
      </c>
      <c r="FM36" s="55">
        <f>IFERROR(VLOOKUP($D36,'Adient Arendal (Malzia) WK.12'!$B:EY,FM$1,0),0)</f>
        <v>0</v>
      </c>
      <c r="FN36" s="55">
        <f>IFERROR(VLOOKUP($D36,'Adient Taizhou (China) WK.16'!$B:FB,FM$1,0),0)</f>
        <v>0</v>
      </c>
      <c r="FO36" s="128">
        <v>0</v>
      </c>
      <c r="FP36" s="32">
        <v>0</v>
      </c>
      <c r="FQ36" s="106">
        <f t="shared" si="253"/>
        <v>160</v>
      </c>
      <c r="FR36" s="8"/>
      <c r="FS36" s="37">
        <f t="shared" si="180"/>
        <v>160</v>
      </c>
      <c r="FT36" s="125">
        <f>IFERROR(VLOOKUP($D36,'Adient Assende (Belgium) WK.17'!$B:FF,FU$1,0),0)</f>
        <v>0</v>
      </c>
      <c r="FU36" s="55">
        <f>IFERROR(VLOOKUP($D36,'Adient Arendal (Malzia) WK.12'!$B:FG,FU$1,0),0)</f>
        <v>0</v>
      </c>
      <c r="FV36" s="55">
        <f>IFERROR(VLOOKUP($D36,'Adient Taizhou (China) WK.16'!$B:FJ,FU$1,0),0)</f>
        <v>0</v>
      </c>
      <c r="FW36" s="60">
        <v>0</v>
      </c>
      <c r="FX36" s="60">
        <v>0</v>
      </c>
      <c r="FY36" s="60">
        <v>100</v>
      </c>
      <c r="FZ36" s="60">
        <v>0</v>
      </c>
      <c r="GA36" s="60">
        <v>0</v>
      </c>
      <c r="GB36" s="128">
        <v>0</v>
      </c>
      <c r="GC36" s="32">
        <v>0</v>
      </c>
      <c r="GD36" s="106">
        <f t="shared" si="254"/>
        <v>260</v>
      </c>
      <c r="GF36" s="37">
        <f t="shared" si="181"/>
        <v>260</v>
      </c>
      <c r="GG36" s="125">
        <f>IFERROR(VLOOKUP($D36,'Adient Assende (Belgium) WK.17'!$B:FN,GH$1,0),0)</f>
        <v>0</v>
      </c>
      <c r="GH36" s="55">
        <f>IFERROR(VLOOKUP($D36,'Adient Arendal (Malzia) WK.12'!$B:FO,GH$1,0),0)</f>
        <v>0</v>
      </c>
      <c r="GI36" s="55">
        <f>IFERROR(VLOOKUP($D36,'Adient Taizhou (China) WK.16'!$B:FR,GH$1,0),0)</f>
        <v>0</v>
      </c>
      <c r="GJ36" s="60">
        <v>0</v>
      </c>
      <c r="GK36" s="128">
        <v>0</v>
      </c>
      <c r="GL36" s="32">
        <v>0</v>
      </c>
      <c r="GM36" s="106">
        <f t="shared" si="255"/>
        <v>260</v>
      </c>
      <c r="GO36" s="37">
        <f t="shared" si="182"/>
        <v>260</v>
      </c>
      <c r="GP36" s="125">
        <f>IFERROR(VLOOKUP($D36,'Adient Assende (Belgium) WK.17'!$B:FV,GQ$1,0),0)</f>
        <v>0</v>
      </c>
      <c r="GQ36" s="55">
        <f>IFERROR(VLOOKUP($D36,'Adient Arendal (Malzia) WK.12'!$B:FW,GQ$1,0),0)</f>
        <v>0</v>
      </c>
      <c r="GR36" s="55">
        <f>IFERROR(VLOOKUP($D36,'Adient Taizhou (China) WK.16'!$B:FZ,GQ$1,0),0)</f>
        <v>0</v>
      </c>
      <c r="GS36" s="60">
        <v>0</v>
      </c>
      <c r="GT36" s="128">
        <v>80</v>
      </c>
      <c r="GU36" s="32">
        <v>0</v>
      </c>
      <c r="GV36" s="106">
        <f t="shared" si="256"/>
        <v>180</v>
      </c>
      <c r="GW36" s="8"/>
      <c r="GX36" s="37">
        <f t="shared" si="183"/>
        <v>180</v>
      </c>
      <c r="GY36" s="125">
        <f>IFERROR(VLOOKUP($D36,'Adient Assende (Belgium) WK.17'!$B:GD,GZ$1,0),0)</f>
        <v>80</v>
      </c>
      <c r="GZ36" s="55">
        <f>IFERROR(VLOOKUP($D36,'Adient Arendal (Malzia) WK.12'!$B:GE,GZ$1,0),0)</f>
        <v>0</v>
      </c>
      <c r="HA36" s="55">
        <f>IFERROR(VLOOKUP($D36,'Adient Taizhou (China) WK.16'!$B:GH,GZ$1,0),0)</f>
        <v>0</v>
      </c>
      <c r="HB36" s="60">
        <v>0</v>
      </c>
      <c r="HC36" s="128">
        <v>0</v>
      </c>
      <c r="HD36" s="32">
        <v>0</v>
      </c>
      <c r="HE36" s="106">
        <f t="shared" si="257"/>
        <v>180</v>
      </c>
      <c r="HF36" s="8"/>
      <c r="HG36" s="37">
        <f t="shared" si="184"/>
        <v>180</v>
      </c>
      <c r="HH36" s="125">
        <f>IFERROR(VLOOKUP($D36,'Adient Assende (Belgium) WK.17'!$B:GL,HI$1,0),0)</f>
        <v>0</v>
      </c>
      <c r="HI36" s="55">
        <f>IFERROR(VLOOKUP($D36,'Adient Arendal (Malzia) WK.12'!$B:GM,HI$1,0),0)</f>
        <v>0</v>
      </c>
      <c r="HJ36" s="55">
        <f>IFERROR(VLOOKUP($D36,'Adient Taizhou (China) WK.16'!$B:GP,HI$1,0),0)</f>
        <v>0</v>
      </c>
      <c r="HK36" s="60">
        <v>0</v>
      </c>
      <c r="HL36" s="128">
        <v>0</v>
      </c>
      <c r="HM36" s="32">
        <v>0</v>
      </c>
      <c r="HN36" s="106">
        <f t="shared" si="258"/>
        <v>180</v>
      </c>
      <c r="HO36" s="8"/>
      <c r="HP36" s="37">
        <f t="shared" si="185"/>
        <v>180</v>
      </c>
      <c r="HQ36" s="125">
        <f>IFERROR(VLOOKUP($D36,'Adient Assende (Belgium) WK.17'!$B:GT,HR$1,0),0)</f>
        <v>0</v>
      </c>
      <c r="HR36" s="55">
        <f>IFERROR(VLOOKUP($D36,'Adient Arendal (Malzia) WK.12'!$B:GU,HR$1,0),0)</f>
        <v>0</v>
      </c>
      <c r="HS36" s="55">
        <f>IFERROR(VLOOKUP($D36,'Adient Taizhou (China) WK.16'!$B:GX,HR$1,0),0)</f>
        <v>0</v>
      </c>
      <c r="HT36" s="60">
        <v>0</v>
      </c>
      <c r="HU36" s="128">
        <v>0</v>
      </c>
      <c r="HV36" s="32">
        <v>0</v>
      </c>
      <c r="HW36" s="106">
        <f t="shared" si="259"/>
        <v>180</v>
      </c>
      <c r="HX36" s="8"/>
      <c r="HY36" s="37">
        <f t="shared" si="186"/>
        <v>180</v>
      </c>
      <c r="HZ36" s="125">
        <f>IFERROR(VLOOKUP($D36,'Adient Assende (Belgium) WK.17'!$B:HB,IA$1,0),0)</f>
        <v>0</v>
      </c>
      <c r="IA36" s="55">
        <f>IFERROR(VLOOKUP($D36,'Adient Arendal (Malzia) WK.12'!$B:HC,IA$1,0),0)</f>
        <v>0</v>
      </c>
      <c r="IB36" s="55">
        <f>IFERROR(VLOOKUP($D36,'Adient Taizhou (China) WK.16'!$B:HF,IA$1,0),0)</f>
        <v>0</v>
      </c>
      <c r="IC36" s="60">
        <v>280</v>
      </c>
      <c r="ID36" s="128">
        <v>80</v>
      </c>
      <c r="IE36" s="32">
        <v>0</v>
      </c>
      <c r="IF36" s="106">
        <f t="shared" si="260"/>
        <v>380</v>
      </c>
      <c r="IG36" s="8"/>
      <c r="IH36" s="37">
        <f t="shared" si="187"/>
        <v>380</v>
      </c>
      <c r="II36" s="125">
        <f>IFERROR(VLOOKUP($D36,'Adient Assende (Belgium) WK.17'!$B:HJ,IJ$1,0),0)</f>
        <v>80</v>
      </c>
      <c r="IJ36" s="55">
        <f>IFERROR(VLOOKUP($D36,'Adient Arendal (Malzia) WK.12'!$B:HK,IJ$1,0),0)</f>
        <v>0</v>
      </c>
      <c r="IK36" s="55">
        <f>IFERROR(VLOOKUP($D36,'Adient Taizhou (China) WK.16'!$B:HN,IJ$1,0),0)</f>
        <v>0</v>
      </c>
      <c r="IL36" s="128">
        <v>0</v>
      </c>
      <c r="IM36" s="32">
        <v>0</v>
      </c>
      <c r="IN36" s="106">
        <f t="shared" si="188"/>
        <v>380</v>
      </c>
      <c r="IO36" s="8"/>
      <c r="IP36" s="37">
        <f t="shared" si="189"/>
        <v>380</v>
      </c>
      <c r="IQ36" s="125">
        <f>IFERROR(VLOOKUP($D36,'Adient Assende (Belgium) WK.17'!$B:HR,IR$1,0),0)</f>
        <v>0</v>
      </c>
      <c r="IR36" s="55">
        <f>IFERROR(VLOOKUP($D36,'Adient Arendal (Malzia) WK.12'!$B:HS,IR$1,0),0)</f>
        <v>0</v>
      </c>
      <c r="IS36" s="55">
        <f>IFERROR(VLOOKUP($D36,'Adient Taizhou (China) WK.16'!$B:HV,IR$1,0),0)</f>
        <v>0</v>
      </c>
      <c r="IT36" s="60">
        <v>0</v>
      </c>
      <c r="IU36" s="128">
        <v>0</v>
      </c>
      <c r="IV36" s="32">
        <v>0</v>
      </c>
      <c r="IW36" s="106">
        <f t="shared" si="261"/>
        <v>380</v>
      </c>
      <c r="IX36" s="8"/>
      <c r="IY36" s="37">
        <f t="shared" si="190"/>
        <v>380</v>
      </c>
      <c r="IZ36" s="125">
        <f>IFERROR(VLOOKUP($D36,'Adient Assende (Belgium) WK.17'!$B:HZ,JA$1,0),0)</f>
        <v>0</v>
      </c>
      <c r="JA36" s="55">
        <f>IFERROR(VLOOKUP($D36,'Adient Arendal (Malzia) WK.12'!$B:IA,JA$1,0),0)</f>
        <v>0</v>
      </c>
      <c r="JB36" s="55">
        <f>IFERROR(VLOOKUP($D36,'Adient Taizhou (China) WK.16'!$B:ID,JA$1,0),0)</f>
        <v>0</v>
      </c>
      <c r="JC36" s="128">
        <v>0</v>
      </c>
      <c r="JD36" s="32">
        <v>0</v>
      </c>
      <c r="JE36" s="106">
        <f t="shared" si="191"/>
        <v>380</v>
      </c>
      <c r="JF36" s="8"/>
      <c r="JG36" s="37">
        <f t="shared" si="192"/>
        <v>380</v>
      </c>
      <c r="JH36" s="125">
        <f>IFERROR(VLOOKUP($D36,'Adient Assende (Belgium) WK.17'!$B:IH,JI$1,0),0)</f>
        <v>0</v>
      </c>
      <c r="JI36" s="55">
        <f>IFERROR(VLOOKUP($D36,'Adient Arendal (Malzia) WK.12'!$B:II,JI$1,0),0)</f>
        <v>0</v>
      </c>
      <c r="JJ36" s="55">
        <f>IFERROR(VLOOKUP($D36,'Adient Taizhou (China) WK.16'!$B:IL,JI$1,0),0)</f>
        <v>0</v>
      </c>
      <c r="JK36" s="60">
        <v>100</v>
      </c>
      <c r="JL36" s="128">
        <v>80</v>
      </c>
      <c r="JM36" s="32">
        <v>0</v>
      </c>
      <c r="JN36" s="106">
        <f t="shared" si="262"/>
        <v>400</v>
      </c>
      <c r="JO36" s="8"/>
      <c r="JP36" s="37">
        <f t="shared" si="193"/>
        <v>400</v>
      </c>
      <c r="JQ36" s="125">
        <f>IFERROR(VLOOKUP($D36,'Adient Assende (Belgium) WK.17'!$B:IP,JR$1,0),0)</f>
        <v>80</v>
      </c>
      <c r="JR36" s="55">
        <f>IFERROR(VLOOKUP($D36,'Adient Arendal (Malzia) WK.12'!$B:IQ,JR$1,0),0)</f>
        <v>0</v>
      </c>
      <c r="JS36" s="55">
        <f>IFERROR(VLOOKUP($D36,'Adient Taizhou (China) WK.16'!$B:IT,JR$1,0),0)</f>
        <v>0</v>
      </c>
      <c r="JT36" s="128">
        <v>0</v>
      </c>
      <c r="JU36" s="32">
        <v>0</v>
      </c>
      <c r="JV36" s="106">
        <f t="shared" si="194"/>
        <v>400</v>
      </c>
      <c r="JW36" s="8"/>
      <c r="JX36" s="37">
        <f t="shared" si="195"/>
        <v>400</v>
      </c>
      <c r="JY36" s="154">
        <f>IFERROR(VLOOKUP($D36,'Adient Assende (Belgium) WK.17'!$B:IX,JZ$1,0),0)</f>
        <v>0</v>
      </c>
      <c r="JZ36" s="55">
        <f>IFERROR(VLOOKUP($D36,'Adient Arendal (Malzia) WK.12'!$B:IY,JZ$1,0),0)</f>
        <v>0</v>
      </c>
      <c r="KA36" s="55">
        <f>IFERROR(VLOOKUP($D36,'Adient Taizhou (China) WK.16'!$B:JB,JZ$1,0),0)</f>
        <v>0</v>
      </c>
      <c r="KB36" s="128">
        <v>160</v>
      </c>
      <c r="KC36" s="32">
        <v>0</v>
      </c>
      <c r="KD36" s="106">
        <f t="shared" si="263"/>
        <v>240</v>
      </c>
      <c r="KE36" s="8"/>
      <c r="KF36" s="37">
        <f t="shared" si="196"/>
        <v>240</v>
      </c>
      <c r="KG36" s="125">
        <f>IFERROR(VLOOKUP($D36,'Adient Assende (Belgium) WK.17'!$B:JF,KH$1,0),0)</f>
        <v>160</v>
      </c>
      <c r="KH36" s="55">
        <f>IFERROR(VLOOKUP($D36,'Adient Arendal (Malzia) WK.12'!$B:JG,KH$1,0),0)</f>
        <v>0</v>
      </c>
      <c r="KI36" s="55">
        <f>IFERROR(VLOOKUP($D36,'Adient Taizhou (China) WK.16'!$B:JJ,KH$1,0),0)</f>
        <v>0</v>
      </c>
      <c r="KJ36" s="60">
        <v>0</v>
      </c>
      <c r="KK36" s="128">
        <v>80</v>
      </c>
      <c r="KL36" s="32">
        <v>0</v>
      </c>
      <c r="KM36" s="106">
        <f t="shared" si="264"/>
        <v>160</v>
      </c>
      <c r="KN36" s="8"/>
      <c r="KO36" s="37">
        <f t="shared" si="197"/>
        <v>160</v>
      </c>
      <c r="KP36" s="141">
        <f>IFERROR(VLOOKUP($D36,'Adient Assende (Belgium) WK.17'!$B:JN,KQ$1,0),0)</f>
        <v>80</v>
      </c>
      <c r="KQ36" s="140">
        <f>IFERROR(VLOOKUP($D36,'Adient Arendal (Malzia) WK.12'!$B:JO,KQ$1,0),0)</f>
        <v>0</v>
      </c>
      <c r="KR36" s="140">
        <f>IFERROR(VLOOKUP($D36,'Adient Taizhou (China) WK.16'!$B:JR,KQ$1,0),0)</f>
        <v>0</v>
      </c>
      <c r="KS36" s="60">
        <v>0</v>
      </c>
      <c r="KT36" s="128">
        <v>80</v>
      </c>
      <c r="KU36" s="32">
        <v>0</v>
      </c>
      <c r="KV36" s="106">
        <f t="shared" si="265"/>
        <v>80</v>
      </c>
      <c r="KX36" s="37">
        <f t="shared" si="198"/>
        <v>80</v>
      </c>
      <c r="KY36" s="141">
        <f>IFERROR(VLOOKUP($D36,'Adient Assende (Belgium) WK.17'!$B:JV,KZ$1,0),0)</f>
        <v>80</v>
      </c>
      <c r="KZ36" s="140">
        <f>IFERROR(VLOOKUP($D36,'Adient Arendal (Malzia) WK.12'!$B:JW,KZ$1,0),0)</f>
        <v>0</v>
      </c>
      <c r="LA36" s="140">
        <f>IFERROR(VLOOKUP($D36,'Adient Taizhou (China) WK.16'!$B:JZ,KZ$1,0),0)</f>
        <v>0</v>
      </c>
      <c r="LB36" s="128">
        <v>0</v>
      </c>
      <c r="LC36" s="32">
        <v>0</v>
      </c>
      <c r="LD36" s="106">
        <f t="shared" si="266"/>
        <v>80</v>
      </c>
      <c r="LF36" s="37">
        <f t="shared" si="199"/>
        <v>80</v>
      </c>
      <c r="LG36" s="141">
        <f>IFERROR(VLOOKUP($D36,'Adient Assende (Belgium) WK.17'!$B:KD,LH$1,0),0)</f>
        <v>0</v>
      </c>
      <c r="LH36" s="140">
        <f>IFERROR(VLOOKUP($D36,'Adient Arendal (Malzia) WK.12'!$B:KE,LH$1,0),0)</f>
        <v>0</v>
      </c>
      <c r="LI36" s="140">
        <f>IFERROR(VLOOKUP($D36,'Adient Taizhou (China) WK.16'!$B:KH,LH$1,0),0)</f>
        <v>0</v>
      </c>
      <c r="LJ36" s="60">
        <v>0</v>
      </c>
      <c r="LK36" s="128">
        <v>0</v>
      </c>
      <c r="LL36" s="32">
        <v>0</v>
      </c>
      <c r="LM36" s="100">
        <f t="shared" si="267"/>
        <v>80</v>
      </c>
      <c r="LO36" s="37">
        <f t="shared" si="200"/>
        <v>80</v>
      </c>
      <c r="LP36" s="141">
        <f>IFERROR(VLOOKUP($D36,'Adient Assende (Belgium) WK.17'!$B:KL,LQ$1,0),0)</f>
        <v>0</v>
      </c>
      <c r="LQ36" s="140">
        <f>IFERROR(VLOOKUP($D36,'Adient Arendal (Malzia) WK.12'!$B:KM,LQ$1,0),0)</f>
        <v>0</v>
      </c>
      <c r="LR36" s="140">
        <f>IFERROR(VLOOKUP($D36,'Adient Taizhou (China) WK.16'!$B:KP,LQ$1,0),0)</f>
        <v>0</v>
      </c>
      <c r="LS36" s="128">
        <v>0</v>
      </c>
      <c r="LT36" s="32">
        <v>0</v>
      </c>
      <c r="LU36" s="100">
        <f t="shared" si="268"/>
        <v>80</v>
      </c>
      <c r="LW36" s="37">
        <f t="shared" si="201"/>
        <v>80</v>
      </c>
      <c r="LX36" s="141">
        <f>IFERROR(VLOOKUP($D36,'Adient Assende (Belgium) WK.17'!$B:KT,LY$1,0),0)</f>
        <v>80</v>
      </c>
      <c r="LY36" s="140">
        <f>IFERROR(VLOOKUP($D36,'Adient Arendal (Malzia) WK.12'!$B:KU,LY$1,0),0)</f>
        <v>0</v>
      </c>
      <c r="LZ36" s="140">
        <f>IFERROR(VLOOKUP($D36,'Adient Taizhou (China) WK.16'!$B:KX,LY$1,0),0)</f>
        <v>0</v>
      </c>
      <c r="MA36" s="128">
        <v>0</v>
      </c>
      <c r="MB36" s="32">
        <v>0</v>
      </c>
      <c r="MC36" s="100">
        <f t="shared" si="269"/>
        <v>0</v>
      </c>
      <c r="ME36" s="37">
        <f t="shared" si="202"/>
        <v>0</v>
      </c>
      <c r="MF36" s="154">
        <f>IFERROR(VLOOKUP($D36,'Adient Assende (Belgium) WK.17'!$B:LB,MG$1,0),0)</f>
        <v>0</v>
      </c>
      <c r="MG36" s="140">
        <f>IFERROR(VLOOKUP($D36,'Adient Arendal (Malzia) WK.12'!$B:LC,MG$1,0),0)</f>
        <v>0</v>
      </c>
      <c r="MH36" s="140">
        <f>IFERROR(VLOOKUP($D36,'Adient Taizhou (China) WK.16'!$B:LF,MG$1,0),0)</f>
        <v>0</v>
      </c>
      <c r="MI36" s="128">
        <v>0</v>
      </c>
      <c r="MJ36" s="32">
        <v>0</v>
      </c>
      <c r="MK36" s="100">
        <f t="shared" si="270"/>
        <v>0</v>
      </c>
      <c r="MM36" s="37">
        <f t="shared" si="203"/>
        <v>0</v>
      </c>
      <c r="MN36" s="141">
        <f>IFERROR(VLOOKUP($D36,'Adient Assende (Belgium) WK.17'!$B:LJ,MO$1,0),0)</f>
        <v>0</v>
      </c>
      <c r="MO36" s="140">
        <f>IFERROR(VLOOKUP($D36,'Adient Arendal (Malzia) WK.12'!$B:LK,MO$1,0),0)</f>
        <v>0</v>
      </c>
      <c r="MP36" s="140">
        <f>IFERROR(VLOOKUP($D36,'Adient Taizhou (China) WK.16'!$B:LN,MO$1,0),0)</f>
        <v>0</v>
      </c>
      <c r="MQ36" s="128">
        <v>0</v>
      </c>
      <c r="MR36" s="32">
        <v>0</v>
      </c>
      <c r="MS36" s="100">
        <f t="shared" si="271"/>
        <v>0</v>
      </c>
      <c r="MU36" s="37">
        <f t="shared" si="204"/>
        <v>0</v>
      </c>
      <c r="MV36" s="141">
        <f>IFERROR(VLOOKUP($D36,'Adient Assende (Belgium) WK.17'!$B:LR,MW$1,0),0)</f>
        <v>0</v>
      </c>
      <c r="MW36" s="140">
        <f>IFERROR(VLOOKUP($D36,'Adient Arendal (Malzia) WK.12'!$B:LS,MW$1,0),0)</f>
        <v>0</v>
      </c>
      <c r="MX36" s="140">
        <f>IFERROR(VLOOKUP($D36,'Adient Taizhou (China) WK.16'!$B:LV,MW$1,0),0)</f>
        <v>0</v>
      </c>
      <c r="MY36" s="128">
        <v>0</v>
      </c>
      <c r="MZ36" s="32">
        <v>0</v>
      </c>
      <c r="NA36" s="100">
        <f t="shared" si="272"/>
        <v>0</v>
      </c>
      <c r="NC36" s="37">
        <f t="shared" si="205"/>
        <v>0</v>
      </c>
      <c r="ND36" s="141">
        <f>IFERROR(VLOOKUP($D36,'Adient Assende (Belgium) WK.17'!$B:LZ,NE$1,0),0)</f>
        <v>80</v>
      </c>
      <c r="NE36" s="140">
        <f>IFERROR(VLOOKUP($D36,'Adient Arendal (Malzia) WK.12'!$B:MA,NE$1,0),0)</f>
        <v>0</v>
      </c>
      <c r="NF36" s="140">
        <f>IFERROR(VLOOKUP($D36,'Adient Taizhou (China) WK.16'!$B:MD,NE$1,0),0)</f>
        <v>0</v>
      </c>
      <c r="NG36" s="128">
        <v>0</v>
      </c>
      <c r="NH36" s="32">
        <v>0</v>
      </c>
      <c r="NI36" s="100">
        <f t="shared" si="273"/>
        <v>-80</v>
      </c>
      <c r="NK36" s="37">
        <f t="shared" si="206"/>
        <v>-80</v>
      </c>
      <c r="NL36" s="141">
        <f>IFERROR(VLOOKUP($D36,'Adient Assende (Belgium) WK.17'!$B:MH,NM$1,0),0)</f>
        <v>0</v>
      </c>
      <c r="NM36" s="140">
        <f>IFERROR(VLOOKUP($D36,'Adient Arendal (Malzia) WK.12'!$B:MI,NM$1,0),0)</f>
        <v>0</v>
      </c>
      <c r="NN36" s="140">
        <f>IFERROR(VLOOKUP($D36,'Adient Taizhou (China) WK.16'!$B:ML,NM$1,0),0)</f>
        <v>0</v>
      </c>
      <c r="NO36" s="128">
        <v>0</v>
      </c>
      <c r="NP36" s="32">
        <v>0</v>
      </c>
      <c r="NQ36" s="100">
        <f t="shared" si="274"/>
        <v>-80</v>
      </c>
      <c r="NS36" s="37">
        <f t="shared" si="207"/>
        <v>-80</v>
      </c>
      <c r="NT36" s="141">
        <f>IFERROR(VLOOKUP($D36,'Adient Assende (Belgium) WK.17'!$B:MP,NU$1,0),0)</f>
        <v>0</v>
      </c>
      <c r="NU36" s="140">
        <f>IFERROR(VLOOKUP($D36,'Adient Arendal (Malzia) WK.12'!$B:MQ,NU$1,0),0)</f>
        <v>0</v>
      </c>
      <c r="NV36" s="140">
        <f>IFERROR(VLOOKUP($D36,'Adient Taizhou (China) WK.16'!$B:MT,NU$1,0),0)</f>
        <v>0</v>
      </c>
      <c r="NW36" s="128">
        <v>0</v>
      </c>
      <c r="NX36" s="32">
        <v>0</v>
      </c>
      <c r="NY36" s="100">
        <f t="shared" si="275"/>
        <v>-80</v>
      </c>
      <c r="OA36" s="37">
        <f t="shared" si="208"/>
        <v>-80</v>
      </c>
      <c r="OB36" s="141">
        <f>IFERROR(VLOOKUP($D36,'Adient Assende (Belgium) WK.17'!$B:MX,OC$1,0),0)</f>
        <v>80</v>
      </c>
      <c r="OC36" s="140">
        <f>IFERROR(VLOOKUP($D36,'Adient Arendal (Malzia) WK.12'!$B:MY,OC$1,0),0)</f>
        <v>0</v>
      </c>
      <c r="OD36" s="140">
        <f>IFERROR(VLOOKUP($D36,'Adient Taizhou (China) WK.16'!$B:NB,OC$1,0),0)</f>
        <v>0</v>
      </c>
      <c r="OE36" s="128">
        <v>0</v>
      </c>
      <c r="OF36" s="32">
        <v>0</v>
      </c>
      <c r="OG36" s="100">
        <f t="shared" si="276"/>
        <v>-160</v>
      </c>
      <c r="OI36" s="37">
        <f t="shared" si="209"/>
        <v>-160</v>
      </c>
      <c r="OJ36" s="141">
        <f>IFERROR(VLOOKUP($D36,'Adient Assende (Belgium) WK.17'!$B:NF,OK$1,0),0)</f>
        <v>0</v>
      </c>
      <c r="OK36" s="140">
        <f>IFERROR(VLOOKUP($D36,'Adient Arendal (Malzia) WK.12'!$B:NG,OK$1,0),0)</f>
        <v>0</v>
      </c>
      <c r="OL36" s="140">
        <f>IFERROR(VLOOKUP($D36,'Adient Taizhou (China) WK.16'!$B:NJ,OK$1,0),0)</f>
        <v>0</v>
      </c>
      <c r="OM36" s="128">
        <v>0</v>
      </c>
      <c r="ON36" s="32">
        <v>0</v>
      </c>
      <c r="OO36" s="100">
        <f t="shared" si="277"/>
        <v>-160</v>
      </c>
      <c r="OQ36" s="37">
        <f t="shared" si="210"/>
        <v>-160</v>
      </c>
      <c r="OR36" s="141">
        <f>IFERROR(VLOOKUP($D36,'Adient Assende (Belgium) WK.17'!$B:NN,OS$1,0),0)</f>
        <v>0</v>
      </c>
      <c r="OS36" s="140">
        <f>IFERROR(VLOOKUP($D36,'Adient Arendal (Malzia) WK.12'!$B:NO,OS$1,0),0)</f>
        <v>0</v>
      </c>
      <c r="OT36" s="140">
        <f>IFERROR(VLOOKUP($D36,'Adient Taizhou (China) WK.16'!$B:NR,OS$1,0),0)</f>
        <v>0</v>
      </c>
      <c r="OU36" s="128">
        <v>0</v>
      </c>
      <c r="OV36" s="32">
        <v>0</v>
      </c>
      <c r="OW36" s="100">
        <f t="shared" si="278"/>
        <v>-160</v>
      </c>
      <c r="OY36" s="37">
        <f t="shared" si="211"/>
        <v>-160</v>
      </c>
      <c r="OZ36" s="141">
        <f>IFERROR(VLOOKUP($D36,'Adient Assende (Belgium) WK.17'!$B:NV,PA$1,0),0)</f>
        <v>0</v>
      </c>
      <c r="PA36" s="140">
        <f>IFERROR(VLOOKUP($D36,'Adient Arendal (Malzia) WK.12'!$B:NW,PA$1,0),0)</f>
        <v>0</v>
      </c>
      <c r="PB36" s="140">
        <f>IFERROR(VLOOKUP($D36,'Adient Taizhou (China) WK.16'!$B:NZ,PA$1,0),0)</f>
        <v>0</v>
      </c>
      <c r="PC36" s="128">
        <v>0</v>
      </c>
      <c r="PD36" s="32">
        <v>0</v>
      </c>
      <c r="PE36" s="100">
        <f t="shared" si="279"/>
        <v>-160</v>
      </c>
      <c r="PG36" s="37">
        <f t="shared" si="212"/>
        <v>-160</v>
      </c>
      <c r="PH36" s="141">
        <f>IFERROR(VLOOKUP($D36,'Adient Assende (Belgium) WK.17'!$B:OD,PI$1,0),0)</f>
        <v>0</v>
      </c>
      <c r="PI36" s="140">
        <f>IFERROR(VLOOKUP($D36,'Adient Arendal (Malzia) WK.12'!$B:OE,PI$1,0),0)</f>
        <v>0</v>
      </c>
      <c r="PJ36" s="140">
        <f>IFERROR(VLOOKUP($D36,'Adient Taizhou (China) WK.16'!$B:OH,PI$1,0),0)</f>
        <v>0</v>
      </c>
      <c r="PK36" s="128">
        <v>0</v>
      </c>
      <c r="PL36" s="32">
        <v>0</v>
      </c>
      <c r="PM36" s="100">
        <f t="shared" si="280"/>
        <v>-160</v>
      </c>
      <c r="PO36" s="37">
        <f t="shared" si="213"/>
        <v>-160</v>
      </c>
      <c r="PP36" s="141">
        <f>IFERROR(VLOOKUP($D36,'Adient Assende (Belgium) WK.17'!$B:OL,PQ$1,0),0)</f>
        <v>0</v>
      </c>
      <c r="PQ36" s="140">
        <f>IFERROR(VLOOKUP($D36,'Adient Arendal (Malzia) WK.12'!$B:OM,PQ$1,0),0)</f>
        <v>0</v>
      </c>
      <c r="PR36" s="140">
        <f>IFERROR(VLOOKUP($D36,'Adient Taizhou (China) WK.16'!$B:OP,PQ$1,0),0)</f>
        <v>0</v>
      </c>
      <c r="PS36" s="128">
        <v>0</v>
      </c>
      <c r="PT36" s="32">
        <v>0</v>
      </c>
      <c r="PU36" s="100">
        <f t="shared" si="281"/>
        <v>-160</v>
      </c>
      <c r="PW36" s="37">
        <f t="shared" si="214"/>
        <v>-160</v>
      </c>
      <c r="PX36" s="141">
        <f>IFERROR(VLOOKUP($D36,'Adient Assende (Belgium) WK.17'!$B:OT,PY$1,0),0)</f>
        <v>80</v>
      </c>
      <c r="PY36" s="140">
        <f>IFERROR(VLOOKUP($D36,'Adient Arendal (Malzia) WK.12'!$B:OU,PY$1,0),0)</f>
        <v>0</v>
      </c>
      <c r="PZ36" s="140">
        <f>IFERROR(VLOOKUP($D36,'Adient Taizhou (China) WK.16'!$B:OX,PY$1,0),0)</f>
        <v>0</v>
      </c>
      <c r="QA36" s="128">
        <v>0</v>
      </c>
      <c r="QB36" s="32">
        <v>0</v>
      </c>
      <c r="QC36" s="100">
        <f t="shared" si="282"/>
        <v>-240</v>
      </c>
      <c r="QE36" s="37">
        <f t="shared" si="215"/>
        <v>-240</v>
      </c>
      <c r="QF36" s="141">
        <f>IFERROR(VLOOKUP($D36,'Adient Assende (Belgium) WK.17'!$B:PB,QG$1,0),0)</f>
        <v>0</v>
      </c>
      <c r="QG36" s="140">
        <f>IFERROR(VLOOKUP($D36,'Adient Arendal (Malzia) WK.12'!$B:PC,QG$1,0),0)</f>
        <v>0</v>
      </c>
      <c r="QH36" s="140">
        <f>IFERROR(VLOOKUP($D36,'Adient Taizhou (China) WK.16'!$B:PF,QG$1,0),0)</f>
        <v>0</v>
      </c>
      <c r="QI36" s="128">
        <v>0</v>
      </c>
      <c r="QJ36" s="32">
        <v>0</v>
      </c>
      <c r="QK36" s="100">
        <f t="shared" si="283"/>
        <v>-240</v>
      </c>
      <c r="QM36" s="37">
        <f t="shared" si="216"/>
        <v>-240</v>
      </c>
      <c r="QN36" s="141">
        <f>IFERROR(VLOOKUP($D36,'Adient Assende (Belgium) WK.17'!$B:PJ,QO$1,0),0)</f>
        <v>0</v>
      </c>
      <c r="QO36" s="140">
        <f>IFERROR(VLOOKUP($D36,'Adient Arendal (Malzia) WK.12'!$B:PK,QO$1,0),0)</f>
        <v>0</v>
      </c>
      <c r="QP36" s="140">
        <f>IFERROR(VLOOKUP($D36,'Adient Taizhou (China) WK.16'!$B:PN,QO$1,0),0)</f>
        <v>0</v>
      </c>
      <c r="QQ36" s="128">
        <v>0</v>
      </c>
      <c r="QR36" s="32">
        <v>0</v>
      </c>
      <c r="QS36" s="100">
        <f t="shared" si="284"/>
        <v>-240</v>
      </c>
      <c r="QU36" s="37">
        <f t="shared" si="217"/>
        <v>-240</v>
      </c>
      <c r="QV36" s="141">
        <f>IFERROR(VLOOKUP($D36,'Adient Assende (Belgium) WK.17'!$B:PR,QW$1,0),0)</f>
        <v>20</v>
      </c>
      <c r="QW36" s="140">
        <f>IFERROR(VLOOKUP($D36,'Adient Arendal (Malzia) WK.12'!$B:PS,QW$1,0),0)</f>
        <v>0</v>
      </c>
      <c r="QX36" s="140">
        <f>IFERROR(VLOOKUP($D36,'Adient Taizhou (China) WK.16'!$B:PV,QW$1,0),0)</f>
        <v>0</v>
      </c>
      <c r="QY36" s="128">
        <v>0</v>
      </c>
      <c r="QZ36" s="32">
        <v>0</v>
      </c>
      <c r="RA36" s="100">
        <f t="shared" si="285"/>
        <v>-260</v>
      </c>
      <c r="RC36" s="37">
        <f t="shared" si="218"/>
        <v>-260</v>
      </c>
      <c r="RD36" s="141">
        <f>IFERROR(VLOOKUP($D36,'Adient Assende (Belgium) WK.17'!$B:PZ,RE$1,0),0)</f>
        <v>20</v>
      </c>
      <c r="RE36" s="140">
        <f>IFERROR(VLOOKUP($D36,'Adient Arendal (Malzia) WK.12'!$B:QA,RE$1,0),0)</f>
        <v>0</v>
      </c>
      <c r="RF36" s="140">
        <f>IFERROR(VLOOKUP($D36,'Adient Taizhou (China) WK.16'!$B:QD,RE$1,0),0)</f>
        <v>0</v>
      </c>
      <c r="RG36" s="128">
        <v>0</v>
      </c>
      <c r="RH36" s="32">
        <v>0</v>
      </c>
      <c r="RI36" s="100">
        <f t="shared" si="286"/>
        <v>-280</v>
      </c>
      <c r="RK36" s="37">
        <f t="shared" si="219"/>
        <v>-280</v>
      </c>
      <c r="RL36" s="141">
        <f>IFERROR(VLOOKUP($D36,'Adient Assende (Belgium) WK.17'!$B:QH,RM$1,0),0)</f>
        <v>20</v>
      </c>
      <c r="RM36" s="140">
        <f>IFERROR(VLOOKUP($D36,'Adient Arendal (Malzia) WK.12'!$B:QI,RM$1,0),0)</f>
        <v>0</v>
      </c>
      <c r="RN36" s="140">
        <f>IFERROR(VLOOKUP($D36,'Adient Taizhou (China) WK.16'!$B:QL,RM$1,0),0)</f>
        <v>0</v>
      </c>
      <c r="RO36" s="128">
        <v>0</v>
      </c>
      <c r="RP36" s="32">
        <v>0</v>
      </c>
      <c r="RQ36" s="100">
        <f t="shared" si="287"/>
        <v>-300</v>
      </c>
      <c r="RS36" s="37">
        <f t="shared" si="220"/>
        <v>-300</v>
      </c>
      <c r="RT36" s="141">
        <f>IFERROR(VLOOKUP($D36,'Adient Assende (Belgium) WK.17'!$B:QP,RU$1,0),0)</f>
        <v>20</v>
      </c>
      <c r="RU36" s="140">
        <f>IFERROR(VLOOKUP($D36,'Adient Arendal (Malzia) WK.12'!$B:QQ,RU$1,0),0)</f>
        <v>0</v>
      </c>
      <c r="RV36" s="140">
        <f>IFERROR(VLOOKUP($D36,'Adient Taizhou (China) WK.16'!$B:QT,RU$1,0),0)</f>
        <v>0</v>
      </c>
      <c r="RW36" s="128">
        <v>0</v>
      </c>
      <c r="RX36" s="32">
        <v>0</v>
      </c>
      <c r="RY36" s="100">
        <f t="shared" si="288"/>
        <v>-320</v>
      </c>
      <c r="SA36" s="37">
        <f t="shared" si="221"/>
        <v>-320</v>
      </c>
      <c r="SB36" s="141">
        <f>IFERROR(VLOOKUP($D36,'Adient Assende (Belgium) WK.17'!$B:QX,SC$1,0),0)</f>
        <v>20</v>
      </c>
      <c r="SC36" s="140">
        <f>IFERROR(VLOOKUP($D36,'Adient Arendal (Malzia) WK.12'!$B:QY,SC$1,0),0)</f>
        <v>0</v>
      </c>
      <c r="SD36" s="140">
        <f>IFERROR(VLOOKUP($D36,'Adient Taizhou (China) WK.16'!$B:RB,SC$1,0),0)</f>
        <v>0</v>
      </c>
      <c r="SE36" s="128">
        <v>0</v>
      </c>
      <c r="SF36" s="32">
        <v>0</v>
      </c>
      <c r="SG36" s="100">
        <f t="shared" si="289"/>
        <v>-340</v>
      </c>
      <c r="SI36" s="37">
        <f t="shared" si="222"/>
        <v>-340</v>
      </c>
      <c r="SJ36" s="141">
        <f>IFERROR(VLOOKUP($D36,'Adient Assende (Belgium) WK.17'!$B:RF,SK$1,0),0)</f>
        <v>20</v>
      </c>
      <c r="SK36" s="140">
        <f>IFERROR(VLOOKUP($D36,'Adient Arendal (Malzia) WK.12'!$B:RG,SK$1,0),0)</f>
        <v>0</v>
      </c>
      <c r="SL36" s="140">
        <f>IFERROR(VLOOKUP($D36,'Adient Taizhou (China) WK.16'!$B:RJ,SK$1,0),0)</f>
        <v>0</v>
      </c>
      <c r="SM36" s="128">
        <v>0</v>
      </c>
      <c r="SN36" s="32">
        <v>0</v>
      </c>
      <c r="SO36" s="100">
        <f t="shared" si="290"/>
        <v>-360</v>
      </c>
      <c r="SQ36" s="37">
        <f t="shared" si="223"/>
        <v>-360</v>
      </c>
      <c r="SR36" s="141">
        <f>IFERROR(VLOOKUP($D36,'Adient Assende (Belgium) WK.17'!$B:RN,SS$1,0),0)</f>
        <v>20</v>
      </c>
      <c r="SS36" s="140">
        <f>IFERROR(VLOOKUP($D36,'Adient Arendal (Malzia) WK.12'!$B:RO,SS$1,0),0)</f>
        <v>0</v>
      </c>
      <c r="ST36" s="140">
        <f>IFERROR(VLOOKUP($D36,'Adient Taizhou (China) WK.16'!$B:RR,SS$1,0),0)</f>
        <v>0</v>
      </c>
      <c r="SU36" s="128">
        <v>0</v>
      </c>
      <c r="SV36" s="32">
        <v>0</v>
      </c>
      <c r="SW36" s="100">
        <f t="shared" si="291"/>
        <v>-380</v>
      </c>
      <c r="SY36" s="37">
        <f t="shared" si="224"/>
        <v>-380</v>
      </c>
      <c r="SZ36" s="141">
        <f>IFERROR(VLOOKUP($D36,'Adient Assende (Belgium) WK.17'!$B:RV,TA$1,0),0)</f>
        <v>20</v>
      </c>
      <c r="TA36" s="140">
        <f>IFERROR(VLOOKUP($D36,'Adient Arendal (Malzia) WK.12'!$B:RW,TA$1,0),0)</f>
        <v>0</v>
      </c>
      <c r="TB36" s="140">
        <f>IFERROR(VLOOKUP($D36,'Adient Taizhou (China) WK.16'!$B:RZ,TA$1,0),0)</f>
        <v>0</v>
      </c>
      <c r="TC36" s="128">
        <v>0</v>
      </c>
      <c r="TD36" s="32">
        <v>0</v>
      </c>
      <c r="TE36" s="100">
        <f t="shared" si="292"/>
        <v>-400</v>
      </c>
      <c r="TG36" s="37">
        <f t="shared" si="225"/>
        <v>-400</v>
      </c>
      <c r="TH36" s="141">
        <f>IFERROR(VLOOKUP($D36,'Adient Assende (Belgium) WK.17'!$B:SD,TI$1,0),0)</f>
        <v>40</v>
      </c>
      <c r="TI36" s="140">
        <f>IFERROR(VLOOKUP($D36,'Adient Arendal (Malzia) WK.12'!$B:SE,TI$1,0),0)</f>
        <v>0</v>
      </c>
      <c r="TJ36" s="140">
        <f>IFERROR(VLOOKUP($D36,'Adient Taizhou (China) WK.16'!$B:SH,TI$1,0),0)</f>
        <v>0</v>
      </c>
      <c r="TK36" s="128">
        <v>0</v>
      </c>
      <c r="TL36" s="32">
        <v>0</v>
      </c>
      <c r="TM36" s="100">
        <f t="shared" si="293"/>
        <v>-440</v>
      </c>
      <c r="TO36" s="37">
        <f t="shared" si="226"/>
        <v>-440</v>
      </c>
      <c r="TP36" s="141">
        <f>IFERROR(VLOOKUP($D36,'Adient Assende (Belgium) WK.17'!$B:SL,TQ$1,0),0)</f>
        <v>40</v>
      </c>
      <c r="TQ36" s="140">
        <f>IFERROR(VLOOKUP($D36,'Adient Arendal (Malzia) WK.12'!$B:SM,TQ$1,0),0)</f>
        <v>0</v>
      </c>
      <c r="TR36" s="140">
        <f>IFERROR(VLOOKUP($D36,'Adient Taizhou (China) WK.16'!$B:SP,TQ$1,0),0)</f>
        <v>0</v>
      </c>
      <c r="TS36" s="128">
        <v>0</v>
      </c>
      <c r="TT36" s="32">
        <v>0</v>
      </c>
      <c r="TU36" s="100">
        <f t="shared" si="294"/>
        <v>-480</v>
      </c>
      <c r="TW36" s="37">
        <f t="shared" si="227"/>
        <v>-480</v>
      </c>
      <c r="TX36" s="141">
        <f>IFERROR(VLOOKUP($D36,'Adient Assende (Belgium) WK.17'!$B:ST,TY$1,0),0)</f>
        <v>40</v>
      </c>
      <c r="TY36" s="140">
        <f>IFERROR(VLOOKUP($D36,'Adient Arendal (Malzia) WK.12'!$B:SU,TY$1,0),0)</f>
        <v>0</v>
      </c>
      <c r="TZ36" s="140">
        <f>IFERROR(VLOOKUP($D36,'Adient Taizhou (China) WK.16'!$B:SX,TY$1,0),0)</f>
        <v>0</v>
      </c>
      <c r="UA36" s="128">
        <v>0</v>
      </c>
      <c r="UB36" s="32">
        <v>0</v>
      </c>
      <c r="UC36" s="100">
        <f t="shared" si="295"/>
        <v>-520</v>
      </c>
      <c r="UE36" s="37">
        <f t="shared" si="228"/>
        <v>-520</v>
      </c>
      <c r="UF36" s="141">
        <f>IFERROR(VLOOKUP($D36,'Adient Assende (Belgium) WK.17'!$B:TB,UG$1,0),0)</f>
        <v>40</v>
      </c>
      <c r="UG36" s="140">
        <f>IFERROR(VLOOKUP($D36,'Adient Arendal (Malzia) WK.12'!$B:TC,UG$1,0),0)</f>
        <v>0</v>
      </c>
      <c r="UH36" s="140">
        <f>IFERROR(VLOOKUP($D36,'Adient Taizhou (China) WK.16'!$B:TF,UG$1,0),0)</f>
        <v>0</v>
      </c>
      <c r="UI36" s="128">
        <v>0</v>
      </c>
      <c r="UJ36" s="32">
        <v>0</v>
      </c>
      <c r="UK36" s="100">
        <f t="shared" si="296"/>
        <v>-560</v>
      </c>
      <c r="UM36" s="37">
        <f t="shared" si="229"/>
        <v>-560</v>
      </c>
      <c r="UN36" s="141">
        <f>IFERROR(VLOOKUP($D36,'Adient Assende (Belgium) WK.17'!$B:TJ,UO$1,0),0)</f>
        <v>0</v>
      </c>
      <c r="UO36" s="140">
        <f>IFERROR(VLOOKUP($D36,'Adient Arendal (Malzia) WK.12'!$B:TK,UO$1,0),0)</f>
        <v>0</v>
      </c>
      <c r="UP36" s="140">
        <f>IFERROR(VLOOKUP($D36,'Adient Taizhou (China) WK.16'!$B:TN,UO$1,0),0)</f>
        <v>0</v>
      </c>
      <c r="UQ36" s="128">
        <v>0</v>
      </c>
      <c r="UR36" s="32">
        <v>0</v>
      </c>
      <c r="US36" s="100">
        <f t="shared" si="297"/>
        <v>-560</v>
      </c>
      <c r="UU36" s="37">
        <f t="shared" si="230"/>
        <v>-560</v>
      </c>
      <c r="UV36" s="141">
        <f>IFERROR(VLOOKUP($D36,'Adient Assende (Belgium) WK.17'!$B:TR,UW$1,0),0)</f>
        <v>40</v>
      </c>
      <c r="UW36" s="140">
        <f>IFERROR(VLOOKUP($D36,'Adient Arendal (Malzia) WK.12'!$B:TS,UW$1,0),0)</f>
        <v>0</v>
      </c>
      <c r="UX36" s="140">
        <f>IFERROR(VLOOKUP($D36,'Adient Taizhou (China) WK.16'!$B:TV,UW$1,0),0)</f>
        <v>0</v>
      </c>
      <c r="UY36" s="128">
        <v>0</v>
      </c>
      <c r="UZ36" s="32">
        <v>0</v>
      </c>
      <c r="VA36" s="100">
        <f t="shared" si="298"/>
        <v>-600</v>
      </c>
      <c r="VC36" s="37">
        <f t="shared" si="231"/>
        <v>-600</v>
      </c>
      <c r="VD36" s="141">
        <f>IFERROR(VLOOKUP($D36,'Adient Assende (Belgium) WK.17'!$B:TZ,VE$1,0),0)</f>
        <v>40</v>
      </c>
      <c r="VE36" s="140">
        <f>IFERROR(VLOOKUP($D36,'Adient Arendal (Malzia) WK.12'!$B:UA,VE$1,0),0)</f>
        <v>0</v>
      </c>
      <c r="VF36" s="140">
        <f>IFERROR(VLOOKUP($D36,'Adient Taizhou (China) WK.16'!$B:UD,VE$1,0),0)</f>
        <v>0</v>
      </c>
      <c r="VG36" s="128">
        <v>0</v>
      </c>
      <c r="VH36" s="32">
        <v>0</v>
      </c>
      <c r="VI36" s="100">
        <f t="shared" si="299"/>
        <v>-640</v>
      </c>
      <c r="VK36" s="37">
        <f t="shared" si="232"/>
        <v>-640</v>
      </c>
      <c r="VL36" s="141">
        <f>IFERROR(VLOOKUP($D36,'Adient Assende (Belgium) WK.17'!$B:UH,VM$1,0),0)</f>
        <v>0</v>
      </c>
      <c r="VM36" s="140">
        <f>IFERROR(VLOOKUP($D36,'Adient Arendal (Malzia) WK.12'!$B:UI,VM$1,0),0)</f>
        <v>0</v>
      </c>
      <c r="VN36" s="140">
        <f>IFERROR(VLOOKUP($D36,'Adient Taizhou (China) WK.16'!$B:UL,VM$1,0),0)</f>
        <v>0</v>
      </c>
      <c r="VO36" s="128">
        <v>0</v>
      </c>
      <c r="VP36" s="32">
        <v>0</v>
      </c>
      <c r="VQ36" s="100">
        <f t="shared" si="300"/>
        <v>-640</v>
      </c>
    </row>
    <row r="37" spans="1:589" x14ac:dyDescent="0.25">
      <c r="A37" s="10" t="s">
        <v>18</v>
      </c>
      <c r="B37" s="48" t="s">
        <v>19</v>
      </c>
      <c r="C37" s="88">
        <v>32272713</v>
      </c>
      <c r="D37" s="82">
        <v>4817111</v>
      </c>
      <c r="E37" s="11">
        <v>20</v>
      </c>
      <c r="F37" s="168"/>
      <c r="H37" s="122">
        <v>20</v>
      </c>
      <c r="I37" s="125">
        <f>IFERROR(VLOOKUP($D37,'Adient Assende (Belgium) WK.17'!$B:C,J$1,0),0)</f>
        <v>0</v>
      </c>
      <c r="J37" s="55">
        <f>IFERROR(VLOOKUP($D37,'Adient Arendal (Malzia) WK.12'!$B:C,J$1,0),0)</f>
        <v>0</v>
      </c>
      <c r="K37" s="55">
        <f>IFERROR(VLOOKUP($D37,'Adient Taizhou (China) WK.16'!$B:C,J$1,0),0)</f>
        <v>0</v>
      </c>
      <c r="L37" s="128">
        <v>0</v>
      </c>
      <c r="M37" s="32">
        <v>0</v>
      </c>
      <c r="N37" s="106">
        <f t="shared" ref="N37" si="301">((H37-(L37+J37+K37))+M37)</f>
        <v>20</v>
      </c>
      <c r="P37" s="37">
        <f t="shared" ref="P37" si="302">N37</f>
        <v>20</v>
      </c>
      <c r="Q37" s="125">
        <f>IFERROR(VLOOKUP($D37,'Adient Assende (Belgium) WK.17'!$B:K,R$1,0),0)</f>
        <v>0</v>
      </c>
      <c r="R37" s="55">
        <f>IFERROR(VLOOKUP($D37,'Adient Arendal (Malzia) WK.12'!$B:K,R$1,0),0)</f>
        <v>0</v>
      </c>
      <c r="S37" s="55">
        <f>IFERROR(VLOOKUP($D37,'Adient Taizhou (China) WK.16'!$B:K,R$1,0),0)</f>
        <v>0</v>
      </c>
      <c r="T37" s="41">
        <v>0</v>
      </c>
      <c r="U37" s="32">
        <v>0</v>
      </c>
      <c r="V37" s="106">
        <f t="shared" ref="V37" si="303">((P37-(T37+R37+S37))+U37)</f>
        <v>20</v>
      </c>
      <c r="X37" s="37">
        <f t="shared" ref="X37" si="304">V37</f>
        <v>20</v>
      </c>
      <c r="Y37" s="125">
        <f>IFERROR(VLOOKUP($D37,'Adient Assende (Belgium) WK.17'!$B:S,Z$1,0),0)</f>
        <v>0</v>
      </c>
      <c r="Z37" s="55">
        <f>IFERROR(VLOOKUP($D37,'Adient Arendal (Malzia) WK.12'!$B:S,Z$1,0),0)</f>
        <v>0</v>
      </c>
      <c r="AA37" s="55">
        <f>IFERROR(VLOOKUP($D37,'Adient Taizhou (China) WK.16'!$B:S,Z$1,0),0)</f>
        <v>0</v>
      </c>
      <c r="AB37" s="41">
        <v>0</v>
      </c>
      <c r="AC37" s="32">
        <v>0</v>
      </c>
      <c r="AD37" s="106">
        <f t="shared" ref="AD37" si="305">((X37-(AB37+Z37+AA37))+AC37)</f>
        <v>20</v>
      </c>
      <c r="AF37" s="37">
        <f t="shared" ref="AF37" si="306">AD37</f>
        <v>20</v>
      </c>
      <c r="AG37" s="125">
        <f>IFERROR(VLOOKUP($D37,'Adient Assende (Belgium) WK.17'!$B:AA,AH$1,0),0)</f>
        <v>0</v>
      </c>
      <c r="AH37" s="55">
        <f>IFERROR(VLOOKUP($D37,'Adient Arendal (Malzia) WK.12'!$B:AA,AH$1,0),0)</f>
        <v>0</v>
      </c>
      <c r="AI37" s="55">
        <f>IFERROR(VLOOKUP($D37,'Adient Taizhou (China) WK.16'!$B:AA,AH$1,0),0)</f>
        <v>0</v>
      </c>
      <c r="AJ37" s="41">
        <v>0</v>
      </c>
      <c r="AK37" s="32">
        <v>0</v>
      </c>
      <c r="AL37" s="106">
        <f t="shared" ref="AL37" si="307">((AF37-(AJ37+AH37+AI37))+AK37)</f>
        <v>20</v>
      </c>
      <c r="AN37" s="37">
        <f t="shared" ref="AN37" si="308">AL37</f>
        <v>20</v>
      </c>
      <c r="AO37" s="125">
        <f>IFERROR(VLOOKUP($D37,'Adient Assende (Belgium) WK.17'!$B:AI,AP$1,0),0)</f>
        <v>0</v>
      </c>
      <c r="AP37" s="55">
        <f>IFERROR(VLOOKUP($D37,'Adient Arendal (Malzia) WK.12'!$B:AI,AP$1,0),0)</f>
        <v>0</v>
      </c>
      <c r="AQ37" s="55">
        <f>IFERROR(VLOOKUP($D37,'Adient Taizhou (China) WK.16'!$B:AI,AP$1,0),0)</f>
        <v>0</v>
      </c>
      <c r="AR37" s="60">
        <v>0</v>
      </c>
      <c r="AS37" s="41">
        <v>0</v>
      </c>
      <c r="AT37" s="32">
        <v>0</v>
      </c>
      <c r="AU37" s="106">
        <f t="shared" si="240"/>
        <v>20</v>
      </c>
      <c r="AW37" s="37">
        <f t="shared" ref="AW37" si="309">AU37</f>
        <v>20</v>
      </c>
      <c r="AX37" s="125">
        <f>IFERROR(VLOOKUP($D37,'Adient Assende (Belgium) WK.17'!$B:AR,AY$1,0),0)</f>
        <v>0</v>
      </c>
      <c r="AY37" s="55">
        <f>IFERROR(VLOOKUP($D37,'Adient Arendal (Malzia) WK.12'!$B:AR,AY$1,0),0)</f>
        <v>0</v>
      </c>
      <c r="AZ37" s="55">
        <f>IFERROR(VLOOKUP($D37,'Adient Taizhou (China) WK.16'!$B:AU,AY$1,0),0)</f>
        <v>0</v>
      </c>
      <c r="BA37" s="41">
        <v>0</v>
      </c>
      <c r="BB37" s="32">
        <v>0</v>
      </c>
      <c r="BC37" s="106">
        <f t="shared" ref="BC37" si="310">((AW37-(BA37+AY37+AZ37))+BB37)</f>
        <v>20</v>
      </c>
      <c r="BE37" s="37">
        <f t="shared" ref="BE37" si="311">BC37</f>
        <v>20</v>
      </c>
      <c r="BF37" s="125">
        <f>IFERROR(VLOOKUP($D37,'Adient Assende (Belgium) WK.17'!$B:AX,BG$1,0),0)</f>
        <v>0</v>
      </c>
      <c r="BG37" s="55">
        <f>IFERROR(VLOOKUP($D37,'Adient Arendal (Malzia) WK.12'!$B:AZ,BG$1,0),0)</f>
        <v>0</v>
      </c>
      <c r="BH37" s="55">
        <f>IFERROR(VLOOKUP($D37,'Adient Taizhou (China) WK.16'!$B:BB,BG$1,0),0)</f>
        <v>0</v>
      </c>
      <c r="BI37" s="60">
        <v>0</v>
      </c>
      <c r="BJ37" s="60">
        <v>0</v>
      </c>
      <c r="BK37" s="41">
        <v>0</v>
      </c>
      <c r="BL37" s="32">
        <v>0</v>
      </c>
      <c r="BM37" s="106">
        <f t="shared" si="242"/>
        <v>20</v>
      </c>
      <c r="BN37" s="8"/>
      <c r="BO37" s="37">
        <f t="shared" ref="BO37" si="312">BM37</f>
        <v>20</v>
      </c>
      <c r="BP37" s="125">
        <f>IFERROR(VLOOKUP($D37,'Adient Assende (Belgium) WK.17'!$B:BH,BQ$1,0),0)</f>
        <v>0</v>
      </c>
      <c r="BQ37" s="55">
        <f>IFERROR(VLOOKUP($D37,'Adient Arendal (Malzia) WK.12'!$B:BI,BQ$1,0),0)</f>
        <v>0</v>
      </c>
      <c r="BR37" s="55">
        <f>IFERROR(VLOOKUP($D37,'Adient Taizhou (China) WK.16'!$B:BL,BQ$1,0),0)</f>
        <v>0</v>
      </c>
      <c r="BS37" s="60">
        <v>0</v>
      </c>
      <c r="BT37" s="60">
        <v>0</v>
      </c>
      <c r="BU37" s="60">
        <v>0</v>
      </c>
      <c r="BV37" s="41">
        <v>0</v>
      </c>
      <c r="BW37" s="32">
        <v>0</v>
      </c>
      <c r="BX37" s="106">
        <f t="shared" si="243"/>
        <v>20</v>
      </c>
      <c r="BY37" s="8"/>
      <c r="BZ37" s="37">
        <f t="shared" ref="BZ37" si="313">BX37</f>
        <v>20</v>
      </c>
      <c r="CA37" s="125">
        <f>IFERROR(VLOOKUP($D37,'Adient Assende (Belgium) WK.17'!$B:BS,CB$1,0),0)</f>
        <v>0</v>
      </c>
      <c r="CB37" s="55">
        <f>IFERROR(VLOOKUP($D37,'Adient Arendal (Malzia) WK.12'!$B:BT,CB$1,0),0)</f>
        <v>0</v>
      </c>
      <c r="CC37" s="55">
        <f>IFERROR(VLOOKUP($D37,'Adient Taizhou (China) WK.16'!$B:BW,CB$1,0),0)</f>
        <v>0</v>
      </c>
      <c r="CD37" s="60">
        <v>0</v>
      </c>
      <c r="CE37" s="60">
        <v>0</v>
      </c>
      <c r="CF37" s="41">
        <v>0</v>
      </c>
      <c r="CG37" s="32">
        <v>0</v>
      </c>
      <c r="CH37" s="106">
        <f t="shared" si="244"/>
        <v>20</v>
      </c>
      <c r="CI37" s="8"/>
      <c r="CJ37" s="37">
        <f t="shared" ref="CJ37" si="314">CH37</f>
        <v>20</v>
      </c>
      <c r="CK37" s="125">
        <f>IFERROR(VLOOKUP($D37,'Adient Assende (Belgium) WK.17'!$B:CC,CL$1,0),0)</f>
        <v>0</v>
      </c>
      <c r="CL37" s="55">
        <f>IFERROR(VLOOKUP($D37,'Adient Arendal (Malzia) WK.12'!$B:CD,CL$1,0),0)</f>
        <v>0</v>
      </c>
      <c r="CM37" s="55">
        <f>IFERROR(VLOOKUP($D37,'Adient Taizhou (China) WK.16'!$B:CG,CL$1,0),0)</f>
        <v>0</v>
      </c>
      <c r="CN37" s="60">
        <v>0</v>
      </c>
      <c r="CO37" s="149">
        <v>0</v>
      </c>
      <c r="CP37" s="32">
        <v>0</v>
      </c>
      <c r="CQ37" s="106">
        <f t="shared" si="245"/>
        <v>20</v>
      </c>
      <c r="CR37" s="8"/>
      <c r="CS37" s="122">
        <f t="shared" ref="CS37" si="315">CQ37</f>
        <v>20</v>
      </c>
      <c r="CT37" s="154">
        <f>IFERROR(VLOOKUP($D37,'Adient Assende (Belgium) WK.17'!$B:CL,CU$1,0),0)</f>
        <v>0</v>
      </c>
      <c r="CU37" s="55">
        <f>IFERROR(VLOOKUP($D37,'Adient Arendal (Malzia) WK.12'!$B:CM,CU$1,0),0)</f>
        <v>0</v>
      </c>
      <c r="CV37" s="55">
        <f>IFERROR(VLOOKUP($D37,'Adient Taizhou (China) WK.16'!$B:CP,CU$1,0),0)</f>
        <v>0</v>
      </c>
      <c r="CW37" s="60">
        <v>0</v>
      </c>
      <c r="CX37" s="60">
        <v>0</v>
      </c>
      <c r="CY37" s="128">
        <v>0</v>
      </c>
      <c r="CZ37" s="32">
        <v>0</v>
      </c>
      <c r="DA37" s="106">
        <f t="shared" si="246"/>
        <v>20</v>
      </c>
      <c r="DB37" s="8"/>
      <c r="DC37" s="37">
        <f t="shared" ref="DC37" si="316">DA37</f>
        <v>20</v>
      </c>
      <c r="DD37" s="125">
        <f>IFERROR(VLOOKUP($D37,'Adient Assende (Belgium) WK.17'!$B:CS,DE$1,0),0)</f>
        <v>0</v>
      </c>
      <c r="DE37" s="55">
        <f>IFERROR(VLOOKUP($D37,'Adient Arendal (Malzia) WK.12'!$B:CU,DE$1,0),0)</f>
        <v>0</v>
      </c>
      <c r="DF37" s="55">
        <f>IFERROR(VLOOKUP($D37,'Adient Taizhou (China) WK.16'!$B:CX,DE$1,0),0)</f>
        <v>0</v>
      </c>
      <c r="DG37" s="60">
        <v>0</v>
      </c>
      <c r="DH37" s="128">
        <v>0</v>
      </c>
      <c r="DI37" s="32">
        <v>0</v>
      </c>
      <c r="DJ37" s="106">
        <f t="shared" si="247"/>
        <v>20</v>
      </c>
      <c r="DL37" s="37">
        <f t="shared" ref="DL37" si="317">DJ37</f>
        <v>20</v>
      </c>
      <c r="DM37" s="125">
        <f>IFERROR(VLOOKUP($D37,'Adient Assende (Belgium) WK.17'!$B:DB,DN$1,0),0)</f>
        <v>0</v>
      </c>
      <c r="DN37" s="55">
        <f>IFERROR(VLOOKUP($D37,'Adient Arendal (Malzia) WK.12'!$B:DC,DN$1,0),0)</f>
        <v>0</v>
      </c>
      <c r="DO37" s="55">
        <f>IFERROR(VLOOKUP($D37,'Adient Taizhou (China) WK.16'!$B:DF,DN$1,0),0)</f>
        <v>0</v>
      </c>
      <c r="DP37" s="128">
        <v>0</v>
      </c>
      <c r="DQ37" s="32">
        <v>0</v>
      </c>
      <c r="DR37" s="106">
        <f t="shared" ref="DR37" si="318">((DL37-(DN37+DO37+DP37)+DQ37))</f>
        <v>20</v>
      </c>
      <c r="DS37" s="8"/>
      <c r="DT37" s="37">
        <f t="shared" ref="DT37" si="319">DR37</f>
        <v>20</v>
      </c>
      <c r="DU37" s="125">
        <f>IFERROR(VLOOKUP($D37,'Adient Assende (Belgium) WK.17'!$B:DJ,DV$1,0),0)</f>
        <v>0</v>
      </c>
      <c r="DV37" s="55">
        <f>IFERROR(VLOOKUP($D37,'Adient Arendal (Malzia) WK.12'!$B:DK,DV$1,0),0)</f>
        <v>0</v>
      </c>
      <c r="DW37" s="55">
        <f>IFERROR(VLOOKUP($D37,'Adient Taizhou (China) WK.16'!$B:DN,DV$1,0),0)</f>
        <v>0</v>
      </c>
      <c r="DX37" s="60">
        <v>0</v>
      </c>
      <c r="DY37" s="60">
        <v>0</v>
      </c>
      <c r="DZ37" s="128">
        <v>0</v>
      </c>
      <c r="EA37" s="32">
        <v>0</v>
      </c>
      <c r="EB37" s="106">
        <f t="shared" si="248"/>
        <v>20</v>
      </c>
      <c r="EC37" s="8"/>
      <c r="ED37" s="37">
        <f t="shared" ref="ED37" si="320">EB37</f>
        <v>20</v>
      </c>
      <c r="EE37" s="125">
        <f>IFERROR(VLOOKUP($D37,'Adient Assende (Belgium) WK.17'!$B:DR,EF$1,0),0)</f>
        <v>0</v>
      </c>
      <c r="EF37" s="55">
        <f>IFERROR(VLOOKUP($D37,'Adient Arendal (Malzia) WK.12'!$B:DS,EF$1,0),0)</f>
        <v>0</v>
      </c>
      <c r="EG37" s="55">
        <f>IFERROR(VLOOKUP($D37,'Adient Taizhou (China) WK.16'!$B:DV,EF$1,0),0)</f>
        <v>0</v>
      </c>
      <c r="EH37" s="60">
        <v>0</v>
      </c>
      <c r="EI37" s="128">
        <v>0</v>
      </c>
      <c r="EJ37" s="32">
        <v>0</v>
      </c>
      <c r="EK37" s="106">
        <f t="shared" si="249"/>
        <v>20</v>
      </c>
      <c r="EM37" s="37">
        <f t="shared" si="176"/>
        <v>20</v>
      </c>
      <c r="EN37" s="125">
        <f>IFERROR(VLOOKUP($D37,'Adient Assende (Belgium) WK.17'!$B:DZ,EO$1,0),0)</f>
        <v>0</v>
      </c>
      <c r="EO37" s="55">
        <f>IFERROR(VLOOKUP($D37,'Adient Arendal (Malzia) WK.12'!$B:EA,EO$1,0),0)</f>
        <v>0</v>
      </c>
      <c r="EP37" s="55">
        <f>IFERROR(VLOOKUP($D37,'Adient Taizhou (China) WK.16'!$B:ED,EO$1,0),0)</f>
        <v>0</v>
      </c>
      <c r="EQ37" s="128">
        <v>0</v>
      </c>
      <c r="ER37" s="32">
        <v>0</v>
      </c>
      <c r="ES37" s="106">
        <f t="shared" ref="ES37" si="321">((EM37-(EO37+EP37+EQ37)+ER37))</f>
        <v>20</v>
      </c>
      <c r="EU37" s="37">
        <f t="shared" ref="EU37" si="322">ES37</f>
        <v>20</v>
      </c>
      <c r="EV37" s="125">
        <f>IFERROR(VLOOKUP($D37,'Adient Assende (Belgium) WK.17'!$B:EH,EW$1,0),0)</f>
        <v>0</v>
      </c>
      <c r="EW37" s="55">
        <f>IFERROR(VLOOKUP($D37,'Adient Arendal (Malzia) WK.12'!$B:EI,EW$1,0),0)</f>
        <v>0</v>
      </c>
      <c r="EX37" s="55">
        <f>IFERROR(VLOOKUP($D37,'Adient Taizhou (China) WK.16'!$B:EL,EW$1,0),0)</f>
        <v>0</v>
      </c>
      <c r="EY37" s="128">
        <v>0</v>
      </c>
      <c r="EZ37" s="32">
        <v>0</v>
      </c>
      <c r="FA37" s="106">
        <f t="shared" si="251"/>
        <v>20</v>
      </c>
      <c r="FC37" s="37">
        <f t="shared" ref="FC37" si="323">FA37</f>
        <v>20</v>
      </c>
      <c r="FD37" s="154">
        <f>IFERROR(VLOOKUP($D37,'Adient Assende (Belgium) WK.17'!$B:EP,FE$1,0),0)</f>
        <v>0</v>
      </c>
      <c r="FE37" s="154">
        <f>IFERROR(VLOOKUP($D37,'Adient Arendal (Malzia) WK.12'!$B:EQ,FE$1,0),0)</f>
        <v>0</v>
      </c>
      <c r="FF37" s="154">
        <f>IFERROR(VLOOKUP($D37,'Adient Taizhou (China) WK.16'!$B:ET,FE$1,0),0)</f>
        <v>0</v>
      </c>
      <c r="FG37" s="128">
        <v>0</v>
      </c>
      <c r="FH37" s="32">
        <v>0</v>
      </c>
      <c r="FI37" s="106">
        <f t="shared" si="252"/>
        <v>20</v>
      </c>
      <c r="FK37" s="37">
        <f t="shared" ref="FK37" si="324">FI37</f>
        <v>20</v>
      </c>
      <c r="FL37" s="125">
        <f>IFERROR(VLOOKUP($D37,'Adient Assende (Belgium) WK.17'!$B:EX,FM$1,0),0)</f>
        <v>0</v>
      </c>
      <c r="FM37" s="55">
        <f>IFERROR(VLOOKUP($D37,'Adient Arendal (Malzia) WK.12'!$B:EY,FM$1,0),0)</f>
        <v>0</v>
      </c>
      <c r="FN37" s="55">
        <f>IFERROR(VLOOKUP($D37,'Adient Taizhou (China) WK.16'!$B:FB,FM$1,0),0)</f>
        <v>0</v>
      </c>
      <c r="FO37" s="128">
        <v>0</v>
      </c>
      <c r="FP37" s="32">
        <v>0</v>
      </c>
      <c r="FQ37" s="106">
        <f t="shared" si="253"/>
        <v>20</v>
      </c>
      <c r="FR37" s="8"/>
      <c r="FS37" s="37">
        <f t="shared" si="180"/>
        <v>20</v>
      </c>
      <c r="FT37" s="125">
        <f>IFERROR(VLOOKUP($D37,'Adient Assende (Belgium) WK.17'!$B:FF,FU$1,0),0)</f>
        <v>0</v>
      </c>
      <c r="FU37" s="55">
        <f>IFERROR(VLOOKUP($D37,'Adient Arendal (Malzia) WK.12'!$B:FG,FU$1,0),0)</f>
        <v>20</v>
      </c>
      <c r="FV37" s="55">
        <f>IFERROR(VLOOKUP($D37,'Adient Taizhou (China) WK.16'!$B:FJ,FU$1,0),0)</f>
        <v>0</v>
      </c>
      <c r="FW37" s="60">
        <v>0</v>
      </c>
      <c r="FX37" s="60">
        <v>0</v>
      </c>
      <c r="FY37" s="60">
        <v>0</v>
      </c>
      <c r="FZ37" s="60">
        <v>0</v>
      </c>
      <c r="GA37" s="60">
        <v>0</v>
      </c>
      <c r="GB37" s="128">
        <v>0</v>
      </c>
      <c r="GC37" s="32">
        <v>0</v>
      </c>
      <c r="GD37" s="106">
        <f t="shared" si="254"/>
        <v>0</v>
      </c>
      <c r="GF37" s="37">
        <f t="shared" ref="GF37" si="325">GD37</f>
        <v>0</v>
      </c>
      <c r="GG37" s="125">
        <f>IFERROR(VLOOKUP($D37,'Adient Assende (Belgium) WK.17'!$B:FN,GH$1,0),0)</f>
        <v>0</v>
      </c>
      <c r="GH37" s="55">
        <f>IFERROR(VLOOKUP($D37,'Adient Arendal (Malzia) WK.12'!$B:FO,GH$1,0),0)</f>
        <v>0</v>
      </c>
      <c r="GI37" s="55">
        <f>IFERROR(VLOOKUP($D37,'Adient Taizhou (China) WK.16'!$B:FR,GH$1,0),0)</f>
        <v>0</v>
      </c>
      <c r="GJ37" s="60">
        <v>0</v>
      </c>
      <c r="GK37" s="128">
        <v>0</v>
      </c>
      <c r="GL37" s="32">
        <v>0</v>
      </c>
      <c r="GM37" s="106">
        <f t="shared" si="255"/>
        <v>0</v>
      </c>
      <c r="GO37" s="37">
        <f t="shared" ref="GO37" si="326">GM37</f>
        <v>0</v>
      </c>
      <c r="GP37" s="125">
        <f>IFERROR(VLOOKUP($D37,'Adient Assende (Belgium) WK.17'!$B:FV,GQ$1,0),0)</f>
        <v>0</v>
      </c>
      <c r="GQ37" s="55">
        <f>IFERROR(VLOOKUP($D37,'Adient Arendal (Malzia) WK.12'!$B:FW,GQ$1,0),0)</f>
        <v>0</v>
      </c>
      <c r="GR37" s="55">
        <f>IFERROR(VLOOKUP($D37,'Adient Taizhou (China) WK.16'!$B:FZ,GQ$1,0),0)</f>
        <v>0</v>
      </c>
      <c r="GS37" s="60">
        <v>0</v>
      </c>
      <c r="GT37" s="128">
        <v>0</v>
      </c>
      <c r="GU37" s="32">
        <v>0</v>
      </c>
      <c r="GV37" s="106">
        <f t="shared" si="256"/>
        <v>0</v>
      </c>
      <c r="GW37" s="8"/>
      <c r="GX37" s="37">
        <f t="shared" ref="GX37" si="327">GV37</f>
        <v>0</v>
      </c>
      <c r="GY37" s="125">
        <f>IFERROR(VLOOKUP($D37,'Adient Assende (Belgium) WK.17'!$B:GD,GZ$1,0),0)</f>
        <v>0</v>
      </c>
      <c r="GZ37" s="55">
        <f>IFERROR(VLOOKUP($D37,'Adient Arendal (Malzia) WK.12'!$B:GE,GZ$1,0),0)</f>
        <v>0</v>
      </c>
      <c r="HA37" s="55">
        <f>IFERROR(VLOOKUP($D37,'Adient Taizhou (China) WK.16'!$B:GH,GZ$1,0),0)</f>
        <v>0</v>
      </c>
      <c r="HB37" s="60">
        <v>80</v>
      </c>
      <c r="HC37" s="128">
        <v>0</v>
      </c>
      <c r="HD37" s="32">
        <v>0</v>
      </c>
      <c r="HE37" s="106">
        <f t="shared" si="257"/>
        <v>80</v>
      </c>
      <c r="HF37" s="8"/>
      <c r="HG37" s="37">
        <f t="shared" ref="HG37" si="328">HE37</f>
        <v>80</v>
      </c>
      <c r="HH37" s="125">
        <f>IFERROR(VLOOKUP($D37,'Adient Assende (Belgium) WK.17'!$B:GL,HI$1,0),0)</f>
        <v>0</v>
      </c>
      <c r="HI37" s="55">
        <f>IFERROR(VLOOKUP($D37,'Adient Arendal (Malzia) WK.12'!$B:GM,HI$1,0),0)</f>
        <v>20</v>
      </c>
      <c r="HJ37" s="55">
        <f>IFERROR(VLOOKUP($D37,'Adient Taizhou (China) WK.16'!$B:GP,HI$1,0),0)</f>
        <v>0</v>
      </c>
      <c r="HK37" s="60">
        <v>0</v>
      </c>
      <c r="HL37" s="128">
        <v>0</v>
      </c>
      <c r="HM37" s="32">
        <v>0</v>
      </c>
      <c r="HN37" s="106">
        <f t="shared" si="258"/>
        <v>60</v>
      </c>
      <c r="HO37" s="8"/>
      <c r="HP37" s="37">
        <f t="shared" ref="HP37" si="329">HN37</f>
        <v>60</v>
      </c>
      <c r="HQ37" s="125">
        <f>IFERROR(VLOOKUP($D37,'Adient Assende (Belgium) WK.17'!$B:GT,HR$1,0),0)</f>
        <v>0</v>
      </c>
      <c r="HR37" s="55">
        <f>IFERROR(VLOOKUP($D37,'Adient Arendal (Malzia) WK.12'!$B:GU,HR$1,0),0)</f>
        <v>0</v>
      </c>
      <c r="HS37" s="55">
        <f>IFERROR(VLOOKUP($D37,'Adient Taizhou (China) WK.16'!$B:GX,HR$1,0),0)</f>
        <v>0</v>
      </c>
      <c r="HT37" s="60">
        <v>0</v>
      </c>
      <c r="HU37" s="128">
        <v>0</v>
      </c>
      <c r="HV37" s="32">
        <v>0</v>
      </c>
      <c r="HW37" s="106">
        <f t="shared" si="259"/>
        <v>60</v>
      </c>
      <c r="HX37" s="8"/>
      <c r="HY37" s="37">
        <f t="shared" ref="HY37" si="330">HW37</f>
        <v>60</v>
      </c>
      <c r="HZ37" s="125">
        <f>IFERROR(VLOOKUP($D37,'Adient Assende (Belgium) WK.17'!$B:HB,IA$1,0),0)</f>
        <v>0</v>
      </c>
      <c r="IA37" s="55">
        <f>IFERROR(VLOOKUP($D37,'Adient Arendal (Malzia) WK.12'!$B:HC,IA$1,0),0)</f>
        <v>0</v>
      </c>
      <c r="IB37" s="55">
        <f>IFERROR(VLOOKUP($D37,'Adient Taizhou (China) WK.16'!$B:HF,IA$1,0),0)</f>
        <v>0</v>
      </c>
      <c r="IC37" s="60">
        <v>0</v>
      </c>
      <c r="ID37" s="128">
        <v>0</v>
      </c>
      <c r="IE37" s="32">
        <v>0</v>
      </c>
      <c r="IF37" s="106">
        <f t="shared" si="260"/>
        <v>60</v>
      </c>
      <c r="IG37" s="8"/>
      <c r="IH37" s="37">
        <f t="shared" ref="IH37" si="331">IF37</f>
        <v>60</v>
      </c>
      <c r="II37" s="125">
        <f>IFERROR(VLOOKUP($D37,'Adient Assende (Belgium) WK.17'!$B:HJ,IJ$1,0),0)</f>
        <v>0</v>
      </c>
      <c r="IJ37" s="55">
        <f>IFERROR(VLOOKUP($D37,'Adient Arendal (Malzia) WK.12'!$B:HK,IJ$1,0),0)</f>
        <v>0</v>
      </c>
      <c r="IK37" s="55">
        <f>IFERROR(VLOOKUP($D37,'Adient Taizhou (China) WK.16'!$B:HN,IJ$1,0),0)</f>
        <v>0</v>
      </c>
      <c r="IL37" s="128">
        <v>0</v>
      </c>
      <c r="IM37" s="32">
        <v>0</v>
      </c>
      <c r="IN37" s="106">
        <f t="shared" si="188"/>
        <v>60</v>
      </c>
      <c r="IO37" s="8"/>
      <c r="IP37" s="37">
        <f t="shared" ref="IP37" si="332">IN37</f>
        <v>60</v>
      </c>
      <c r="IQ37" s="125">
        <f>IFERROR(VLOOKUP($D37,'Adient Assende (Belgium) WK.17'!$B:HR,IR$1,0),0)</f>
        <v>0</v>
      </c>
      <c r="IR37" s="55">
        <f>IFERROR(VLOOKUP($D37,'Adient Arendal (Malzia) WK.12'!$B:HS,IR$1,0),0)</f>
        <v>0</v>
      </c>
      <c r="IS37" s="55">
        <f>IFERROR(VLOOKUP($D37,'Adient Taizhou (China) WK.16'!$B:HV,IR$1,0),0)</f>
        <v>0</v>
      </c>
      <c r="IT37" s="60">
        <v>0</v>
      </c>
      <c r="IU37" s="128">
        <v>0</v>
      </c>
      <c r="IV37" s="32">
        <v>0</v>
      </c>
      <c r="IW37" s="106">
        <f t="shared" si="261"/>
        <v>60</v>
      </c>
      <c r="IX37" s="8"/>
      <c r="IY37" s="37">
        <f t="shared" ref="IY37" si="333">IW37</f>
        <v>60</v>
      </c>
      <c r="IZ37" s="125">
        <f>IFERROR(VLOOKUP($D37,'Adient Assende (Belgium) WK.17'!$B:HZ,JA$1,0),0)</f>
        <v>0</v>
      </c>
      <c r="JA37" s="55">
        <f>IFERROR(VLOOKUP($D37,'Adient Arendal (Malzia) WK.12'!$B:IA,JA$1,0),0)</f>
        <v>0</v>
      </c>
      <c r="JB37" s="55">
        <f>IFERROR(VLOOKUP($D37,'Adient Taizhou (China) WK.16'!$B:ID,JA$1,0),0)</f>
        <v>0</v>
      </c>
      <c r="JC37" s="128">
        <v>0</v>
      </c>
      <c r="JD37" s="32">
        <v>0</v>
      </c>
      <c r="JE37" s="106">
        <f t="shared" si="191"/>
        <v>60</v>
      </c>
      <c r="JF37" s="8"/>
      <c r="JG37" s="37">
        <f t="shared" ref="JG37" si="334">JE37</f>
        <v>60</v>
      </c>
      <c r="JH37" s="125">
        <f>IFERROR(VLOOKUP($D37,'Adient Assende (Belgium) WK.17'!$B:IH,JI$1,0),0)</f>
        <v>0</v>
      </c>
      <c r="JI37" s="55">
        <f>IFERROR(VLOOKUP($D37,'Adient Arendal (Malzia) WK.12'!$B:II,JI$1,0),0)</f>
        <v>40</v>
      </c>
      <c r="JJ37" s="55">
        <f>IFERROR(VLOOKUP($D37,'Adient Taizhou (China) WK.16'!$B:IL,JI$1,0),0)</f>
        <v>0</v>
      </c>
      <c r="JK37" s="60">
        <v>0</v>
      </c>
      <c r="JL37" s="128">
        <v>0</v>
      </c>
      <c r="JM37" s="32">
        <v>0</v>
      </c>
      <c r="JN37" s="106">
        <f t="shared" si="262"/>
        <v>20</v>
      </c>
      <c r="JO37" s="8"/>
      <c r="JP37" s="37">
        <f t="shared" ref="JP37" si="335">JN37</f>
        <v>20</v>
      </c>
      <c r="JQ37" s="125">
        <f>IFERROR(VLOOKUP($D37,'Adient Assende (Belgium) WK.17'!$B:IP,JR$1,0),0)</f>
        <v>0</v>
      </c>
      <c r="JR37" s="55">
        <f>IFERROR(VLOOKUP($D37,'Adient Arendal (Malzia) WK.12'!$B:IQ,JR$1,0),0)</f>
        <v>0</v>
      </c>
      <c r="JS37" s="55">
        <f>IFERROR(VLOOKUP($D37,'Adient Taizhou (China) WK.16'!$B:IT,JR$1,0),0)</f>
        <v>0</v>
      </c>
      <c r="JT37" s="128">
        <v>0</v>
      </c>
      <c r="JU37" s="32">
        <v>0</v>
      </c>
      <c r="JV37" s="106">
        <f t="shared" si="194"/>
        <v>20</v>
      </c>
      <c r="JW37" s="8"/>
      <c r="JX37" s="37">
        <f t="shared" ref="JX37" si="336">JV37</f>
        <v>20</v>
      </c>
      <c r="JY37" s="154">
        <f>IFERROR(VLOOKUP($D37,'Adient Assende (Belgium) WK.17'!$B:IX,JZ$1,0),0)</f>
        <v>0</v>
      </c>
      <c r="JZ37" s="55">
        <f>IFERROR(VLOOKUP($D37,'Adient Arendal (Malzia) WK.12'!$B:IY,JZ$1,0),0)</f>
        <v>0</v>
      </c>
      <c r="KA37" s="55">
        <f>IFERROR(VLOOKUP($D37,'Adient Taizhou (China) WK.16'!$B:JB,JZ$1,0),0)</f>
        <v>0</v>
      </c>
      <c r="KB37" s="128">
        <v>0</v>
      </c>
      <c r="KC37" s="32">
        <v>0</v>
      </c>
      <c r="KD37" s="106">
        <f t="shared" si="263"/>
        <v>20</v>
      </c>
      <c r="KE37" s="8"/>
      <c r="KF37" s="37">
        <f t="shared" ref="KF37" si="337">KD37</f>
        <v>20</v>
      </c>
      <c r="KG37" s="125">
        <f>IFERROR(VLOOKUP($D37,'Adient Assende (Belgium) WK.17'!$B:JF,KH$1,0),0)</f>
        <v>0</v>
      </c>
      <c r="KH37" s="55">
        <f>IFERROR(VLOOKUP($D37,'Adient Arendal (Malzia) WK.12'!$B:JG,KH$1,0),0)</f>
        <v>0</v>
      </c>
      <c r="KI37" s="55">
        <f>IFERROR(VLOOKUP($D37,'Adient Taizhou (China) WK.16'!$B:JJ,KH$1,0),0)</f>
        <v>0</v>
      </c>
      <c r="KJ37" s="60">
        <v>0</v>
      </c>
      <c r="KK37" s="128">
        <v>0</v>
      </c>
      <c r="KL37" s="32">
        <v>0</v>
      </c>
      <c r="KM37" s="106">
        <f t="shared" si="264"/>
        <v>20</v>
      </c>
      <c r="KN37" s="8"/>
      <c r="KO37" s="37">
        <f t="shared" ref="KO37" si="338">KM37</f>
        <v>20</v>
      </c>
      <c r="KP37" s="141">
        <f>IFERROR(VLOOKUP($D37,'Adient Assende (Belgium) WK.17'!$B:JN,KQ$1,0),0)</f>
        <v>0</v>
      </c>
      <c r="KQ37" s="140">
        <f>IFERROR(VLOOKUP($D37,'Adient Arendal (Malzia) WK.12'!$B:JO,KQ$1,0),0)</f>
        <v>0</v>
      </c>
      <c r="KR37" s="140">
        <f>IFERROR(VLOOKUP($D37,'Adient Taizhou (China) WK.16'!$B:JR,KQ$1,0),0)</f>
        <v>0</v>
      </c>
      <c r="KS37" s="60">
        <v>0</v>
      </c>
      <c r="KT37" s="128">
        <v>0</v>
      </c>
      <c r="KU37" s="32">
        <v>0</v>
      </c>
      <c r="KV37" s="106">
        <f t="shared" si="265"/>
        <v>20</v>
      </c>
      <c r="KX37" s="37">
        <f t="shared" ref="KX37" si="339">KV37</f>
        <v>20</v>
      </c>
      <c r="KY37" s="141">
        <f>IFERROR(VLOOKUP($D37,'Adient Assende (Belgium) WK.17'!$B:JV,KZ$1,0),0)</f>
        <v>0</v>
      </c>
      <c r="KZ37" s="140">
        <f>IFERROR(VLOOKUP($D37,'Adient Arendal (Malzia) WK.12'!$B:JW,KZ$1,0),0)</f>
        <v>0</v>
      </c>
      <c r="LA37" s="140">
        <f>IFERROR(VLOOKUP($D37,'Adient Taizhou (China) WK.16'!$B:JZ,KZ$1,0),0)</f>
        <v>0</v>
      </c>
      <c r="LB37" s="128">
        <v>0</v>
      </c>
      <c r="LC37" s="32">
        <v>0</v>
      </c>
      <c r="LD37" s="106">
        <f t="shared" si="266"/>
        <v>20</v>
      </c>
      <c r="LF37" s="37">
        <f t="shared" ref="LF37" si="340">LD37</f>
        <v>20</v>
      </c>
      <c r="LG37" s="141">
        <f>IFERROR(VLOOKUP($D37,'Adient Assende (Belgium) WK.17'!$B:KD,LH$1,0),0)</f>
        <v>0</v>
      </c>
      <c r="LH37" s="140">
        <f>IFERROR(VLOOKUP($D37,'Adient Arendal (Malzia) WK.12'!$B:KE,LH$1,0),0)</f>
        <v>0</v>
      </c>
      <c r="LI37" s="140">
        <f>IFERROR(VLOOKUP($D37,'Adient Taizhou (China) WK.16'!$B:KH,LH$1,0),0)</f>
        <v>0</v>
      </c>
      <c r="LJ37" s="60">
        <v>0</v>
      </c>
      <c r="LK37" s="128">
        <v>0</v>
      </c>
      <c r="LL37" s="32">
        <v>0</v>
      </c>
      <c r="LM37" s="100">
        <f t="shared" si="267"/>
        <v>20</v>
      </c>
      <c r="LO37" s="37">
        <f t="shared" ref="LO37" si="341">LM37</f>
        <v>20</v>
      </c>
      <c r="LP37" s="141">
        <f>IFERROR(VLOOKUP($D37,'Adient Assende (Belgium) WK.17'!$B:KL,LQ$1,0),0)</f>
        <v>0</v>
      </c>
      <c r="LQ37" s="140">
        <f>IFERROR(VLOOKUP($D37,'Adient Arendal (Malzia) WK.12'!$B:KM,LQ$1,0),0)</f>
        <v>0</v>
      </c>
      <c r="LR37" s="140">
        <f>IFERROR(VLOOKUP($D37,'Adient Taizhou (China) WK.16'!$B:KP,LQ$1,0),0)</f>
        <v>0</v>
      </c>
      <c r="LS37" s="128">
        <v>0</v>
      </c>
      <c r="LT37" s="32">
        <v>0</v>
      </c>
      <c r="LU37" s="100">
        <f t="shared" ref="LU37" si="342">((LO37-(LP37+LQ37+LR37)+LT37))</f>
        <v>20</v>
      </c>
      <c r="LW37" s="37">
        <f t="shared" ref="LW37" si="343">LU37</f>
        <v>20</v>
      </c>
      <c r="LX37" s="141">
        <f>IFERROR(VLOOKUP($D37,'Adient Assende (Belgium) WK.17'!$B:KT,LY$1,0),0)</f>
        <v>0</v>
      </c>
      <c r="LY37" s="140">
        <f>IFERROR(VLOOKUP($D37,'Adient Arendal (Malzia) WK.12'!$B:KU,LY$1,0),0)</f>
        <v>0</v>
      </c>
      <c r="LZ37" s="140">
        <f>IFERROR(VLOOKUP($D37,'Adient Taizhou (China) WK.16'!$B:KX,LY$1,0),0)</f>
        <v>0</v>
      </c>
      <c r="MA37" s="128">
        <v>0</v>
      </c>
      <c r="MB37" s="32">
        <v>0</v>
      </c>
      <c r="MC37" s="100">
        <f t="shared" ref="MC37" si="344">((LW37-(LX37+LY37+LZ37)+MB37))</f>
        <v>20</v>
      </c>
      <c r="ME37" s="37">
        <f t="shared" ref="ME37" si="345">MC37</f>
        <v>20</v>
      </c>
      <c r="MF37" s="154">
        <f>IFERROR(VLOOKUP($D37,'Adient Assende (Belgium) WK.17'!$B:LB,MG$1,0),0)</f>
        <v>0</v>
      </c>
      <c r="MG37" s="140">
        <f>IFERROR(VLOOKUP($D37,'Adient Arendal (Malzia) WK.12'!$B:LC,MG$1,0),0)</f>
        <v>0</v>
      </c>
      <c r="MH37" s="140">
        <f>IFERROR(VLOOKUP($D37,'Adient Taizhou (China) WK.16'!$B:LF,MG$1,0),0)</f>
        <v>0</v>
      </c>
      <c r="MI37" s="128">
        <v>0</v>
      </c>
      <c r="MJ37" s="32">
        <v>0</v>
      </c>
      <c r="MK37" s="100">
        <f t="shared" ref="MK37" si="346">((ME37-(MF37+MG37+MH37)+MJ37))</f>
        <v>20</v>
      </c>
      <c r="MM37" s="37">
        <f t="shared" ref="MM37" si="347">MK37</f>
        <v>20</v>
      </c>
      <c r="MN37" s="141">
        <f>IFERROR(VLOOKUP($D37,'Adient Assende (Belgium) WK.17'!$B:LJ,MO$1,0),0)</f>
        <v>0</v>
      </c>
      <c r="MO37" s="140">
        <f>IFERROR(VLOOKUP($D37,'Adient Arendal (Malzia) WK.12'!$B:LK,MO$1,0),0)</f>
        <v>0</v>
      </c>
      <c r="MP37" s="140">
        <f>IFERROR(VLOOKUP($D37,'Adient Taizhou (China) WK.16'!$B:LN,MO$1,0),0)</f>
        <v>0</v>
      </c>
      <c r="MQ37" s="128">
        <v>0</v>
      </c>
      <c r="MR37" s="32">
        <v>0</v>
      </c>
      <c r="MS37" s="100">
        <f t="shared" ref="MS37" si="348">((MM37-(MN37+MO37+MP37)+MR37))</f>
        <v>20</v>
      </c>
      <c r="MU37" s="37">
        <f t="shared" ref="MU37" si="349">MS37</f>
        <v>20</v>
      </c>
      <c r="MV37" s="141">
        <f>IFERROR(VLOOKUP($D37,'Adient Assende (Belgium) WK.17'!$B:LR,MW$1,0),0)</f>
        <v>0</v>
      </c>
      <c r="MW37" s="140">
        <f>IFERROR(VLOOKUP($D37,'Adient Arendal (Malzia) WK.12'!$B:LS,MW$1,0),0)</f>
        <v>0</v>
      </c>
      <c r="MX37" s="140">
        <f>IFERROR(VLOOKUP($D37,'Adient Taizhou (China) WK.16'!$B:LV,MW$1,0),0)</f>
        <v>0</v>
      </c>
      <c r="MY37" s="128">
        <v>0</v>
      </c>
      <c r="MZ37" s="32">
        <v>0</v>
      </c>
      <c r="NA37" s="100">
        <f t="shared" ref="NA37" si="350">((MU37-(MV37+MW37+MX37)+MZ37))</f>
        <v>20</v>
      </c>
      <c r="NC37" s="37">
        <f t="shared" ref="NC37" si="351">NA37</f>
        <v>20</v>
      </c>
      <c r="ND37" s="141">
        <f>IFERROR(VLOOKUP($D37,'Adient Assende (Belgium) WK.17'!$B:LZ,NE$1,0),0)</f>
        <v>0</v>
      </c>
      <c r="NE37" s="140">
        <f>IFERROR(VLOOKUP($D37,'Adient Arendal (Malzia) WK.12'!$B:MA,NE$1,0),0)</f>
        <v>0</v>
      </c>
      <c r="NF37" s="140">
        <f>IFERROR(VLOOKUP($D37,'Adient Taizhou (China) WK.16'!$B:MD,NE$1,0),0)</f>
        <v>0</v>
      </c>
      <c r="NG37" s="128">
        <v>0</v>
      </c>
      <c r="NH37" s="32">
        <v>0</v>
      </c>
      <c r="NI37" s="100">
        <f t="shared" ref="NI37" si="352">((NC37-(ND37+NE37+NF37)+NH37))</f>
        <v>20</v>
      </c>
      <c r="NK37" s="37">
        <f t="shared" ref="NK37" si="353">NI37</f>
        <v>20</v>
      </c>
      <c r="NL37" s="141">
        <f>IFERROR(VLOOKUP($D37,'Adient Assende (Belgium) WK.17'!$B:MH,NM$1,0),0)</f>
        <v>0</v>
      </c>
      <c r="NM37" s="140">
        <f>IFERROR(VLOOKUP($D37,'Adient Arendal (Malzia) WK.12'!$B:MI,NM$1,0),0)</f>
        <v>0</v>
      </c>
      <c r="NN37" s="140">
        <f>IFERROR(VLOOKUP($D37,'Adient Taizhou (China) WK.16'!$B:ML,NM$1,0),0)</f>
        <v>0</v>
      </c>
      <c r="NO37" s="128">
        <v>0</v>
      </c>
      <c r="NP37" s="32">
        <v>0</v>
      </c>
      <c r="NQ37" s="100">
        <f t="shared" ref="NQ37" si="354">((NK37-(NL37+NM37+NN37)+NP37))</f>
        <v>20</v>
      </c>
      <c r="NS37" s="37">
        <f t="shared" ref="NS37" si="355">NQ37</f>
        <v>20</v>
      </c>
      <c r="NT37" s="141">
        <f>IFERROR(VLOOKUP($D37,'Adient Assende (Belgium) WK.17'!$B:MP,NU$1,0),0)</f>
        <v>0</v>
      </c>
      <c r="NU37" s="140">
        <f>IFERROR(VLOOKUP($D37,'Adient Arendal (Malzia) WK.12'!$B:MQ,NU$1,0),0)</f>
        <v>0</v>
      </c>
      <c r="NV37" s="140">
        <f>IFERROR(VLOOKUP($D37,'Adient Taizhou (China) WK.16'!$B:MT,NU$1,0),0)</f>
        <v>0</v>
      </c>
      <c r="NW37" s="128">
        <v>0</v>
      </c>
      <c r="NX37" s="32">
        <v>0</v>
      </c>
      <c r="NY37" s="100">
        <f t="shared" ref="NY37" si="356">((NS37-(NT37+NU37+NV37)+NX37))</f>
        <v>20</v>
      </c>
      <c r="OA37" s="37">
        <f t="shared" ref="OA37" si="357">NY37</f>
        <v>20</v>
      </c>
      <c r="OB37" s="141">
        <f>IFERROR(VLOOKUP($D37,'Adient Assende (Belgium) WK.17'!$B:MX,OC$1,0),0)</f>
        <v>0</v>
      </c>
      <c r="OC37" s="140">
        <f>IFERROR(VLOOKUP($D37,'Adient Arendal (Malzia) WK.12'!$B:MY,OC$1,0),0)</f>
        <v>0</v>
      </c>
      <c r="OD37" s="140">
        <f>IFERROR(VLOOKUP($D37,'Adient Taizhou (China) WK.16'!$B:NB,OC$1,0),0)</f>
        <v>0</v>
      </c>
      <c r="OE37" s="128">
        <v>0</v>
      </c>
      <c r="OF37" s="32">
        <v>0</v>
      </c>
      <c r="OG37" s="100">
        <f t="shared" ref="OG37" si="358">((OA37-(OB37+OC37+OD37)+OF37))</f>
        <v>20</v>
      </c>
      <c r="OI37" s="37">
        <f t="shared" ref="OI37" si="359">OG37</f>
        <v>20</v>
      </c>
      <c r="OJ37" s="141">
        <f>IFERROR(VLOOKUP($D37,'Adient Assende (Belgium) WK.17'!$B:NF,OK$1,0),0)</f>
        <v>0</v>
      </c>
      <c r="OK37" s="140">
        <f>IFERROR(VLOOKUP($D37,'Adient Arendal (Malzia) WK.12'!$B:NG,OK$1,0),0)</f>
        <v>0</v>
      </c>
      <c r="OL37" s="140">
        <f>IFERROR(VLOOKUP($D37,'Adient Taizhou (China) WK.16'!$B:NJ,OK$1,0),0)</f>
        <v>0</v>
      </c>
      <c r="OM37" s="128">
        <v>0</v>
      </c>
      <c r="ON37" s="32">
        <v>0</v>
      </c>
      <c r="OO37" s="100">
        <f t="shared" ref="OO37" si="360">((OI37-(OJ37+OK37+OL37)+ON37))</f>
        <v>20</v>
      </c>
      <c r="OQ37" s="37">
        <f t="shared" ref="OQ37" si="361">OO37</f>
        <v>20</v>
      </c>
      <c r="OR37" s="141">
        <f>IFERROR(VLOOKUP($D37,'Adient Assende (Belgium) WK.17'!$B:NN,OS$1,0),0)</f>
        <v>0</v>
      </c>
      <c r="OS37" s="140">
        <f>IFERROR(VLOOKUP($D37,'Adient Arendal (Malzia) WK.12'!$B:NO,OS$1,0),0)</f>
        <v>0</v>
      </c>
      <c r="OT37" s="140">
        <f>IFERROR(VLOOKUP($D37,'Adient Taizhou (China) WK.16'!$B:NR,OS$1,0),0)</f>
        <v>0</v>
      </c>
      <c r="OU37" s="128">
        <v>0</v>
      </c>
      <c r="OV37" s="32">
        <v>0</v>
      </c>
      <c r="OW37" s="100">
        <f t="shared" ref="OW37" si="362">((OQ37-(OR37+OS37+OT37)+OV37))</f>
        <v>20</v>
      </c>
      <c r="OY37" s="37">
        <f t="shared" si="211"/>
        <v>20</v>
      </c>
      <c r="OZ37" s="141">
        <f>IFERROR(VLOOKUP($D37,'Adient Assende (Belgium) WK.17'!$B:NV,PA$1,0),0)</f>
        <v>0</v>
      </c>
      <c r="PA37" s="140">
        <f>IFERROR(VLOOKUP($D37,'Adient Arendal (Malzia) WK.12'!$B:NW,PA$1,0),0)</f>
        <v>0</v>
      </c>
      <c r="PB37" s="140">
        <f>IFERROR(VLOOKUP($D37,'Adient Taizhou (China) WK.16'!$B:NZ,PA$1,0),0)</f>
        <v>0</v>
      </c>
      <c r="PC37" s="128">
        <v>0</v>
      </c>
      <c r="PD37" s="32">
        <v>0</v>
      </c>
      <c r="PE37" s="100">
        <f t="shared" si="279"/>
        <v>20</v>
      </c>
      <c r="PG37" s="37">
        <f t="shared" si="212"/>
        <v>20</v>
      </c>
      <c r="PH37" s="141">
        <f>IFERROR(VLOOKUP($D37,'Adient Assende (Belgium) WK.17'!$B:OD,PI$1,0),0)</f>
        <v>0</v>
      </c>
      <c r="PI37" s="140">
        <f>IFERROR(VLOOKUP($D37,'Adient Arendal (Malzia) WK.12'!$B:OE,PI$1,0),0)</f>
        <v>0</v>
      </c>
      <c r="PJ37" s="140">
        <f>IFERROR(VLOOKUP($D37,'Adient Taizhou (China) WK.16'!$B:OH,PI$1,0),0)</f>
        <v>0</v>
      </c>
      <c r="PK37" s="128">
        <v>0</v>
      </c>
      <c r="PL37" s="32">
        <v>0</v>
      </c>
      <c r="PM37" s="100">
        <f t="shared" si="280"/>
        <v>20</v>
      </c>
      <c r="PO37" s="37">
        <f t="shared" si="213"/>
        <v>20</v>
      </c>
      <c r="PP37" s="141">
        <f>IFERROR(VLOOKUP($D37,'Adient Assende (Belgium) WK.17'!$B:OL,PQ$1,0),0)</f>
        <v>0</v>
      </c>
      <c r="PQ37" s="140">
        <f>IFERROR(VLOOKUP($D37,'Adient Arendal (Malzia) WK.12'!$B:OM,PQ$1,0),0)</f>
        <v>0</v>
      </c>
      <c r="PR37" s="140">
        <f>IFERROR(VLOOKUP($D37,'Adient Taizhou (China) WK.16'!$B:OP,PQ$1,0),0)</f>
        <v>0</v>
      </c>
      <c r="PS37" s="128">
        <v>0</v>
      </c>
      <c r="PT37" s="32">
        <v>0</v>
      </c>
      <c r="PU37" s="100">
        <f t="shared" si="281"/>
        <v>20</v>
      </c>
      <c r="PW37" s="37">
        <f t="shared" si="214"/>
        <v>20</v>
      </c>
      <c r="PX37" s="141">
        <f>IFERROR(VLOOKUP($D37,'Adient Assende (Belgium) WK.17'!$B:OT,PY$1,0),0)</f>
        <v>0</v>
      </c>
      <c r="PY37" s="140">
        <f>IFERROR(VLOOKUP($D37,'Adient Arendal (Malzia) WK.12'!$B:OU,PY$1,0),0)</f>
        <v>0</v>
      </c>
      <c r="PZ37" s="140">
        <f>IFERROR(VLOOKUP($D37,'Adient Taizhou (China) WK.16'!$B:OX,PY$1,0),0)</f>
        <v>0</v>
      </c>
      <c r="QA37" s="128">
        <v>0</v>
      </c>
      <c r="QB37" s="32">
        <v>0</v>
      </c>
      <c r="QC37" s="100">
        <f t="shared" si="282"/>
        <v>20</v>
      </c>
      <c r="QE37" s="37">
        <f t="shared" si="215"/>
        <v>20</v>
      </c>
      <c r="QF37" s="141">
        <f>IFERROR(VLOOKUP($D37,'Adient Assende (Belgium) WK.17'!$B:PB,QG$1,0),0)</f>
        <v>0</v>
      </c>
      <c r="QG37" s="140">
        <f>IFERROR(VLOOKUP($D37,'Adient Arendal (Malzia) WK.12'!$B:PC,QG$1,0),0)</f>
        <v>0</v>
      </c>
      <c r="QH37" s="140">
        <f>IFERROR(VLOOKUP($D37,'Adient Taizhou (China) WK.16'!$B:PF,QG$1,0),0)</f>
        <v>0</v>
      </c>
      <c r="QI37" s="128">
        <v>0</v>
      </c>
      <c r="QJ37" s="32">
        <v>0</v>
      </c>
      <c r="QK37" s="100">
        <f t="shared" si="283"/>
        <v>20</v>
      </c>
      <c r="QM37" s="37">
        <f t="shared" si="216"/>
        <v>20</v>
      </c>
      <c r="QN37" s="141">
        <f>IFERROR(VLOOKUP($D37,'Adient Assende (Belgium) WK.17'!$B:PJ,QO$1,0),0)</f>
        <v>0</v>
      </c>
      <c r="QO37" s="140">
        <f>IFERROR(VLOOKUP($D37,'Adient Arendal (Malzia) WK.12'!$B:PK,QO$1,0),0)</f>
        <v>0</v>
      </c>
      <c r="QP37" s="140">
        <f>IFERROR(VLOOKUP($D37,'Adient Taizhou (China) WK.16'!$B:PN,QO$1,0),0)</f>
        <v>0</v>
      </c>
      <c r="QQ37" s="128">
        <v>0</v>
      </c>
      <c r="QR37" s="32">
        <v>0</v>
      </c>
      <c r="QS37" s="100">
        <f t="shared" si="284"/>
        <v>20</v>
      </c>
      <c r="QU37" s="37">
        <f t="shared" si="217"/>
        <v>20</v>
      </c>
      <c r="QV37" s="141">
        <f>IFERROR(VLOOKUP($D37,'Adient Assende (Belgium) WK.17'!$B:PR,QW$1,0),0)</f>
        <v>0</v>
      </c>
      <c r="QW37" s="140">
        <f>IFERROR(VLOOKUP($D37,'Adient Arendal (Malzia) WK.12'!$B:PS,QW$1,0),0)</f>
        <v>0</v>
      </c>
      <c r="QX37" s="140">
        <f>IFERROR(VLOOKUP($D37,'Adient Taizhou (China) WK.16'!$B:PV,QW$1,0),0)</f>
        <v>0</v>
      </c>
      <c r="QY37" s="128">
        <v>0</v>
      </c>
      <c r="QZ37" s="32">
        <v>0</v>
      </c>
      <c r="RA37" s="100">
        <f t="shared" si="285"/>
        <v>20</v>
      </c>
      <c r="RC37" s="37">
        <f t="shared" si="218"/>
        <v>20</v>
      </c>
      <c r="RD37" s="141">
        <f>IFERROR(VLOOKUP($D37,'Adient Assende (Belgium) WK.17'!$B:PZ,RE$1,0),0)</f>
        <v>0</v>
      </c>
      <c r="RE37" s="140">
        <f>IFERROR(VLOOKUP($D37,'Adient Arendal (Malzia) WK.12'!$B:QA,RE$1,0),0)</f>
        <v>0</v>
      </c>
      <c r="RF37" s="140">
        <f>IFERROR(VLOOKUP($D37,'Adient Taizhou (China) WK.16'!$B:QD,RE$1,0),0)</f>
        <v>0</v>
      </c>
      <c r="RG37" s="128">
        <v>0</v>
      </c>
      <c r="RH37" s="32">
        <v>0</v>
      </c>
      <c r="RI37" s="100">
        <f t="shared" si="286"/>
        <v>20</v>
      </c>
      <c r="RK37" s="37">
        <f t="shared" si="219"/>
        <v>20</v>
      </c>
      <c r="RL37" s="141">
        <f>IFERROR(VLOOKUP($D37,'Adient Assende (Belgium) WK.17'!$B:QH,RM$1,0),0)</f>
        <v>0</v>
      </c>
      <c r="RM37" s="140">
        <f>IFERROR(VLOOKUP($D37,'Adient Arendal (Malzia) WK.12'!$B:QI,RM$1,0),0)</f>
        <v>0</v>
      </c>
      <c r="RN37" s="140">
        <f>IFERROR(VLOOKUP($D37,'Adient Taizhou (China) WK.16'!$B:QL,RM$1,0),0)</f>
        <v>0</v>
      </c>
      <c r="RO37" s="128">
        <v>0</v>
      </c>
      <c r="RP37" s="32">
        <v>0</v>
      </c>
      <c r="RQ37" s="100">
        <f t="shared" si="287"/>
        <v>20</v>
      </c>
      <c r="RS37" s="37">
        <f t="shared" si="220"/>
        <v>20</v>
      </c>
      <c r="RT37" s="141">
        <f>IFERROR(VLOOKUP($D37,'Adient Assende (Belgium) WK.17'!$B:QP,RU$1,0),0)</f>
        <v>0</v>
      </c>
      <c r="RU37" s="140">
        <f>IFERROR(VLOOKUP($D37,'Adient Arendal (Malzia) WK.12'!$B:QQ,RU$1,0),0)</f>
        <v>0</v>
      </c>
      <c r="RV37" s="140">
        <f>IFERROR(VLOOKUP($D37,'Adient Taizhou (China) WK.16'!$B:QT,RU$1,0),0)</f>
        <v>0</v>
      </c>
      <c r="RW37" s="128">
        <v>0</v>
      </c>
      <c r="RX37" s="32">
        <v>0</v>
      </c>
      <c r="RY37" s="100">
        <f t="shared" si="288"/>
        <v>20</v>
      </c>
      <c r="SA37" s="37">
        <f t="shared" si="221"/>
        <v>20</v>
      </c>
      <c r="SB37" s="141">
        <f>IFERROR(VLOOKUP($D37,'Adient Assende (Belgium) WK.17'!$B:QX,SC$1,0),0)</f>
        <v>0</v>
      </c>
      <c r="SC37" s="140">
        <f>IFERROR(VLOOKUP($D37,'Adient Arendal (Malzia) WK.12'!$B:QY,SC$1,0),0)</f>
        <v>0</v>
      </c>
      <c r="SD37" s="140">
        <f>IFERROR(VLOOKUP($D37,'Adient Taizhou (China) WK.16'!$B:RB,SC$1,0),0)</f>
        <v>0</v>
      </c>
      <c r="SE37" s="128">
        <v>0</v>
      </c>
      <c r="SF37" s="32">
        <v>0</v>
      </c>
      <c r="SG37" s="100">
        <f t="shared" si="289"/>
        <v>20</v>
      </c>
      <c r="SI37" s="37">
        <f t="shared" si="222"/>
        <v>20</v>
      </c>
      <c r="SJ37" s="141">
        <f>IFERROR(VLOOKUP($D37,'Adient Assende (Belgium) WK.17'!$B:RF,SK$1,0),0)</f>
        <v>0</v>
      </c>
      <c r="SK37" s="140">
        <f>IFERROR(VLOOKUP($D37,'Adient Arendal (Malzia) WK.12'!$B:RG,SK$1,0),0)</f>
        <v>0</v>
      </c>
      <c r="SL37" s="140">
        <f>IFERROR(VLOOKUP($D37,'Adient Taizhou (China) WK.16'!$B:RJ,SK$1,0),0)</f>
        <v>0</v>
      </c>
      <c r="SM37" s="128">
        <v>0</v>
      </c>
      <c r="SN37" s="32">
        <v>0</v>
      </c>
      <c r="SO37" s="100">
        <f t="shared" si="290"/>
        <v>20</v>
      </c>
      <c r="SQ37" s="37">
        <f t="shared" si="223"/>
        <v>20</v>
      </c>
      <c r="SR37" s="141">
        <f>IFERROR(VLOOKUP($D37,'Adient Assende (Belgium) WK.17'!$B:RN,SS$1,0),0)</f>
        <v>0</v>
      </c>
      <c r="SS37" s="140">
        <f>IFERROR(VLOOKUP($D37,'Adient Arendal (Malzia) WK.12'!$B:RO,SS$1,0),0)</f>
        <v>0</v>
      </c>
      <c r="ST37" s="140">
        <f>IFERROR(VLOOKUP($D37,'Adient Taizhou (China) WK.16'!$B:RR,SS$1,0),0)</f>
        <v>0</v>
      </c>
      <c r="SU37" s="128">
        <v>0</v>
      </c>
      <c r="SV37" s="32">
        <v>0</v>
      </c>
      <c r="SW37" s="100">
        <f t="shared" si="291"/>
        <v>20</v>
      </c>
      <c r="SY37" s="37">
        <f t="shared" si="224"/>
        <v>20</v>
      </c>
      <c r="SZ37" s="141">
        <f>IFERROR(VLOOKUP($D37,'Adient Assende (Belgium) WK.17'!$B:RV,TA$1,0),0)</f>
        <v>0</v>
      </c>
      <c r="TA37" s="140">
        <f>IFERROR(VLOOKUP($D37,'Adient Arendal (Malzia) WK.12'!$B:RW,TA$1,0),0)</f>
        <v>0</v>
      </c>
      <c r="TB37" s="140">
        <f>IFERROR(VLOOKUP($D37,'Adient Taizhou (China) WK.16'!$B:RZ,TA$1,0),0)</f>
        <v>0</v>
      </c>
      <c r="TC37" s="128">
        <v>0</v>
      </c>
      <c r="TD37" s="32">
        <v>0</v>
      </c>
      <c r="TE37" s="100">
        <f t="shared" si="292"/>
        <v>20</v>
      </c>
      <c r="TG37" s="37">
        <f t="shared" si="225"/>
        <v>20</v>
      </c>
      <c r="TH37" s="141">
        <f>IFERROR(VLOOKUP($D37,'Adient Assende (Belgium) WK.17'!$B:SD,TI$1,0),0)</f>
        <v>0</v>
      </c>
      <c r="TI37" s="140">
        <f>IFERROR(VLOOKUP($D37,'Adient Arendal (Malzia) WK.12'!$B:SE,TI$1,0),0)</f>
        <v>0</v>
      </c>
      <c r="TJ37" s="140">
        <f>IFERROR(VLOOKUP($D37,'Adient Taizhou (China) WK.16'!$B:SH,TI$1,0),0)</f>
        <v>0</v>
      </c>
      <c r="TK37" s="128">
        <v>0</v>
      </c>
      <c r="TL37" s="32">
        <v>0</v>
      </c>
      <c r="TM37" s="100">
        <f t="shared" si="293"/>
        <v>20</v>
      </c>
      <c r="TO37" s="37">
        <f t="shared" si="226"/>
        <v>20</v>
      </c>
      <c r="TP37" s="141">
        <f>IFERROR(VLOOKUP($D37,'Adient Assende (Belgium) WK.17'!$B:SL,TQ$1,0),0)</f>
        <v>0</v>
      </c>
      <c r="TQ37" s="140">
        <f>IFERROR(VLOOKUP($D37,'Adient Arendal (Malzia) WK.12'!$B:SM,TQ$1,0),0)</f>
        <v>0</v>
      </c>
      <c r="TR37" s="140">
        <f>IFERROR(VLOOKUP($D37,'Adient Taizhou (China) WK.16'!$B:SP,TQ$1,0),0)</f>
        <v>0</v>
      </c>
      <c r="TS37" s="128">
        <v>0</v>
      </c>
      <c r="TT37" s="32">
        <v>0</v>
      </c>
      <c r="TU37" s="100">
        <f t="shared" si="294"/>
        <v>20</v>
      </c>
      <c r="TW37" s="37">
        <f t="shared" si="227"/>
        <v>20</v>
      </c>
      <c r="TX37" s="141">
        <f>IFERROR(VLOOKUP($D37,'Adient Assende (Belgium) WK.17'!$B:ST,TY$1,0),0)</f>
        <v>0</v>
      </c>
      <c r="TY37" s="140">
        <f>IFERROR(VLOOKUP($D37,'Adient Arendal (Malzia) WK.12'!$B:SU,TY$1,0),0)</f>
        <v>0</v>
      </c>
      <c r="TZ37" s="140">
        <f>IFERROR(VLOOKUP($D37,'Adient Taizhou (China) WK.16'!$B:SX,TY$1,0),0)</f>
        <v>0</v>
      </c>
      <c r="UA37" s="128">
        <v>0</v>
      </c>
      <c r="UB37" s="32">
        <v>0</v>
      </c>
      <c r="UC37" s="100">
        <f t="shared" si="295"/>
        <v>20</v>
      </c>
      <c r="UE37" s="37">
        <f t="shared" si="228"/>
        <v>20</v>
      </c>
      <c r="UF37" s="141">
        <f>IFERROR(VLOOKUP($D37,'Adient Assende (Belgium) WK.17'!$B:TB,UG$1,0),0)</f>
        <v>0</v>
      </c>
      <c r="UG37" s="140">
        <f>IFERROR(VLOOKUP($D37,'Adient Arendal (Malzia) WK.12'!$B:TC,UG$1,0),0)</f>
        <v>0</v>
      </c>
      <c r="UH37" s="140">
        <f>IFERROR(VLOOKUP($D37,'Adient Taizhou (China) WK.16'!$B:TF,UG$1,0),0)</f>
        <v>0</v>
      </c>
      <c r="UI37" s="128">
        <v>0</v>
      </c>
      <c r="UJ37" s="32">
        <v>0</v>
      </c>
      <c r="UK37" s="100">
        <f t="shared" si="296"/>
        <v>20</v>
      </c>
      <c r="UM37" s="37">
        <f t="shared" si="229"/>
        <v>20</v>
      </c>
      <c r="UN37" s="141">
        <f>IFERROR(VLOOKUP($D37,'Adient Assende (Belgium) WK.17'!$B:TJ,UO$1,0),0)</f>
        <v>0</v>
      </c>
      <c r="UO37" s="140">
        <f>IFERROR(VLOOKUP($D37,'Adient Arendal (Malzia) WK.12'!$B:TK,UO$1,0),0)</f>
        <v>0</v>
      </c>
      <c r="UP37" s="140">
        <f>IFERROR(VLOOKUP($D37,'Adient Taizhou (China) WK.16'!$B:TN,UO$1,0),0)</f>
        <v>0</v>
      </c>
      <c r="UQ37" s="128">
        <v>0</v>
      </c>
      <c r="UR37" s="32">
        <v>0</v>
      </c>
      <c r="US37" s="100">
        <f t="shared" si="297"/>
        <v>20</v>
      </c>
      <c r="UU37" s="37">
        <f t="shared" si="230"/>
        <v>20</v>
      </c>
      <c r="UV37" s="141">
        <f>IFERROR(VLOOKUP($D37,'Adient Assende (Belgium) WK.17'!$B:TR,UW$1,0),0)</f>
        <v>40</v>
      </c>
      <c r="UW37" s="140">
        <f>IFERROR(VLOOKUP($D37,'Adient Arendal (Malzia) WK.12'!$B:TS,UW$1,0),0)</f>
        <v>0</v>
      </c>
      <c r="UX37" s="140">
        <f>IFERROR(VLOOKUP($D37,'Adient Taizhou (China) WK.16'!$B:TV,UW$1,0),0)</f>
        <v>0</v>
      </c>
      <c r="UY37" s="128">
        <v>0</v>
      </c>
      <c r="UZ37" s="32">
        <v>0</v>
      </c>
      <c r="VA37" s="100">
        <f t="shared" si="298"/>
        <v>-20</v>
      </c>
      <c r="VC37" s="37">
        <f t="shared" si="231"/>
        <v>-20</v>
      </c>
      <c r="VD37" s="141">
        <f>IFERROR(VLOOKUP($D37,'Adient Assende (Belgium) WK.17'!$B:TZ,VE$1,0),0)</f>
        <v>40</v>
      </c>
      <c r="VE37" s="140">
        <f>IFERROR(VLOOKUP($D37,'Adient Arendal (Malzia) WK.12'!$B:UA,VE$1,0),0)</f>
        <v>0</v>
      </c>
      <c r="VF37" s="140">
        <f>IFERROR(VLOOKUP($D37,'Adient Taizhou (China) WK.16'!$B:UD,VE$1,0),0)</f>
        <v>0</v>
      </c>
      <c r="VG37" s="128">
        <v>0</v>
      </c>
      <c r="VH37" s="32">
        <v>0</v>
      </c>
      <c r="VI37" s="100">
        <f t="shared" si="299"/>
        <v>-60</v>
      </c>
      <c r="VK37" s="37">
        <f t="shared" si="232"/>
        <v>-60</v>
      </c>
      <c r="VL37" s="141">
        <f>IFERROR(VLOOKUP($D37,'Adient Assende (Belgium) WK.17'!$B:UH,VM$1,0),0)</f>
        <v>0</v>
      </c>
      <c r="VM37" s="140">
        <f>IFERROR(VLOOKUP($D37,'Adient Arendal (Malzia) WK.12'!$B:UI,VM$1,0),0)</f>
        <v>0</v>
      </c>
      <c r="VN37" s="140">
        <f>IFERROR(VLOOKUP($D37,'Adient Taizhou (China) WK.16'!$B:UL,VM$1,0),0)</f>
        <v>0</v>
      </c>
      <c r="VO37" s="128">
        <v>0</v>
      </c>
      <c r="VP37" s="32">
        <v>0</v>
      </c>
      <c r="VQ37" s="100">
        <f t="shared" si="300"/>
        <v>-60</v>
      </c>
    </row>
    <row r="38" spans="1:589" ht="15.75" thickBot="1" x14ac:dyDescent="0.3">
      <c r="A38" s="10" t="s">
        <v>18</v>
      </c>
      <c r="B38" s="50" t="s">
        <v>19</v>
      </c>
      <c r="C38" s="89">
        <v>32272861</v>
      </c>
      <c r="D38" s="83">
        <v>5080263</v>
      </c>
      <c r="E38" s="11">
        <v>20</v>
      </c>
      <c r="F38" s="12"/>
      <c r="H38" s="122">
        <v>200</v>
      </c>
      <c r="I38" s="125">
        <f>IFERROR(VLOOKUP($D38,'Adient Assende (Belgium) WK.17'!$B:C,J$1,0),0)</f>
        <v>0</v>
      </c>
      <c r="J38" s="55">
        <f>IFERROR(VLOOKUP($D38,'Adient Arendal (Malzia) WK.12'!$B:C,J$1,0),0)</f>
        <v>0</v>
      </c>
      <c r="K38" s="55">
        <f>IFERROR(VLOOKUP($D38,'Adient Taizhou (China) WK.16'!$B:C,J$1,0),0)</f>
        <v>0</v>
      </c>
      <c r="L38" s="128">
        <v>0</v>
      </c>
      <c r="M38" s="31">
        <v>0</v>
      </c>
      <c r="N38" s="110">
        <f t="shared" si="233"/>
        <v>200</v>
      </c>
      <c r="P38" s="37">
        <f t="shared" si="234"/>
        <v>200</v>
      </c>
      <c r="Q38" s="125">
        <f>IFERROR(VLOOKUP($D38,'Adient Assende (Belgium) WK.17'!$B:K,R$1,0),0)</f>
        <v>0</v>
      </c>
      <c r="R38" s="55">
        <f>IFERROR(VLOOKUP($D38,'Adient Arendal (Malzia) WK.12'!$B:K,R$1,0),0)</f>
        <v>40</v>
      </c>
      <c r="S38" s="55">
        <f>IFERROR(VLOOKUP($D38,'Adient Taizhou (China) WK.16'!$B:K,R$1,0),0)</f>
        <v>0</v>
      </c>
      <c r="T38" s="41">
        <v>80</v>
      </c>
      <c r="U38" s="31">
        <v>0</v>
      </c>
      <c r="V38" s="110">
        <f t="shared" si="235"/>
        <v>80</v>
      </c>
      <c r="X38" s="37">
        <f t="shared" si="236"/>
        <v>80</v>
      </c>
      <c r="Y38" s="125">
        <f>IFERROR(VLOOKUP($D38,'Adient Assende (Belgium) WK.17'!$B:S,Z$1,0),0)</f>
        <v>80</v>
      </c>
      <c r="Z38" s="55">
        <f>IFERROR(VLOOKUP($D38,'Adient Arendal (Malzia) WK.12'!$B:S,Z$1,0),0)</f>
        <v>0</v>
      </c>
      <c r="AA38" s="55">
        <f>IFERROR(VLOOKUP($D38,'Adient Taizhou (China) WK.16'!$B:S,Z$1,0),0)</f>
        <v>0</v>
      </c>
      <c r="AB38" s="41">
        <v>0</v>
      </c>
      <c r="AC38" s="31">
        <v>0</v>
      </c>
      <c r="AD38" s="110">
        <f t="shared" si="237"/>
        <v>80</v>
      </c>
      <c r="AF38" s="37">
        <f t="shared" si="238"/>
        <v>80</v>
      </c>
      <c r="AG38" s="125">
        <f>IFERROR(VLOOKUP($D38,'Adient Assende (Belgium) WK.17'!$B:AA,AH$1,0),0)</f>
        <v>0</v>
      </c>
      <c r="AH38" s="55">
        <f>IFERROR(VLOOKUP($D38,'Adient Arendal (Malzia) WK.12'!$B:AA,AH$1,0),0)</f>
        <v>0</v>
      </c>
      <c r="AI38" s="55">
        <f>IFERROR(VLOOKUP($D38,'Adient Taizhou (China) WK.16'!$B:AA,AH$1,0),0)</f>
        <v>0</v>
      </c>
      <c r="AJ38" s="41">
        <v>0</v>
      </c>
      <c r="AK38" s="31">
        <v>0</v>
      </c>
      <c r="AL38" s="110">
        <f t="shared" si="239"/>
        <v>80</v>
      </c>
      <c r="AN38" s="37">
        <f t="shared" si="164"/>
        <v>80</v>
      </c>
      <c r="AO38" s="125">
        <f>IFERROR(VLOOKUP($D38,'Adient Assende (Belgium) WK.17'!$B:AI,AP$1,0),0)</f>
        <v>0</v>
      </c>
      <c r="AP38" s="55">
        <f>IFERROR(VLOOKUP($D38,'Adient Arendal (Malzia) WK.12'!$B:AI,AP$1,0),0)</f>
        <v>0</v>
      </c>
      <c r="AQ38" s="55">
        <f>IFERROR(VLOOKUP($D38,'Adient Taizhou (China) WK.16'!$B:AI,AP$1,0),0)</f>
        <v>0</v>
      </c>
      <c r="AR38" s="60">
        <v>0</v>
      </c>
      <c r="AS38" s="41">
        <v>0</v>
      </c>
      <c r="AT38" s="31">
        <v>0</v>
      </c>
      <c r="AU38" s="110">
        <f t="shared" si="240"/>
        <v>80</v>
      </c>
      <c r="AW38" s="37">
        <f t="shared" si="165"/>
        <v>80</v>
      </c>
      <c r="AX38" s="125">
        <f>IFERROR(VLOOKUP($D38,'Adient Assende (Belgium) WK.17'!$B:AR,AY$1,0),0)</f>
        <v>0</v>
      </c>
      <c r="AY38" s="55">
        <f>IFERROR(VLOOKUP($D38,'Adient Arendal (Malzia) WK.12'!$B:AR,AY$1,0),0)</f>
        <v>0</v>
      </c>
      <c r="AZ38" s="55">
        <f>IFERROR(VLOOKUP($D38,'Adient Taizhou (China) WK.16'!$B:AU,AY$1,0),0)</f>
        <v>0</v>
      </c>
      <c r="BA38" s="41">
        <v>0</v>
      </c>
      <c r="BB38" s="31">
        <v>0</v>
      </c>
      <c r="BC38" s="110">
        <f t="shared" si="241"/>
        <v>80</v>
      </c>
      <c r="BE38" s="37">
        <f t="shared" si="166"/>
        <v>80</v>
      </c>
      <c r="BF38" s="125">
        <f>IFERROR(VLOOKUP($D38,'Adient Assende (Belgium) WK.17'!$B:AX,BG$1,0),0)</f>
        <v>0</v>
      </c>
      <c r="BG38" s="55">
        <f>IFERROR(VLOOKUP($D38,'Adient Arendal (Malzia) WK.12'!$B:AZ,BG$1,0),0)</f>
        <v>20</v>
      </c>
      <c r="BH38" s="55">
        <f>IFERROR(VLOOKUP($D38,'Adient Taizhou (China) WK.16'!$B:BB,BG$1,0),0)</f>
        <v>0</v>
      </c>
      <c r="BI38" s="60">
        <v>0</v>
      </c>
      <c r="BJ38" s="60">
        <v>0</v>
      </c>
      <c r="BK38" s="41">
        <v>0</v>
      </c>
      <c r="BL38" s="31">
        <v>0</v>
      </c>
      <c r="BM38" s="110">
        <f t="shared" si="242"/>
        <v>60</v>
      </c>
      <c r="BN38" s="8"/>
      <c r="BO38" s="37">
        <f t="shared" si="167"/>
        <v>60</v>
      </c>
      <c r="BP38" s="125">
        <f>IFERROR(VLOOKUP($D38,'Adient Assende (Belgium) WK.17'!$B:BH,BQ$1,0),0)</f>
        <v>0</v>
      </c>
      <c r="BQ38" s="55">
        <f>IFERROR(VLOOKUP($D38,'Adient Arendal (Malzia) WK.12'!$B:BI,BQ$1,0),0)</f>
        <v>0</v>
      </c>
      <c r="BR38" s="55">
        <f>IFERROR(VLOOKUP($D38,'Adient Taizhou (China) WK.16'!$B:BL,BQ$1,0),0)</f>
        <v>40</v>
      </c>
      <c r="BS38" s="60">
        <v>0</v>
      </c>
      <c r="BT38" s="60">
        <v>0</v>
      </c>
      <c r="BU38" s="60">
        <v>0</v>
      </c>
      <c r="BV38" s="41">
        <v>0</v>
      </c>
      <c r="BW38" s="31">
        <v>0</v>
      </c>
      <c r="BX38" s="110">
        <f t="shared" si="243"/>
        <v>20</v>
      </c>
      <c r="BY38" s="8"/>
      <c r="BZ38" s="37">
        <f t="shared" si="168"/>
        <v>20</v>
      </c>
      <c r="CA38" s="125">
        <f>IFERROR(VLOOKUP($D38,'Adient Assende (Belgium) WK.17'!$B:BS,CB$1,0),0)</f>
        <v>0</v>
      </c>
      <c r="CB38" s="55">
        <f>IFERROR(VLOOKUP($D38,'Adient Arendal (Malzia) WK.12'!$B:BT,CB$1,0),0)</f>
        <v>40</v>
      </c>
      <c r="CC38" s="55">
        <f>IFERROR(VLOOKUP($D38,'Adient Taizhou (China) WK.16'!$B:BW,CB$1,0),0)</f>
        <v>20</v>
      </c>
      <c r="CD38" s="60">
        <v>100</v>
      </c>
      <c r="CE38" s="60">
        <v>0</v>
      </c>
      <c r="CF38" s="41">
        <v>0</v>
      </c>
      <c r="CG38" s="31">
        <v>0</v>
      </c>
      <c r="CH38" s="110">
        <f t="shared" si="244"/>
        <v>60</v>
      </c>
      <c r="CI38" s="8"/>
      <c r="CJ38" s="37">
        <f t="shared" si="169"/>
        <v>60</v>
      </c>
      <c r="CK38" s="125">
        <f>IFERROR(VLOOKUP($D38,'Adient Assende (Belgium) WK.17'!$B:CC,CL$1,0),0)</f>
        <v>0</v>
      </c>
      <c r="CL38" s="55">
        <f>IFERROR(VLOOKUP($D38,'Adient Arendal (Malzia) WK.12'!$B:CD,CL$1,0),0)</f>
        <v>0</v>
      </c>
      <c r="CM38" s="55">
        <f>IFERROR(VLOOKUP($D38,'Adient Taizhou (China) WK.16'!$B:CG,CL$1,0),0)</f>
        <v>0</v>
      </c>
      <c r="CN38" s="60">
        <v>0</v>
      </c>
      <c r="CO38" s="149">
        <v>0</v>
      </c>
      <c r="CP38" s="31">
        <v>0</v>
      </c>
      <c r="CQ38" s="110">
        <f t="shared" si="245"/>
        <v>60</v>
      </c>
      <c r="CR38" s="8"/>
      <c r="CS38" s="122">
        <f t="shared" si="170"/>
        <v>60</v>
      </c>
      <c r="CT38" s="154">
        <f>IFERROR(VLOOKUP($D38,'Adient Assende (Belgium) WK.17'!$B:CL,CU$1,0),0)</f>
        <v>0</v>
      </c>
      <c r="CU38" s="55">
        <f>IFERROR(VLOOKUP($D38,'Adient Arendal (Malzia) WK.12'!$B:CM,CU$1,0),0)</f>
        <v>0</v>
      </c>
      <c r="CV38" s="55">
        <f>IFERROR(VLOOKUP($D38,'Adient Taizhou (China) WK.16'!$B:CP,CU$1,0),0)</f>
        <v>0</v>
      </c>
      <c r="CW38" s="60">
        <v>0</v>
      </c>
      <c r="CX38" s="60">
        <v>100</v>
      </c>
      <c r="CY38" s="128">
        <v>0</v>
      </c>
      <c r="CZ38" s="31">
        <v>0</v>
      </c>
      <c r="DA38" s="110">
        <f t="shared" si="246"/>
        <v>160</v>
      </c>
      <c r="DB38" s="8"/>
      <c r="DC38" s="37">
        <f t="shared" si="171"/>
        <v>160</v>
      </c>
      <c r="DD38" s="125">
        <f>IFERROR(VLOOKUP($D38,'Adient Assende (Belgium) WK.17'!$B:CS,DE$1,0),0)</f>
        <v>0</v>
      </c>
      <c r="DE38" s="55">
        <f>IFERROR(VLOOKUP($D38,'Adient Arendal (Malzia) WK.12'!$B:CU,DE$1,0),0)</f>
        <v>0</v>
      </c>
      <c r="DF38" s="55">
        <f>IFERROR(VLOOKUP($D38,'Adient Taizhou (China) WK.16'!$B:CX,DE$1,0),0)</f>
        <v>0</v>
      </c>
      <c r="DG38" s="60">
        <v>0</v>
      </c>
      <c r="DH38" s="128">
        <v>0</v>
      </c>
      <c r="DI38" s="31">
        <v>0</v>
      </c>
      <c r="DJ38" s="110">
        <f t="shared" si="247"/>
        <v>160</v>
      </c>
      <c r="DL38" s="37">
        <f t="shared" si="172"/>
        <v>160</v>
      </c>
      <c r="DM38" s="125">
        <f>IFERROR(VLOOKUP($D38,'Adient Assende (Belgium) WK.17'!$B:DB,DN$1,0),0)</f>
        <v>0</v>
      </c>
      <c r="DN38" s="55">
        <f>IFERROR(VLOOKUP($D38,'Adient Arendal (Malzia) WK.12'!$B:DC,DN$1,0),0)</f>
        <v>0</v>
      </c>
      <c r="DO38" s="55">
        <f>IFERROR(VLOOKUP($D38,'Adient Taizhou (China) WK.16'!$B:DF,DN$1,0),0)</f>
        <v>40</v>
      </c>
      <c r="DP38" s="128">
        <v>0</v>
      </c>
      <c r="DQ38" s="31">
        <v>0</v>
      </c>
      <c r="DR38" s="110">
        <f t="shared" si="173"/>
        <v>120</v>
      </c>
      <c r="DS38" s="8"/>
      <c r="DT38" s="37">
        <f t="shared" si="174"/>
        <v>120</v>
      </c>
      <c r="DU38" s="125">
        <f>IFERROR(VLOOKUP($D38,'Adient Assende (Belgium) WK.17'!$B:DJ,DV$1,0),0)</f>
        <v>0</v>
      </c>
      <c r="DV38" s="55">
        <f>IFERROR(VLOOKUP($D38,'Adient Arendal (Malzia) WK.12'!$B:DK,DV$1,0),0)</f>
        <v>0</v>
      </c>
      <c r="DW38" s="55">
        <f>IFERROR(VLOOKUP($D38,'Adient Taizhou (China) WK.16'!$B:DN,DV$1,0),0)</f>
        <v>20</v>
      </c>
      <c r="DX38" s="60">
        <v>100</v>
      </c>
      <c r="DY38" s="60">
        <v>0</v>
      </c>
      <c r="DZ38" s="128">
        <v>0</v>
      </c>
      <c r="EA38" s="31">
        <v>0</v>
      </c>
      <c r="EB38" s="110">
        <f t="shared" si="248"/>
        <v>200</v>
      </c>
      <c r="EC38" s="8"/>
      <c r="ED38" s="37">
        <f t="shared" si="175"/>
        <v>200</v>
      </c>
      <c r="EE38" s="125">
        <f>IFERROR(VLOOKUP($D38,'Adient Assende (Belgium) WK.17'!$B:DR,EF$1,0),0)</f>
        <v>0</v>
      </c>
      <c r="EF38" s="55">
        <f>IFERROR(VLOOKUP($D38,'Adient Arendal (Malzia) WK.12'!$B:DS,EF$1,0),0)</f>
        <v>0</v>
      </c>
      <c r="EG38" s="55">
        <f>IFERROR(VLOOKUP($D38,'Adient Taizhou (China) WK.16'!$B:DV,EF$1,0),0)</f>
        <v>20</v>
      </c>
      <c r="EH38" s="60">
        <v>100</v>
      </c>
      <c r="EI38" s="128">
        <v>0</v>
      </c>
      <c r="EJ38" s="31">
        <v>0</v>
      </c>
      <c r="EK38" s="110">
        <f t="shared" si="249"/>
        <v>280</v>
      </c>
      <c r="EM38" s="37">
        <f t="shared" si="176"/>
        <v>280</v>
      </c>
      <c r="EN38" s="125">
        <f>IFERROR(VLOOKUP($D38,'Adient Assende (Belgium) WK.17'!$B:DZ,EO$1,0),0)</f>
        <v>0</v>
      </c>
      <c r="EO38" s="55">
        <f>IFERROR(VLOOKUP($D38,'Adient Arendal (Malzia) WK.12'!$B:EA,EO$1,0),0)</f>
        <v>0</v>
      </c>
      <c r="EP38" s="55">
        <f>IFERROR(VLOOKUP($D38,'Adient Taizhou (China) WK.16'!$B:ED,EO$1,0),0)</f>
        <v>40</v>
      </c>
      <c r="EQ38" s="128">
        <v>0</v>
      </c>
      <c r="ER38" s="31">
        <v>0</v>
      </c>
      <c r="ES38" s="110">
        <f t="shared" si="250"/>
        <v>240</v>
      </c>
      <c r="EU38" s="37">
        <f t="shared" si="177"/>
        <v>240</v>
      </c>
      <c r="EV38" s="125">
        <f>IFERROR(VLOOKUP($D38,'Adient Assende (Belgium) WK.17'!$B:EH,EW$1,0),0)</f>
        <v>0</v>
      </c>
      <c r="EW38" s="55">
        <f>IFERROR(VLOOKUP($D38,'Adient Arendal (Malzia) WK.12'!$B:EI,EW$1,0),0)</f>
        <v>0</v>
      </c>
      <c r="EX38" s="55">
        <f>IFERROR(VLOOKUP($D38,'Adient Taizhou (China) WK.16'!$B:EL,EW$1,0),0)</f>
        <v>0</v>
      </c>
      <c r="EY38" s="128">
        <v>0</v>
      </c>
      <c r="EZ38" s="31">
        <v>0</v>
      </c>
      <c r="FA38" s="110">
        <f t="shared" si="251"/>
        <v>240</v>
      </c>
      <c r="FC38" s="37">
        <f t="shared" si="178"/>
        <v>240</v>
      </c>
      <c r="FD38" s="154">
        <f>IFERROR(VLOOKUP($D38,'Adient Assende (Belgium) WK.17'!$B:EP,FE$1,0),0)</f>
        <v>0</v>
      </c>
      <c r="FE38" s="154">
        <f>IFERROR(VLOOKUP($D38,'Adient Arendal (Malzia) WK.12'!$B:EQ,FE$1,0),0)</f>
        <v>0</v>
      </c>
      <c r="FF38" s="154">
        <f>IFERROR(VLOOKUP($D38,'Adient Taizhou (China) WK.16'!$B:ET,FE$1,0),0)</f>
        <v>0</v>
      </c>
      <c r="FG38" s="128">
        <v>0</v>
      </c>
      <c r="FH38" s="31">
        <v>0</v>
      </c>
      <c r="FI38" s="110">
        <f t="shared" si="252"/>
        <v>240</v>
      </c>
      <c r="FK38" s="37">
        <f t="shared" si="179"/>
        <v>240</v>
      </c>
      <c r="FL38" s="125">
        <f>IFERROR(VLOOKUP($D38,'Adient Assende (Belgium) WK.17'!$B:EX,FM$1,0),0)</f>
        <v>0</v>
      </c>
      <c r="FM38" s="55">
        <f>IFERROR(VLOOKUP($D38,'Adient Arendal (Malzia) WK.12'!$B:EY,FM$1,0),0)</f>
        <v>0</v>
      </c>
      <c r="FN38" s="55">
        <f>IFERROR(VLOOKUP($D38,'Adient Taizhou (China) WK.16'!$B:FB,FM$1,0),0)</f>
        <v>0</v>
      </c>
      <c r="FO38" s="128">
        <v>0</v>
      </c>
      <c r="FP38" s="31">
        <v>0</v>
      </c>
      <c r="FQ38" s="110">
        <f t="shared" si="253"/>
        <v>240</v>
      </c>
      <c r="FR38" s="8"/>
      <c r="FS38" s="37">
        <f t="shared" si="180"/>
        <v>240</v>
      </c>
      <c r="FT38" s="125">
        <f>IFERROR(VLOOKUP($D38,'Adient Assende (Belgium) WK.17'!$B:FF,FU$1,0),0)</f>
        <v>0</v>
      </c>
      <c r="FU38" s="55">
        <f>IFERROR(VLOOKUP($D38,'Adient Arendal (Malzia) WK.12'!$B:FG,FU$1,0),0)</f>
        <v>40</v>
      </c>
      <c r="FV38" s="55">
        <f>IFERROR(VLOOKUP($D38,'Adient Taizhou (China) WK.16'!$B:FJ,FU$1,0),0)</f>
        <v>20</v>
      </c>
      <c r="FW38" s="60">
        <v>0</v>
      </c>
      <c r="FX38" s="60">
        <v>0</v>
      </c>
      <c r="FY38" s="60">
        <v>200</v>
      </c>
      <c r="FZ38" s="60">
        <v>0</v>
      </c>
      <c r="GA38" s="60">
        <v>0</v>
      </c>
      <c r="GB38" s="128">
        <v>0</v>
      </c>
      <c r="GC38" s="31">
        <v>0</v>
      </c>
      <c r="GD38" s="110">
        <f t="shared" si="254"/>
        <v>380</v>
      </c>
      <c r="GF38" s="37">
        <f t="shared" si="181"/>
        <v>380</v>
      </c>
      <c r="GG38" s="125">
        <f>IFERROR(VLOOKUP($D38,'Adient Assende (Belgium) WK.17'!$B:FN,GH$1,0),0)</f>
        <v>0</v>
      </c>
      <c r="GH38" s="55">
        <f>IFERROR(VLOOKUP($D38,'Adient Arendal (Malzia) WK.12'!$B:FO,GH$1,0),0)</f>
        <v>0</v>
      </c>
      <c r="GI38" s="55">
        <f>IFERROR(VLOOKUP($D38,'Adient Taizhou (China) WK.16'!$B:FR,GH$1,0),0)</f>
        <v>0</v>
      </c>
      <c r="GJ38" s="60">
        <v>0</v>
      </c>
      <c r="GK38" s="128">
        <v>0</v>
      </c>
      <c r="GL38" s="31">
        <v>0</v>
      </c>
      <c r="GM38" s="110">
        <f t="shared" si="255"/>
        <v>380</v>
      </c>
      <c r="GO38" s="37">
        <f t="shared" si="182"/>
        <v>380</v>
      </c>
      <c r="GP38" s="125">
        <f>IFERROR(VLOOKUP($D38,'Adient Assende (Belgium) WK.17'!$B:FV,GQ$1,0),0)</f>
        <v>0</v>
      </c>
      <c r="GQ38" s="55">
        <f>IFERROR(VLOOKUP($D38,'Adient Arendal (Malzia) WK.12'!$B:FW,GQ$1,0),0)</f>
        <v>20</v>
      </c>
      <c r="GR38" s="55">
        <f>IFERROR(VLOOKUP($D38,'Adient Taizhou (China) WK.16'!$B:FZ,GQ$1,0),0)</f>
        <v>0</v>
      </c>
      <c r="GS38" s="60">
        <v>0</v>
      </c>
      <c r="GT38" s="128">
        <v>0</v>
      </c>
      <c r="GU38" s="31">
        <v>0</v>
      </c>
      <c r="GV38" s="110">
        <f t="shared" si="256"/>
        <v>360</v>
      </c>
      <c r="GW38" s="8"/>
      <c r="GX38" s="37">
        <f t="shared" si="183"/>
        <v>360</v>
      </c>
      <c r="GY38" s="125">
        <f>IFERROR(VLOOKUP($D38,'Adient Assende (Belgium) WK.17'!$B:GD,GZ$1,0),0)</f>
        <v>0</v>
      </c>
      <c r="GZ38" s="55">
        <f>IFERROR(VLOOKUP($D38,'Adient Arendal (Malzia) WK.12'!$B:GE,GZ$1,0),0)</f>
        <v>20</v>
      </c>
      <c r="HA38" s="55">
        <f>IFERROR(VLOOKUP($D38,'Adient Taizhou (China) WK.16'!$B:GH,GZ$1,0),0)</f>
        <v>0</v>
      </c>
      <c r="HB38" s="60">
        <v>0</v>
      </c>
      <c r="HC38" s="128">
        <v>0</v>
      </c>
      <c r="HD38" s="31">
        <v>0</v>
      </c>
      <c r="HE38" s="110">
        <f t="shared" si="257"/>
        <v>340</v>
      </c>
      <c r="HF38" s="8"/>
      <c r="HG38" s="37">
        <f t="shared" si="184"/>
        <v>340</v>
      </c>
      <c r="HH38" s="125">
        <f>IFERROR(VLOOKUP($D38,'Adient Assende (Belgium) WK.17'!$B:GL,HI$1,0),0)</f>
        <v>0</v>
      </c>
      <c r="HI38" s="55">
        <f>IFERROR(VLOOKUP($D38,'Adient Arendal (Malzia) WK.12'!$B:GM,HI$1,0),0)</f>
        <v>0</v>
      </c>
      <c r="HJ38" s="55">
        <f>IFERROR(VLOOKUP($D38,'Adient Taizhou (China) WK.16'!$B:GP,HI$1,0),0)</f>
        <v>0</v>
      </c>
      <c r="HK38" s="60">
        <v>0</v>
      </c>
      <c r="HL38" s="128">
        <v>0</v>
      </c>
      <c r="HM38" s="31">
        <v>0</v>
      </c>
      <c r="HN38" s="110">
        <f t="shared" si="258"/>
        <v>340</v>
      </c>
      <c r="HO38" s="8"/>
      <c r="HP38" s="37">
        <f t="shared" si="185"/>
        <v>340</v>
      </c>
      <c r="HQ38" s="125">
        <f>IFERROR(VLOOKUP($D38,'Adient Assende (Belgium) WK.17'!$B:GT,HR$1,0),0)</f>
        <v>0</v>
      </c>
      <c r="HR38" s="55">
        <f>IFERROR(VLOOKUP($D38,'Adient Arendal (Malzia) WK.12'!$B:GU,HR$1,0),0)</f>
        <v>0</v>
      </c>
      <c r="HS38" s="55">
        <f>IFERROR(VLOOKUP($D38,'Adient Taizhou (China) WK.16'!$B:GX,HR$1,0),0)</f>
        <v>0</v>
      </c>
      <c r="HT38" s="60">
        <v>0</v>
      </c>
      <c r="HU38" s="128">
        <v>0</v>
      </c>
      <c r="HV38" s="31">
        <v>0</v>
      </c>
      <c r="HW38" s="110">
        <f t="shared" si="259"/>
        <v>340</v>
      </c>
      <c r="HX38" s="8"/>
      <c r="HY38" s="37">
        <f t="shared" si="186"/>
        <v>340</v>
      </c>
      <c r="HZ38" s="125">
        <f>IFERROR(VLOOKUP($D38,'Adient Assende (Belgium) WK.17'!$B:HB,IA$1,0),0)</f>
        <v>0</v>
      </c>
      <c r="IA38" s="55">
        <f>IFERROR(VLOOKUP($D38,'Adient Arendal (Malzia) WK.12'!$B:HC,IA$1,0),0)</f>
        <v>0</v>
      </c>
      <c r="IB38" s="55">
        <f>IFERROR(VLOOKUP($D38,'Adient Taizhou (China) WK.16'!$B:HF,IA$1,0),0)</f>
        <v>0</v>
      </c>
      <c r="IC38" s="60">
        <v>200</v>
      </c>
      <c r="ID38" s="128">
        <v>0</v>
      </c>
      <c r="IE38" s="31">
        <v>0</v>
      </c>
      <c r="IF38" s="110">
        <f t="shared" si="260"/>
        <v>540</v>
      </c>
      <c r="IG38" s="8"/>
      <c r="IH38" s="37">
        <f t="shared" si="187"/>
        <v>540</v>
      </c>
      <c r="II38" s="125">
        <f>IFERROR(VLOOKUP($D38,'Adient Assende (Belgium) WK.17'!$B:HJ,IJ$1,0),0)</f>
        <v>0</v>
      </c>
      <c r="IJ38" s="55">
        <f>IFERROR(VLOOKUP($D38,'Adient Arendal (Malzia) WK.12'!$B:HK,IJ$1,0),0)</f>
        <v>0</v>
      </c>
      <c r="IK38" s="55">
        <f>IFERROR(VLOOKUP($D38,'Adient Taizhou (China) WK.16'!$B:HN,IJ$1,0),0)</f>
        <v>0</v>
      </c>
      <c r="IL38" s="128">
        <v>0</v>
      </c>
      <c r="IM38" s="31">
        <v>0</v>
      </c>
      <c r="IN38" s="110">
        <f t="shared" si="188"/>
        <v>540</v>
      </c>
      <c r="IO38" s="8"/>
      <c r="IP38" s="37">
        <f t="shared" si="189"/>
        <v>540</v>
      </c>
      <c r="IQ38" s="125">
        <f>IFERROR(VLOOKUP($D38,'Adient Assende (Belgium) WK.17'!$B:HR,IR$1,0),0)</f>
        <v>0</v>
      </c>
      <c r="IR38" s="55">
        <f>IFERROR(VLOOKUP($D38,'Adient Arendal (Malzia) WK.12'!$B:HS,IR$1,0),0)</f>
        <v>0</v>
      </c>
      <c r="IS38" s="55">
        <f>IFERROR(VLOOKUP($D38,'Adient Taizhou (China) WK.16'!$B:HV,IR$1,0),0)</f>
        <v>0</v>
      </c>
      <c r="IT38" s="60">
        <v>0</v>
      </c>
      <c r="IU38" s="128">
        <v>0</v>
      </c>
      <c r="IV38" s="31">
        <v>0</v>
      </c>
      <c r="IW38" s="110">
        <f t="shared" si="261"/>
        <v>540</v>
      </c>
      <c r="IX38" s="8"/>
      <c r="IY38" s="37">
        <f t="shared" si="190"/>
        <v>540</v>
      </c>
      <c r="IZ38" s="125">
        <f>IFERROR(VLOOKUP($D38,'Adient Assende (Belgium) WK.17'!$B:HZ,JA$1,0),0)</f>
        <v>0</v>
      </c>
      <c r="JA38" s="55">
        <f>IFERROR(VLOOKUP($D38,'Adient Arendal (Malzia) WK.12'!$B:IA,JA$1,0),0)</f>
        <v>0</v>
      </c>
      <c r="JB38" s="55">
        <f>IFERROR(VLOOKUP($D38,'Adient Taizhou (China) WK.16'!$B:ID,JA$1,0),0)</f>
        <v>0</v>
      </c>
      <c r="JC38" s="128">
        <v>0</v>
      </c>
      <c r="JD38" s="31">
        <v>0</v>
      </c>
      <c r="JE38" s="110">
        <f t="shared" si="191"/>
        <v>540</v>
      </c>
      <c r="JF38" s="8"/>
      <c r="JG38" s="37">
        <f t="shared" si="192"/>
        <v>540</v>
      </c>
      <c r="JH38" s="125">
        <f>IFERROR(VLOOKUP($D38,'Adient Assende (Belgium) WK.17'!$B:IH,JI$1,0),0)</f>
        <v>0</v>
      </c>
      <c r="JI38" s="55">
        <f>IFERROR(VLOOKUP($D38,'Adient Arendal (Malzia) WK.12'!$B:II,JI$1,0),0)</f>
        <v>0</v>
      </c>
      <c r="JJ38" s="55">
        <f>IFERROR(VLOOKUP($D38,'Adient Taizhou (China) WK.16'!$B:IL,JI$1,0),0)</f>
        <v>20</v>
      </c>
      <c r="JK38" s="60">
        <v>0</v>
      </c>
      <c r="JL38" s="128">
        <v>0</v>
      </c>
      <c r="JM38" s="31">
        <v>0</v>
      </c>
      <c r="JN38" s="110">
        <f t="shared" si="262"/>
        <v>520</v>
      </c>
      <c r="JO38" s="8"/>
      <c r="JP38" s="37">
        <f t="shared" si="193"/>
        <v>520</v>
      </c>
      <c r="JQ38" s="125">
        <f>IFERROR(VLOOKUP($D38,'Adient Assende (Belgium) WK.17'!$B:IP,JR$1,0),0)</f>
        <v>0</v>
      </c>
      <c r="JR38" s="55">
        <f>IFERROR(VLOOKUP($D38,'Adient Arendal (Malzia) WK.12'!$B:IQ,JR$1,0),0)</f>
        <v>0</v>
      </c>
      <c r="JS38" s="55">
        <f>IFERROR(VLOOKUP($D38,'Adient Taizhou (China) WK.16'!$B:IT,JR$1,0),0)</f>
        <v>20</v>
      </c>
      <c r="JT38" s="128">
        <v>0</v>
      </c>
      <c r="JU38" s="31">
        <v>0</v>
      </c>
      <c r="JV38" s="110">
        <f t="shared" si="194"/>
        <v>500</v>
      </c>
      <c r="JW38" s="8"/>
      <c r="JX38" s="37">
        <f t="shared" si="195"/>
        <v>500</v>
      </c>
      <c r="JY38" s="154">
        <f>IFERROR(VLOOKUP($D38,'Adient Assende (Belgium) WK.17'!$B:IX,JZ$1,0),0)</f>
        <v>0</v>
      </c>
      <c r="JZ38" s="55">
        <f>IFERROR(VLOOKUP($D38,'Adient Arendal (Malzia) WK.12'!$B:IY,JZ$1,0),0)</f>
        <v>0</v>
      </c>
      <c r="KA38" s="55">
        <f>IFERROR(VLOOKUP($D38,'Adient Taizhou (China) WK.16'!$B:JB,JZ$1,0),0)</f>
        <v>0</v>
      </c>
      <c r="KB38" s="128">
        <v>0</v>
      </c>
      <c r="KC38" s="31">
        <v>0</v>
      </c>
      <c r="KD38" s="110">
        <f t="shared" si="263"/>
        <v>500</v>
      </c>
      <c r="KE38" s="8"/>
      <c r="KF38" s="37">
        <f t="shared" si="196"/>
        <v>500</v>
      </c>
      <c r="KG38" s="125">
        <f>IFERROR(VLOOKUP($D38,'Adient Assende (Belgium) WK.17'!$B:JF,KH$1,0),0)</f>
        <v>0</v>
      </c>
      <c r="KH38" s="55">
        <f>IFERROR(VLOOKUP($D38,'Adient Arendal (Malzia) WK.12'!$B:JG,KH$1,0),0)</f>
        <v>0</v>
      </c>
      <c r="KI38" s="55">
        <f>IFERROR(VLOOKUP($D38,'Adient Taizhou (China) WK.16'!$B:JJ,KH$1,0),0)</f>
        <v>40</v>
      </c>
      <c r="KJ38" s="60">
        <v>0</v>
      </c>
      <c r="KK38" s="128">
        <v>0</v>
      </c>
      <c r="KL38" s="31">
        <v>0</v>
      </c>
      <c r="KM38" s="110">
        <f t="shared" si="264"/>
        <v>460</v>
      </c>
      <c r="KN38" s="8"/>
      <c r="KO38" s="37">
        <f t="shared" si="197"/>
        <v>460</v>
      </c>
      <c r="KP38" s="141">
        <f>IFERROR(VLOOKUP($D38,'Adient Assende (Belgium) WK.17'!$B:JN,KQ$1,0),0)</f>
        <v>0</v>
      </c>
      <c r="KQ38" s="140">
        <f>IFERROR(VLOOKUP($D38,'Adient Arendal (Malzia) WK.12'!$B:JO,KQ$1,0),0)</f>
        <v>0</v>
      </c>
      <c r="KR38" s="140">
        <f>IFERROR(VLOOKUP($D38,'Adient Taizhou (China) WK.16'!$B:JR,KQ$1,0),0)</f>
        <v>0</v>
      </c>
      <c r="KS38" s="60">
        <v>0</v>
      </c>
      <c r="KT38" s="128">
        <v>0</v>
      </c>
      <c r="KU38" s="31">
        <v>0</v>
      </c>
      <c r="KV38" s="110">
        <f t="shared" si="265"/>
        <v>460</v>
      </c>
      <c r="KX38" s="37">
        <f t="shared" si="198"/>
        <v>460</v>
      </c>
      <c r="KY38" s="141">
        <f>IFERROR(VLOOKUP($D38,'Adient Assende (Belgium) WK.17'!$B:JV,KZ$1,0),0)</f>
        <v>0</v>
      </c>
      <c r="KZ38" s="140">
        <f>IFERROR(VLOOKUP($D38,'Adient Arendal (Malzia) WK.12'!$B:JW,KZ$1,0),0)</f>
        <v>0</v>
      </c>
      <c r="LA38" s="140">
        <f>IFERROR(VLOOKUP($D38,'Adient Taizhou (China) WK.16'!$B:JZ,KZ$1,0),0)</f>
        <v>0</v>
      </c>
      <c r="LB38" s="128">
        <v>0</v>
      </c>
      <c r="LC38" s="31">
        <v>0</v>
      </c>
      <c r="LD38" s="110">
        <f t="shared" si="266"/>
        <v>460</v>
      </c>
      <c r="LF38" s="37">
        <f t="shared" si="199"/>
        <v>460</v>
      </c>
      <c r="LG38" s="141">
        <f>IFERROR(VLOOKUP($D38,'Adient Assende (Belgium) WK.17'!$B:KD,LH$1,0),0)</f>
        <v>0</v>
      </c>
      <c r="LH38" s="140">
        <f>IFERROR(VLOOKUP($D38,'Adient Arendal (Malzia) WK.12'!$B:KE,LH$1,0),0)</f>
        <v>0</v>
      </c>
      <c r="LI38" s="140">
        <f>IFERROR(VLOOKUP($D38,'Adient Taizhou (China) WK.16'!$B:KH,LH$1,0),0)</f>
        <v>20</v>
      </c>
      <c r="LJ38" s="60">
        <v>0</v>
      </c>
      <c r="LK38" s="128">
        <v>0</v>
      </c>
      <c r="LL38" s="31">
        <v>0</v>
      </c>
      <c r="LM38" s="100">
        <f t="shared" si="267"/>
        <v>440</v>
      </c>
      <c r="LO38" s="37">
        <f t="shared" si="200"/>
        <v>440</v>
      </c>
      <c r="LP38" s="141">
        <f>IFERROR(VLOOKUP($D38,'Adient Assende (Belgium) WK.17'!$B:KL,LQ$1,0),0)</f>
        <v>0</v>
      </c>
      <c r="LQ38" s="140">
        <f>IFERROR(VLOOKUP($D38,'Adient Arendal (Malzia) WK.12'!$B:KM,LQ$1,0),0)</f>
        <v>0</v>
      </c>
      <c r="LR38" s="140">
        <f>IFERROR(VLOOKUP($D38,'Adient Taizhou (China) WK.16'!$B:KP,LQ$1,0),0)</f>
        <v>0</v>
      </c>
      <c r="LS38" s="128">
        <v>0</v>
      </c>
      <c r="LT38" s="31">
        <v>0</v>
      </c>
      <c r="LU38" s="100">
        <f t="shared" si="268"/>
        <v>440</v>
      </c>
      <c r="LW38" s="37">
        <f t="shared" si="201"/>
        <v>440</v>
      </c>
      <c r="LX38" s="141">
        <f>IFERROR(VLOOKUP($D38,'Adient Assende (Belgium) WK.17'!$B:KT,LY$1,0),0)</f>
        <v>0</v>
      </c>
      <c r="LY38" s="140">
        <f>IFERROR(VLOOKUP($D38,'Adient Arendal (Malzia) WK.12'!$B:KU,LY$1,0),0)</f>
        <v>0</v>
      </c>
      <c r="LZ38" s="140">
        <f>IFERROR(VLOOKUP($D38,'Adient Taizhou (China) WK.16'!$B:KX,LY$1,0),0)</f>
        <v>20</v>
      </c>
      <c r="MA38" s="128">
        <v>0</v>
      </c>
      <c r="MB38" s="31">
        <v>0</v>
      </c>
      <c r="MC38" s="100">
        <f t="shared" si="269"/>
        <v>420</v>
      </c>
      <c r="ME38" s="37">
        <f t="shared" si="202"/>
        <v>420</v>
      </c>
      <c r="MF38" s="154">
        <f>IFERROR(VLOOKUP($D38,'Adient Assende (Belgium) WK.17'!$B:LB,MG$1,0),0)</f>
        <v>0</v>
      </c>
      <c r="MG38" s="140">
        <f>IFERROR(VLOOKUP($D38,'Adient Arendal (Malzia) WK.12'!$B:LC,MG$1,0),0)</f>
        <v>0</v>
      </c>
      <c r="MH38" s="140">
        <f>IFERROR(VLOOKUP($D38,'Adient Taizhou (China) WK.16'!$B:LF,MG$1,0),0)</f>
        <v>60</v>
      </c>
      <c r="MI38" s="128">
        <v>0</v>
      </c>
      <c r="MJ38" s="31">
        <v>0</v>
      </c>
      <c r="MK38" s="100">
        <f t="shared" si="270"/>
        <v>360</v>
      </c>
      <c r="MM38" s="37">
        <f t="shared" si="203"/>
        <v>360</v>
      </c>
      <c r="MN38" s="141">
        <f>IFERROR(VLOOKUP($D38,'Adient Assende (Belgium) WK.17'!$B:LJ,MO$1,0),0)</f>
        <v>0</v>
      </c>
      <c r="MO38" s="140">
        <f>IFERROR(VLOOKUP($D38,'Adient Arendal (Malzia) WK.12'!$B:LK,MO$1,0),0)</f>
        <v>0</v>
      </c>
      <c r="MP38" s="140">
        <f>IFERROR(VLOOKUP($D38,'Adient Taizhou (China) WK.16'!$B:LN,MO$1,0),0)</f>
        <v>40</v>
      </c>
      <c r="MQ38" s="128">
        <v>0</v>
      </c>
      <c r="MR38" s="31">
        <v>0</v>
      </c>
      <c r="MS38" s="100">
        <f t="shared" si="271"/>
        <v>320</v>
      </c>
      <c r="MU38" s="37">
        <f t="shared" si="204"/>
        <v>320</v>
      </c>
      <c r="MV38" s="141">
        <f>IFERROR(VLOOKUP($D38,'Adient Assende (Belgium) WK.17'!$B:LR,MW$1,0),0)</f>
        <v>0</v>
      </c>
      <c r="MW38" s="140">
        <f>IFERROR(VLOOKUP($D38,'Adient Arendal (Malzia) WK.12'!$B:LS,MW$1,0),0)</f>
        <v>0</v>
      </c>
      <c r="MX38" s="140">
        <f>IFERROR(VLOOKUP($D38,'Adient Taizhou (China) WK.16'!$B:LV,MW$1,0),0)</f>
        <v>51</v>
      </c>
      <c r="MY38" s="128">
        <v>0</v>
      </c>
      <c r="MZ38" s="31">
        <v>0</v>
      </c>
      <c r="NA38" s="100">
        <f t="shared" si="272"/>
        <v>269</v>
      </c>
      <c r="NC38" s="37">
        <f t="shared" si="205"/>
        <v>269</v>
      </c>
      <c r="ND38" s="141">
        <f>IFERROR(VLOOKUP($D38,'Adient Assende (Belgium) WK.17'!$B:LZ,NE$1,0),0)</f>
        <v>0</v>
      </c>
      <c r="NE38" s="140">
        <f>IFERROR(VLOOKUP($D38,'Adient Arendal (Malzia) WK.12'!$B:MA,NE$1,0),0)</f>
        <v>0</v>
      </c>
      <c r="NF38" s="140">
        <f>IFERROR(VLOOKUP($D38,'Adient Taizhou (China) WK.16'!$B:MD,NE$1,0),0)</f>
        <v>0</v>
      </c>
      <c r="NG38" s="128">
        <v>0</v>
      </c>
      <c r="NH38" s="31">
        <v>0</v>
      </c>
      <c r="NI38" s="100">
        <f t="shared" si="273"/>
        <v>269</v>
      </c>
      <c r="NK38" s="37">
        <f t="shared" si="206"/>
        <v>269</v>
      </c>
      <c r="NL38" s="141">
        <f>IFERROR(VLOOKUP($D38,'Adient Assende (Belgium) WK.17'!$B:MH,NM$1,0),0)</f>
        <v>0</v>
      </c>
      <c r="NM38" s="140">
        <f>IFERROR(VLOOKUP($D38,'Adient Arendal (Malzia) WK.12'!$B:MI,NM$1,0),0)</f>
        <v>0</v>
      </c>
      <c r="NN38" s="140">
        <f>IFERROR(VLOOKUP($D38,'Adient Taizhou (China) WK.16'!$B:ML,NM$1,0),0)</f>
        <v>0</v>
      </c>
      <c r="NO38" s="128">
        <v>0</v>
      </c>
      <c r="NP38" s="31">
        <v>0</v>
      </c>
      <c r="NQ38" s="100">
        <f t="shared" si="274"/>
        <v>269</v>
      </c>
      <c r="NS38" s="37">
        <f t="shared" si="207"/>
        <v>269</v>
      </c>
      <c r="NT38" s="141">
        <f>IFERROR(VLOOKUP($D38,'Adient Assende (Belgium) WK.17'!$B:MP,NU$1,0),0)</f>
        <v>0</v>
      </c>
      <c r="NU38" s="140">
        <f>IFERROR(VLOOKUP($D38,'Adient Arendal (Malzia) WK.12'!$B:MQ,NU$1,0),0)</f>
        <v>0</v>
      </c>
      <c r="NV38" s="140">
        <f>IFERROR(VLOOKUP($D38,'Adient Taizhou (China) WK.16'!$B:MT,NU$1,0),0)</f>
        <v>0</v>
      </c>
      <c r="NW38" s="128">
        <v>0</v>
      </c>
      <c r="NX38" s="31">
        <v>0</v>
      </c>
      <c r="NY38" s="100">
        <f t="shared" si="275"/>
        <v>269</v>
      </c>
      <c r="OA38" s="37">
        <f t="shared" si="208"/>
        <v>269</v>
      </c>
      <c r="OB38" s="141">
        <f>IFERROR(VLOOKUP($D38,'Adient Assende (Belgium) WK.17'!$B:MX,OC$1,0),0)</f>
        <v>0</v>
      </c>
      <c r="OC38" s="140">
        <f>IFERROR(VLOOKUP($D38,'Adient Arendal (Malzia) WK.12'!$B:MY,OC$1,0),0)</f>
        <v>0</v>
      </c>
      <c r="OD38" s="140">
        <f>IFERROR(VLOOKUP($D38,'Adient Taizhou (China) WK.16'!$B:NB,OC$1,0),0)</f>
        <v>0</v>
      </c>
      <c r="OE38" s="128">
        <v>0</v>
      </c>
      <c r="OF38" s="31">
        <v>0</v>
      </c>
      <c r="OG38" s="100">
        <f t="shared" si="276"/>
        <v>269</v>
      </c>
      <c r="OI38" s="37">
        <f t="shared" si="209"/>
        <v>269</v>
      </c>
      <c r="OJ38" s="141">
        <f>IFERROR(VLOOKUP($D38,'Adient Assende (Belgium) WK.17'!$B:NF,OK$1,0),0)</f>
        <v>0</v>
      </c>
      <c r="OK38" s="140">
        <f>IFERROR(VLOOKUP($D38,'Adient Arendal (Malzia) WK.12'!$B:NG,OK$1,0),0)</f>
        <v>0</v>
      </c>
      <c r="OL38" s="140">
        <f>IFERROR(VLOOKUP($D38,'Adient Taizhou (China) WK.16'!$B:NJ,OK$1,0),0)</f>
        <v>0</v>
      </c>
      <c r="OM38" s="128">
        <v>0</v>
      </c>
      <c r="ON38" s="31">
        <v>0</v>
      </c>
      <c r="OO38" s="100">
        <f t="shared" si="277"/>
        <v>269</v>
      </c>
      <c r="OQ38" s="37">
        <f t="shared" si="210"/>
        <v>269</v>
      </c>
      <c r="OR38" s="141">
        <f>IFERROR(VLOOKUP($D38,'Adient Assende (Belgium) WK.17'!$B:NN,OS$1,0),0)</f>
        <v>0</v>
      </c>
      <c r="OS38" s="140">
        <f>IFERROR(VLOOKUP($D38,'Adient Arendal (Malzia) WK.12'!$B:NO,OS$1,0),0)</f>
        <v>0</v>
      </c>
      <c r="OT38" s="140">
        <f>IFERROR(VLOOKUP($D38,'Adient Taizhou (China) WK.16'!$B:NR,OS$1,0),0)</f>
        <v>0</v>
      </c>
      <c r="OU38" s="128">
        <v>0</v>
      </c>
      <c r="OV38" s="31">
        <v>0</v>
      </c>
      <c r="OW38" s="100">
        <f t="shared" si="278"/>
        <v>269</v>
      </c>
      <c r="OY38" s="37">
        <f t="shared" si="211"/>
        <v>269</v>
      </c>
      <c r="OZ38" s="141">
        <f>IFERROR(VLOOKUP($D38,'Adient Assende (Belgium) WK.17'!$B:NV,PA$1,0),0)</f>
        <v>0</v>
      </c>
      <c r="PA38" s="140">
        <f>IFERROR(VLOOKUP($D38,'Adient Arendal (Malzia) WK.12'!$B:NW,PA$1,0),0)</f>
        <v>0</v>
      </c>
      <c r="PB38" s="140">
        <f>IFERROR(VLOOKUP($D38,'Adient Taizhou (China) WK.16'!$B:NZ,PA$1,0),0)</f>
        <v>0</v>
      </c>
      <c r="PC38" s="128">
        <v>0</v>
      </c>
      <c r="PD38" s="31">
        <v>0</v>
      </c>
      <c r="PE38" s="100">
        <f t="shared" si="279"/>
        <v>269</v>
      </c>
      <c r="PG38" s="37">
        <f t="shared" si="212"/>
        <v>269</v>
      </c>
      <c r="PH38" s="141">
        <f>IFERROR(VLOOKUP($D38,'Adient Assende (Belgium) WK.17'!$B:OD,PI$1,0),0)</f>
        <v>0</v>
      </c>
      <c r="PI38" s="140">
        <f>IFERROR(VLOOKUP($D38,'Adient Arendal (Malzia) WK.12'!$B:OE,PI$1,0),0)</f>
        <v>0</v>
      </c>
      <c r="PJ38" s="140">
        <f>IFERROR(VLOOKUP($D38,'Adient Taizhou (China) WK.16'!$B:OH,PI$1,0),0)</f>
        <v>0</v>
      </c>
      <c r="PK38" s="128">
        <v>0</v>
      </c>
      <c r="PL38" s="31">
        <v>0</v>
      </c>
      <c r="PM38" s="100">
        <f t="shared" si="280"/>
        <v>269</v>
      </c>
      <c r="PO38" s="37">
        <f t="shared" si="213"/>
        <v>269</v>
      </c>
      <c r="PP38" s="141">
        <f>IFERROR(VLOOKUP($D38,'Adient Assende (Belgium) WK.17'!$B:OL,PQ$1,0),0)</f>
        <v>0</v>
      </c>
      <c r="PQ38" s="140">
        <f>IFERROR(VLOOKUP($D38,'Adient Arendal (Malzia) WK.12'!$B:OM,PQ$1,0),0)</f>
        <v>0</v>
      </c>
      <c r="PR38" s="140">
        <f>IFERROR(VLOOKUP($D38,'Adient Taizhou (China) WK.16'!$B:OP,PQ$1,0),0)</f>
        <v>0</v>
      </c>
      <c r="PS38" s="128">
        <v>0</v>
      </c>
      <c r="PT38" s="31">
        <v>0</v>
      </c>
      <c r="PU38" s="100">
        <f t="shared" si="281"/>
        <v>269</v>
      </c>
      <c r="PW38" s="37">
        <f t="shared" si="214"/>
        <v>269</v>
      </c>
      <c r="PX38" s="141">
        <f>IFERROR(VLOOKUP($D38,'Adient Assende (Belgium) WK.17'!$B:OT,PY$1,0),0)</f>
        <v>0</v>
      </c>
      <c r="PY38" s="140">
        <f>IFERROR(VLOOKUP($D38,'Adient Arendal (Malzia) WK.12'!$B:OU,PY$1,0),0)</f>
        <v>0</v>
      </c>
      <c r="PZ38" s="140">
        <f>IFERROR(VLOOKUP($D38,'Adient Taizhou (China) WK.16'!$B:OX,PY$1,0),0)</f>
        <v>0</v>
      </c>
      <c r="QA38" s="128">
        <v>0</v>
      </c>
      <c r="QB38" s="31">
        <v>0</v>
      </c>
      <c r="QC38" s="100">
        <f t="shared" si="282"/>
        <v>269</v>
      </c>
      <c r="QE38" s="37">
        <f t="shared" si="215"/>
        <v>269</v>
      </c>
      <c r="QF38" s="141">
        <f>IFERROR(VLOOKUP($D38,'Adient Assende (Belgium) WK.17'!$B:PB,QG$1,0),0)</f>
        <v>0</v>
      </c>
      <c r="QG38" s="140">
        <f>IFERROR(VLOOKUP($D38,'Adient Arendal (Malzia) WK.12'!$B:PC,QG$1,0),0)</f>
        <v>0</v>
      </c>
      <c r="QH38" s="140">
        <f>IFERROR(VLOOKUP($D38,'Adient Taizhou (China) WK.16'!$B:PF,QG$1,0),0)</f>
        <v>0</v>
      </c>
      <c r="QI38" s="128">
        <v>0</v>
      </c>
      <c r="QJ38" s="31">
        <v>0</v>
      </c>
      <c r="QK38" s="100">
        <f t="shared" si="283"/>
        <v>269</v>
      </c>
      <c r="QM38" s="37">
        <f t="shared" si="216"/>
        <v>269</v>
      </c>
      <c r="QN38" s="141">
        <f>IFERROR(VLOOKUP($D38,'Adient Assende (Belgium) WK.17'!$B:PJ,QO$1,0),0)</f>
        <v>0</v>
      </c>
      <c r="QO38" s="140">
        <f>IFERROR(VLOOKUP($D38,'Adient Arendal (Malzia) WK.12'!$B:PK,QO$1,0),0)</f>
        <v>0</v>
      </c>
      <c r="QP38" s="140">
        <f>IFERROR(VLOOKUP($D38,'Adient Taizhou (China) WK.16'!$B:PN,QO$1,0),0)</f>
        <v>0</v>
      </c>
      <c r="QQ38" s="128">
        <v>0</v>
      </c>
      <c r="QR38" s="31">
        <v>0</v>
      </c>
      <c r="QS38" s="100">
        <f t="shared" si="284"/>
        <v>269</v>
      </c>
      <c r="QU38" s="37">
        <f t="shared" si="217"/>
        <v>269</v>
      </c>
      <c r="QV38" s="141">
        <f>IFERROR(VLOOKUP($D38,'Adient Assende (Belgium) WK.17'!$B:PR,QW$1,0),0)</f>
        <v>0</v>
      </c>
      <c r="QW38" s="140">
        <f>IFERROR(VLOOKUP($D38,'Adient Arendal (Malzia) WK.12'!$B:PS,QW$1,0),0)</f>
        <v>0</v>
      </c>
      <c r="QX38" s="140">
        <f>IFERROR(VLOOKUP($D38,'Adient Taizhou (China) WK.16'!$B:PV,QW$1,0),0)</f>
        <v>0</v>
      </c>
      <c r="QY38" s="128">
        <v>0</v>
      </c>
      <c r="QZ38" s="31">
        <v>0</v>
      </c>
      <c r="RA38" s="100">
        <f t="shared" si="285"/>
        <v>269</v>
      </c>
      <c r="RC38" s="37">
        <f t="shared" si="218"/>
        <v>269</v>
      </c>
      <c r="RD38" s="141">
        <f>IFERROR(VLOOKUP($D38,'Adient Assende (Belgium) WK.17'!$B:PZ,RE$1,0),0)</f>
        <v>0</v>
      </c>
      <c r="RE38" s="140">
        <f>IFERROR(VLOOKUP($D38,'Adient Arendal (Malzia) WK.12'!$B:QA,RE$1,0),0)</f>
        <v>0</v>
      </c>
      <c r="RF38" s="140">
        <f>IFERROR(VLOOKUP($D38,'Adient Taizhou (China) WK.16'!$B:QD,RE$1,0),0)</f>
        <v>0</v>
      </c>
      <c r="RG38" s="128">
        <v>0</v>
      </c>
      <c r="RH38" s="31">
        <v>0</v>
      </c>
      <c r="RI38" s="100">
        <f t="shared" si="286"/>
        <v>269</v>
      </c>
      <c r="RK38" s="37">
        <f t="shared" si="219"/>
        <v>269</v>
      </c>
      <c r="RL38" s="141">
        <f>IFERROR(VLOOKUP($D38,'Adient Assende (Belgium) WK.17'!$B:QH,RM$1,0),0)</f>
        <v>0</v>
      </c>
      <c r="RM38" s="140">
        <f>IFERROR(VLOOKUP($D38,'Adient Arendal (Malzia) WK.12'!$B:QI,RM$1,0),0)</f>
        <v>0</v>
      </c>
      <c r="RN38" s="140">
        <f>IFERROR(VLOOKUP($D38,'Adient Taizhou (China) WK.16'!$B:QL,RM$1,0),0)</f>
        <v>0</v>
      </c>
      <c r="RO38" s="128">
        <v>0</v>
      </c>
      <c r="RP38" s="31">
        <v>0</v>
      </c>
      <c r="RQ38" s="100">
        <f t="shared" si="287"/>
        <v>269</v>
      </c>
      <c r="RS38" s="37">
        <f t="shared" si="220"/>
        <v>269</v>
      </c>
      <c r="RT38" s="141">
        <f>IFERROR(VLOOKUP($D38,'Adient Assende (Belgium) WK.17'!$B:QP,RU$1,0),0)</f>
        <v>0</v>
      </c>
      <c r="RU38" s="140">
        <f>IFERROR(VLOOKUP($D38,'Adient Arendal (Malzia) WK.12'!$B:QQ,RU$1,0),0)</f>
        <v>0</v>
      </c>
      <c r="RV38" s="140">
        <f>IFERROR(VLOOKUP($D38,'Adient Taizhou (China) WK.16'!$B:QT,RU$1,0),0)</f>
        <v>0</v>
      </c>
      <c r="RW38" s="128">
        <v>0</v>
      </c>
      <c r="RX38" s="31">
        <v>0</v>
      </c>
      <c r="RY38" s="100">
        <f t="shared" si="288"/>
        <v>269</v>
      </c>
      <c r="SA38" s="37">
        <f t="shared" si="221"/>
        <v>269</v>
      </c>
      <c r="SB38" s="141">
        <f>IFERROR(VLOOKUP($D38,'Adient Assende (Belgium) WK.17'!$B:QX,SC$1,0),0)</f>
        <v>0</v>
      </c>
      <c r="SC38" s="140">
        <f>IFERROR(VLOOKUP($D38,'Adient Arendal (Malzia) WK.12'!$B:QY,SC$1,0),0)</f>
        <v>0</v>
      </c>
      <c r="SD38" s="140">
        <f>IFERROR(VLOOKUP($D38,'Adient Taizhou (China) WK.16'!$B:RB,SC$1,0),0)</f>
        <v>0</v>
      </c>
      <c r="SE38" s="128">
        <v>0</v>
      </c>
      <c r="SF38" s="31">
        <v>0</v>
      </c>
      <c r="SG38" s="100">
        <f t="shared" si="289"/>
        <v>269</v>
      </c>
      <c r="SI38" s="37">
        <f t="shared" si="222"/>
        <v>269</v>
      </c>
      <c r="SJ38" s="141">
        <f>IFERROR(VLOOKUP($D38,'Adient Assende (Belgium) WK.17'!$B:RF,SK$1,0),0)</f>
        <v>0</v>
      </c>
      <c r="SK38" s="140">
        <f>IFERROR(VLOOKUP($D38,'Adient Arendal (Malzia) WK.12'!$B:RG,SK$1,0),0)</f>
        <v>0</v>
      </c>
      <c r="SL38" s="140">
        <f>IFERROR(VLOOKUP($D38,'Adient Taizhou (China) WK.16'!$B:RJ,SK$1,0),0)</f>
        <v>0</v>
      </c>
      <c r="SM38" s="128">
        <v>0</v>
      </c>
      <c r="SN38" s="31">
        <v>0</v>
      </c>
      <c r="SO38" s="100">
        <f t="shared" si="290"/>
        <v>269</v>
      </c>
      <c r="SQ38" s="37">
        <f t="shared" si="223"/>
        <v>269</v>
      </c>
      <c r="SR38" s="141">
        <f>IFERROR(VLOOKUP($D38,'Adient Assende (Belgium) WK.17'!$B:RN,SS$1,0),0)</f>
        <v>0</v>
      </c>
      <c r="SS38" s="140">
        <f>IFERROR(VLOOKUP($D38,'Adient Arendal (Malzia) WK.12'!$B:RO,SS$1,0),0)</f>
        <v>0</v>
      </c>
      <c r="ST38" s="140">
        <f>IFERROR(VLOOKUP($D38,'Adient Taizhou (China) WK.16'!$B:RR,SS$1,0),0)</f>
        <v>0</v>
      </c>
      <c r="SU38" s="128">
        <v>0</v>
      </c>
      <c r="SV38" s="31">
        <v>0</v>
      </c>
      <c r="SW38" s="100">
        <f t="shared" si="291"/>
        <v>269</v>
      </c>
      <c r="SY38" s="37">
        <f t="shared" si="224"/>
        <v>269</v>
      </c>
      <c r="SZ38" s="141">
        <f>IFERROR(VLOOKUP($D38,'Adient Assende (Belgium) WK.17'!$B:RV,TA$1,0),0)</f>
        <v>0</v>
      </c>
      <c r="TA38" s="140">
        <f>IFERROR(VLOOKUP($D38,'Adient Arendal (Malzia) WK.12'!$B:RW,TA$1,0),0)</f>
        <v>0</v>
      </c>
      <c r="TB38" s="140">
        <f>IFERROR(VLOOKUP($D38,'Adient Taizhou (China) WK.16'!$B:RZ,TA$1,0),0)</f>
        <v>0</v>
      </c>
      <c r="TC38" s="128">
        <v>0</v>
      </c>
      <c r="TD38" s="31">
        <v>0</v>
      </c>
      <c r="TE38" s="100">
        <f t="shared" si="292"/>
        <v>269</v>
      </c>
      <c r="TG38" s="37">
        <f t="shared" si="225"/>
        <v>269</v>
      </c>
      <c r="TH38" s="141">
        <f>IFERROR(VLOOKUP($D38,'Adient Assende (Belgium) WK.17'!$B:SD,TI$1,0),0)</f>
        <v>0</v>
      </c>
      <c r="TI38" s="140">
        <f>IFERROR(VLOOKUP($D38,'Adient Arendal (Malzia) WK.12'!$B:SE,TI$1,0),0)</f>
        <v>0</v>
      </c>
      <c r="TJ38" s="140">
        <f>IFERROR(VLOOKUP($D38,'Adient Taizhou (China) WK.16'!$B:SH,TI$1,0),0)</f>
        <v>0</v>
      </c>
      <c r="TK38" s="128">
        <v>0</v>
      </c>
      <c r="TL38" s="31">
        <v>0</v>
      </c>
      <c r="TM38" s="100">
        <f t="shared" si="293"/>
        <v>269</v>
      </c>
      <c r="TO38" s="37">
        <f t="shared" si="226"/>
        <v>269</v>
      </c>
      <c r="TP38" s="141">
        <f>IFERROR(VLOOKUP($D38,'Adient Assende (Belgium) WK.17'!$B:SL,TQ$1,0),0)</f>
        <v>0</v>
      </c>
      <c r="TQ38" s="140">
        <f>IFERROR(VLOOKUP($D38,'Adient Arendal (Malzia) WK.12'!$B:SM,TQ$1,0),0)</f>
        <v>0</v>
      </c>
      <c r="TR38" s="140">
        <f>IFERROR(VLOOKUP($D38,'Adient Taizhou (China) WK.16'!$B:SP,TQ$1,0),0)</f>
        <v>0</v>
      </c>
      <c r="TS38" s="128">
        <v>0</v>
      </c>
      <c r="TT38" s="31">
        <v>0</v>
      </c>
      <c r="TU38" s="100">
        <f t="shared" si="294"/>
        <v>269</v>
      </c>
      <c r="TW38" s="37">
        <f t="shared" si="227"/>
        <v>269</v>
      </c>
      <c r="TX38" s="141">
        <f>IFERROR(VLOOKUP($D38,'Adient Assende (Belgium) WK.17'!$B:ST,TY$1,0),0)</f>
        <v>0</v>
      </c>
      <c r="TY38" s="140">
        <f>IFERROR(VLOOKUP($D38,'Adient Arendal (Malzia) WK.12'!$B:SU,TY$1,0),0)</f>
        <v>0</v>
      </c>
      <c r="TZ38" s="140">
        <f>IFERROR(VLOOKUP($D38,'Adient Taizhou (China) WK.16'!$B:SX,TY$1,0),0)</f>
        <v>0</v>
      </c>
      <c r="UA38" s="128">
        <v>0</v>
      </c>
      <c r="UB38" s="31">
        <v>0</v>
      </c>
      <c r="UC38" s="100">
        <f t="shared" si="295"/>
        <v>269</v>
      </c>
      <c r="UE38" s="37">
        <f t="shared" si="228"/>
        <v>269</v>
      </c>
      <c r="UF38" s="141">
        <f>IFERROR(VLOOKUP($D38,'Adient Assende (Belgium) WK.17'!$B:TB,UG$1,0),0)</f>
        <v>0</v>
      </c>
      <c r="UG38" s="140">
        <f>IFERROR(VLOOKUP($D38,'Adient Arendal (Malzia) WK.12'!$B:TC,UG$1,0),0)</f>
        <v>0</v>
      </c>
      <c r="UH38" s="140">
        <f>IFERROR(VLOOKUP($D38,'Adient Taizhou (China) WK.16'!$B:TF,UG$1,0),0)</f>
        <v>0</v>
      </c>
      <c r="UI38" s="128">
        <v>0</v>
      </c>
      <c r="UJ38" s="31">
        <v>0</v>
      </c>
      <c r="UK38" s="100">
        <f t="shared" si="296"/>
        <v>269</v>
      </c>
      <c r="UM38" s="37">
        <f t="shared" si="229"/>
        <v>269</v>
      </c>
      <c r="UN38" s="141">
        <f>IFERROR(VLOOKUP($D38,'Adient Assende (Belgium) WK.17'!$B:TJ,UO$1,0),0)</f>
        <v>0</v>
      </c>
      <c r="UO38" s="140">
        <f>IFERROR(VLOOKUP($D38,'Adient Arendal (Malzia) WK.12'!$B:TK,UO$1,0),0)</f>
        <v>0</v>
      </c>
      <c r="UP38" s="140">
        <f>IFERROR(VLOOKUP($D38,'Adient Taizhou (China) WK.16'!$B:TN,UO$1,0),0)</f>
        <v>0</v>
      </c>
      <c r="UQ38" s="128">
        <v>0</v>
      </c>
      <c r="UR38" s="31">
        <v>0</v>
      </c>
      <c r="US38" s="100">
        <f t="shared" si="297"/>
        <v>269</v>
      </c>
      <c r="UU38" s="37">
        <f t="shared" si="230"/>
        <v>269</v>
      </c>
      <c r="UV38" s="141">
        <f>IFERROR(VLOOKUP($D38,'Adient Assende (Belgium) WK.17'!$B:TR,UW$1,0),0)</f>
        <v>0</v>
      </c>
      <c r="UW38" s="140">
        <f>IFERROR(VLOOKUP($D38,'Adient Arendal (Malzia) WK.12'!$B:TS,UW$1,0),0)</f>
        <v>0</v>
      </c>
      <c r="UX38" s="140">
        <f>IFERROR(VLOOKUP($D38,'Adient Taizhou (China) WK.16'!$B:TV,UW$1,0),0)</f>
        <v>0</v>
      </c>
      <c r="UY38" s="128">
        <v>0</v>
      </c>
      <c r="UZ38" s="31">
        <v>0</v>
      </c>
      <c r="VA38" s="100">
        <f t="shared" si="298"/>
        <v>269</v>
      </c>
      <c r="VC38" s="37">
        <f t="shared" si="231"/>
        <v>269</v>
      </c>
      <c r="VD38" s="141">
        <f>IFERROR(VLOOKUP($D38,'Adient Assende (Belgium) WK.17'!$B:TZ,VE$1,0),0)</f>
        <v>0</v>
      </c>
      <c r="VE38" s="140">
        <f>IFERROR(VLOOKUP($D38,'Adient Arendal (Malzia) WK.12'!$B:UA,VE$1,0),0)</f>
        <v>0</v>
      </c>
      <c r="VF38" s="140">
        <f>IFERROR(VLOOKUP($D38,'Adient Taizhou (China) WK.16'!$B:UD,VE$1,0),0)</f>
        <v>0</v>
      </c>
      <c r="VG38" s="128">
        <v>0</v>
      </c>
      <c r="VH38" s="31">
        <v>0</v>
      </c>
      <c r="VI38" s="100">
        <f t="shared" si="299"/>
        <v>269</v>
      </c>
      <c r="VK38" s="37">
        <f t="shared" si="232"/>
        <v>269</v>
      </c>
      <c r="VL38" s="141">
        <f>IFERROR(VLOOKUP($D38,'Adient Assende (Belgium) WK.17'!$B:UH,VM$1,0),0)</f>
        <v>0</v>
      </c>
      <c r="VM38" s="140">
        <f>IFERROR(VLOOKUP($D38,'Adient Arendal (Malzia) WK.12'!$B:UI,VM$1,0),0)</f>
        <v>0</v>
      </c>
      <c r="VN38" s="140">
        <f>IFERROR(VLOOKUP($D38,'Adient Taizhou (China) WK.16'!$B:UL,VM$1,0),0)</f>
        <v>0</v>
      </c>
      <c r="VO38" s="128">
        <v>0</v>
      </c>
      <c r="VP38" s="31">
        <v>0</v>
      </c>
      <c r="VQ38" s="100">
        <f t="shared" si="300"/>
        <v>269</v>
      </c>
    </row>
    <row r="39" spans="1:589" ht="15.75" thickBot="1" x14ac:dyDescent="0.3">
      <c r="A39" s="24" t="s">
        <v>6</v>
      </c>
      <c r="B39" s="25"/>
      <c r="C39" s="86"/>
      <c r="D39" s="84"/>
      <c r="E39" s="25"/>
      <c r="F39" s="26"/>
      <c r="H39" s="123">
        <f t="shared" ref="H39:N39" si="363">SUM(H10:H38)</f>
        <v>34474</v>
      </c>
      <c r="I39" s="123">
        <f t="shared" si="363"/>
        <v>3000</v>
      </c>
      <c r="J39" s="123">
        <f t="shared" si="363"/>
        <v>0</v>
      </c>
      <c r="K39" s="123">
        <f t="shared" si="363"/>
        <v>0</v>
      </c>
      <c r="L39" s="123">
        <f t="shared" si="363"/>
        <v>3280</v>
      </c>
      <c r="M39" s="123">
        <f t="shared" si="363"/>
        <v>-20</v>
      </c>
      <c r="N39" s="13">
        <f t="shared" si="363"/>
        <v>31174</v>
      </c>
      <c r="P39" s="13">
        <f t="shared" ref="P39:V39" si="364">SUM(P10:P38)</f>
        <v>31174</v>
      </c>
      <c r="Q39" s="13">
        <f t="shared" si="364"/>
        <v>3280</v>
      </c>
      <c r="R39" s="13">
        <f t="shared" si="364"/>
        <v>40</v>
      </c>
      <c r="S39" s="13">
        <f t="shared" si="364"/>
        <v>0</v>
      </c>
      <c r="T39" s="13">
        <f t="shared" si="364"/>
        <v>4400</v>
      </c>
      <c r="U39" s="13">
        <f t="shared" si="364"/>
        <v>0</v>
      </c>
      <c r="V39" s="13">
        <f t="shared" si="364"/>
        <v>26734</v>
      </c>
      <c r="X39" s="13">
        <f t="shared" ref="X39:AD39" si="365">SUM(X10:X38)</f>
        <v>26734</v>
      </c>
      <c r="Y39" s="13">
        <f t="shared" si="365"/>
        <v>4400</v>
      </c>
      <c r="Z39" s="13">
        <f t="shared" si="365"/>
        <v>0</v>
      </c>
      <c r="AA39" s="13">
        <f t="shared" si="365"/>
        <v>0</v>
      </c>
      <c r="AB39" s="13">
        <f t="shared" si="365"/>
        <v>3620</v>
      </c>
      <c r="AC39" s="13">
        <f t="shared" si="365"/>
        <v>0</v>
      </c>
      <c r="AD39" s="13">
        <f t="shared" si="365"/>
        <v>23114</v>
      </c>
      <c r="AF39" s="13">
        <f t="shared" ref="AF39:AL39" si="366">SUM(AF10:AF38)</f>
        <v>23114</v>
      </c>
      <c r="AG39" s="13">
        <f t="shared" si="366"/>
        <v>3620</v>
      </c>
      <c r="AH39" s="13">
        <f t="shared" si="366"/>
        <v>0</v>
      </c>
      <c r="AI39" s="13">
        <f t="shared" si="366"/>
        <v>0</v>
      </c>
      <c r="AJ39" s="13">
        <f t="shared" si="366"/>
        <v>3680</v>
      </c>
      <c r="AK39" s="13">
        <f t="shared" si="366"/>
        <v>0</v>
      </c>
      <c r="AL39" s="13">
        <f t="shared" si="366"/>
        <v>19434</v>
      </c>
      <c r="AN39" s="13">
        <f t="shared" ref="AN39:AU39" si="367">SUM(AN10:AN38)</f>
        <v>19434</v>
      </c>
      <c r="AO39" s="13">
        <f t="shared" si="367"/>
        <v>3680</v>
      </c>
      <c r="AP39" s="13">
        <f t="shared" si="367"/>
        <v>0</v>
      </c>
      <c r="AQ39" s="13">
        <f t="shared" si="367"/>
        <v>0</v>
      </c>
      <c r="AR39" s="13">
        <f t="shared" si="367"/>
        <v>380</v>
      </c>
      <c r="AS39" s="13">
        <f t="shared" si="367"/>
        <v>3500</v>
      </c>
      <c r="AT39" s="13">
        <f t="shared" si="367"/>
        <v>0</v>
      </c>
      <c r="AU39" s="13">
        <f t="shared" si="367"/>
        <v>16314</v>
      </c>
      <c r="AW39" s="13">
        <f t="shared" ref="AW39:BC39" si="368">SUM(AW10:AW38)</f>
        <v>16314</v>
      </c>
      <c r="AX39" s="13">
        <f t="shared" si="368"/>
        <v>3500</v>
      </c>
      <c r="AY39" s="13">
        <f t="shared" si="368"/>
        <v>0</v>
      </c>
      <c r="AZ39" s="13">
        <f t="shared" si="368"/>
        <v>0</v>
      </c>
      <c r="BA39" s="13">
        <f t="shared" si="368"/>
        <v>3400</v>
      </c>
      <c r="BB39" s="13">
        <f t="shared" si="368"/>
        <v>0</v>
      </c>
      <c r="BC39" s="13">
        <f t="shared" si="368"/>
        <v>12914</v>
      </c>
      <c r="BE39" s="13">
        <f t="shared" ref="BE39:BM39" si="369">SUM(BE10:BE38)</f>
        <v>12914</v>
      </c>
      <c r="BF39" s="13">
        <f t="shared" si="369"/>
        <v>3400</v>
      </c>
      <c r="BG39" s="13">
        <f t="shared" si="369"/>
        <v>20</v>
      </c>
      <c r="BH39" s="13">
        <f t="shared" si="369"/>
        <v>0</v>
      </c>
      <c r="BI39" s="13">
        <f t="shared" si="369"/>
        <v>500</v>
      </c>
      <c r="BJ39" s="13">
        <f t="shared" si="369"/>
        <v>410</v>
      </c>
      <c r="BK39" s="13">
        <f t="shared" si="369"/>
        <v>2760</v>
      </c>
      <c r="BL39" s="13">
        <f t="shared" si="369"/>
        <v>0</v>
      </c>
      <c r="BM39" s="13">
        <f t="shared" si="369"/>
        <v>11044</v>
      </c>
      <c r="BN39" s="8"/>
      <c r="BO39" s="13">
        <f t="shared" ref="BO39:BX39" si="370">SUM(BO10:BO38)</f>
        <v>11044</v>
      </c>
      <c r="BP39" s="13">
        <f t="shared" si="370"/>
        <v>2760</v>
      </c>
      <c r="BQ39" s="13">
        <f t="shared" si="370"/>
        <v>0</v>
      </c>
      <c r="BR39" s="13">
        <f t="shared" si="370"/>
        <v>40</v>
      </c>
      <c r="BS39" s="13">
        <f t="shared" si="370"/>
        <v>1825</v>
      </c>
      <c r="BT39" s="13">
        <f t="shared" si="370"/>
        <v>2195</v>
      </c>
      <c r="BU39" s="13">
        <f t="shared" si="370"/>
        <v>0</v>
      </c>
      <c r="BV39" s="13">
        <f t="shared" si="370"/>
        <v>4520</v>
      </c>
      <c r="BW39" s="13">
        <f t="shared" si="370"/>
        <v>0</v>
      </c>
      <c r="BX39" s="13">
        <f t="shared" si="370"/>
        <v>10504</v>
      </c>
      <c r="BY39" s="8"/>
      <c r="BZ39" s="13">
        <f t="shared" ref="BZ39:CE39" si="371">SUM(BZ10:BZ38)</f>
        <v>10504</v>
      </c>
      <c r="CA39" s="13">
        <f t="shared" si="371"/>
        <v>4520</v>
      </c>
      <c r="CB39" s="13">
        <f t="shared" si="371"/>
        <v>60</v>
      </c>
      <c r="CC39" s="13">
        <f t="shared" si="371"/>
        <v>20</v>
      </c>
      <c r="CD39" s="13">
        <f t="shared" si="371"/>
        <v>100</v>
      </c>
      <c r="CE39" s="13">
        <f t="shared" si="371"/>
        <v>0</v>
      </c>
      <c r="CF39" s="13">
        <v>5920</v>
      </c>
      <c r="CG39" s="13">
        <f>SUM(CG10:CG38)</f>
        <v>0</v>
      </c>
      <c r="CH39" s="13">
        <f>SUM(CH10:CH38)</f>
        <v>4604</v>
      </c>
      <c r="CI39" s="8"/>
      <c r="CJ39" s="13">
        <f t="shared" ref="CJ39:CQ39" si="372">SUM(CJ10:CJ38)</f>
        <v>4604</v>
      </c>
      <c r="CK39" s="13">
        <f t="shared" si="372"/>
        <v>5920</v>
      </c>
      <c r="CL39" s="13">
        <f t="shared" si="372"/>
        <v>0</v>
      </c>
      <c r="CM39" s="13">
        <f t="shared" si="372"/>
        <v>0</v>
      </c>
      <c r="CN39" s="13">
        <f t="shared" si="372"/>
        <v>6745</v>
      </c>
      <c r="CO39" s="13">
        <f t="shared" si="372"/>
        <v>0</v>
      </c>
      <c r="CP39" s="13">
        <f t="shared" si="372"/>
        <v>0</v>
      </c>
      <c r="CQ39" s="13">
        <f t="shared" si="372"/>
        <v>11349</v>
      </c>
      <c r="CR39" s="8"/>
      <c r="CS39" s="123">
        <f t="shared" ref="CS39:DA39" si="373">SUM(CS10:CS38)</f>
        <v>11349</v>
      </c>
      <c r="CT39" s="123">
        <f t="shared" si="373"/>
        <v>0</v>
      </c>
      <c r="CU39" s="123">
        <f t="shared" si="373"/>
        <v>0</v>
      </c>
      <c r="CV39" s="123">
        <f t="shared" si="373"/>
        <v>0</v>
      </c>
      <c r="CW39" s="123">
        <f t="shared" si="373"/>
        <v>220</v>
      </c>
      <c r="CX39" s="123">
        <f t="shared" si="373"/>
        <v>4545</v>
      </c>
      <c r="CY39" s="123">
        <f t="shared" si="373"/>
        <v>3660</v>
      </c>
      <c r="CZ39" s="123">
        <f t="shared" si="373"/>
        <v>0</v>
      </c>
      <c r="DA39" s="123">
        <f t="shared" si="373"/>
        <v>12454</v>
      </c>
      <c r="DB39" s="8"/>
      <c r="DC39" s="13">
        <f t="shared" ref="DC39:DJ39" si="374">SUM(DC10:DC38)</f>
        <v>12454</v>
      </c>
      <c r="DD39" s="123">
        <f t="shared" si="374"/>
        <v>3660</v>
      </c>
      <c r="DE39" s="123">
        <f t="shared" si="374"/>
        <v>0</v>
      </c>
      <c r="DF39" s="123">
        <f t="shared" si="374"/>
        <v>0</v>
      </c>
      <c r="DG39" s="13">
        <f t="shared" si="374"/>
        <v>5430</v>
      </c>
      <c r="DH39" s="13">
        <f t="shared" si="374"/>
        <v>3500</v>
      </c>
      <c r="DI39" s="13">
        <f t="shared" si="374"/>
        <v>0</v>
      </c>
      <c r="DJ39" s="13">
        <f t="shared" si="374"/>
        <v>14384</v>
      </c>
      <c r="DL39" s="13">
        <f t="shared" ref="DL39:DR39" si="375">SUM(DL10:DL38)</f>
        <v>14384</v>
      </c>
      <c r="DM39" s="13">
        <f t="shared" si="375"/>
        <v>3500</v>
      </c>
      <c r="DN39" s="13">
        <f t="shared" si="375"/>
        <v>0</v>
      </c>
      <c r="DO39" s="13">
        <f t="shared" si="375"/>
        <v>40</v>
      </c>
      <c r="DP39" s="13">
        <f t="shared" si="375"/>
        <v>3680</v>
      </c>
      <c r="DQ39" s="13">
        <f t="shared" si="375"/>
        <v>0</v>
      </c>
      <c r="DR39" s="13">
        <f t="shared" si="375"/>
        <v>10664</v>
      </c>
      <c r="DS39" s="8"/>
      <c r="DT39" s="13">
        <f t="shared" ref="DT39:EB39" si="376">SUM(DT10:DT38)</f>
        <v>10664</v>
      </c>
      <c r="DU39" s="13">
        <f t="shared" si="376"/>
        <v>3680</v>
      </c>
      <c r="DV39" s="13">
        <f t="shared" si="376"/>
        <v>0</v>
      </c>
      <c r="DW39" s="13">
        <f t="shared" si="376"/>
        <v>20</v>
      </c>
      <c r="DX39" s="13">
        <f t="shared" si="376"/>
        <v>5180</v>
      </c>
      <c r="DY39" s="13">
        <f t="shared" si="376"/>
        <v>5115</v>
      </c>
      <c r="DZ39" s="13">
        <f t="shared" si="376"/>
        <v>3840</v>
      </c>
      <c r="EA39" s="13">
        <f t="shared" si="376"/>
        <v>0</v>
      </c>
      <c r="EB39" s="13">
        <f t="shared" si="376"/>
        <v>17099</v>
      </c>
      <c r="EC39" s="8"/>
      <c r="ED39" s="13">
        <f t="shared" ref="ED39:EK39" si="377">SUM(ED10:ED38)</f>
        <v>17099</v>
      </c>
      <c r="EE39" s="13">
        <f t="shared" si="377"/>
        <v>3840</v>
      </c>
      <c r="EF39" s="13">
        <f t="shared" si="377"/>
        <v>0</v>
      </c>
      <c r="EG39" s="13">
        <f t="shared" si="377"/>
        <v>20</v>
      </c>
      <c r="EH39" s="13">
        <f t="shared" si="377"/>
        <v>5140</v>
      </c>
      <c r="EI39" s="13">
        <f t="shared" si="377"/>
        <v>4560</v>
      </c>
      <c r="EJ39" s="13">
        <f t="shared" si="377"/>
        <v>0</v>
      </c>
      <c r="EK39" s="13">
        <f t="shared" si="377"/>
        <v>17659</v>
      </c>
      <c r="EM39" s="13">
        <f t="shared" ref="EM39:ES39" si="378">SUM(EM10:EM38)</f>
        <v>17659</v>
      </c>
      <c r="EN39" s="13">
        <f t="shared" si="378"/>
        <v>4560</v>
      </c>
      <c r="EO39" s="13">
        <f t="shared" si="378"/>
        <v>0</v>
      </c>
      <c r="EP39" s="13">
        <f t="shared" si="378"/>
        <v>40</v>
      </c>
      <c r="EQ39" s="13">
        <f t="shared" si="378"/>
        <v>4020</v>
      </c>
      <c r="ER39" s="13">
        <f t="shared" si="378"/>
        <v>0</v>
      </c>
      <c r="ES39" s="13">
        <f t="shared" si="378"/>
        <v>13599</v>
      </c>
      <c r="EU39" s="13">
        <f t="shared" ref="EU39:FA39" si="379">SUM(EU10:EU38)</f>
        <v>13599</v>
      </c>
      <c r="EV39" s="13">
        <f t="shared" si="379"/>
        <v>4020</v>
      </c>
      <c r="EW39" s="13">
        <f t="shared" si="379"/>
        <v>0</v>
      </c>
      <c r="EX39" s="13">
        <f t="shared" si="379"/>
        <v>0</v>
      </c>
      <c r="EY39" s="13">
        <f t="shared" si="379"/>
        <v>0</v>
      </c>
      <c r="EZ39" s="13">
        <f t="shared" si="379"/>
        <v>0</v>
      </c>
      <c r="FA39" s="13">
        <f t="shared" si="379"/>
        <v>13599</v>
      </c>
      <c r="FC39" s="13">
        <f t="shared" ref="FC39:FI39" si="380">SUM(FC10:FC38)</f>
        <v>13599</v>
      </c>
      <c r="FD39" s="13">
        <f t="shared" si="380"/>
        <v>0</v>
      </c>
      <c r="FE39" s="13">
        <f t="shared" si="380"/>
        <v>0</v>
      </c>
      <c r="FF39" s="13">
        <f t="shared" si="380"/>
        <v>0</v>
      </c>
      <c r="FG39" s="13">
        <f t="shared" si="380"/>
        <v>0</v>
      </c>
      <c r="FH39" s="13">
        <f t="shared" si="380"/>
        <v>0</v>
      </c>
      <c r="FI39" s="13">
        <f t="shared" si="380"/>
        <v>13599</v>
      </c>
      <c r="FK39" s="13">
        <f t="shared" ref="FK39:FQ39" si="381">SUM(FK10:FK38)</f>
        <v>13599</v>
      </c>
      <c r="FL39" s="13">
        <f t="shared" si="381"/>
        <v>0</v>
      </c>
      <c r="FM39" s="13">
        <f t="shared" si="381"/>
        <v>0</v>
      </c>
      <c r="FN39" s="13">
        <f t="shared" si="381"/>
        <v>0</v>
      </c>
      <c r="FO39" s="13">
        <f t="shared" si="381"/>
        <v>4400</v>
      </c>
      <c r="FP39" s="13">
        <f t="shared" si="381"/>
        <v>0</v>
      </c>
      <c r="FQ39" s="13">
        <f t="shared" si="381"/>
        <v>9199</v>
      </c>
      <c r="FR39" s="8"/>
      <c r="FS39" s="13">
        <f t="shared" ref="FS39:GD39" si="382">SUM(FS10:FS38)</f>
        <v>9199</v>
      </c>
      <c r="FT39" s="13">
        <f t="shared" si="382"/>
        <v>4400</v>
      </c>
      <c r="FU39" s="13">
        <f t="shared" si="382"/>
        <v>60</v>
      </c>
      <c r="FV39" s="13">
        <f t="shared" si="382"/>
        <v>20</v>
      </c>
      <c r="FW39" s="13">
        <f t="shared" si="382"/>
        <v>2760</v>
      </c>
      <c r="FX39" s="13">
        <f t="shared" si="382"/>
        <v>580</v>
      </c>
      <c r="FY39" s="13">
        <f t="shared" si="382"/>
        <v>4755</v>
      </c>
      <c r="FZ39" s="13">
        <f t="shared" si="382"/>
        <v>3745</v>
      </c>
      <c r="GA39" s="13">
        <f t="shared" si="382"/>
        <v>5530</v>
      </c>
      <c r="GB39" s="13">
        <f t="shared" si="382"/>
        <v>3720</v>
      </c>
      <c r="GC39" s="13">
        <f t="shared" si="382"/>
        <v>0</v>
      </c>
      <c r="GD39" s="13">
        <f t="shared" si="382"/>
        <v>22769</v>
      </c>
      <c r="GF39" s="13">
        <f t="shared" ref="GF39:GM39" si="383">SUM(GF10:GF38)</f>
        <v>22769</v>
      </c>
      <c r="GG39" s="13">
        <f t="shared" si="383"/>
        <v>3720</v>
      </c>
      <c r="GH39" s="13">
        <f t="shared" si="383"/>
        <v>0</v>
      </c>
      <c r="GI39" s="13">
        <f t="shared" si="383"/>
        <v>0</v>
      </c>
      <c r="GJ39" s="13">
        <f t="shared" si="383"/>
        <v>4180</v>
      </c>
      <c r="GK39" s="13">
        <f t="shared" si="383"/>
        <v>3800</v>
      </c>
      <c r="GL39" s="13">
        <f t="shared" si="383"/>
        <v>0</v>
      </c>
      <c r="GM39" s="13">
        <f t="shared" si="383"/>
        <v>23149</v>
      </c>
      <c r="GO39" s="13">
        <f t="shared" ref="GO39:GV39" si="384">SUM(GO10:GO38)</f>
        <v>23149</v>
      </c>
      <c r="GP39" s="13">
        <f t="shared" si="384"/>
        <v>3800</v>
      </c>
      <c r="GQ39" s="13">
        <f t="shared" si="384"/>
        <v>20</v>
      </c>
      <c r="GR39" s="13">
        <f t="shared" si="384"/>
        <v>0</v>
      </c>
      <c r="GS39" s="13">
        <f t="shared" si="384"/>
        <v>4360</v>
      </c>
      <c r="GT39" s="13">
        <f t="shared" si="384"/>
        <v>4300</v>
      </c>
      <c r="GU39" s="13">
        <f t="shared" si="384"/>
        <v>0</v>
      </c>
      <c r="GV39" s="13">
        <f t="shared" si="384"/>
        <v>23189</v>
      </c>
      <c r="GW39" s="8"/>
      <c r="GX39" s="13">
        <f t="shared" ref="GX39:HE39" si="385">SUM(GX10:GX38)</f>
        <v>23189</v>
      </c>
      <c r="GY39" s="13">
        <f t="shared" si="385"/>
        <v>4300</v>
      </c>
      <c r="GZ39" s="13">
        <f t="shared" si="385"/>
        <v>20</v>
      </c>
      <c r="HA39" s="13">
        <f t="shared" si="385"/>
        <v>0</v>
      </c>
      <c r="HB39" s="13">
        <f t="shared" si="385"/>
        <v>3815</v>
      </c>
      <c r="HC39" s="13">
        <f t="shared" si="385"/>
        <v>3800</v>
      </c>
      <c r="HD39" s="13">
        <f t="shared" si="385"/>
        <v>0</v>
      </c>
      <c r="HE39" s="13">
        <f t="shared" si="385"/>
        <v>23184</v>
      </c>
      <c r="HF39" s="8"/>
      <c r="HG39" s="13">
        <f t="shared" ref="HG39:HN39" si="386">SUM(HG10:HG38)</f>
        <v>23184</v>
      </c>
      <c r="HH39" s="13">
        <f t="shared" si="386"/>
        <v>3800</v>
      </c>
      <c r="HI39" s="13">
        <f t="shared" si="386"/>
        <v>20</v>
      </c>
      <c r="HJ39" s="13">
        <f t="shared" si="386"/>
        <v>0</v>
      </c>
      <c r="HK39" s="13">
        <f t="shared" si="386"/>
        <v>3325</v>
      </c>
      <c r="HL39" s="13">
        <f t="shared" si="386"/>
        <v>3640</v>
      </c>
      <c r="HM39" s="13">
        <f t="shared" si="386"/>
        <v>0</v>
      </c>
      <c r="HN39" s="13">
        <f t="shared" si="386"/>
        <v>22849</v>
      </c>
      <c r="HO39" s="8"/>
      <c r="HP39" s="13">
        <f t="shared" ref="HP39:HW39" si="387">SUM(HP10:HP38)</f>
        <v>22849</v>
      </c>
      <c r="HQ39" s="13">
        <f t="shared" si="387"/>
        <v>3640</v>
      </c>
      <c r="HR39" s="13">
        <f t="shared" si="387"/>
        <v>0</v>
      </c>
      <c r="HS39" s="13">
        <f t="shared" si="387"/>
        <v>0</v>
      </c>
      <c r="HT39" s="13">
        <f t="shared" si="387"/>
        <v>3700</v>
      </c>
      <c r="HU39" s="13">
        <f t="shared" si="387"/>
        <v>3380</v>
      </c>
      <c r="HV39" s="13">
        <f t="shared" si="387"/>
        <v>0</v>
      </c>
      <c r="HW39" s="13">
        <f t="shared" si="387"/>
        <v>23169</v>
      </c>
      <c r="HX39" s="8"/>
      <c r="HY39" s="13">
        <f t="shared" ref="HY39:IF39" si="388">SUM(HY10:HY38)</f>
        <v>23169</v>
      </c>
      <c r="HZ39" s="13">
        <f t="shared" si="388"/>
        <v>3380</v>
      </c>
      <c r="IA39" s="13">
        <f t="shared" si="388"/>
        <v>0</v>
      </c>
      <c r="IB39" s="13">
        <f t="shared" si="388"/>
        <v>0</v>
      </c>
      <c r="IC39" s="13">
        <f t="shared" si="388"/>
        <v>4000</v>
      </c>
      <c r="ID39" s="13">
        <f t="shared" si="388"/>
        <v>4580</v>
      </c>
      <c r="IE39" s="13">
        <f t="shared" si="388"/>
        <v>0</v>
      </c>
      <c r="IF39" s="13">
        <f t="shared" si="388"/>
        <v>22589</v>
      </c>
      <c r="IG39" s="8"/>
      <c r="IH39" s="13">
        <f t="shared" ref="IH39:IN39" si="389">SUM(IH10:IH38)</f>
        <v>22589</v>
      </c>
      <c r="II39" s="13">
        <f t="shared" si="389"/>
        <v>4580</v>
      </c>
      <c r="IJ39" s="13">
        <f t="shared" si="389"/>
        <v>0</v>
      </c>
      <c r="IK39" s="13">
        <f t="shared" si="389"/>
        <v>0</v>
      </c>
      <c r="IL39" s="13">
        <f t="shared" si="389"/>
        <v>4320</v>
      </c>
      <c r="IM39" s="13">
        <f t="shared" si="389"/>
        <v>0</v>
      </c>
      <c r="IN39" s="13">
        <f t="shared" si="389"/>
        <v>18269</v>
      </c>
      <c r="IO39" s="8"/>
      <c r="IP39" s="13">
        <f t="shared" ref="IP39:IW39" si="390">SUM(IP10:IP38)</f>
        <v>18269</v>
      </c>
      <c r="IQ39" s="13">
        <f t="shared" si="390"/>
        <v>4320</v>
      </c>
      <c r="IR39" s="13">
        <f t="shared" si="390"/>
        <v>0</v>
      </c>
      <c r="IS39" s="13">
        <f t="shared" si="390"/>
        <v>0</v>
      </c>
      <c r="IT39" s="13">
        <f t="shared" si="390"/>
        <v>3860</v>
      </c>
      <c r="IU39" s="13">
        <f t="shared" si="390"/>
        <v>3820</v>
      </c>
      <c r="IV39" s="13">
        <f t="shared" si="390"/>
        <v>0</v>
      </c>
      <c r="IW39" s="13">
        <f t="shared" si="390"/>
        <v>18309</v>
      </c>
      <c r="IX39" s="8"/>
      <c r="IY39" s="13">
        <f t="shared" ref="IY39:JE39" si="391">SUM(IY10:IY38)</f>
        <v>18279</v>
      </c>
      <c r="IZ39" s="13">
        <f t="shared" si="391"/>
        <v>3820</v>
      </c>
      <c r="JA39" s="13">
        <f t="shared" si="391"/>
        <v>0</v>
      </c>
      <c r="JB39" s="13">
        <f t="shared" si="391"/>
        <v>0</v>
      </c>
      <c r="JC39" s="13">
        <f t="shared" si="391"/>
        <v>1640</v>
      </c>
      <c r="JD39" s="13">
        <f t="shared" si="391"/>
        <v>0</v>
      </c>
      <c r="JE39" s="13">
        <f t="shared" si="391"/>
        <v>16639</v>
      </c>
      <c r="JF39" s="8"/>
      <c r="JG39" s="13">
        <f t="shared" ref="JG39:JN39" si="392">SUM(JG10:JG38)</f>
        <v>16639</v>
      </c>
      <c r="JH39" s="13">
        <f t="shared" si="392"/>
        <v>1640</v>
      </c>
      <c r="JI39" s="13">
        <f t="shared" si="392"/>
        <v>40</v>
      </c>
      <c r="JJ39" s="13">
        <f t="shared" si="392"/>
        <v>20</v>
      </c>
      <c r="JK39" s="13">
        <f t="shared" si="392"/>
        <v>4700</v>
      </c>
      <c r="JL39" s="13">
        <f t="shared" si="392"/>
        <v>7640</v>
      </c>
      <c r="JM39" s="13">
        <f t="shared" si="392"/>
        <v>0</v>
      </c>
      <c r="JN39" s="13">
        <f t="shared" si="392"/>
        <v>13639</v>
      </c>
      <c r="JO39" s="8"/>
      <c r="JP39" s="13">
        <f>SUM(JP10:JP38)</f>
        <v>13610</v>
      </c>
      <c r="JQ39" s="13">
        <f t="shared" ref="JQ39:JV39" si="393">SUM(JQ10:JQ38)</f>
        <v>7640</v>
      </c>
      <c r="JR39" s="13">
        <f t="shared" si="393"/>
        <v>0</v>
      </c>
      <c r="JS39" s="13">
        <f t="shared" si="393"/>
        <v>20</v>
      </c>
      <c r="JT39" s="13">
        <f t="shared" si="393"/>
        <v>0</v>
      </c>
      <c r="JU39" s="13">
        <f t="shared" si="393"/>
        <v>0</v>
      </c>
      <c r="JV39" s="13">
        <f t="shared" si="393"/>
        <v>13590</v>
      </c>
      <c r="JW39" s="8"/>
      <c r="JX39" s="13">
        <f>SUM(JX10:JX38)</f>
        <v>13570</v>
      </c>
      <c r="JY39" s="13">
        <f t="shared" ref="JY39:KD39" si="394">SUM(JY10:JY38)</f>
        <v>0</v>
      </c>
      <c r="JZ39" s="13">
        <f t="shared" si="394"/>
        <v>0</v>
      </c>
      <c r="KA39" s="13">
        <f t="shared" si="394"/>
        <v>0</v>
      </c>
      <c r="KB39" s="13">
        <f t="shared" si="394"/>
        <v>4240</v>
      </c>
      <c r="KC39" s="13">
        <f t="shared" si="394"/>
        <v>0</v>
      </c>
      <c r="KD39" s="13">
        <f t="shared" si="394"/>
        <v>9330</v>
      </c>
      <c r="KE39" s="8"/>
      <c r="KF39" s="13">
        <f t="shared" ref="KF39:KM39" si="395">SUM(KF10:KF38)</f>
        <v>9330</v>
      </c>
      <c r="KG39" s="13">
        <f t="shared" si="395"/>
        <v>4240</v>
      </c>
      <c r="KH39" s="13">
        <f t="shared" si="395"/>
        <v>0</v>
      </c>
      <c r="KI39" s="13">
        <f t="shared" si="395"/>
        <v>40</v>
      </c>
      <c r="KJ39" s="13">
        <f t="shared" si="395"/>
        <v>3135</v>
      </c>
      <c r="KK39" s="13">
        <f t="shared" si="395"/>
        <v>3980</v>
      </c>
      <c r="KL39" s="13">
        <f t="shared" si="395"/>
        <v>0</v>
      </c>
      <c r="KM39" s="13">
        <f t="shared" si="395"/>
        <v>8445</v>
      </c>
      <c r="KN39" s="8"/>
      <c r="KO39" s="13">
        <f t="shared" ref="KO39:KV39" si="396">SUM(KO10:KO38)</f>
        <v>8445</v>
      </c>
      <c r="KP39" s="13">
        <f t="shared" si="396"/>
        <v>3980</v>
      </c>
      <c r="KQ39" s="13">
        <f t="shared" si="396"/>
        <v>0</v>
      </c>
      <c r="KR39" s="13">
        <f t="shared" si="396"/>
        <v>0</v>
      </c>
      <c r="KS39" s="13">
        <f t="shared" si="396"/>
        <v>7685</v>
      </c>
      <c r="KT39" s="13">
        <f t="shared" si="396"/>
        <v>2920</v>
      </c>
      <c r="KU39" s="13">
        <f t="shared" si="396"/>
        <v>0</v>
      </c>
      <c r="KV39" s="13">
        <f t="shared" si="396"/>
        <v>13210</v>
      </c>
      <c r="KX39" s="13">
        <f t="shared" ref="KX39:LD39" si="397">SUM(KX10:KX38)</f>
        <v>13210</v>
      </c>
      <c r="KY39" s="13">
        <f t="shared" si="397"/>
        <v>2920</v>
      </c>
      <c r="KZ39" s="13">
        <f t="shared" si="397"/>
        <v>0</v>
      </c>
      <c r="LA39" s="13">
        <f t="shared" si="397"/>
        <v>0</v>
      </c>
      <c r="LB39" s="13">
        <f t="shared" si="397"/>
        <v>0</v>
      </c>
      <c r="LC39" s="13">
        <f t="shared" si="397"/>
        <v>0</v>
      </c>
      <c r="LD39" s="13">
        <f t="shared" si="397"/>
        <v>13210</v>
      </c>
      <c r="LF39" s="13">
        <f t="shared" ref="LF39:LM39" si="398">SUM(LF10:LF38)</f>
        <v>13210</v>
      </c>
      <c r="LG39" s="123">
        <f t="shared" si="398"/>
        <v>3900</v>
      </c>
      <c r="LH39" s="123">
        <f t="shared" si="398"/>
        <v>0</v>
      </c>
      <c r="LI39" s="123">
        <f t="shared" si="398"/>
        <v>20</v>
      </c>
      <c r="LJ39" s="13">
        <f t="shared" si="398"/>
        <v>160</v>
      </c>
      <c r="LK39" s="123">
        <f t="shared" si="398"/>
        <v>0</v>
      </c>
      <c r="LL39" s="123">
        <f t="shared" si="398"/>
        <v>0</v>
      </c>
      <c r="LM39" s="13">
        <f t="shared" si="398"/>
        <v>9450</v>
      </c>
      <c r="LO39" s="13">
        <f t="shared" ref="LO39:LU39" si="399">SUM(LO10:LO38)</f>
        <v>9450</v>
      </c>
      <c r="LP39" s="123">
        <f t="shared" si="399"/>
        <v>2480</v>
      </c>
      <c r="LQ39" s="123">
        <f t="shared" si="399"/>
        <v>0</v>
      </c>
      <c r="LR39" s="123">
        <f t="shared" si="399"/>
        <v>0</v>
      </c>
      <c r="LS39" s="123">
        <f t="shared" si="399"/>
        <v>0</v>
      </c>
      <c r="LT39" s="123">
        <f t="shared" si="399"/>
        <v>0</v>
      </c>
      <c r="LU39" s="13">
        <f t="shared" si="399"/>
        <v>6970</v>
      </c>
      <c r="LW39" s="13">
        <f t="shared" ref="LW39:MC39" si="400">SUM(LW10:LW38)</f>
        <v>6970</v>
      </c>
      <c r="LX39" s="123">
        <f t="shared" si="400"/>
        <v>7060</v>
      </c>
      <c r="LY39" s="123">
        <f t="shared" si="400"/>
        <v>0</v>
      </c>
      <c r="LZ39" s="123">
        <f t="shared" si="400"/>
        <v>20</v>
      </c>
      <c r="MA39" s="123">
        <f t="shared" si="400"/>
        <v>0</v>
      </c>
      <c r="MB39" s="123">
        <f t="shared" si="400"/>
        <v>0</v>
      </c>
      <c r="MC39" s="13">
        <f t="shared" si="400"/>
        <v>-110</v>
      </c>
      <c r="ME39" s="13">
        <f t="shared" ref="ME39:MK39" si="401">SUM(ME10:ME38)</f>
        <v>-110</v>
      </c>
      <c r="MF39" s="123">
        <f t="shared" si="401"/>
        <v>0</v>
      </c>
      <c r="MG39" s="123">
        <f t="shared" si="401"/>
        <v>0</v>
      </c>
      <c r="MH39" s="123">
        <f t="shared" si="401"/>
        <v>60</v>
      </c>
      <c r="MI39" s="123">
        <f t="shared" si="401"/>
        <v>0</v>
      </c>
      <c r="MJ39" s="123">
        <f t="shared" si="401"/>
        <v>0</v>
      </c>
      <c r="MK39" s="13">
        <f t="shared" si="401"/>
        <v>-170</v>
      </c>
      <c r="MM39" s="13">
        <f t="shared" ref="MM39:MS39" si="402">SUM(MM10:MM38)</f>
        <v>-170</v>
      </c>
      <c r="MN39" s="123">
        <f t="shared" si="402"/>
        <v>4180</v>
      </c>
      <c r="MO39" s="123">
        <f t="shared" si="402"/>
        <v>0</v>
      </c>
      <c r="MP39" s="123">
        <f t="shared" si="402"/>
        <v>40</v>
      </c>
      <c r="MQ39" s="123">
        <f t="shared" si="402"/>
        <v>0</v>
      </c>
      <c r="MR39" s="123">
        <f t="shared" si="402"/>
        <v>0</v>
      </c>
      <c r="MS39" s="13">
        <f t="shared" si="402"/>
        <v>-4390</v>
      </c>
      <c r="MU39" s="13">
        <f t="shared" ref="MU39:NA39" si="403">SUM(MU10:MU38)</f>
        <v>-4390</v>
      </c>
      <c r="MV39" s="123">
        <f t="shared" si="403"/>
        <v>4300</v>
      </c>
      <c r="MW39" s="123">
        <f t="shared" si="403"/>
        <v>0</v>
      </c>
      <c r="MX39" s="123">
        <f t="shared" si="403"/>
        <v>51</v>
      </c>
      <c r="MY39" s="123">
        <f t="shared" si="403"/>
        <v>0</v>
      </c>
      <c r="MZ39" s="123">
        <f t="shared" si="403"/>
        <v>0</v>
      </c>
      <c r="NA39" s="13">
        <f t="shared" si="403"/>
        <v>-8741</v>
      </c>
      <c r="NC39" s="13">
        <f t="shared" ref="NC39:NI39" si="404">SUM(NC10:NC38)</f>
        <v>-8741</v>
      </c>
      <c r="ND39" s="123">
        <f t="shared" si="404"/>
        <v>4660</v>
      </c>
      <c r="NE39" s="123">
        <f t="shared" si="404"/>
        <v>0</v>
      </c>
      <c r="NF39" s="123">
        <f t="shared" si="404"/>
        <v>0</v>
      </c>
      <c r="NG39" s="123">
        <f t="shared" si="404"/>
        <v>0</v>
      </c>
      <c r="NH39" s="123">
        <f t="shared" si="404"/>
        <v>0</v>
      </c>
      <c r="NI39" s="13">
        <f t="shared" si="404"/>
        <v>-13401</v>
      </c>
      <c r="NK39" s="13">
        <f t="shared" ref="NK39:NQ39" si="405">SUM(NK10:NK38)</f>
        <v>-13401</v>
      </c>
      <c r="NL39" s="123">
        <f t="shared" si="405"/>
        <v>3540</v>
      </c>
      <c r="NM39" s="123">
        <f t="shared" si="405"/>
        <v>0</v>
      </c>
      <c r="NN39" s="123">
        <f t="shared" si="405"/>
        <v>0</v>
      </c>
      <c r="NO39" s="123">
        <f t="shared" si="405"/>
        <v>0</v>
      </c>
      <c r="NP39" s="123">
        <f t="shared" si="405"/>
        <v>0</v>
      </c>
      <c r="NQ39" s="13">
        <f t="shared" si="405"/>
        <v>-16941</v>
      </c>
      <c r="NS39" s="13">
        <f t="shared" ref="NS39:NY39" si="406">SUM(NS10:NS38)</f>
        <v>-16941</v>
      </c>
      <c r="NT39" s="123">
        <f t="shared" si="406"/>
        <v>4460</v>
      </c>
      <c r="NU39" s="123">
        <f t="shared" si="406"/>
        <v>0</v>
      </c>
      <c r="NV39" s="123">
        <f t="shared" si="406"/>
        <v>0</v>
      </c>
      <c r="NW39" s="123">
        <f t="shared" si="406"/>
        <v>0</v>
      </c>
      <c r="NX39" s="123">
        <f t="shared" si="406"/>
        <v>0</v>
      </c>
      <c r="NY39" s="13">
        <f t="shared" si="406"/>
        <v>-21401</v>
      </c>
      <c r="OA39" s="13">
        <f t="shared" ref="OA39:OG39" si="407">SUM(OA10:OA38)</f>
        <v>-21401</v>
      </c>
      <c r="OB39" s="123">
        <f t="shared" si="407"/>
        <v>3640</v>
      </c>
      <c r="OC39" s="123">
        <f t="shared" si="407"/>
        <v>0</v>
      </c>
      <c r="OD39" s="123">
        <f t="shared" si="407"/>
        <v>0</v>
      </c>
      <c r="OE39" s="123">
        <f t="shared" si="407"/>
        <v>0</v>
      </c>
      <c r="OF39" s="123">
        <f t="shared" si="407"/>
        <v>0</v>
      </c>
      <c r="OG39" s="13">
        <f t="shared" si="407"/>
        <v>-25041</v>
      </c>
      <c r="OI39" s="13">
        <f t="shared" ref="OI39:OO39" si="408">SUM(OI10:OI38)</f>
        <v>-25041</v>
      </c>
      <c r="OJ39" s="123">
        <f t="shared" si="408"/>
        <v>6420</v>
      </c>
      <c r="OK39" s="123">
        <f t="shared" si="408"/>
        <v>0</v>
      </c>
      <c r="OL39" s="123">
        <f t="shared" si="408"/>
        <v>0</v>
      </c>
      <c r="OM39" s="123">
        <f t="shared" si="408"/>
        <v>0</v>
      </c>
      <c r="ON39" s="123">
        <f t="shared" si="408"/>
        <v>0</v>
      </c>
      <c r="OO39" s="13">
        <f t="shared" si="408"/>
        <v>-31461</v>
      </c>
      <c r="OQ39" s="13">
        <f t="shared" ref="OQ39:OW39" si="409">SUM(OQ10:OQ38)</f>
        <v>-31461</v>
      </c>
      <c r="OR39" s="123">
        <f t="shared" si="409"/>
        <v>0</v>
      </c>
      <c r="OS39" s="123">
        <f t="shared" si="409"/>
        <v>0</v>
      </c>
      <c r="OT39" s="123">
        <f t="shared" si="409"/>
        <v>0</v>
      </c>
      <c r="OU39" s="123">
        <f t="shared" si="409"/>
        <v>0</v>
      </c>
      <c r="OV39" s="123">
        <f t="shared" si="409"/>
        <v>0</v>
      </c>
      <c r="OW39" s="13">
        <f t="shared" si="409"/>
        <v>-31461</v>
      </c>
      <c r="OY39" s="13">
        <f t="shared" ref="OY39:PE39" si="410">SUM(OY10:OY38)</f>
        <v>-31461</v>
      </c>
      <c r="OZ39" s="123">
        <f t="shared" si="410"/>
        <v>0</v>
      </c>
      <c r="PA39" s="123">
        <f t="shared" si="410"/>
        <v>0</v>
      </c>
      <c r="PB39" s="123">
        <f t="shared" si="410"/>
        <v>0</v>
      </c>
      <c r="PC39" s="123">
        <f t="shared" si="410"/>
        <v>0</v>
      </c>
      <c r="PD39" s="123">
        <f t="shared" si="410"/>
        <v>0</v>
      </c>
      <c r="PE39" s="13">
        <f t="shared" si="410"/>
        <v>-31461</v>
      </c>
      <c r="PG39" s="13">
        <f t="shared" ref="PG39:PM39" si="411">SUM(PG10:PG38)</f>
        <v>-31461</v>
      </c>
      <c r="PH39" s="123">
        <f t="shared" si="411"/>
        <v>0</v>
      </c>
      <c r="PI39" s="123">
        <f t="shared" si="411"/>
        <v>0</v>
      </c>
      <c r="PJ39" s="123">
        <f t="shared" si="411"/>
        <v>0</v>
      </c>
      <c r="PK39" s="123">
        <f t="shared" si="411"/>
        <v>0</v>
      </c>
      <c r="PL39" s="123">
        <f t="shared" si="411"/>
        <v>0</v>
      </c>
      <c r="PM39" s="13">
        <f t="shared" si="411"/>
        <v>-31461</v>
      </c>
      <c r="PO39" s="13">
        <f t="shared" ref="PO39:PU39" si="412">SUM(PO10:PO38)</f>
        <v>-31461</v>
      </c>
      <c r="PP39" s="123">
        <f t="shared" si="412"/>
        <v>0</v>
      </c>
      <c r="PQ39" s="123">
        <f t="shared" si="412"/>
        <v>0</v>
      </c>
      <c r="PR39" s="123">
        <f t="shared" si="412"/>
        <v>0</v>
      </c>
      <c r="PS39" s="123">
        <f t="shared" si="412"/>
        <v>0</v>
      </c>
      <c r="PT39" s="123">
        <f t="shared" si="412"/>
        <v>0</v>
      </c>
      <c r="PU39" s="13">
        <f t="shared" si="412"/>
        <v>-31461</v>
      </c>
      <c r="PW39" s="13">
        <f t="shared" ref="PW39:QC39" si="413">SUM(PW10:PW38)</f>
        <v>-31461</v>
      </c>
      <c r="PX39" s="123">
        <f t="shared" si="413"/>
        <v>3640</v>
      </c>
      <c r="PY39" s="123">
        <f t="shared" si="413"/>
        <v>0</v>
      </c>
      <c r="PZ39" s="123">
        <f t="shared" si="413"/>
        <v>0</v>
      </c>
      <c r="QA39" s="123">
        <f t="shared" si="413"/>
        <v>0</v>
      </c>
      <c r="QB39" s="123">
        <f t="shared" si="413"/>
        <v>0</v>
      </c>
      <c r="QC39" s="13">
        <f t="shared" si="413"/>
        <v>-35101</v>
      </c>
      <c r="QE39" s="13">
        <f t="shared" ref="QE39:QK39" si="414">SUM(QE10:QE38)</f>
        <v>-35101</v>
      </c>
      <c r="QF39" s="123">
        <f t="shared" si="414"/>
        <v>3680</v>
      </c>
      <c r="QG39" s="123">
        <f t="shared" si="414"/>
        <v>0</v>
      </c>
      <c r="QH39" s="123">
        <f t="shared" si="414"/>
        <v>0</v>
      </c>
      <c r="QI39" s="123">
        <f t="shared" si="414"/>
        <v>0</v>
      </c>
      <c r="QJ39" s="123">
        <f t="shared" si="414"/>
        <v>0</v>
      </c>
      <c r="QK39" s="13">
        <f t="shared" si="414"/>
        <v>-38781</v>
      </c>
      <c r="QM39" s="13">
        <f t="shared" ref="QM39:QS39" si="415">SUM(QM10:QM38)</f>
        <v>-38781</v>
      </c>
      <c r="QN39" s="123">
        <f t="shared" si="415"/>
        <v>3480</v>
      </c>
      <c r="QO39" s="123">
        <f t="shared" si="415"/>
        <v>0</v>
      </c>
      <c r="QP39" s="123">
        <f t="shared" si="415"/>
        <v>0</v>
      </c>
      <c r="QQ39" s="123">
        <f t="shared" si="415"/>
        <v>0</v>
      </c>
      <c r="QR39" s="123">
        <f t="shared" si="415"/>
        <v>0</v>
      </c>
      <c r="QS39" s="13">
        <f t="shared" si="415"/>
        <v>-42261</v>
      </c>
      <c r="QU39" s="13">
        <f t="shared" ref="QU39:RA39" si="416">SUM(QU10:QU38)</f>
        <v>-42261</v>
      </c>
      <c r="QV39" s="123">
        <f t="shared" si="416"/>
        <v>3570</v>
      </c>
      <c r="QW39" s="123">
        <f t="shared" si="416"/>
        <v>0</v>
      </c>
      <c r="QX39" s="123">
        <f t="shared" si="416"/>
        <v>0</v>
      </c>
      <c r="QY39" s="123">
        <f t="shared" si="416"/>
        <v>0</v>
      </c>
      <c r="QZ39" s="123">
        <f t="shared" si="416"/>
        <v>0</v>
      </c>
      <c r="RA39" s="13">
        <f t="shared" si="416"/>
        <v>-45831</v>
      </c>
      <c r="RC39" s="13">
        <f t="shared" ref="RC39:RI39" si="417">SUM(RC10:RC38)</f>
        <v>-45831</v>
      </c>
      <c r="RD39" s="123">
        <f t="shared" si="417"/>
        <v>3570</v>
      </c>
      <c r="RE39" s="123">
        <f t="shared" si="417"/>
        <v>0</v>
      </c>
      <c r="RF39" s="123">
        <f t="shared" si="417"/>
        <v>0</v>
      </c>
      <c r="RG39" s="123">
        <f t="shared" si="417"/>
        <v>0</v>
      </c>
      <c r="RH39" s="123">
        <f t="shared" si="417"/>
        <v>0</v>
      </c>
      <c r="RI39" s="13">
        <f t="shared" si="417"/>
        <v>-49401</v>
      </c>
      <c r="RK39" s="13">
        <f t="shared" ref="RK39:RQ39" si="418">SUM(RK10:RK38)</f>
        <v>-49401</v>
      </c>
      <c r="RL39" s="123">
        <f t="shared" si="418"/>
        <v>3570</v>
      </c>
      <c r="RM39" s="123">
        <f t="shared" si="418"/>
        <v>0</v>
      </c>
      <c r="RN39" s="123">
        <f t="shared" si="418"/>
        <v>0</v>
      </c>
      <c r="RO39" s="123">
        <f t="shared" si="418"/>
        <v>0</v>
      </c>
      <c r="RP39" s="123">
        <f t="shared" si="418"/>
        <v>0</v>
      </c>
      <c r="RQ39" s="13">
        <f t="shared" si="418"/>
        <v>-52971</v>
      </c>
      <c r="RS39" s="13">
        <f t="shared" ref="RS39:RY39" si="419">SUM(RS10:RS38)</f>
        <v>-52971</v>
      </c>
      <c r="RT39" s="123">
        <f t="shared" si="419"/>
        <v>3510</v>
      </c>
      <c r="RU39" s="123">
        <f t="shared" si="419"/>
        <v>0</v>
      </c>
      <c r="RV39" s="123">
        <f t="shared" si="419"/>
        <v>0</v>
      </c>
      <c r="RW39" s="123">
        <f t="shared" si="419"/>
        <v>0</v>
      </c>
      <c r="RX39" s="123">
        <f t="shared" si="419"/>
        <v>0</v>
      </c>
      <c r="RY39" s="13">
        <f t="shared" si="419"/>
        <v>-56481</v>
      </c>
      <c r="SA39" s="13">
        <f t="shared" ref="SA39:SG39" si="420">SUM(SA10:SA38)</f>
        <v>-56481</v>
      </c>
      <c r="SB39" s="123">
        <f t="shared" si="420"/>
        <v>2760</v>
      </c>
      <c r="SC39" s="123">
        <f t="shared" si="420"/>
        <v>0</v>
      </c>
      <c r="SD39" s="123">
        <f t="shared" si="420"/>
        <v>0</v>
      </c>
      <c r="SE39" s="123">
        <f t="shared" si="420"/>
        <v>0</v>
      </c>
      <c r="SF39" s="123">
        <f t="shared" si="420"/>
        <v>0</v>
      </c>
      <c r="SG39" s="13">
        <f t="shared" si="420"/>
        <v>-59241</v>
      </c>
      <c r="SI39" s="13">
        <f t="shared" ref="SI39:SO39" si="421">SUM(SI10:SI38)</f>
        <v>-59241</v>
      </c>
      <c r="SJ39" s="123">
        <f t="shared" si="421"/>
        <v>2760</v>
      </c>
      <c r="SK39" s="123">
        <f t="shared" si="421"/>
        <v>0</v>
      </c>
      <c r="SL39" s="123">
        <f t="shared" si="421"/>
        <v>0</v>
      </c>
      <c r="SM39" s="123">
        <f t="shared" si="421"/>
        <v>0</v>
      </c>
      <c r="SN39" s="123">
        <f t="shared" si="421"/>
        <v>0</v>
      </c>
      <c r="SO39" s="13">
        <f t="shared" si="421"/>
        <v>-62001</v>
      </c>
      <c r="SQ39" s="13">
        <f t="shared" ref="SQ39:SW39" si="422">SUM(SQ10:SQ38)</f>
        <v>-62001</v>
      </c>
      <c r="SR39" s="123">
        <f t="shared" si="422"/>
        <v>2760</v>
      </c>
      <c r="SS39" s="123">
        <f t="shared" si="422"/>
        <v>0</v>
      </c>
      <c r="ST39" s="123">
        <f t="shared" si="422"/>
        <v>0</v>
      </c>
      <c r="SU39" s="123">
        <f t="shared" si="422"/>
        <v>0</v>
      </c>
      <c r="SV39" s="123">
        <f t="shared" si="422"/>
        <v>0</v>
      </c>
      <c r="SW39" s="13">
        <f t="shared" si="422"/>
        <v>-64761</v>
      </c>
      <c r="SY39" s="13">
        <f t="shared" ref="SY39:TE39" si="423">SUM(SY10:SY38)</f>
        <v>-64761</v>
      </c>
      <c r="SZ39" s="123">
        <f t="shared" si="423"/>
        <v>2700</v>
      </c>
      <c r="TA39" s="123">
        <f t="shared" si="423"/>
        <v>0</v>
      </c>
      <c r="TB39" s="123">
        <f t="shared" si="423"/>
        <v>0</v>
      </c>
      <c r="TC39" s="123">
        <f t="shared" si="423"/>
        <v>0</v>
      </c>
      <c r="TD39" s="123">
        <f t="shared" si="423"/>
        <v>0</v>
      </c>
      <c r="TE39" s="13">
        <f t="shared" si="423"/>
        <v>-67461</v>
      </c>
      <c r="TG39" s="13">
        <f t="shared" ref="TG39:TM39" si="424">SUM(TG10:TG38)</f>
        <v>-67461</v>
      </c>
      <c r="TH39" s="123">
        <f t="shared" si="424"/>
        <v>3760</v>
      </c>
      <c r="TI39" s="123">
        <f t="shared" si="424"/>
        <v>0</v>
      </c>
      <c r="TJ39" s="123">
        <f t="shared" si="424"/>
        <v>0</v>
      </c>
      <c r="TK39" s="123">
        <f t="shared" si="424"/>
        <v>0</v>
      </c>
      <c r="TL39" s="123">
        <f t="shared" si="424"/>
        <v>0</v>
      </c>
      <c r="TM39" s="13">
        <f t="shared" si="424"/>
        <v>-71221</v>
      </c>
      <c r="TO39" s="13">
        <f t="shared" ref="TO39:TU39" si="425">SUM(TO10:TO38)</f>
        <v>-71221</v>
      </c>
      <c r="TP39" s="123">
        <f t="shared" si="425"/>
        <v>3760</v>
      </c>
      <c r="TQ39" s="123">
        <f t="shared" si="425"/>
        <v>0</v>
      </c>
      <c r="TR39" s="123">
        <f t="shared" si="425"/>
        <v>0</v>
      </c>
      <c r="TS39" s="123">
        <f t="shared" si="425"/>
        <v>0</v>
      </c>
      <c r="TT39" s="123">
        <f t="shared" si="425"/>
        <v>0</v>
      </c>
      <c r="TU39" s="13">
        <f t="shared" si="425"/>
        <v>-74981</v>
      </c>
      <c r="TW39" s="13">
        <f t="shared" ref="TW39:UC39" si="426">SUM(TW10:TW38)</f>
        <v>-74981</v>
      </c>
      <c r="TX39" s="123">
        <f t="shared" si="426"/>
        <v>3760</v>
      </c>
      <c r="TY39" s="123">
        <f t="shared" si="426"/>
        <v>0</v>
      </c>
      <c r="TZ39" s="123">
        <f t="shared" si="426"/>
        <v>0</v>
      </c>
      <c r="UA39" s="123">
        <f t="shared" si="426"/>
        <v>0</v>
      </c>
      <c r="UB39" s="123">
        <f t="shared" si="426"/>
        <v>0</v>
      </c>
      <c r="UC39" s="13">
        <f t="shared" si="426"/>
        <v>-78741</v>
      </c>
      <c r="UE39" s="13">
        <f t="shared" ref="UE39:UK39" si="427">SUM(UE10:UE38)</f>
        <v>-78741</v>
      </c>
      <c r="UF39" s="123">
        <f t="shared" si="427"/>
        <v>3760</v>
      </c>
      <c r="UG39" s="123">
        <f t="shared" si="427"/>
        <v>0</v>
      </c>
      <c r="UH39" s="123">
        <f t="shared" si="427"/>
        <v>0</v>
      </c>
      <c r="UI39" s="123">
        <f t="shared" si="427"/>
        <v>0</v>
      </c>
      <c r="UJ39" s="123">
        <f t="shared" si="427"/>
        <v>0</v>
      </c>
      <c r="UK39" s="13">
        <f t="shared" si="427"/>
        <v>-82501</v>
      </c>
      <c r="UM39" s="13">
        <f t="shared" ref="UM39:US39" si="428">SUM(UM10:UM38)</f>
        <v>-82501</v>
      </c>
      <c r="UN39" s="123">
        <f t="shared" si="428"/>
        <v>3520</v>
      </c>
      <c r="UO39" s="123">
        <f t="shared" si="428"/>
        <v>0</v>
      </c>
      <c r="UP39" s="123">
        <f t="shared" si="428"/>
        <v>0</v>
      </c>
      <c r="UQ39" s="123">
        <f t="shared" si="428"/>
        <v>0</v>
      </c>
      <c r="UR39" s="123">
        <f t="shared" si="428"/>
        <v>0</v>
      </c>
      <c r="US39" s="13">
        <f t="shared" si="428"/>
        <v>-86021</v>
      </c>
      <c r="UU39" s="13">
        <f t="shared" ref="UU39:VA39" si="429">SUM(UU10:UU38)</f>
        <v>-86021</v>
      </c>
      <c r="UV39" s="123">
        <f t="shared" si="429"/>
        <v>4260</v>
      </c>
      <c r="UW39" s="123">
        <f t="shared" si="429"/>
        <v>0</v>
      </c>
      <c r="UX39" s="123">
        <f t="shared" si="429"/>
        <v>0</v>
      </c>
      <c r="UY39" s="123">
        <f t="shared" si="429"/>
        <v>0</v>
      </c>
      <c r="UZ39" s="123">
        <f t="shared" si="429"/>
        <v>0</v>
      </c>
      <c r="VA39" s="13">
        <f t="shared" si="429"/>
        <v>-90281</v>
      </c>
      <c r="VC39" s="13">
        <f t="shared" ref="VC39:VI39" si="430">SUM(VC10:VC38)</f>
        <v>-90281</v>
      </c>
      <c r="VD39" s="123">
        <f t="shared" si="430"/>
        <v>4260</v>
      </c>
      <c r="VE39" s="123">
        <f t="shared" si="430"/>
        <v>0</v>
      </c>
      <c r="VF39" s="123">
        <f t="shared" si="430"/>
        <v>0</v>
      </c>
      <c r="VG39" s="123">
        <f t="shared" si="430"/>
        <v>0</v>
      </c>
      <c r="VH39" s="123">
        <f t="shared" si="430"/>
        <v>0</v>
      </c>
      <c r="VI39" s="13">
        <f t="shared" si="430"/>
        <v>-94541</v>
      </c>
      <c r="VK39" s="13">
        <f t="shared" ref="VK39:VQ39" si="431">SUM(VK10:VK38)</f>
        <v>-94541</v>
      </c>
      <c r="VL39" s="123">
        <f t="shared" si="431"/>
        <v>0</v>
      </c>
      <c r="VM39" s="123">
        <f t="shared" si="431"/>
        <v>0</v>
      </c>
      <c r="VN39" s="123">
        <f t="shared" si="431"/>
        <v>0</v>
      </c>
      <c r="VO39" s="123">
        <f t="shared" si="431"/>
        <v>0</v>
      </c>
      <c r="VP39" s="123">
        <f t="shared" si="431"/>
        <v>0</v>
      </c>
      <c r="VQ39" s="13">
        <f t="shared" si="431"/>
        <v>-94541</v>
      </c>
    </row>
    <row r="40" spans="1:589" x14ac:dyDescent="0.25">
      <c r="A40" s="10" t="s">
        <v>18</v>
      </c>
      <c r="B40" s="49" t="s">
        <v>17</v>
      </c>
      <c r="C40" s="90">
        <v>32248172</v>
      </c>
      <c r="D40" s="85">
        <v>4172784</v>
      </c>
      <c r="E40" s="11">
        <v>25</v>
      </c>
      <c r="F40" s="12"/>
      <c r="H40" s="122">
        <v>225</v>
      </c>
      <c r="I40" s="125">
        <f>IFERROR(VLOOKUP($D40,'Adient Assende (Belgium) WK.17'!$B:C,J$1,0),0)</f>
        <v>0</v>
      </c>
      <c r="J40" s="55">
        <f>IFERROR(VLOOKUP($D40,'Adient Arendal (Malzia) WK.12'!$B:C,J$1,0),0)</f>
        <v>0</v>
      </c>
      <c r="K40" s="55">
        <f>IFERROR(VLOOKUP($D40,'Adient Taizhou (China) WK.16'!$B:C,J$1,0),0)</f>
        <v>0</v>
      </c>
      <c r="L40" s="128">
        <v>0</v>
      </c>
      <c r="M40" s="30">
        <v>0</v>
      </c>
      <c r="N40" s="111">
        <f t="shared" si="233"/>
        <v>225</v>
      </c>
      <c r="P40" s="37">
        <f t="shared" si="234"/>
        <v>225</v>
      </c>
      <c r="Q40" s="125">
        <f>IFERROR(VLOOKUP($D40,'Adient Assende (Belgium) WK.17'!$B:K,R$1,0),0)</f>
        <v>0</v>
      </c>
      <c r="R40" s="55">
        <f>IFERROR(VLOOKUP($D40,'Adient Arendal (Malzia) WK.12'!$B:K,R$1,0),0)</f>
        <v>0</v>
      </c>
      <c r="S40" s="55">
        <f>IFERROR(VLOOKUP($D40,'Adient Taizhou (China) WK.16'!$B:K,R$1,0),0)</f>
        <v>0</v>
      </c>
      <c r="T40" s="41">
        <v>100</v>
      </c>
      <c r="U40" s="30">
        <v>0</v>
      </c>
      <c r="V40" s="111">
        <f t="shared" si="235"/>
        <v>125</v>
      </c>
      <c r="X40" s="37">
        <f t="shared" si="236"/>
        <v>125</v>
      </c>
      <c r="Y40" s="125">
        <f>IFERROR(VLOOKUP($D40,'Adient Assende (Belgium) WK.17'!$B:S,Z$1,0),0)</f>
        <v>100</v>
      </c>
      <c r="Z40" s="55">
        <f>IFERROR(VLOOKUP($D40,'Adient Arendal (Malzia) WK.12'!$B:S,Z$1,0),0)</f>
        <v>0</v>
      </c>
      <c r="AA40" s="55">
        <f>IFERROR(VLOOKUP($D40,'Adient Taizhou (China) WK.16'!$B:S,Z$1,0),0)</f>
        <v>0</v>
      </c>
      <c r="AB40" s="41">
        <v>0</v>
      </c>
      <c r="AC40" s="30">
        <v>0</v>
      </c>
      <c r="AD40" s="111">
        <f t="shared" si="237"/>
        <v>125</v>
      </c>
      <c r="AF40" s="37">
        <f t="shared" si="238"/>
        <v>125</v>
      </c>
      <c r="AG40" s="125">
        <f>IFERROR(VLOOKUP($D40,'Adient Assende (Belgium) WK.17'!$B:AA,AH$1,0),0)</f>
        <v>0</v>
      </c>
      <c r="AH40" s="55">
        <f>IFERROR(VLOOKUP($D40,'Adient Arendal (Malzia) WK.12'!$B:AA,AH$1,0),0)</f>
        <v>0</v>
      </c>
      <c r="AI40" s="55">
        <f>IFERROR(VLOOKUP($D40,'Adient Taizhou (China) WK.16'!$B:AA,AH$1,0),0)</f>
        <v>0</v>
      </c>
      <c r="AJ40" s="41">
        <v>0</v>
      </c>
      <c r="AK40" s="30">
        <v>0</v>
      </c>
      <c r="AL40" s="111">
        <f t="shared" si="239"/>
        <v>125</v>
      </c>
      <c r="AN40" s="37">
        <f t="shared" ref="AN40:AN70" si="432">AL40</f>
        <v>125</v>
      </c>
      <c r="AO40" s="125">
        <f>IFERROR(VLOOKUP($D40,'Adient Assende (Belgium) WK.17'!$B:AI,AP$1,0),0)</f>
        <v>0</v>
      </c>
      <c r="AP40" s="55">
        <f>IFERROR(VLOOKUP($D40,'Adient Arendal (Malzia) WK.12'!$B:AI,AP$1,0),0)</f>
        <v>0</v>
      </c>
      <c r="AQ40" s="55">
        <f>IFERROR(VLOOKUP($D40,'Adient Taizhou (China) WK.16'!$B:AI,AP$1,0),0)</f>
        <v>0</v>
      </c>
      <c r="AR40" s="60">
        <v>0</v>
      </c>
      <c r="AS40" s="41">
        <v>0</v>
      </c>
      <c r="AT40" s="30">
        <v>0</v>
      </c>
      <c r="AU40" s="111">
        <f t="shared" si="240"/>
        <v>125</v>
      </c>
      <c r="AW40" s="37">
        <f t="shared" ref="AW40:AW70" si="433">AU40</f>
        <v>125</v>
      </c>
      <c r="AX40" s="125">
        <f>IFERROR(VLOOKUP($D40,'Adient Assende (Belgium) WK.17'!$B:AR,AY$1,0),0)</f>
        <v>0</v>
      </c>
      <c r="AY40" s="55">
        <f>IFERROR(VLOOKUP($D40,'Adient Arendal (Malzia) WK.12'!$B:AR,AY$1,0),0)</f>
        <v>0</v>
      </c>
      <c r="AZ40" s="55">
        <f>IFERROR(VLOOKUP($D40,'Adient Taizhou (China) WK.16'!$B:AU,AY$1,0),0)</f>
        <v>0</v>
      </c>
      <c r="BA40" s="41">
        <v>100</v>
      </c>
      <c r="BB40" s="30">
        <v>0</v>
      </c>
      <c r="BC40" s="111">
        <f t="shared" si="241"/>
        <v>25</v>
      </c>
      <c r="BE40" s="37">
        <f t="shared" ref="BE40:BE70" si="434">BC40</f>
        <v>25</v>
      </c>
      <c r="BF40" s="125">
        <f>IFERROR(VLOOKUP($D40,'Adient Assende (Belgium) WK.17'!$B:AX,BG$1,0),0)</f>
        <v>100</v>
      </c>
      <c r="BG40" s="55">
        <f>IFERROR(VLOOKUP($D40,'Adient Arendal (Malzia) WK.12'!$B:AZ,BG$1,0),0)</f>
        <v>0</v>
      </c>
      <c r="BH40" s="55">
        <f>IFERROR(VLOOKUP($D40,'Adient Taizhou (China) WK.16'!$B:BB,BG$1,0),0)</f>
        <v>0</v>
      </c>
      <c r="BI40" s="60">
        <v>0</v>
      </c>
      <c r="BJ40" s="60">
        <v>0</v>
      </c>
      <c r="BK40" s="41">
        <v>0</v>
      </c>
      <c r="BL40" s="30">
        <v>0</v>
      </c>
      <c r="BM40" s="111">
        <f t="shared" si="242"/>
        <v>25</v>
      </c>
      <c r="BN40" s="8"/>
      <c r="BO40" s="37">
        <f t="shared" ref="BO40:BO70" si="435">BM40</f>
        <v>25</v>
      </c>
      <c r="BP40" s="125">
        <f>IFERROR(VLOOKUP($D40,'Adient Assende (Belgium) WK.17'!$B:BH,BQ$1,0),0)</f>
        <v>0</v>
      </c>
      <c r="BQ40" s="55">
        <f>IFERROR(VLOOKUP($D40,'Adient Arendal (Malzia) WK.12'!$B:BI,BQ$1,0),0)</f>
        <v>0</v>
      </c>
      <c r="BR40" s="55">
        <f>IFERROR(VLOOKUP($D40,'Adient Taizhou (China) WK.16'!$B:BL,BQ$1,0),0)</f>
        <v>0</v>
      </c>
      <c r="BS40" s="60">
        <v>0</v>
      </c>
      <c r="BT40" s="60">
        <v>0</v>
      </c>
      <c r="BU40" s="60">
        <v>0</v>
      </c>
      <c r="BV40" s="41">
        <v>0</v>
      </c>
      <c r="BW40" s="30">
        <v>0</v>
      </c>
      <c r="BX40" s="111">
        <f t="shared" si="243"/>
        <v>25</v>
      </c>
      <c r="BY40" s="8"/>
      <c r="BZ40" s="37">
        <f t="shared" ref="BZ40:BZ70" si="436">BX40</f>
        <v>25</v>
      </c>
      <c r="CA40" s="125">
        <f>IFERROR(VLOOKUP($D40,'Adient Assende (Belgium) WK.17'!$B:BS,CB$1,0),0)</f>
        <v>0</v>
      </c>
      <c r="CB40" s="55">
        <f>IFERROR(VLOOKUP($D40,'Adient Arendal (Malzia) WK.12'!$B:BT,CB$1,0),0)</f>
        <v>0</v>
      </c>
      <c r="CC40" s="55">
        <f>IFERROR(VLOOKUP($D40,'Adient Taizhou (China) WK.16'!$B:BW,CB$1,0),0)</f>
        <v>100</v>
      </c>
      <c r="CD40" s="60">
        <v>100</v>
      </c>
      <c r="CE40" s="60">
        <v>0</v>
      </c>
      <c r="CF40" s="41">
        <v>0</v>
      </c>
      <c r="CG40" s="30">
        <v>0</v>
      </c>
      <c r="CH40" s="111">
        <f t="shared" si="244"/>
        <v>25</v>
      </c>
      <c r="CI40" s="8"/>
      <c r="CJ40" s="37">
        <f t="shared" ref="CJ40:CJ70" si="437">CH40</f>
        <v>25</v>
      </c>
      <c r="CK40" s="125">
        <f>IFERROR(VLOOKUP($D40,'Adient Assende (Belgium) WK.17'!$B:CC,CL$1,0),0)</f>
        <v>0</v>
      </c>
      <c r="CL40" s="55">
        <f>IFERROR(VLOOKUP($D40,'Adient Arendal (Malzia) WK.12'!$B:CD,CL$1,0),0)</f>
        <v>0</v>
      </c>
      <c r="CM40" s="55">
        <f>IFERROR(VLOOKUP($D40,'Adient Taizhou (China) WK.16'!$B:CG,CL$1,0),0)</f>
        <v>0</v>
      </c>
      <c r="CN40" s="60">
        <v>100</v>
      </c>
      <c r="CO40" s="149">
        <v>0</v>
      </c>
      <c r="CP40" s="30">
        <v>0</v>
      </c>
      <c r="CQ40" s="111">
        <f t="shared" si="245"/>
        <v>125</v>
      </c>
      <c r="CR40" s="8"/>
      <c r="CS40" s="122">
        <f t="shared" ref="CS40:CS70" si="438">CQ40</f>
        <v>125</v>
      </c>
      <c r="CT40" s="154">
        <f>IFERROR(VLOOKUP($D40,'Adient Assende (Belgium) WK.17'!$B:CL,CU$1,0),0)</f>
        <v>0</v>
      </c>
      <c r="CU40" s="55">
        <f>IFERROR(VLOOKUP($D40,'Adient Arendal (Malzia) WK.12'!$B:CM,CU$1,0),0)</f>
        <v>0</v>
      </c>
      <c r="CV40" s="55">
        <f>IFERROR(VLOOKUP($D40,'Adient Taizhou (China) WK.16'!$B:CP,CU$1,0),0)</f>
        <v>0</v>
      </c>
      <c r="CW40" s="60">
        <v>0</v>
      </c>
      <c r="CX40" s="60">
        <v>0</v>
      </c>
      <c r="CY40" s="128">
        <v>100</v>
      </c>
      <c r="CZ40" s="30">
        <v>0</v>
      </c>
      <c r="DA40" s="111">
        <f t="shared" si="246"/>
        <v>25</v>
      </c>
      <c r="DB40" s="8"/>
      <c r="DC40" s="37">
        <f t="shared" ref="DC40:DC70" si="439">DA40</f>
        <v>25</v>
      </c>
      <c r="DD40" s="125">
        <f>IFERROR(VLOOKUP($D40,'Adient Assende (Belgium) WK.17'!$B:CS,DE$1,0),0)</f>
        <v>100</v>
      </c>
      <c r="DE40" s="55">
        <f>IFERROR(VLOOKUP($D40,'Adient Arendal (Malzia) WK.12'!$B:CU,DE$1,0),0)</f>
        <v>0</v>
      </c>
      <c r="DF40" s="55">
        <f>IFERROR(VLOOKUP($D40,'Adient Taizhou (China) WK.16'!$B:CX,DE$1,0),0)</f>
        <v>0</v>
      </c>
      <c r="DG40" s="60">
        <v>0</v>
      </c>
      <c r="DH40" s="128">
        <v>0</v>
      </c>
      <c r="DI40" s="30">
        <v>0</v>
      </c>
      <c r="DJ40" s="111">
        <f t="shared" si="247"/>
        <v>25</v>
      </c>
      <c r="DL40" s="37">
        <f t="shared" ref="DL40:DL70" si="440">DJ40</f>
        <v>25</v>
      </c>
      <c r="DM40" s="125">
        <f>IFERROR(VLOOKUP($D40,'Adient Assende (Belgium) WK.17'!$B:DB,DN$1,0),0)</f>
        <v>0</v>
      </c>
      <c r="DN40" s="55">
        <f>IFERROR(VLOOKUP($D40,'Adient Arendal (Malzia) WK.12'!$B:DC,DN$1,0),0)</f>
        <v>0</v>
      </c>
      <c r="DO40" s="55">
        <f>IFERROR(VLOOKUP($D40,'Adient Taizhou (China) WK.16'!$B:DF,DN$1,0),0)</f>
        <v>0</v>
      </c>
      <c r="DP40" s="128">
        <v>0</v>
      </c>
      <c r="DQ40" s="30">
        <v>0</v>
      </c>
      <c r="DR40" s="111">
        <f t="shared" ref="DR40:DR70" si="441">((DL40-(DN40+DO40+DP40)+DQ40))</f>
        <v>25</v>
      </c>
      <c r="DS40" s="8"/>
      <c r="DT40" s="37">
        <f t="shared" ref="DT40:DT70" si="442">DR40</f>
        <v>25</v>
      </c>
      <c r="DU40" s="125">
        <f>IFERROR(VLOOKUP($D40,'Adient Assende (Belgium) WK.17'!$B:DJ,DV$1,0),0)</f>
        <v>0</v>
      </c>
      <c r="DV40" s="55">
        <f>IFERROR(VLOOKUP($D40,'Adient Arendal (Malzia) WK.12'!$B:DK,DV$1,0),0)</f>
        <v>0</v>
      </c>
      <c r="DW40" s="55">
        <f>IFERROR(VLOOKUP($D40,'Adient Taizhou (China) WK.16'!$B:DN,DV$1,0),0)</f>
        <v>0</v>
      </c>
      <c r="DX40" s="60">
        <v>0</v>
      </c>
      <c r="DY40" s="60">
        <v>0</v>
      </c>
      <c r="DZ40" s="128">
        <v>0</v>
      </c>
      <c r="EA40" s="30">
        <v>0</v>
      </c>
      <c r="EB40" s="111">
        <f t="shared" si="248"/>
        <v>25</v>
      </c>
      <c r="EC40" s="8"/>
      <c r="ED40" s="37">
        <f t="shared" ref="ED40:ED70" si="443">EB40</f>
        <v>25</v>
      </c>
      <c r="EE40" s="125">
        <f>IFERROR(VLOOKUP($D40,'Adient Assende (Belgium) WK.17'!$B:DR,EF$1,0),0)</f>
        <v>0</v>
      </c>
      <c r="EF40" s="55">
        <f>IFERROR(VLOOKUP($D40,'Adient Arendal (Malzia) WK.12'!$B:DS,EF$1,0),0)</f>
        <v>0</v>
      </c>
      <c r="EG40" s="55">
        <f>IFERROR(VLOOKUP($D40,'Adient Taizhou (China) WK.16'!$B:DV,EF$1,0),0)</f>
        <v>0</v>
      </c>
      <c r="EH40" s="60">
        <v>150</v>
      </c>
      <c r="EI40" s="128">
        <v>0</v>
      </c>
      <c r="EJ40" s="30">
        <v>0</v>
      </c>
      <c r="EK40" s="111">
        <f t="shared" si="249"/>
        <v>175</v>
      </c>
      <c r="EM40" s="37">
        <f t="shared" ref="EM40:EM70" si="444">EK40</f>
        <v>175</v>
      </c>
      <c r="EN40" s="125">
        <f>IFERROR(VLOOKUP($D40,'Adient Assende (Belgium) WK.17'!$B:DZ,EO$1,0),0)</f>
        <v>0</v>
      </c>
      <c r="EO40" s="55">
        <f>IFERROR(VLOOKUP($D40,'Adient Arendal (Malzia) WK.12'!$B:EA,EO$1,0),0)</f>
        <v>0</v>
      </c>
      <c r="EP40" s="55">
        <f>IFERROR(VLOOKUP($D40,'Adient Taizhou (China) WK.16'!$B:ED,EO$1,0),0)</f>
        <v>0</v>
      </c>
      <c r="EQ40" s="128">
        <v>0</v>
      </c>
      <c r="ER40" s="30">
        <v>0</v>
      </c>
      <c r="ES40" s="111">
        <f t="shared" si="250"/>
        <v>175</v>
      </c>
      <c r="EU40" s="37">
        <f t="shared" ref="EU40:EU70" si="445">ES40</f>
        <v>175</v>
      </c>
      <c r="EV40" s="125">
        <f>IFERROR(VLOOKUP($D40,'Adient Assende (Belgium) WK.17'!$B:EH,EW$1,0),0)</f>
        <v>0</v>
      </c>
      <c r="EW40" s="55">
        <f>IFERROR(VLOOKUP($D40,'Adient Arendal (Malzia) WK.12'!$B:EI,EW$1,0),0)</f>
        <v>0</v>
      </c>
      <c r="EX40" s="55">
        <f>IFERROR(VLOOKUP($D40,'Adient Taizhou (China) WK.16'!$B:EL,EW$1,0),0)</f>
        <v>0</v>
      </c>
      <c r="EY40" s="128">
        <v>0</v>
      </c>
      <c r="EZ40" s="30">
        <v>0</v>
      </c>
      <c r="FA40" s="111">
        <f t="shared" si="251"/>
        <v>175</v>
      </c>
      <c r="FC40" s="37">
        <f t="shared" ref="FC40:FC70" si="446">FA40</f>
        <v>175</v>
      </c>
      <c r="FD40" s="154">
        <f>IFERROR(VLOOKUP($D40,'Adient Assende (Belgium) WK.17'!$B:EP,FE$1,0),0)</f>
        <v>0</v>
      </c>
      <c r="FE40" s="154">
        <f>IFERROR(VLOOKUP($D40,'Adient Arendal (Malzia) WK.12'!$B:EQ,FE$1,0),0)</f>
        <v>0</v>
      </c>
      <c r="FF40" s="154">
        <f>IFERROR(VLOOKUP($D40,'Adient Taizhou (China) WK.16'!$B:ET,FE$1,0),0)</f>
        <v>0</v>
      </c>
      <c r="FG40" s="128">
        <v>0</v>
      </c>
      <c r="FH40" s="30">
        <v>0</v>
      </c>
      <c r="FI40" s="111">
        <f t="shared" si="252"/>
        <v>175</v>
      </c>
      <c r="FK40" s="37">
        <f t="shared" ref="FK40:FK70" si="447">FI40</f>
        <v>175</v>
      </c>
      <c r="FL40" s="125">
        <f>IFERROR(VLOOKUP($D40,'Adient Assende (Belgium) WK.17'!$B:EX,FM$1,0),0)</f>
        <v>0</v>
      </c>
      <c r="FM40" s="55">
        <f>IFERROR(VLOOKUP($D40,'Adient Arendal (Malzia) WK.12'!$B:EY,FM$1,0),0)</f>
        <v>0</v>
      </c>
      <c r="FN40" s="55">
        <f>IFERROR(VLOOKUP($D40,'Adient Taizhou (China) WK.16'!$B:FB,FM$1,0),0)</f>
        <v>0</v>
      </c>
      <c r="FO40" s="128">
        <v>100</v>
      </c>
      <c r="FP40" s="30">
        <v>0</v>
      </c>
      <c r="FQ40" s="111">
        <f t="shared" si="253"/>
        <v>75</v>
      </c>
      <c r="FR40" s="8"/>
      <c r="FS40" s="37">
        <f t="shared" ref="FS40:FS70" si="448">FQ40</f>
        <v>75</v>
      </c>
      <c r="FT40" s="125">
        <f>IFERROR(VLOOKUP($D40,'Adient Assende (Belgium) WK.17'!$B:FF,FU$1,0),0)</f>
        <v>100</v>
      </c>
      <c r="FU40" s="55">
        <f>IFERROR(VLOOKUP($D40,'Adient Arendal (Malzia) WK.12'!$B:FG,FU$1,0),0)</f>
        <v>0</v>
      </c>
      <c r="FV40" s="55">
        <f>IFERROR(VLOOKUP($D40,'Adient Taizhou (China) WK.16'!$B:FJ,FU$1,0),0)</f>
        <v>0</v>
      </c>
      <c r="FW40" s="60">
        <v>100</v>
      </c>
      <c r="FX40" s="60">
        <v>0</v>
      </c>
      <c r="FY40" s="60">
        <v>0</v>
      </c>
      <c r="FZ40" s="60">
        <v>200</v>
      </c>
      <c r="GA40" s="60">
        <v>0</v>
      </c>
      <c r="GB40" s="128">
        <v>0</v>
      </c>
      <c r="GC40" s="30">
        <v>0</v>
      </c>
      <c r="GD40" s="111">
        <f t="shared" si="254"/>
        <v>375</v>
      </c>
      <c r="GF40" s="37">
        <f t="shared" ref="GF40:GF70" si="449">GD40</f>
        <v>375</v>
      </c>
      <c r="GG40" s="125">
        <f>IFERROR(VLOOKUP($D40,'Adient Assende (Belgium) WK.17'!$B:FN,GH$1,0),0)</f>
        <v>0</v>
      </c>
      <c r="GH40" s="55">
        <f>IFERROR(VLOOKUP($D40,'Adient Arendal (Malzia) WK.12'!$B:FO,GH$1,0),0)</f>
        <v>0</v>
      </c>
      <c r="GI40" s="55">
        <f>IFERROR(VLOOKUP($D40,'Adient Taizhou (China) WK.16'!$B:FR,GH$1,0),0)</f>
        <v>0</v>
      </c>
      <c r="GJ40" s="60">
        <v>225</v>
      </c>
      <c r="GK40" s="128">
        <v>0</v>
      </c>
      <c r="GL40" s="30">
        <v>0</v>
      </c>
      <c r="GM40" s="111">
        <f t="shared" si="255"/>
        <v>600</v>
      </c>
      <c r="GO40" s="37">
        <f t="shared" ref="GO40:GO70" si="450">GM40</f>
        <v>600</v>
      </c>
      <c r="GP40" s="125">
        <f>IFERROR(VLOOKUP($D40,'Adient Assende (Belgium) WK.17'!$B:FV,GQ$1,0),0)</f>
        <v>0</v>
      </c>
      <c r="GQ40" s="55">
        <f>IFERROR(VLOOKUP($D40,'Adient Arendal (Malzia) WK.12'!$B:FW,GQ$1,0),0)</f>
        <v>0</v>
      </c>
      <c r="GR40" s="55">
        <f>IFERROR(VLOOKUP($D40,'Adient Taizhou (China) WK.16'!$B:FZ,GQ$1,0),0)</f>
        <v>0</v>
      </c>
      <c r="GS40" s="60">
        <v>150</v>
      </c>
      <c r="GT40" s="128">
        <v>100</v>
      </c>
      <c r="GU40" s="30">
        <v>0</v>
      </c>
      <c r="GV40" s="111">
        <f t="shared" si="256"/>
        <v>650</v>
      </c>
      <c r="GW40" s="8"/>
      <c r="GX40" s="37">
        <f t="shared" ref="GX40:GX70" si="451">GV40</f>
        <v>650</v>
      </c>
      <c r="GY40" s="125">
        <f>IFERROR(VLOOKUP($D40,'Adient Assende (Belgium) WK.17'!$B:GD,GZ$1,0),0)</f>
        <v>100</v>
      </c>
      <c r="GZ40" s="55">
        <f>IFERROR(VLOOKUP($D40,'Adient Arendal (Malzia) WK.12'!$B:GE,GZ$1,0),0)</f>
        <v>0</v>
      </c>
      <c r="HA40" s="55">
        <f>IFERROR(VLOOKUP($D40,'Adient Taizhou (China) WK.16'!$B:GH,GZ$1,0),0)</f>
        <v>0</v>
      </c>
      <c r="HB40" s="60">
        <v>50</v>
      </c>
      <c r="HC40" s="128">
        <v>0</v>
      </c>
      <c r="HD40" s="30">
        <v>0</v>
      </c>
      <c r="HE40" s="111">
        <f t="shared" si="257"/>
        <v>700</v>
      </c>
      <c r="HF40" s="8"/>
      <c r="HG40" s="37">
        <f t="shared" ref="HG40:HG70" si="452">HE40</f>
        <v>700</v>
      </c>
      <c r="HH40" s="125">
        <f>IFERROR(VLOOKUP($D40,'Adient Assende (Belgium) WK.17'!$B:GL,HI$1,0),0)</f>
        <v>0</v>
      </c>
      <c r="HI40" s="55">
        <f>IFERROR(VLOOKUP($D40,'Adient Arendal (Malzia) WK.12'!$B:GM,HI$1,0),0)</f>
        <v>0</v>
      </c>
      <c r="HJ40" s="55">
        <f>IFERROR(VLOOKUP($D40,'Adient Taizhou (China) WK.16'!$B:GP,HI$1,0),0)</f>
        <v>0</v>
      </c>
      <c r="HK40" s="60">
        <v>0</v>
      </c>
      <c r="HL40" s="128">
        <v>0</v>
      </c>
      <c r="HM40" s="30">
        <v>0</v>
      </c>
      <c r="HN40" s="111">
        <f t="shared" si="258"/>
        <v>700</v>
      </c>
      <c r="HO40" s="8"/>
      <c r="HP40" s="37">
        <f t="shared" ref="HP40:HP70" si="453">HN40</f>
        <v>700</v>
      </c>
      <c r="HQ40" s="125">
        <f>IFERROR(VLOOKUP($D40,'Adient Assende (Belgium) WK.17'!$B:GT,HR$1,0),0)</f>
        <v>0</v>
      </c>
      <c r="HR40" s="55">
        <f>IFERROR(VLOOKUP($D40,'Adient Arendal (Malzia) WK.12'!$B:GU,HR$1,0),0)</f>
        <v>0</v>
      </c>
      <c r="HS40" s="55">
        <f>IFERROR(VLOOKUP($D40,'Adient Taizhou (China) WK.16'!$B:GX,HR$1,0),0)</f>
        <v>18</v>
      </c>
      <c r="HT40" s="60">
        <v>0</v>
      </c>
      <c r="HU40" s="128">
        <v>0</v>
      </c>
      <c r="HV40" s="30">
        <v>0</v>
      </c>
      <c r="HW40" s="111">
        <f t="shared" si="259"/>
        <v>682</v>
      </c>
      <c r="HX40" s="8"/>
      <c r="HY40" s="37">
        <f t="shared" ref="HY40:HY70" si="454">HW40</f>
        <v>682</v>
      </c>
      <c r="HZ40" s="125">
        <f>IFERROR(VLOOKUP($D40,'Adient Assende (Belgium) WK.17'!$B:HB,IA$1,0),0)</f>
        <v>0</v>
      </c>
      <c r="IA40" s="55">
        <f>IFERROR(VLOOKUP($D40,'Adient Arendal (Malzia) WK.12'!$B:HC,IA$1,0),0)</f>
        <v>0</v>
      </c>
      <c r="IB40" s="55">
        <f>IFERROR(VLOOKUP($D40,'Adient Taizhou (China) WK.16'!$B:HF,IA$1,0),0)</f>
        <v>0</v>
      </c>
      <c r="IC40" s="60">
        <v>0</v>
      </c>
      <c r="ID40" s="128">
        <v>0</v>
      </c>
      <c r="IE40" s="30">
        <v>0</v>
      </c>
      <c r="IF40" s="111">
        <f t="shared" si="260"/>
        <v>682</v>
      </c>
      <c r="IG40" s="8"/>
      <c r="IH40" s="37">
        <f t="shared" ref="IH40:IH70" si="455">IF40</f>
        <v>682</v>
      </c>
      <c r="II40" s="125">
        <f>IFERROR(VLOOKUP($D40,'Adient Assende (Belgium) WK.17'!$B:HJ,IJ$1,0),0)</f>
        <v>0</v>
      </c>
      <c r="IJ40" s="55">
        <f>IFERROR(VLOOKUP($D40,'Adient Arendal (Malzia) WK.12'!$B:HK,IJ$1,0),0)</f>
        <v>0</v>
      </c>
      <c r="IK40" s="55">
        <f>IFERROR(VLOOKUP($D40,'Adient Taizhou (China) WK.16'!$B:HN,IJ$1,0),0)</f>
        <v>0</v>
      </c>
      <c r="IL40" s="128">
        <v>0</v>
      </c>
      <c r="IM40" s="30">
        <v>0</v>
      </c>
      <c r="IN40" s="111">
        <f t="shared" ref="IN40:IN70" si="456">((IH40-(IJ40+IK40+IL40)+IM40))</f>
        <v>682</v>
      </c>
      <c r="IO40" s="8"/>
      <c r="IP40" s="37">
        <f t="shared" ref="IP40:IP70" si="457">IN40</f>
        <v>682</v>
      </c>
      <c r="IQ40" s="125">
        <f>IFERROR(VLOOKUP($D40,'Adient Assende (Belgium) WK.17'!$B:HR,IR$1,0),0)</f>
        <v>0</v>
      </c>
      <c r="IR40" s="55">
        <f>IFERROR(VLOOKUP($D40,'Adient Arendal (Malzia) WK.12'!$B:HS,IR$1,0),0)</f>
        <v>0</v>
      </c>
      <c r="IS40" s="55">
        <f>IFERROR(VLOOKUP($D40,'Adient Taizhou (China) WK.16'!$B:HV,IR$1,0),0)</f>
        <v>0</v>
      </c>
      <c r="IT40" s="60">
        <v>0</v>
      </c>
      <c r="IU40" s="128">
        <v>0</v>
      </c>
      <c r="IV40" s="30">
        <v>0</v>
      </c>
      <c r="IW40" s="111">
        <f t="shared" si="261"/>
        <v>682</v>
      </c>
      <c r="IX40" s="8"/>
      <c r="IY40" s="37">
        <f t="shared" ref="IY40:IY70" si="458">IW40</f>
        <v>682</v>
      </c>
      <c r="IZ40" s="125">
        <f>IFERROR(VLOOKUP($D40,'Adient Assende (Belgium) WK.17'!$B:HZ,JA$1,0),0)</f>
        <v>0</v>
      </c>
      <c r="JA40" s="55">
        <f>IFERROR(VLOOKUP($D40,'Adient Arendal (Malzia) WK.12'!$B:IA,JA$1,0),0)</f>
        <v>0</v>
      </c>
      <c r="JB40" s="55">
        <f>IFERROR(VLOOKUP($D40,'Adient Taizhou (China) WK.16'!$B:ID,JA$1,0),0)</f>
        <v>0</v>
      </c>
      <c r="JC40" s="128">
        <v>0</v>
      </c>
      <c r="JD40" s="30">
        <v>0</v>
      </c>
      <c r="JE40" s="111">
        <f t="shared" ref="JE40:JE70" si="459">((IY40-(JA40+JB40+JC40)+JD40))</f>
        <v>682</v>
      </c>
      <c r="JF40" s="8"/>
      <c r="JG40" s="37">
        <f t="shared" ref="JG40:JG70" si="460">JE40</f>
        <v>682</v>
      </c>
      <c r="JH40" s="125">
        <f>IFERROR(VLOOKUP($D40,'Adient Assende (Belgium) WK.17'!$B:IH,JI$1,0),0)</f>
        <v>0</v>
      </c>
      <c r="JI40" s="55">
        <f>IFERROR(VLOOKUP($D40,'Adient Arendal (Malzia) WK.12'!$B:II,JI$1,0),0)</f>
        <v>0</v>
      </c>
      <c r="JJ40" s="55">
        <f>IFERROR(VLOOKUP($D40,'Adient Taizhou (China) WK.16'!$B:IL,JI$1,0),0)</f>
        <v>25</v>
      </c>
      <c r="JK40" s="60">
        <v>0</v>
      </c>
      <c r="JL40" s="128">
        <v>0</v>
      </c>
      <c r="JM40" s="30">
        <v>0</v>
      </c>
      <c r="JN40" s="111">
        <f t="shared" si="262"/>
        <v>657</v>
      </c>
      <c r="JO40" s="8"/>
      <c r="JP40" s="37">
        <f t="shared" ref="JP40:JP70" si="461">JN40</f>
        <v>657</v>
      </c>
      <c r="JQ40" s="125">
        <f>IFERROR(VLOOKUP($D40,'Adient Assende (Belgium) WK.17'!$B:IP,JR$1,0),0)</f>
        <v>0</v>
      </c>
      <c r="JR40" s="55">
        <f>IFERROR(VLOOKUP($D40,'Adient Arendal (Malzia) WK.12'!$B:IQ,JR$1,0),0)</f>
        <v>0</v>
      </c>
      <c r="JS40" s="55">
        <f>IFERROR(VLOOKUP($D40,'Adient Taizhou (China) WK.16'!$B:IT,JR$1,0),0)</f>
        <v>0</v>
      </c>
      <c r="JT40" s="128">
        <v>0</v>
      </c>
      <c r="JU40" s="30">
        <v>0</v>
      </c>
      <c r="JV40" s="111">
        <f t="shared" ref="JV40:JV70" si="462">((JP40-(JR40+JS40+JT40)+JU40))</f>
        <v>657</v>
      </c>
      <c r="JW40" s="8"/>
      <c r="JX40" s="37">
        <f t="shared" ref="JX40:JX70" si="463">JV40</f>
        <v>657</v>
      </c>
      <c r="JY40" s="154">
        <f>IFERROR(VLOOKUP($D40,'Adient Assende (Belgium) WK.17'!$B:IX,JZ$1,0),0)</f>
        <v>0</v>
      </c>
      <c r="JZ40" s="55">
        <f>IFERROR(VLOOKUP($D40,'Adient Arendal (Malzia) WK.12'!$B:IY,JZ$1,0),0)</f>
        <v>0</v>
      </c>
      <c r="KA40" s="55">
        <f>IFERROR(VLOOKUP($D40,'Adient Taizhou (China) WK.16'!$B:JB,JZ$1,0),0)</f>
        <v>0</v>
      </c>
      <c r="KB40" s="128">
        <v>0</v>
      </c>
      <c r="KC40" s="30">
        <v>0</v>
      </c>
      <c r="KD40" s="111">
        <f t="shared" si="263"/>
        <v>657</v>
      </c>
      <c r="KE40" s="8"/>
      <c r="KF40" s="37">
        <f t="shared" ref="KF40:KF70" si="464">KD40</f>
        <v>657</v>
      </c>
      <c r="KG40" s="125">
        <f>IFERROR(VLOOKUP($D40,'Adient Assende (Belgium) WK.17'!$B:JF,KH$1,0),0)</f>
        <v>0</v>
      </c>
      <c r="KH40" s="55">
        <f>IFERROR(VLOOKUP($D40,'Adient Arendal (Malzia) WK.12'!$B:JG,KH$1,0),0)</f>
        <v>0</v>
      </c>
      <c r="KI40" s="55">
        <f>IFERROR(VLOOKUP($D40,'Adient Taizhou (China) WK.16'!$B:JJ,KH$1,0),0)</f>
        <v>0</v>
      </c>
      <c r="KJ40" s="60">
        <v>0</v>
      </c>
      <c r="KK40" s="128">
        <v>0</v>
      </c>
      <c r="KL40" s="30">
        <v>0</v>
      </c>
      <c r="KM40" s="111">
        <f t="shared" si="264"/>
        <v>657</v>
      </c>
      <c r="KN40" s="8"/>
      <c r="KO40" s="37">
        <f t="shared" ref="KO40:KO70" si="465">KM40</f>
        <v>657</v>
      </c>
      <c r="KP40" s="141">
        <f>IFERROR(VLOOKUP($D40,'Adient Assende (Belgium) WK.17'!$B:JN,KQ$1,0),0)</f>
        <v>0</v>
      </c>
      <c r="KQ40" s="140">
        <f>IFERROR(VLOOKUP($D40,'Adient Arendal (Malzia) WK.12'!$B:JO,KQ$1,0),0)</f>
        <v>0</v>
      </c>
      <c r="KR40" s="140">
        <f>IFERROR(VLOOKUP($D40,'Adient Taizhou (China) WK.16'!$B:JR,KQ$1,0),0)</f>
        <v>0</v>
      </c>
      <c r="KS40" s="60">
        <v>0</v>
      </c>
      <c r="KT40" s="128">
        <v>0</v>
      </c>
      <c r="KU40" s="30">
        <v>0</v>
      </c>
      <c r="KV40" s="111">
        <f t="shared" si="265"/>
        <v>657</v>
      </c>
      <c r="KX40" s="37">
        <f t="shared" ref="KX40:KX70" si="466">KV40</f>
        <v>657</v>
      </c>
      <c r="KY40" s="141">
        <f>IFERROR(VLOOKUP($D40,'Adient Assende (Belgium) WK.17'!$B:JV,KZ$1,0),0)</f>
        <v>0</v>
      </c>
      <c r="KZ40" s="140">
        <f>IFERROR(VLOOKUP($D40,'Adient Arendal (Malzia) WK.12'!$B:JW,KZ$1,0),0)</f>
        <v>0</v>
      </c>
      <c r="LA40" s="140">
        <f>IFERROR(VLOOKUP($D40,'Adient Taizhou (China) WK.16'!$B:JZ,KZ$1,0),0)</f>
        <v>0</v>
      </c>
      <c r="LB40" s="128">
        <v>0</v>
      </c>
      <c r="LC40" s="30">
        <v>0</v>
      </c>
      <c r="LD40" s="111">
        <f t="shared" ref="LD40:LD70" si="467">((KX40-(KZ40+LA40+LB40)+LC40))</f>
        <v>657</v>
      </c>
      <c r="LF40" s="37">
        <f t="shared" ref="LF40:LF70" si="468">LD40</f>
        <v>657</v>
      </c>
      <c r="LG40" s="141">
        <f>IFERROR(VLOOKUP($D40,'Adient Assende (Belgium) WK.17'!$B:KD,LH$1,0),0)</f>
        <v>0</v>
      </c>
      <c r="LH40" s="140">
        <f>IFERROR(VLOOKUP($D40,'Adient Arendal (Malzia) WK.12'!$B:KE,LH$1,0),0)</f>
        <v>0</v>
      </c>
      <c r="LI40" s="140">
        <f>IFERROR(VLOOKUP($D40,'Adient Taizhou (China) WK.16'!$B:KH,LH$1,0),0)</f>
        <v>0</v>
      </c>
      <c r="LJ40" s="60">
        <v>0</v>
      </c>
      <c r="LK40" s="128">
        <v>0</v>
      </c>
      <c r="LL40" s="30">
        <v>0</v>
      </c>
      <c r="LM40" s="100">
        <f t="shared" si="267"/>
        <v>657</v>
      </c>
      <c r="LO40" s="37">
        <f t="shared" ref="LO40:LO70" si="469">LM40</f>
        <v>657</v>
      </c>
      <c r="LP40" s="141">
        <f>IFERROR(VLOOKUP($D40,'Adient Assende (Belgium) WK.17'!$B:KL,LQ$1,0),0)</f>
        <v>100</v>
      </c>
      <c r="LQ40" s="140">
        <f>IFERROR(VLOOKUP($D40,'Adient Arendal (Malzia) WK.12'!$B:KM,LQ$1,0),0)</f>
        <v>0</v>
      </c>
      <c r="LR40" s="140">
        <f>IFERROR(VLOOKUP($D40,'Adient Taizhou (China) WK.16'!$B:KP,LQ$1,0),0)</f>
        <v>0</v>
      </c>
      <c r="LS40" s="128">
        <v>0</v>
      </c>
      <c r="LT40" s="30">
        <v>0</v>
      </c>
      <c r="LU40" s="100">
        <f t="shared" ref="LU40:LU70" si="470">((LO40-(LP40+LQ40+LR40)+LT40))</f>
        <v>557</v>
      </c>
      <c r="LW40" s="37">
        <f t="shared" ref="LW40:LW70" si="471">LU40</f>
        <v>557</v>
      </c>
      <c r="LX40" s="141">
        <f>IFERROR(VLOOKUP($D40,'Adient Assende (Belgium) WK.17'!$B:KT,LY$1,0),0)</f>
        <v>0</v>
      </c>
      <c r="LY40" s="140">
        <f>IFERROR(VLOOKUP($D40,'Adient Arendal (Malzia) WK.12'!$B:KU,LY$1,0),0)</f>
        <v>0</v>
      </c>
      <c r="LZ40" s="140">
        <f>IFERROR(VLOOKUP($D40,'Adient Taizhou (China) WK.16'!$B:KX,LY$1,0),0)</f>
        <v>0</v>
      </c>
      <c r="MA40" s="128">
        <v>0</v>
      </c>
      <c r="MB40" s="30">
        <v>0</v>
      </c>
      <c r="MC40" s="100">
        <f t="shared" ref="MC40:MC70" si="472">((LW40-(LX40+LY40+LZ40)+MB40))</f>
        <v>557</v>
      </c>
      <c r="ME40" s="37">
        <f t="shared" ref="ME40:ME70" si="473">MC40</f>
        <v>557</v>
      </c>
      <c r="MF40" s="154">
        <f>IFERROR(VLOOKUP($D40,'Adient Assende (Belgium) WK.17'!$B:LB,MG$1,0),0)</f>
        <v>0</v>
      </c>
      <c r="MG40" s="140">
        <f>IFERROR(VLOOKUP($D40,'Adient Arendal (Malzia) WK.12'!$B:LC,MG$1,0),0)</f>
        <v>0</v>
      </c>
      <c r="MH40" s="140">
        <f>IFERROR(VLOOKUP($D40,'Adient Taizhou (China) WK.16'!$B:LF,MG$1,0),0)</f>
        <v>0</v>
      </c>
      <c r="MI40" s="128">
        <v>0</v>
      </c>
      <c r="MJ40" s="30">
        <v>0</v>
      </c>
      <c r="MK40" s="100">
        <f t="shared" ref="MK40:MK70" si="474">((ME40-(MF40+MG40+MH40)+MJ40))</f>
        <v>557</v>
      </c>
      <c r="MM40" s="37">
        <f t="shared" ref="MM40:MM70" si="475">MK40</f>
        <v>557</v>
      </c>
      <c r="MN40" s="141">
        <f>IFERROR(VLOOKUP($D40,'Adient Assende (Belgium) WK.17'!$B:LJ,MO$1,0),0)</f>
        <v>0</v>
      </c>
      <c r="MO40" s="140">
        <f>IFERROR(VLOOKUP($D40,'Adient Arendal (Malzia) WK.12'!$B:LK,MO$1,0),0)</f>
        <v>0</v>
      </c>
      <c r="MP40" s="140">
        <f>IFERROR(VLOOKUP($D40,'Adient Taizhou (China) WK.16'!$B:LN,MO$1,0),0)</f>
        <v>0</v>
      </c>
      <c r="MQ40" s="128">
        <v>0</v>
      </c>
      <c r="MR40" s="30">
        <v>0</v>
      </c>
      <c r="MS40" s="100">
        <f t="shared" ref="MS40:MS70" si="476">((MM40-(MN40+MO40+MP40)+MR40))</f>
        <v>557</v>
      </c>
      <c r="MU40" s="37">
        <f t="shared" ref="MU40:MU70" si="477">MS40</f>
        <v>557</v>
      </c>
      <c r="MV40" s="141">
        <f>IFERROR(VLOOKUP($D40,'Adient Assende (Belgium) WK.17'!$B:LR,MW$1,0),0)</f>
        <v>0</v>
      </c>
      <c r="MW40" s="140">
        <f>IFERROR(VLOOKUP($D40,'Adient Arendal (Malzia) WK.12'!$B:LS,MW$1,0),0)</f>
        <v>0</v>
      </c>
      <c r="MX40" s="140">
        <f>IFERROR(VLOOKUP($D40,'Adient Taizhou (China) WK.16'!$B:LV,MW$1,0),0)</f>
        <v>0</v>
      </c>
      <c r="MY40" s="128">
        <v>0</v>
      </c>
      <c r="MZ40" s="30">
        <v>0</v>
      </c>
      <c r="NA40" s="100">
        <f t="shared" ref="NA40:NA70" si="478">((MU40-(MV40+MW40+MX40)+MZ40))</f>
        <v>557</v>
      </c>
      <c r="NC40" s="37">
        <f t="shared" ref="NC40:NC70" si="479">NA40</f>
        <v>557</v>
      </c>
      <c r="ND40" s="141">
        <f>IFERROR(VLOOKUP($D40,'Adient Assende (Belgium) WK.17'!$B:LZ,NE$1,0),0)</f>
        <v>0</v>
      </c>
      <c r="NE40" s="140">
        <f>IFERROR(VLOOKUP($D40,'Adient Arendal (Malzia) WK.12'!$B:MA,NE$1,0),0)</f>
        <v>0</v>
      </c>
      <c r="NF40" s="140">
        <f>IFERROR(VLOOKUP($D40,'Adient Taizhou (China) WK.16'!$B:MD,NE$1,0),0)</f>
        <v>0</v>
      </c>
      <c r="NG40" s="128">
        <v>0</v>
      </c>
      <c r="NH40" s="30">
        <v>0</v>
      </c>
      <c r="NI40" s="100">
        <f t="shared" ref="NI40:NI70" si="480">((NC40-(ND40+NE40+NF40)+NH40))</f>
        <v>557</v>
      </c>
      <c r="NK40" s="37">
        <f t="shared" ref="NK40:NK70" si="481">NI40</f>
        <v>557</v>
      </c>
      <c r="NL40" s="141">
        <f>IFERROR(VLOOKUP($D40,'Adient Assende (Belgium) WK.17'!$B:MH,NM$1,0),0)</f>
        <v>0</v>
      </c>
      <c r="NM40" s="140">
        <f>IFERROR(VLOOKUP($D40,'Adient Arendal (Malzia) WK.12'!$B:MI,NM$1,0),0)</f>
        <v>0</v>
      </c>
      <c r="NN40" s="140">
        <f>IFERROR(VLOOKUP($D40,'Adient Taizhou (China) WK.16'!$B:ML,NM$1,0),0)</f>
        <v>0</v>
      </c>
      <c r="NO40" s="128">
        <v>0</v>
      </c>
      <c r="NP40" s="30">
        <v>0</v>
      </c>
      <c r="NQ40" s="100">
        <f t="shared" ref="NQ40:NQ70" si="482">((NK40-(NL40+NM40+NN40)+NP40))</f>
        <v>557</v>
      </c>
      <c r="NS40" s="37">
        <f t="shared" ref="NS40:NS70" si="483">NQ40</f>
        <v>557</v>
      </c>
      <c r="NT40" s="141">
        <f>IFERROR(VLOOKUP($D40,'Adient Assende (Belgium) WK.17'!$B:MP,NU$1,0),0)</f>
        <v>100</v>
      </c>
      <c r="NU40" s="140">
        <f>IFERROR(VLOOKUP($D40,'Adient Arendal (Malzia) WK.12'!$B:MQ,NU$1,0),0)</f>
        <v>0</v>
      </c>
      <c r="NV40" s="140">
        <f>IFERROR(VLOOKUP($D40,'Adient Taizhou (China) WK.16'!$B:MT,NU$1,0),0)</f>
        <v>0</v>
      </c>
      <c r="NW40" s="128">
        <v>0</v>
      </c>
      <c r="NX40" s="30">
        <v>0</v>
      </c>
      <c r="NY40" s="100">
        <f t="shared" ref="NY40:NY70" si="484">((NS40-(NT40+NU40+NV40)+NX40))</f>
        <v>457</v>
      </c>
      <c r="OA40" s="37">
        <f t="shared" ref="OA40:OA70" si="485">NY40</f>
        <v>457</v>
      </c>
      <c r="OB40" s="141">
        <f>IFERROR(VLOOKUP($D40,'Adient Assende (Belgium) WK.17'!$B:MX,OC$1,0),0)</f>
        <v>0</v>
      </c>
      <c r="OC40" s="140">
        <f>IFERROR(VLOOKUP($D40,'Adient Arendal (Malzia) WK.12'!$B:MY,OC$1,0),0)</f>
        <v>0</v>
      </c>
      <c r="OD40" s="140">
        <f>IFERROR(VLOOKUP($D40,'Adient Taizhou (China) WK.16'!$B:NB,OC$1,0),0)</f>
        <v>0</v>
      </c>
      <c r="OE40" s="128">
        <v>0</v>
      </c>
      <c r="OF40" s="30">
        <v>0</v>
      </c>
      <c r="OG40" s="100">
        <f t="shared" ref="OG40:OG70" si="486">((OA40-(OB40+OC40+OD40)+OF40))</f>
        <v>457</v>
      </c>
      <c r="OI40" s="37">
        <f t="shared" ref="OI40:OI70" si="487">OG40</f>
        <v>457</v>
      </c>
      <c r="OJ40" s="141">
        <f>IFERROR(VLOOKUP($D40,'Adient Assende (Belgium) WK.17'!$B:NF,OK$1,0),0)</f>
        <v>0</v>
      </c>
      <c r="OK40" s="140">
        <f>IFERROR(VLOOKUP($D40,'Adient Arendal (Malzia) WK.12'!$B:NG,OK$1,0),0)</f>
        <v>0</v>
      </c>
      <c r="OL40" s="140">
        <f>IFERROR(VLOOKUP($D40,'Adient Taizhou (China) WK.16'!$B:NJ,OK$1,0),0)</f>
        <v>0</v>
      </c>
      <c r="OM40" s="128">
        <v>0</v>
      </c>
      <c r="ON40" s="30">
        <v>0</v>
      </c>
      <c r="OO40" s="100">
        <f t="shared" ref="OO40:OO70" si="488">((OI40-(OJ40+OK40+OL40)+ON40))</f>
        <v>457</v>
      </c>
      <c r="OQ40" s="37">
        <f t="shared" ref="OQ40:OQ70" si="489">OO40</f>
        <v>457</v>
      </c>
      <c r="OR40" s="141">
        <f>IFERROR(VLOOKUP($D40,'Adient Assende (Belgium) WK.17'!$B:NN,OS$1,0),0)</f>
        <v>0</v>
      </c>
      <c r="OS40" s="140">
        <f>IFERROR(VLOOKUP($D40,'Adient Arendal (Malzia) WK.12'!$B:NO,OS$1,0),0)</f>
        <v>0</v>
      </c>
      <c r="OT40" s="140">
        <f>IFERROR(VLOOKUP($D40,'Adient Taizhou (China) WK.16'!$B:NR,OS$1,0),0)</f>
        <v>0</v>
      </c>
      <c r="OU40" s="128">
        <v>0</v>
      </c>
      <c r="OV40" s="30">
        <v>0</v>
      </c>
      <c r="OW40" s="100">
        <f t="shared" ref="OW40:OW70" si="490">((OQ40-(OR40+OS40+OT40)+OV40))</f>
        <v>457</v>
      </c>
      <c r="OY40" s="37">
        <f t="shared" ref="OY40:OY70" si="491">OW40</f>
        <v>457</v>
      </c>
      <c r="OZ40" s="141">
        <f>IFERROR(VLOOKUP($D40,'Adient Assende (Belgium) WK.17'!$B:NV,PA$1,0),0)</f>
        <v>0</v>
      </c>
      <c r="PA40" s="140">
        <f>IFERROR(VLOOKUP($D40,'Adient Arendal (Malzia) WK.12'!$B:NW,PA$1,0),0)</f>
        <v>0</v>
      </c>
      <c r="PB40" s="140">
        <f>IFERROR(VLOOKUP($D40,'Adient Taizhou (China) WK.16'!$B:NZ,PA$1,0),0)</f>
        <v>0</v>
      </c>
      <c r="PC40" s="128">
        <v>0</v>
      </c>
      <c r="PD40" s="30">
        <v>0</v>
      </c>
      <c r="PE40" s="100">
        <f t="shared" ref="PE40:PE70" si="492">((OY40-(OZ40+PA40+PB40)+PD40))</f>
        <v>457</v>
      </c>
      <c r="PG40" s="37">
        <f t="shared" ref="PG40:PG70" si="493">PE40</f>
        <v>457</v>
      </c>
      <c r="PH40" s="141">
        <f>IFERROR(VLOOKUP($D40,'Adient Assende (Belgium) WK.17'!$B:OD,PI$1,0),0)</f>
        <v>0</v>
      </c>
      <c r="PI40" s="140">
        <f>IFERROR(VLOOKUP($D40,'Adient Arendal (Malzia) WK.12'!$B:OE,PI$1,0),0)</f>
        <v>0</v>
      </c>
      <c r="PJ40" s="140">
        <f>IFERROR(VLOOKUP($D40,'Adient Taizhou (China) WK.16'!$B:OH,PI$1,0),0)</f>
        <v>0</v>
      </c>
      <c r="PK40" s="128">
        <v>0</v>
      </c>
      <c r="PL40" s="30">
        <v>0</v>
      </c>
      <c r="PM40" s="100">
        <f t="shared" ref="PM40:PM70" si="494">((PG40-(PH40+PI40+PJ40)+PL40))</f>
        <v>457</v>
      </c>
      <c r="PO40" s="37">
        <f t="shared" ref="PO40:PO70" si="495">PM40</f>
        <v>457</v>
      </c>
      <c r="PP40" s="141">
        <f>IFERROR(VLOOKUP($D40,'Adient Assende (Belgium) WK.17'!$B:OL,PQ$1,0),0)</f>
        <v>0</v>
      </c>
      <c r="PQ40" s="140">
        <f>IFERROR(VLOOKUP($D40,'Adient Arendal (Malzia) WK.12'!$B:OM,PQ$1,0),0)</f>
        <v>0</v>
      </c>
      <c r="PR40" s="140">
        <f>IFERROR(VLOOKUP($D40,'Adient Taizhou (China) WK.16'!$B:OP,PQ$1,0),0)</f>
        <v>0</v>
      </c>
      <c r="PS40" s="128">
        <v>0</v>
      </c>
      <c r="PT40" s="30">
        <v>0</v>
      </c>
      <c r="PU40" s="100">
        <f t="shared" ref="PU40:PU70" si="496">((PO40-(PP40+PQ40+PR40)+PT40))</f>
        <v>457</v>
      </c>
      <c r="PW40" s="37">
        <f t="shared" ref="PW40:PW70" si="497">PU40</f>
        <v>457</v>
      </c>
      <c r="PX40" s="141">
        <f>IFERROR(VLOOKUP($D40,'Adient Assende (Belgium) WK.17'!$B:OT,PY$1,0),0)</f>
        <v>0</v>
      </c>
      <c r="PY40" s="140">
        <f>IFERROR(VLOOKUP($D40,'Adient Arendal (Malzia) WK.12'!$B:OU,PY$1,0),0)</f>
        <v>0</v>
      </c>
      <c r="PZ40" s="140">
        <f>IFERROR(VLOOKUP($D40,'Adient Taizhou (China) WK.16'!$B:OX,PY$1,0),0)</f>
        <v>0</v>
      </c>
      <c r="QA40" s="128">
        <v>0</v>
      </c>
      <c r="QB40" s="30">
        <v>0</v>
      </c>
      <c r="QC40" s="100">
        <f t="shared" ref="QC40:QC70" si="498">((PW40-(PX40+PY40+PZ40)+QB40))</f>
        <v>457</v>
      </c>
      <c r="QE40" s="37">
        <f t="shared" ref="QE40:QE70" si="499">QC40</f>
        <v>457</v>
      </c>
      <c r="QF40" s="141">
        <f>IFERROR(VLOOKUP($D40,'Adient Assende (Belgium) WK.17'!$B:PB,QG$1,0),0)</f>
        <v>0</v>
      </c>
      <c r="QG40" s="140">
        <f>IFERROR(VLOOKUP($D40,'Adient Arendal (Malzia) WK.12'!$B:PC,QG$1,0),0)</f>
        <v>0</v>
      </c>
      <c r="QH40" s="140">
        <f>IFERROR(VLOOKUP($D40,'Adient Taizhou (China) WK.16'!$B:PF,QG$1,0),0)</f>
        <v>0</v>
      </c>
      <c r="QI40" s="128">
        <v>0</v>
      </c>
      <c r="QJ40" s="30">
        <v>0</v>
      </c>
      <c r="QK40" s="100">
        <f t="shared" ref="QK40:QK70" si="500">((QE40-(QF40+QG40+QH40)+QJ40))</f>
        <v>457</v>
      </c>
      <c r="QM40" s="37">
        <f t="shared" ref="QM40:QM70" si="501">QK40</f>
        <v>457</v>
      </c>
      <c r="QN40" s="141">
        <f>IFERROR(VLOOKUP($D40,'Adient Assende (Belgium) WK.17'!$B:PJ,QO$1,0),0)</f>
        <v>0</v>
      </c>
      <c r="QO40" s="140">
        <f>IFERROR(VLOOKUP($D40,'Adient Arendal (Malzia) WK.12'!$B:PK,QO$1,0),0)</f>
        <v>0</v>
      </c>
      <c r="QP40" s="140">
        <f>IFERROR(VLOOKUP($D40,'Adient Taizhou (China) WK.16'!$B:PN,QO$1,0),0)</f>
        <v>0</v>
      </c>
      <c r="QQ40" s="128">
        <v>0</v>
      </c>
      <c r="QR40" s="30">
        <v>0</v>
      </c>
      <c r="QS40" s="100">
        <f t="shared" ref="QS40:QS70" si="502">((QM40-(QN40+QO40+QP40)+QR40))</f>
        <v>457</v>
      </c>
      <c r="QU40" s="37">
        <f t="shared" ref="QU40:QU70" si="503">QS40</f>
        <v>457</v>
      </c>
      <c r="QV40" s="141">
        <f>IFERROR(VLOOKUP($D40,'Adient Assende (Belgium) WK.17'!$B:PR,QW$1,0),0)</f>
        <v>30</v>
      </c>
      <c r="QW40" s="140">
        <f>IFERROR(VLOOKUP($D40,'Adient Arendal (Malzia) WK.12'!$B:PS,QW$1,0),0)</f>
        <v>0</v>
      </c>
      <c r="QX40" s="140">
        <f>IFERROR(VLOOKUP($D40,'Adient Taizhou (China) WK.16'!$B:PV,QW$1,0),0)</f>
        <v>0</v>
      </c>
      <c r="QY40" s="128">
        <v>0</v>
      </c>
      <c r="QZ40" s="30">
        <v>0</v>
      </c>
      <c r="RA40" s="100">
        <f t="shared" ref="RA40:RA70" si="504">((QU40-(QV40+QW40+QX40)+QZ40))</f>
        <v>427</v>
      </c>
      <c r="RC40" s="37">
        <f t="shared" ref="RC40:RC70" si="505">RA40</f>
        <v>427</v>
      </c>
      <c r="RD40" s="141">
        <f>IFERROR(VLOOKUP($D40,'Adient Assende (Belgium) WK.17'!$B:PZ,RE$1,0),0)</f>
        <v>30</v>
      </c>
      <c r="RE40" s="140">
        <f>IFERROR(VLOOKUP($D40,'Adient Arendal (Malzia) WK.12'!$B:QA,RE$1,0),0)</f>
        <v>0</v>
      </c>
      <c r="RF40" s="140">
        <f>IFERROR(VLOOKUP($D40,'Adient Taizhou (China) WK.16'!$B:QD,RE$1,0),0)</f>
        <v>0</v>
      </c>
      <c r="RG40" s="128">
        <v>0</v>
      </c>
      <c r="RH40" s="30">
        <v>0</v>
      </c>
      <c r="RI40" s="100">
        <f t="shared" ref="RI40:RI70" si="506">((RC40-(RD40+RE40+RF40)+RH40))</f>
        <v>397</v>
      </c>
      <c r="RK40" s="37">
        <f t="shared" ref="RK40:RK70" si="507">RI40</f>
        <v>397</v>
      </c>
      <c r="RL40" s="141">
        <f>IFERROR(VLOOKUP($D40,'Adient Assende (Belgium) WK.17'!$B:QH,RM$1,0),0)</f>
        <v>30</v>
      </c>
      <c r="RM40" s="140">
        <f>IFERROR(VLOOKUP($D40,'Adient Arendal (Malzia) WK.12'!$B:QI,RM$1,0),0)</f>
        <v>0</v>
      </c>
      <c r="RN40" s="140">
        <f>IFERROR(VLOOKUP($D40,'Adient Taizhou (China) WK.16'!$B:QL,RM$1,0),0)</f>
        <v>0</v>
      </c>
      <c r="RO40" s="128">
        <v>0</v>
      </c>
      <c r="RP40" s="30">
        <v>0</v>
      </c>
      <c r="RQ40" s="100">
        <f t="shared" ref="RQ40:RQ70" si="508">((RK40-(RL40+RM40+RN40)+RP40))</f>
        <v>367</v>
      </c>
      <c r="RS40" s="37">
        <f t="shared" ref="RS40:RS70" si="509">RQ40</f>
        <v>367</v>
      </c>
      <c r="RT40" s="141">
        <f>IFERROR(VLOOKUP($D40,'Adient Assende (Belgium) WK.17'!$B:QP,RU$1,0),0)</f>
        <v>10</v>
      </c>
      <c r="RU40" s="140">
        <f>IFERROR(VLOOKUP($D40,'Adient Arendal (Malzia) WK.12'!$B:QQ,RU$1,0),0)</f>
        <v>0</v>
      </c>
      <c r="RV40" s="140">
        <f>IFERROR(VLOOKUP($D40,'Adient Taizhou (China) WK.16'!$B:QT,RU$1,0),0)</f>
        <v>0</v>
      </c>
      <c r="RW40" s="128">
        <v>0</v>
      </c>
      <c r="RX40" s="30">
        <v>0</v>
      </c>
      <c r="RY40" s="100">
        <f t="shared" ref="RY40:RY70" si="510">((RS40-(RT40+RU40+RV40)+RX40))</f>
        <v>357</v>
      </c>
      <c r="SA40" s="37">
        <f t="shared" ref="SA40:SA70" si="511">RY40</f>
        <v>357</v>
      </c>
      <c r="SB40" s="141">
        <f>IFERROR(VLOOKUP($D40,'Adient Assende (Belgium) WK.17'!$B:QX,SC$1,0),0)</f>
        <v>0</v>
      </c>
      <c r="SC40" s="140">
        <f>IFERROR(VLOOKUP($D40,'Adient Arendal (Malzia) WK.12'!$B:QY,SC$1,0),0)</f>
        <v>0</v>
      </c>
      <c r="SD40" s="140">
        <f>IFERROR(VLOOKUP($D40,'Adient Taizhou (China) WK.16'!$B:RB,SC$1,0),0)</f>
        <v>0</v>
      </c>
      <c r="SE40" s="128">
        <v>0</v>
      </c>
      <c r="SF40" s="30">
        <v>0</v>
      </c>
      <c r="SG40" s="100">
        <f t="shared" ref="SG40:SG70" si="512">((SA40-(SB40+SC40+SD40)+SF40))</f>
        <v>357</v>
      </c>
      <c r="SI40" s="37">
        <f t="shared" ref="SI40:SI70" si="513">SG40</f>
        <v>357</v>
      </c>
      <c r="SJ40" s="141">
        <f>IFERROR(VLOOKUP($D40,'Adient Assende (Belgium) WK.17'!$B:RF,SK$1,0),0)</f>
        <v>0</v>
      </c>
      <c r="SK40" s="140">
        <f>IFERROR(VLOOKUP($D40,'Adient Arendal (Malzia) WK.12'!$B:RG,SK$1,0),0)</f>
        <v>0</v>
      </c>
      <c r="SL40" s="140">
        <f>IFERROR(VLOOKUP($D40,'Adient Taizhou (China) WK.16'!$B:RJ,SK$1,0),0)</f>
        <v>0</v>
      </c>
      <c r="SM40" s="128">
        <v>0</v>
      </c>
      <c r="SN40" s="30">
        <v>0</v>
      </c>
      <c r="SO40" s="100">
        <f t="shared" ref="SO40:SO70" si="514">((SI40-(SJ40+SK40+SL40)+SN40))</f>
        <v>357</v>
      </c>
      <c r="SQ40" s="37">
        <f t="shared" ref="SQ40:SQ70" si="515">SO40</f>
        <v>357</v>
      </c>
      <c r="SR40" s="141">
        <f>IFERROR(VLOOKUP($D40,'Adient Assende (Belgium) WK.17'!$B:RN,SS$1,0),0)</f>
        <v>0</v>
      </c>
      <c r="SS40" s="140">
        <f>IFERROR(VLOOKUP($D40,'Adient Arendal (Malzia) WK.12'!$B:RO,SS$1,0),0)</f>
        <v>0</v>
      </c>
      <c r="ST40" s="140">
        <f>IFERROR(VLOOKUP($D40,'Adient Taizhou (China) WK.16'!$B:RR,SS$1,0),0)</f>
        <v>0</v>
      </c>
      <c r="SU40" s="128">
        <v>0</v>
      </c>
      <c r="SV40" s="30">
        <v>0</v>
      </c>
      <c r="SW40" s="100">
        <f t="shared" ref="SW40:SW70" si="516">((SQ40-(SR40+SS40+ST40)+SV40))</f>
        <v>357</v>
      </c>
      <c r="SY40" s="37">
        <f t="shared" ref="SY40:SY70" si="517">SW40</f>
        <v>357</v>
      </c>
      <c r="SZ40" s="141">
        <f>IFERROR(VLOOKUP($D40,'Adient Assende (Belgium) WK.17'!$B:RV,TA$1,0),0)</f>
        <v>0</v>
      </c>
      <c r="TA40" s="140">
        <f>IFERROR(VLOOKUP($D40,'Adient Arendal (Malzia) WK.12'!$B:RW,TA$1,0),0)</f>
        <v>0</v>
      </c>
      <c r="TB40" s="140">
        <f>IFERROR(VLOOKUP($D40,'Adient Taizhou (China) WK.16'!$B:RZ,TA$1,0),0)</f>
        <v>0</v>
      </c>
      <c r="TC40" s="128">
        <v>0</v>
      </c>
      <c r="TD40" s="30">
        <v>0</v>
      </c>
      <c r="TE40" s="100">
        <f t="shared" ref="TE40:TE70" si="518">((SY40-(SZ40+TA40+TB40)+TD40))</f>
        <v>357</v>
      </c>
      <c r="TG40" s="37">
        <f t="shared" ref="TG40:TG70" si="519">TE40</f>
        <v>357</v>
      </c>
      <c r="TH40" s="141">
        <f>IFERROR(VLOOKUP($D40,'Adient Assende (Belgium) WK.17'!$B:SD,TI$1,0),0)</f>
        <v>60</v>
      </c>
      <c r="TI40" s="140">
        <f>IFERROR(VLOOKUP($D40,'Adient Arendal (Malzia) WK.12'!$B:SE,TI$1,0),0)</f>
        <v>0</v>
      </c>
      <c r="TJ40" s="140">
        <f>IFERROR(VLOOKUP($D40,'Adient Taizhou (China) WK.16'!$B:SH,TI$1,0),0)</f>
        <v>0</v>
      </c>
      <c r="TK40" s="128">
        <v>0</v>
      </c>
      <c r="TL40" s="30">
        <v>0</v>
      </c>
      <c r="TM40" s="100">
        <f t="shared" ref="TM40:TM70" si="520">((TG40-(TH40+TI40+TJ40)+TL40))</f>
        <v>297</v>
      </c>
      <c r="TO40" s="37">
        <f t="shared" ref="TO40:TO70" si="521">TM40</f>
        <v>297</v>
      </c>
      <c r="TP40" s="141">
        <f>IFERROR(VLOOKUP($D40,'Adient Assende (Belgium) WK.17'!$B:SL,TQ$1,0),0)</f>
        <v>60</v>
      </c>
      <c r="TQ40" s="140">
        <f>IFERROR(VLOOKUP($D40,'Adient Arendal (Malzia) WK.12'!$B:SM,TQ$1,0),0)</f>
        <v>0</v>
      </c>
      <c r="TR40" s="140">
        <f>IFERROR(VLOOKUP($D40,'Adient Taizhou (China) WK.16'!$B:SP,TQ$1,0),0)</f>
        <v>0</v>
      </c>
      <c r="TS40" s="128">
        <v>0</v>
      </c>
      <c r="TT40" s="30">
        <v>0</v>
      </c>
      <c r="TU40" s="100">
        <f t="shared" ref="TU40:TU70" si="522">((TO40-(TP40+TQ40+TR40)+TT40))</f>
        <v>237</v>
      </c>
      <c r="TW40" s="37">
        <f t="shared" ref="TW40:TW70" si="523">TU40</f>
        <v>237</v>
      </c>
      <c r="TX40" s="141">
        <f>IFERROR(VLOOKUP($D40,'Adient Assende (Belgium) WK.17'!$B:ST,TY$1,0),0)</f>
        <v>60</v>
      </c>
      <c r="TY40" s="140">
        <f>IFERROR(VLOOKUP($D40,'Adient Arendal (Malzia) WK.12'!$B:SU,TY$1,0),0)</f>
        <v>0</v>
      </c>
      <c r="TZ40" s="140">
        <f>IFERROR(VLOOKUP($D40,'Adient Taizhou (China) WK.16'!$B:SX,TY$1,0),0)</f>
        <v>0</v>
      </c>
      <c r="UA40" s="128">
        <v>0</v>
      </c>
      <c r="UB40" s="30">
        <v>0</v>
      </c>
      <c r="UC40" s="100">
        <f t="shared" ref="UC40:UC70" si="524">((TW40-(TX40+TY40+TZ40)+UB40))</f>
        <v>177</v>
      </c>
      <c r="UE40" s="37">
        <f t="shared" ref="UE40:UE70" si="525">UC40</f>
        <v>177</v>
      </c>
      <c r="UF40" s="141">
        <f>IFERROR(VLOOKUP($D40,'Adient Assende (Belgium) WK.17'!$B:TB,UG$1,0),0)</f>
        <v>60</v>
      </c>
      <c r="UG40" s="140">
        <f>IFERROR(VLOOKUP($D40,'Adient Arendal (Malzia) WK.12'!$B:TC,UG$1,0),0)</f>
        <v>0</v>
      </c>
      <c r="UH40" s="140">
        <f>IFERROR(VLOOKUP($D40,'Adient Taizhou (China) WK.16'!$B:TF,UG$1,0),0)</f>
        <v>0</v>
      </c>
      <c r="UI40" s="128">
        <v>0</v>
      </c>
      <c r="UJ40" s="30">
        <v>0</v>
      </c>
      <c r="UK40" s="100">
        <f t="shared" ref="UK40:UK70" si="526">((UE40-(UF40+UG40+UH40)+UJ40))</f>
        <v>117</v>
      </c>
      <c r="UM40" s="37">
        <f t="shared" ref="UM40:UM70" si="527">UK40</f>
        <v>117</v>
      </c>
      <c r="UN40" s="141">
        <f>IFERROR(VLOOKUP($D40,'Adient Assende (Belgium) WK.17'!$B:TJ,UO$1,0),0)</f>
        <v>60</v>
      </c>
      <c r="UO40" s="140">
        <f>IFERROR(VLOOKUP($D40,'Adient Arendal (Malzia) WK.12'!$B:TK,UO$1,0),0)</f>
        <v>0</v>
      </c>
      <c r="UP40" s="140">
        <f>IFERROR(VLOOKUP($D40,'Adient Taizhou (China) WK.16'!$B:TN,UO$1,0),0)</f>
        <v>0</v>
      </c>
      <c r="UQ40" s="128">
        <v>0</v>
      </c>
      <c r="UR40" s="30">
        <v>0</v>
      </c>
      <c r="US40" s="100">
        <f t="shared" ref="US40:US70" si="528">((UM40-(UN40+UO40+UP40)+UR40))</f>
        <v>57</v>
      </c>
      <c r="UU40" s="37">
        <f t="shared" ref="UU40:UU70" si="529">US40</f>
        <v>57</v>
      </c>
      <c r="UV40" s="141">
        <f>IFERROR(VLOOKUP($D40,'Adient Assende (Belgium) WK.17'!$B:TR,UW$1,0),0)</f>
        <v>150</v>
      </c>
      <c r="UW40" s="140">
        <f>IFERROR(VLOOKUP($D40,'Adient Arendal (Malzia) WK.12'!$B:TS,UW$1,0),0)</f>
        <v>0</v>
      </c>
      <c r="UX40" s="140">
        <f>IFERROR(VLOOKUP($D40,'Adient Taizhou (China) WK.16'!$B:TV,UW$1,0),0)</f>
        <v>0</v>
      </c>
      <c r="UY40" s="128">
        <v>0</v>
      </c>
      <c r="UZ40" s="30">
        <v>0</v>
      </c>
      <c r="VA40" s="100">
        <f t="shared" ref="VA40:VA70" si="530">((UU40-(UV40+UW40+UX40)+UZ40))</f>
        <v>-93</v>
      </c>
      <c r="VC40" s="37">
        <f t="shared" ref="VC40:VC70" si="531">VA40</f>
        <v>-93</v>
      </c>
      <c r="VD40" s="141">
        <f>IFERROR(VLOOKUP($D40,'Adient Assende (Belgium) WK.17'!$B:TZ,VE$1,0),0)</f>
        <v>150</v>
      </c>
      <c r="VE40" s="140">
        <f>IFERROR(VLOOKUP($D40,'Adient Arendal (Malzia) WK.12'!$B:UA,VE$1,0),0)</f>
        <v>0</v>
      </c>
      <c r="VF40" s="140">
        <f>IFERROR(VLOOKUP($D40,'Adient Taizhou (China) WK.16'!$B:UD,VE$1,0),0)</f>
        <v>0</v>
      </c>
      <c r="VG40" s="128">
        <v>0</v>
      </c>
      <c r="VH40" s="30">
        <v>0</v>
      </c>
      <c r="VI40" s="100">
        <f t="shared" ref="VI40:VI70" si="532">((VC40-(VD40+VE40+VF40)+VH40))</f>
        <v>-243</v>
      </c>
      <c r="VK40" s="37">
        <f t="shared" ref="VK40:VK70" si="533">VI40</f>
        <v>-243</v>
      </c>
      <c r="VL40" s="141">
        <f>IFERROR(VLOOKUP($D40,'Adient Assende (Belgium) WK.17'!$B:UH,VM$1,0),0)</f>
        <v>0</v>
      </c>
      <c r="VM40" s="140">
        <f>IFERROR(VLOOKUP($D40,'Adient Arendal (Malzia) WK.12'!$B:UI,VM$1,0),0)</f>
        <v>0</v>
      </c>
      <c r="VN40" s="140">
        <f>IFERROR(VLOOKUP($D40,'Adient Taizhou (China) WK.16'!$B:UL,VM$1,0),0)</f>
        <v>0</v>
      </c>
      <c r="VO40" s="128">
        <v>0</v>
      </c>
      <c r="VP40" s="30">
        <v>0</v>
      </c>
      <c r="VQ40" s="100">
        <f t="shared" ref="VQ40:VQ70" si="534">((VK40-(VL40+VM40+VN40)+VP40))</f>
        <v>-243</v>
      </c>
    </row>
    <row r="41" spans="1:589" x14ac:dyDescent="0.25">
      <c r="A41" s="10" t="s">
        <v>18</v>
      </c>
      <c r="B41" s="11" t="s">
        <v>17</v>
      </c>
      <c r="C41" s="87">
        <v>32248185</v>
      </c>
      <c r="D41" s="81">
        <v>4172800</v>
      </c>
      <c r="E41" s="11">
        <v>25</v>
      </c>
      <c r="F41" s="12"/>
      <c r="H41" s="122">
        <v>100</v>
      </c>
      <c r="I41" s="125">
        <f>IFERROR(VLOOKUP($D41,'Adient Assende (Belgium) WK.17'!$B:C,J$1,0),0)</f>
        <v>0</v>
      </c>
      <c r="J41" s="55">
        <f>IFERROR(VLOOKUP($D41,'Adient Arendal (Malzia) WK.12'!$B:C,J$1,0),0)</f>
        <v>0</v>
      </c>
      <c r="K41" s="55">
        <f>IFERROR(VLOOKUP($D41,'Adient Taizhou (China) WK.16'!$B:C,J$1,0),0)</f>
        <v>0</v>
      </c>
      <c r="L41" s="128">
        <v>0</v>
      </c>
      <c r="M41" s="32">
        <v>0</v>
      </c>
      <c r="N41" s="106">
        <f t="shared" si="233"/>
        <v>100</v>
      </c>
      <c r="P41" s="37">
        <f t="shared" si="234"/>
        <v>100</v>
      </c>
      <c r="Q41" s="125">
        <f>IFERROR(VLOOKUP($D41,'Adient Assende (Belgium) WK.17'!$B:K,R$1,0),0)</f>
        <v>0</v>
      </c>
      <c r="R41" s="55">
        <f>IFERROR(VLOOKUP($D41,'Adient Arendal (Malzia) WK.12'!$B:K,R$1,0),0)</f>
        <v>0</v>
      </c>
      <c r="S41" s="55">
        <f>IFERROR(VLOOKUP($D41,'Adient Taizhou (China) WK.16'!$B:K,R$1,0),0)</f>
        <v>0</v>
      </c>
      <c r="T41" s="41">
        <v>0</v>
      </c>
      <c r="U41" s="32">
        <v>0</v>
      </c>
      <c r="V41" s="106">
        <f t="shared" si="235"/>
        <v>100</v>
      </c>
      <c r="X41" s="37">
        <f t="shared" si="236"/>
        <v>100</v>
      </c>
      <c r="Y41" s="125">
        <f>IFERROR(VLOOKUP($D41,'Adient Assende (Belgium) WK.17'!$B:S,Z$1,0),0)</f>
        <v>0</v>
      </c>
      <c r="Z41" s="55">
        <f>IFERROR(VLOOKUP($D41,'Adient Arendal (Malzia) WK.12'!$B:S,Z$1,0),0)</f>
        <v>0</v>
      </c>
      <c r="AA41" s="55">
        <f>IFERROR(VLOOKUP($D41,'Adient Taizhou (China) WK.16'!$B:S,Z$1,0),0)</f>
        <v>0</v>
      </c>
      <c r="AB41" s="41">
        <v>100</v>
      </c>
      <c r="AC41" s="32">
        <v>0</v>
      </c>
      <c r="AD41" s="106">
        <f t="shared" si="237"/>
        <v>0</v>
      </c>
      <c r="AF41" s="37">
        <f t="shared" si="238"/>
        <v>0</v>
      </c>
      <c r="AG41" s="125">
        <f>IFERROR(VLOOKUP($D41,'Adient Assende (Belgium) WK.17'!$B:AA,AH$1,0),0)</f>
        <v>100</v>
      </c>
      <c r="AH41" s="55">
        <f>IFERROR(VLOOKUP($D41,'Adient Arendal (Malzia) WK.12'!$B:AA,AH$1,0),0)</f>
        <v>0</v>
      </c>
      <c r="AI41" s="55">
        <f>IFERROR(VLOOKUP($D41,'Adient Taizhou (China) WK.16'!$B:AA,AH$1,0),0)</f>
        <v>0</v>
      </c>
      <c r="AJ41" s="41">
        <v>0</v>
      </c>
      <c r="AK41" s="32">
        <v>0</v>
      </c>
      <c r="AL41" s="106">
        <f t="shared" si="239"/>
        <v>0</v>
      </c>
      <c r="AN41" s="37">
        <f t="shared" si="432"/>
        <v>0</v>
      </c>
      <c r="AO41" s="125">
        <f>IFERROR(VLOOKUP($D41,'Adient Assende (Belgium) WK.17'!$B:AI,AP$1,0),0)</f>
        <v>0</v>
      </c>
      <c r="AP41" s="55">
        <f>IFERROR(VLOOKUP($D41,'Adient Arendal (Malzia) WK.12'!$B:AI,AP$1,0),0)</f>
        <v>0</v>
      </c>
      <c r="AQ41" s="55">
        <f>IFERROR(VLOOKUP($D41,'Adient Taizhou (China) WK.16'!$B:AI,AP$1,0),0)</f>
        <v>0</v>
      </c>
      <c r="AR41" s="60">
        <v>0</v>
      </c>
      <c r="AS41" s="41">
        <v>0</v>
      </c>
      <c r="AT41" s="32">
        <v>0</v>
      </c>
      <c r="AU41" s="106">
        <f t="shared" si="240"/>
        <v>0</v>
      </c>
      <c r="AW41" s="37">
        <f t="shared" si="433"/>
        <v>0</v>
      </c>
      <c r="AX41" s="125">
        <f>IFERROR(VLOOKUP($D41,'Adient Assende (Belgium) WK.17'!$B:AR,AY$1,0),0)</f>
        <v>0</v>
      </c>
      <c r="AY41" s="55">
        <f>IFERROR(VLOOKUP($D41,'Adient Arendal (Malzia) WK.12'!$B:AR,AY$1,0),0)</f>
        <v>0</v>
      </c>
      <c r="AZ41" s="55">
        <f>IFERROR(VLOOKUP($D41,'Adient Taizhou (China) WK.16'!$B:AU,AY$1,0),0)</f>
        <v>0</v>
      </c>
      <c r="BA41" s="41">
        <v>0</v>
      </c>
      <c r="BB41" s="32">
        <v>0</v>
      </c>
      <c r="BC41" s="106">
        <f t="shared" si="241"/>
        <v>0</v>
      </c>
      <c r="BE41" s="37">
        <f t="shared" si="434"/>
        <v>0</v>
      </c>
      <c r="BF41" s="125">
        <f>IFERROR(VLOOKUP($D41,'Adient Assende (Belgium) WK.17'!$B:AX,BG$1,0),0)</f>
        <v>0</v>
      </c>
      <c r="BG41" s="55">
        <f>IFERROR(VLOOKUP($D41,'Adient Arendal (Malzia) WK.12'!$B:AZ,BG$1,0),0)</f>
        <v>0</v>
      </c>
      <c r="BH41" s="55">
        <f>IFERROR(VLOOKUP($D41,'Adient Taizhou (China) WK.16'!$B:BB,BG$1,0),0)</f>
        <v>0</v>
      </c>
      <c r="BI41" s="60">
        <v>0</v>
      </c>
      <c r="BJ41" s="60">
        <v>0</v>
      </c>
      <c r="BK41" s="41">
        <v>0</v>
      </c>
      <c r="BL41" s="32">
        <v>0</v>
      </c>
      <c r="BM41" s="106">
        <f t="shared" si="242"/>
        <v>0</v>
      </c>
      <c r="BN41" s="8"/>
      <c r="BO41" s="37">
        <f t="shared" si="435"/>
        <v>0</v>
      </c>
      <c r="BP41" s="125">
        <f>IFERROR(VLOOKUP($D41,'Adient Assende (Belgium) WK.17'!$B:BH,BQ$1,0),0)</f>
        <v>0</v>
      </c>
      <c r="BQ41" s="55">
        <f>IFERROR(VLOOKUP($D41,'Adient Arendal (Malzia) WK.12'!$B:BI,BQ$1,0),0)</f>
        <v>0</v>
      </c>
      <c r="BR41" s="55">
        <f>IFERROR(VLOOKUP($D41,'Adient Taizhou (China) WK.16'!$B:BL,BQ$1,0),0)</f>
        <v>0</v>
      </c>
      <c r="BS41" s="60">
        <v>0</v>
      </c>
      <c r="BT41" s="60">
        <v>0</v>
      </c>
      <c r="BU41" s="60">
        <v>0</v>
      </c>
      <c r="BV41" s="41">
        <v>0</v>
      </c>
      <c r="BW41" s="32">
        <v>0</v>
      </c>
      <c r="BX41" s="106">
        <f t="shared" si="243"/>
        <v>0</v>
      </c>
      <c r="BY41" s="8"/>
      <c r="BZ41" s="37">
        <f t="shared" si="436"/>
        <v>0</v>
      </c>
      <c r="CA41" s="125">
        <f>IFERROR(VLOOKUP($D41,'Adient Assende (Belgium) WK.17'!$B:BS,CB$1,0),0)</f>
        <v>0</v>
      </c>
      <c r="CB41" s="55">
        <f>IFERROR(VLOOKUP($D41,'Adient Arendal (Malzia) WK.12'!$B:BT,CB$1,0),0)</f>
        <v>0</v>
      </c>
      <c r="CC41" s="55">
        <f>IFERROR(VLOOKUP($D41,'Adient Taizhou (China) WK.16'!$B:BW,CB$1,0),0)</f>
        <v>0</v>
      </c>
      <c r="CD41" s="60">
        <v>0</v>
      </c>
      <c r="CE41" s="60">
        <v>0</v>
      </c>
      <c r="CF41" s="41">
        <v>0</v>
      </c>
      <c r="CG41" s="32">
        <v>0</v>
      </c>
      <c r="CH41" s="106">
        <f t="shared" si="244"/>
        <v>0</v>
      </c>
      <c r="CI41" s="8"/>
      <c r="CJ41" s="37">
        <f t="shared" si="437"/>
        <v>0</v>
      </c>
      <c r="CK41" s="125">
        <f>IFERROR(VLOOKUP($D41,'Adient Assende (Belgium) WK.17'!$B:CC,CL$1,0),0)</f>
        <v>0</v>
      </c>
      <c r="CL41" s="55">
        <f>IFERROR(VLOOKUP($D41,'Adient Arendal (Malzia) WK.12'!$B:CD,CL$1,0),0)</f>
        <v>0</v>
      </c>
      <c r="CM41" s="55">
        <f>IFERROR(VLOOKUP($D41,'Adient Taizhou (China) WK.16'!$B:CG,CL$1,0),0)</f>
        <v>0</v>
      </c>
      <c r="CN41" s="60">
        <v>0</v>
      </c>
      <c r="CO41" s="149">
        <v>0</v>
      </c>
      <c r="CP41" s="32">
        <v>0</v>
      </c>
      <c r="CQ41" s="106">
        <f t="shared" si="245"/>
        <v>0</v>
      </c>
      <c r="CR41" s="8"/>
      <c r="CS41" s="122">
        <f t="shared" si="438"/>
        <v>0</v>
      </c>
      <c r="CT41" s="154">
        <f>IFERROR(VLOOKUP($D41,'Adient Assende (Belgium) WK.17'!$B:CL,CU$1,0),0)</f>
        <v>0</v>
      </c>
      <c r="CU41" s="55">
        <f>IFERROR(VLOOKUP($D41,'Adient Arendal (Malzia) WK.12'!$B:CM,CU$1,0),0)</f>
        <v>0</v>
      </c>
      <c r="CV41" s="55">
        <f>IFERROR(VLOOKUP($D41,'Adient Taizhou (China) WK.16'!$B:CP,CU$1,0),0)</f>
        <v>0</v>
      </c>
      <c r="CW41" s="60">
        <v>0</v>
      </c>
      <c r="CX41" s="60">
        <v>0</v>
      </c>
      <c r="CY41" s="128">
        <v>0</v>
      </c>
      <c r="CZ41" s="32">
        <v>0</v>
      </c>
      <c r="DA41" s="106">
        <f t="shared" si="246"/>
        <v>0</v>
      </c>
      <c r="DB41" s="8"/>
      <c r="DC41" s="37">
        <f t="shared" si="439"/>
        <v>0</v>
      </c>
      <c r="DD41" s="125">
        <f>IFERROR(VLOOKUP($D41,'Adient Assende (Belgium) WK.17'!$B:CS,DE$1,0),0)</f>
        <v>0</v>
      </c>
      <c r="DE41" s="55">
        <f>IFERROR(VLOOKUP($D41,'Adient Arendal (Malzia) WK.12'!$B:CU,DE$1,0),0)</f>
        <v>0</v>
      </c>
      <c r="DF41" s="55">
        <f>IFERROR(VLOOKUP($D41,'Adient Taizhou (China) WK.16'!$B:CX,DE$1,0),0)</f>
        <v>0</v>
      </c>
      <c r="DG41" s="60">
        <v>0</v>
      </c>
      <c r="DH41" s="128">
        <v>0</v>
      </c>
      <c r="DI41" s="32">
        <v>0</v>
      </c>
      <c r="DJ41" s="106">
        <f t="shared" si="247"/>
        <v>0</v>
      </c>
      <c r="DL41" s="37">
        <f t="shared" si="440"/>
        <v>0</v>
      </c>
      <c r="DM41" s="125">
        <f>IFERROR(VLOOKUP($D41,'Adient Assende (Belgium) WK.17'!$B:DB,DN$1,0),0)</f>
        <v>0</v>
      </c>
      <c r="DN41" s="55">
        <f>IFERROR(VLOOKUP($D41,'Adient Arendal (Malzia) WK.12'!$B:DC,DN$1,0),0)</f>
        <v>0</v>
      </c>
      <c r="DO41" s="55">
        <f>IFERROR(VLOOKUP($D41,'Adient Taizhou (China) WK.16'!$B:DF,DN$1,0),0)</f>
        <v>0</v>
      </c>
      <c r="DP41" s="128">
        <v>0</v>
      </c>
      <c r="DQ41" s="32">
        <v>0</v>
      </c>
      <c r="DR41" s="106">
        <f t="shared" si="441"/>
        <v>0</v>
      </c>
      <c r="DS41" s="8"/>
      <c r="DT41" s="37">
        <f t="shared" si="442"/>
        <v>0</v>
      </c>
      <c r="DU41" s="125">
        <f>IFERROR(VLOOKUP($D41,'Adient Assende (Belgium) WK.17'!$B:DJ,DV$1,0),0)</f>
        <v>0</v>
      </c>
      <c r="DV41" s="55">
        <f>IFERROR(VLOOKUP($D41,'Adient Arendal (Malzia) WK.12'!$B:DK,DV$1,0),0)</f>
        <v>0</v>
      </c>
      <c r="DW41" s="55">
        <f>IFERROR(VLOOKUP($D41,'Adient Taizhou (China) WK.16'!$B:DN,DV$1,0),0)</f>
        <v>0</v>
      </c>
      <c r="DX41" s="60">
        <v>0</v>
      </c>
      <c r="DY41" s="60">
        <v>0</v>
      </c>
      <c r="DZ41" s="128">
        <v>0</v>
      </c>
      <c r="EA41" s="32">
        <v>0</v>
      </c>
      <c r="EB41" s="106">
        <f t="shared" si="248"/>
        <v>0</v>
      </c>
      <c r="EC41" s="8"/>
      <c r="ED41" s="37">
        <f t="shared" si="443"/>
        <v>0</v>
      </c>
      <c r="EE41" s="125">
        <f>IFERROR(VLOOKUP($D41,'Adient Assende (Belgium) WK.17'!$B:DR,EF$1,0),0)</f>
        <v>0</v>
      </c>
      <c r="EF41" s="55">
        <f>IFERROR(VLOOKUP($D41,'Adient Arendal (Malzia) WK.12'!$B:DS,EF$1,0),0)</f>
        <v>0</v>
      </c>
      <c r="EG41" s="55">
        <f>IFERROR(VLOOKUP($D41,'Adient Taizhou (China) WK.16'!$B:DV,EF$1,0),0)</f>
        <v>0</v>
      </c>
      <c r="EH41" s="60">
        <v>0</v>
      </c>
      <c r="EI41" s="128">
        <v>0</v>
      </c>
      <c r="EJ41" s="32">
        <v>0</v>
      </c>
      <c r="EK41" s="106">
        <f t="shared" si="249"/>
        <v>0</v>
      </c>
      <c r="EM41" s="37">
        <f t="shared" si="444"/>
        <v>0</v>
      </c>
      <c r="EN41" s="125">
        <f>IFERROR(VLOOKUP($D41,'Adient Assende (Belgium) WK.17'!$B:DZ,EO$1,0),0)</f>
        <v>0</v>
      </c>
      <c r="EO41" s="55">
        <f>IFERROR(VLOOKUP($D41,'Adient Arendal (Malzia) WK.12'!$B:EA,EO$1,0),0)</f>
        <v>0</v>
      </c>
      <c r="EP41" s="55">
        <f>IFERROR(VLOOKUP($D41,'Adient Taizhou (China) WK.16'!$B:ED,EO$1,0),0)</f>
        <v>0</v>
      </c>
      <c r="EQ41" s="128">
        <v>0</v>
      </c>
      <c r="ER41" s="32">
        <v>0</v>
      </c>
      <c r="ES41" s="106">
        <f t="shared" si="250"/>
        <v>0</v>
      </c>
      <c r="EU41" s="37">
        <f t="shared" si="445"/>
        <v>0</v>
      </c>
      <c r="EV41" s="125">
        <f>IFERROR(VLOOKUP($D41,'Adient Assende (Belgium) WK.17'!$B:EH,EW$1,0),0)</f>
        <v>0</v>
      </c>
      <c r="EW41" s="55">
        <f>IFERROR(VLOOKUP($D41,'Adient Arendal (Malzia) WK.12'!$B:EI,EW$1,0),0)</f>
        <v>0</v>
      </c>
      <c r="EX41" s="55">
        <f>IFERROR(VLOOKUP($D41,'Adient Taizhou (China) WK.16'!$B:EL,EW$1,0),0)</f>
        <v>0</v>
      </c>
      <c r="EY41" s="128">
        <v>0</v>
      </c>
      <c r="EZ41" s="32">
        <v>0</v>
      </c>
      <c r="FA41" s="106">
        <f t="shared" si="251"/>
        <v>0</v>
      </c>
      <c r="FC41" s="37">
        <f t="shared" si="446"/>
        <v>0</v>
      </c>
      <c r="FD41" s="154">
        <f>IFERROR(VLOOKUP($D41,'Adient Assende (Belgium) WK.17'!$B:EP,FE$1,0),0)</f>
        <v>0</v>
      </c>
      <c r="FE41" s="154">
        <f>IFERROR(VLOOKUP($D41,'Adient Arendal (Malzia) WK.12'!$B:EQ,FE$1,0),0)</f>
        <v>0</v>
      </c>
      <c r="FF41" s="154">
        <f>IFERROR(VLOOKUP($D41,'Adient Taizhou (China) WK.16'!$B:ET,FE$1,0),0)</f>
        <v>0</v>
      </c>
      <c r="FG41" s="128">
        <v>0</v>
      </c>
      <c r="FH41" s="32">
        <v>0</v>
      </c>
      <c r="FI41" s="106">
        <f t="shared" si="252"/>
        <v>0</v>
      </c>
      <c r="FK41" s="37">
        <f t="shared" si="447"/>
        <v>0</v>
      </c>
      <c r="FL41" s="125">
        <f>IFERROR(VLOOKUP($D41,'Adient Assende (Belgium) WK.17'!$B:EX,FM$1,0),0)</f>
        <v>0</v>
      </c>
      <c r="FM41" s="55">
        <f>IFERROR(VLOOKUP($D41,'Adient Arendal (Malzia) WK.12'!$B:EY,FM$1,0),0)</f>
        <v>0</v>
      </c>
      <c r="FN41" s="55">
        <f>IFERROR(VLOOKUP($D41,'Adient Taizhou (China) WK.16'!$B:FB,FM$1,0),0)</f>
        <v>0</v>
      </c>
      <c r="FO41" s="128">
        <v>0</v>
      </c>
      <c r="FP41" s="32">
        <v>0</v>
      </c>
      <c r="FQ41" s="106">
        <f t="shared" si="253"/>
        <v>0</v>
      </c>
      <c r="FR41" s="8"/>
      <c r="FS41" s="37">
        <f t="shared" si="448"/>
        <v>0</v>
      </c>
      <c r="FT41" s="125">
        <f>IFERROR(VLOOKUP($D41,'Adient Assende (Belgium) WK.17'!$B:FF,FU$1,0),0)</f>
        <v>0</v>
      </c>
      <c r="FU41" s="55">
        <f>IFERROR(VLOOKUP($D41,'Adient Arendal (Malzia) WK.12'!$B:FG,FU$1,0),0)</f>
        <v>0</v>
      </c>
      <c r="FV41" s="55">
        <f>IFERROR(VLOOKUP($D41,'Adient Taizhou (China) WK.16'!$B:FJ,FU$1,0),0)</f>
        <v>0</v>
      </c>
      <c r="FW41" s="60">
        <v>0</v>
      </c>
      <c r="FX41" s="60">
        <v>0</v>
      </c>
      <c r="FY41" s="60">
        <v>0</v>
      </c>
      <c r="FZ41" s="60">
        <v>0</v>
      </c>
      <c r="GA41" s="60">
        <v>0</v>
      </c>
      <c r="GB41" s="128">
        <v>0</v>
      </c>
      <c r="GC41" s="32">
        <v>0</v>
      </c>
      <c r="GD41" s="106">
        <f t="shared" si="254"/>
        <v>0</v>
      </c>
      <c r="GF41" s="37">
        <f t="shared" si="449"/>
        <v>0</v>
      </c>
      <c r="GG41" s="125">
        <f>IFERROR(VLOOKUP($D41,'Adient Assende (Belgium) WK.17'!$B:FN,GH$1,0),0)</f>
        <v>0</v>
      </c>
      <c r="GH41" s="55">
        <f>IFERROR(VLOOKUP($D41,'Adient Arendal (Malzia) WK.12'!$B:FO,GH$1,0),0)</f>
        <v>0</v>
      </c>
      <c r="GI41" s="55">
        <f>IFERROR(VLOOKUP($D41,'Adient Taizhou (China) WK.16'!$B:FR,GH$1,0),0)</f>
        <v>0</v>
      </c>
      <c r="GJ41" s="60">
        <v>0</v>
      </c>
      <c r="GK41" s="128">
        <v>0</v>
      </c>
      <c r="GL41" s="32">
        <v>0</v>
      </c>
      <c r="GM41" s="106">
        <f t="shared" si="255"/>
        <v>0</v>
      </c>
      <c r="GO41" s="37">
        <f t="shared" si="450"/>
        <v>0</v>
      </c>
      <c r="GP41" s="125">
        <f>IFERROR(VLOOKUP($D41,'Adient Assende (Belgium) WK.17'!$B:FV,GQ$1,0),0)</f>
        <v>0</v>
      </c>
      <c r="GQ41" s="55">
        <f>IFERROR(VLOOKUP($D41,'Adient Arendal (Malzia) WK.12'!$B:FW,GQ$1,0),0)</f>
        <v>0</v>
      </c>
      <c r="GR41" s="55">
        <f>IFERROR(VLOOKUP($D41,'Adient Taizhou (China) WK.16'!$B:FZ,GQ$1,0),0)</f>
        <v>0</v>
      </c>
      <c r="GS41" s="60">
        <v>0</v>
      </c>
      <c r="GT41" s="128">
        <v>0</v>
      </c>
      <c r="GU41" s="32">
        <v>0</v>
      </c>
      <c r="GV41" s="106">
        <f t="shared" si="256"/>
        <v>0</v>
      </c>
      <c r="GW41" s="8"/>
      <c r="GX41" s="37">
        <f t="shared" si="451"/>
        <v>0</v>
      </c>
      <c r="GY41" s="125">
        <f>IFERROR(VLOOKUP($D41,'Adient Assende (Belgium) WK.17'!$B:GD,GZ$1,0),0)</f>
        <v>0</v>
      </c>
      <c r="GZ41" s="55">
        <f>IFERROR(VLOOKUP($D41,'Adient Arendal (Malzia) WK.12'!$B:GE,GZ$1,0),0)</f>
        <v>0</v>
      </c>
      <c r="HA41" s="55">
        <f>IFERROR(VLOOKUP($D41,'Adient Taizhou (China) WK.16'!$B:GH,GZ$1,0),0)</f>
        <v>0</v>
      </c>
      <c r="HB41" s="60">
        <v>0</v>
      </c>
      <c r="HC41" s="128">
        <v>0</v>
      </c>
      <c r="HD41" s="32">
        <v>0</v>
      </c>
      <c r="HE41" s="106">
        <f t="shared" si="257"/>
        <v>0</v>
      </c>
      <c r="HF41" s="8"/>
      <c r="HG41" s="37">
        <f t="shared" si="452"/>
        <v>0</v>
      </c>
      <c r="HH41" s="125">
        <f>IFERROR(VLOOKUP($D41,'Adient Assende (Belgium) WK.17'!$B:GL,HI$1,0),0)</f>
        <v>0</v>
      </c>
      <c r="HI41" s="55">
        <f>IFERROR(VLOOKUP($D41,'Adient Arendal (Malzia) WK.12'!$B:GM,HI$1,0),0)</f>
        <v>0</v>
      </c>
      <c r="HJ41" s="55">
        <f>IFERROR(VLOOKUP($D41,'Adient Taizhou (China) WK.16'!$B:GP,HI$1,0),0)</f>
        <v>0</v>
      </c>
      <c r="HK41" s="60">
        <v>0</v>
      </c>
      <c r="HL41" s="128">
        <v>0</v>
      </c>
      <c r="HM41" s="32">
        <v>0</v>
      </c>
      <c r="HN41" s="106">
        <f t="shared" si="258"/>
        <v>0</v>
      </c>
      <c r="HO41" s="8"/>
      <c r="HP41" s="37">
        <f t="shared" si="453"/>
        <v>0</v>
      </c>
      <c r="HQ41" s="125">
        <f>IFERROR(VLOOKUP($D41,'Adient Assende (Belgium) WK.17'!$B:GT,HR$1,0),0)</f>
        <v>0</v>
      </c>
      <c r="HR41" s="55">
        <f>IFERROR(VLOOKUP($D41,'Adient Arendal (Malzia) WK.12'!$B:GU,HR$1,0),0)</f>
        <v>0</v>
      </c>
      <c r="HS41" s="55">
        <f>IFERROR(VLOOKUP($D41,'Adient Taizhou (China) WK.16'!$B:GX,HR$1,0),0)</f>
        <v>0</v>
      </c>
      <c r="HT41" s="60">
        <v>0</v>
      </c>
      <c r="HU41" s="128">
        <v>0</v>
      </c>
      <c r="HV41" s="32">
        <v>0</v>
      </c>
      <c r="HW41" s="106">
        <f t="shared" si="259"/>
        <v>0</v>
      </c>
      <c r="HX41" s="8"/>
      <c r="HY41" s="37">
        <f t="shared" si="454"/>
        <v>0</v>
      </c>
      <c r="HZ41" s="125">
        <f>IFERROR(VLOOKUP($D41,'Adient Assende (Belgium) WK.17'!$B:HB,IA$1,0),0)</f>
        <v>0</v>
      </c>
      <c r="IA41" s="55">
        <f>IFERROR(VLOOKUP($D41,'Adient Arendal (Malzia) WK.12'!$B:HC,IA$1,0),0)</f>
        <v>0</v>
      </c>
      <c r="IB41" s="55">
        <f>IFERROR(VLOOKUP($D41,'Adient Taizhou (China) WK.16'!$B:HF,IA$1,0),0)</f>
        <v>0</v>
      </c>
      <c r="IC41" s="60">
        <v>0</v>
      </c>
      <c r="ID41" s="128">
        <v>0</v>
      </c>
      <c r="IE41" s="32">
        <v>0</v>
      </c>
      <c r="IF41" s="106">
        <f t="shared" si="260"/>
        <v>0</v>
      </c>
      <c r="IG41" s="8"/>
      <c r="IH41" s="37">
        <f t="shared" si="455"/>
        <v>0</v>
      </c>
      <c r="II41" s="125">
        <f>IFERROR(VLOOKUP($D41,'Adient Assende (Belgium) WK.17'!$B:HJ,IJ$1,0),0)</f>
        <v>0</v>
      </c>
      <c r="IJ41" s="55">
        <f>IFERROR(VLOOKUP($D41,'Adient Arendal (Malzia) WK.12'!$B:HK,IJ$1,0),0)</f>
        <v>0</v>
      </c>
      <c r="IK41" s="55">
        <f>IFERROR(VLOOKUP($D41,'Adient Taizhou (China) WK.16'!$B:HN,IJ$1,0),0)</f>
        <v>0</v>
      </c>
      <c r="IL41" s="128">
        <v>0</v>
      </c>
      <c r="IM41" s="32">
        <v>0</v>
      </c>
      <c r="IN41" s="106">
        <f t="shared" si="456"/>
        <v>0</v>
      </c>
      <c r="IO41" s="8"/>
      <c r="IP41" s="37">
        <f t="shared" si="457"/>
        <v>0</v>
      </c>
      <c r="IQ41" s="125">
        <f>IFERROR(VLOOKUP($D41,'Adient Assende (Belgium) WK.17'!$B:HR,IR$1,0),0)</f>
        <v>0</v>
      </c>
      <c r="IR41" s="55">
        <f>IFERROR(VLOOKUP($D41,'Adient Arendal (Malzia) WK.12'!$B:HS,IR$1,0),0)</f>
        <v>0</v>
      </c>
      <c r="IS41" s="55">
        <f>IFERROR(VLOOKUP($D41,'Adient Taizhou (China) WK.16'!$B:HV,IR$1,0),0)</f>
        <v>0</v>
      </c>
      <c r="IT41" s="60">
        <v>125</v>
      </c>
      <c r="IU41" s="128">
        <v>0</v>
      </c>
      <c r="IV41" s="32">
        <v>0</v>
      </c>
      <c r="IW41" s="106">
        <f t="shared" si="261"/>
        <v>125</v>
      </c>
      <c r="IX41" s="8"/>
      <c r="IY41" s="37">
        <f t="shared" si="458"/>
        <v>125</v>
      </c>
      <c r="IZ41" s="125">
        <f>IFERROR(VLOOKUP($D41,'Adient Assende (Belgium) WK.17'!$B:HZ,JA$1,0),0)</f>
        <v>0</v>
      </c>
      <c r="JA41" s="55">
        <f>IFERROR(VLOOKUP($D41,'Adient Arendal (Malzia) WK.12'!$B:IA,JA$1,0),0)</f>
        <v>0</v>
      </c>
      <c r="JB41" s="55">
        <f>IFERROR(VLOOKUP($D41,'Adient Taizhou (China) WK.16'!$B:ID,JA$1,0),0)</f>
        <v>0</v>
      </c>
      <c r="JC41" s="128">
        <v>0</v>
      </c>
      <c r="JD41" s="32">
        <v>0</v>
      </c>
      <c r="JE41" s="106">
        <f t="shared" si="459"/>
        <v>125</v>
      </c>
      <c r="JF41" s="8"/>
      <c r="JG41" s="37">
        <f t="shared" si="460"/>
        <v>125</v>
      </c>
      <c r="JH41" s="125">
        <f>IFERROR(VLOOKUP($D41,'Adient Assende (Belgium) WK.17'!$B:IH,JI$1,0),0)</f>
        <v>0</v>
      </c>
      <c r="JI41" s="55">
        <f>IFERROR(VLOOKUP($D41,'Adient Arendal (Malzia) WK.12'!$B:II,JI$1,0),0)</f>
        <v>0</v>
      </c>
      <c r="JJ41" s="55">
        <f>IFERROR(VLOOKUP($D41,'Adient Taizhou (China) WK.16'!$B:IL,JI$1,0),0)</f>
        <v>0</v>
      </c>
      <c r="JK41" s="60">
        <v>75</v>
      </c>
      <c r="JL41" s="128">
        <v>0</v>
      </c>
      <c r="JM41" s="32">
        <v>0</v>
      </c>
      <c r="JN41" s="106">
        <f t="shared" si="262"/>
        <v>200</v>
      </c>
      <c r="JO41" s="8"/>
      <c r="JP41" s="37">
        <f t="shared" si="461"/>
        <v>200</v>
      </c>
      <c r="JQ41" s="125">
        <f>IFERROR(VLOOKUP($D41,'Adient Assende (Belgium) WK.17'!$B:IP,JR$1,0),0)</f>
        <v>0</v>
      </c>
      <c r="JR41" s="55">
        <f>IFERROR(VLOOKUP($D41,'Adient Arendal (Malzia) WK.12'!$B:IQ,JR$1,0),0)</f>
        <v>0</v>
      </c>
      <c r="JS41" s="55">
        <f>IFERROR(VLOOKUP($D41,'Adient Taizhou (China) WK.16'!$B:IT,JR$1,0),0)</f>
        <v>0</v>
      </c>
      <c r="JT41" s="128">
        <v>0</v>
      </c>
      <c r="JU41" s="32">
        <v>0</v>
      </c>
      <c r="JV41" s="106">
        <f t="shared" si="462"/>
        <v>200</v>
      </c>
      <c r="JW41" s="8"/>
      <c r="JX41" s="37">
        <f t="shared" si="463"/>
        <v>200</v>
      </c>
      <c r="JY41" s="154">
        <f>IFERROR(VLOOKUP($D41,'Adient Assende (Belgium) WK.17'!$B:IX,JZ$1,0),0)</f>
        <v>0</v>
      </c>
      <c r="JZ41" s="55">
        <f>IFERROR(VLOOKUP($D41,'Adient Arendal (Malzia) WK.12'!$B:IY,JZ$1,0),0)</f>
        <v>0</v>
      </c>
      <c r="KA41" s="55">
        <f>IFERROR(VLOOKUP($D41,'Adient Taizhou (China) WK.16'!$B:JB,JZ$1,0),0)</f>
        <v>0</v>
      </c>
      <c r="KB41" s="128">
        <v>0</v>
      </c>
      <c r="KC41" s="32">
        <v>0</v>
      </c>
      <c r="KD41" s="106">
        <f t="shared" si="263"/>
        <v>200</v>
      </c>
      <c r="KE41" s="8"/>
      <c r="KF41" s="37">
        <f t="shared" si="464"/>
        <v>200</v>
      </c>
      <c r="KG41" s="125">
        <f>IFERROR(VLOOKUP($D41,'Adient Assende (Belgium) WK.17'!$B:JF,KH$1,0),0)</f>
        <v>0</v>
      </c>
      <c r="KH41" s="55">
        <f>IFERROR(VLOOKUP($D41,'Adient Arendal (Malzia) WK.12'!$B:JG,KH$1,0),0)</f>
        <v>0</v>
      </c>
      <c r="KI41" s="55">
        <f>IFERROR(VLOOKUP($D41,'Adient Taizhou (China) WK.16'!$B:JJ,KH$1,0),0)</f>
        <v>0</v>
      </c>
      <c r="KJ41" s="60">
        <v>100</v>
      </c>
      <c r="KK41" s="128">
        <v>0</v>
      </c>
      <c r="KL41" s="32">
        <v>0</v>
      </c>
      <c r="KM41" s="106">
        <f t="shared" si="264"/>
        <v>300</v>
      </c>
      <c r="KN41" s="8"/>
      <c r="KO41" s="37">
        <f t="shared" si="465"/>
        <v>300</v>
      </c>
      <c r="KP41" s="141">
        <f>IFERROR(VLOOKUP($D41,'Adient Assende (Belgium) WK.17'!$B:JN,KQ$1,0),0)</f>
        <v>0</v>
      </c>
      <c r="KQ41" s="140">
        <f>IFERROR(VLOOKUP($D41,'Adient Arendal (Malzia) WK.12'!$B:JO,KQ$1,0),0)</f>
        <v>0</v>
      </c>
      <c r="KR41" s="140">
        <f>IFERROR(VLOOKUP($D41,'Adient Taizhou (China) WK.16'!$B:JR,KQ$1,0),0)</f>
        <v>0</v>
      </c>
      <c r="KS41" s="60">
        <v>0</v>
      </c>
      <c r="KT41" s="128">
        <v>0</v>
      </c>
      <c r="KU41" s="32">
        <v>0</v>
      </c>
      <c r="KV41" s="106">
        <f t="shared" si="265"/>
        <v>300</v>
      </c>
      <c r="KX41" s="37">
        <f t="shared" si="466"/>
        <v>300</v>
      </c>
      <c r="KY41" s="141">
        <f>IFERROR(VLOOKUP($D41,'Adient Assende (Belgium) WK.17'!$B:JV,KZ$1,0),0)</f>
        <v>0</v>
      </c>
      <c r="KZ41" s="140">
        <f>IFERROR(VLOOKUP($D41,'Adient Arendal (Malzia) WK.12'!$B:JW,KZ$1,0),0)</f>
        <v>0</v>
      </c>
      <c r="LA41" s="140">
        <f>IFERROR(VLOOKUP($D41,'Adient Taizhou (China) WK.16'!$B:JZ,KZ$1,0),0)</f>
        <v>0</v>
      </c>
      <c r="LB41" s="128">
        <v>0</v>
      </c>
      <c r="LC41" s="32">
        <v>0</v>
      </c>
      <c r="LD41" s="106">
        <f t="shared" si="467"/>
        <v>300</v>
      </c>
      <c r="LF41" s="37">
        <f t="shared" si="468"/>
        <v>300</v>
      </c>
      <c r="LG41" s="141">
        <f>IFERROR(VLOOKUP($D41,'Adient Assende (Belgium) WK.17'!$B:KD,LH$1,0),0)</f>
        <v>0</v>
      </c>
      <c r="LH41" s="140">
        <f>IFERROR(VLOOKUP($D41,'Adient Arendal (Malzia) WK.12'!$B:KE,LH$1,0),0)</f>
        <v>0</v>
      </c>
      <c r="LI41" s="140">
        <f>IFERROR(VLOOKUP($D41,'Adient Taizhou (China) WK.16'!$B:KH,LH$1,0),0)</f>
        <v>0</v>
      </c>
      <c r="LJ41" s="60">
        <v>0</v>
      </c>
      <c r="LK41" s="128">
        <v>0</v>
      </c>
      <c r="LL41" s="32">
        <v>0</v>
      </c>
      <c r="LM41" s="100">
        <f t="shared" si="267"/>
        <v>300</v>
      </c>
      <c r="LO41" s="37">
        <f t="shared" si="469"/>
        <v>300</v>
      </c>
      <c r="LP41" s="141">
        <f>IFERROR(VLOOKUP($D41,'Adient Assende (Belgium) WK.17'!$B:KL,LQ$1,0),0)</f>
        <v>0</v>
      </c>
      <c r="LQ41" s="140">
        <f>IFERROR(VLOOKUP($D41,'Adient Arendal (Malzia) WK.12'!$B:KM,LQ$1,0),0)</f>
        <v>0</v>
      </c>
      <c r="LR41" s="140">
        <f>IFERROR(VLOOKUP($D41,'Adient Taizhou (China) WK.16'!$B:KP,LQ$1,0),0)</f>
        <v>0</v>
      </c>
      <c r="LS41" s="128">
        <v>0</v>
      </c>
      <c r="LT41" s="32">
        <v>0</v>
      </c>
      <c r="LU41" s="100">
        <f t="shared" si="470"/>
        <v>300</v>
      </c>
      <c r="LW41" s="37">
        <f t="shared" si="471"/>
        <v>300</v>
      </c>
      <c r="LX41" s="141">
        <f>IFERROR(VLOOKUP($D41,'Adient Assende (Belgium) WK.17'!$B:KT,LY$1,0),0)</f>
        <v>100</v>
      </c>
      <c r="LY41" s="140">
        <f>IFERROR(VLOOKUP($D41,'Adient Arendal (Malzia) WK.12'!$B:KU,LY$1,0),0)</f>
        <v>0</v>
      </c>
      <c r="LZ41" s="140">
        <f>IFERROR(VLOOKUP($D41,'Adient Taizhou (China) WK.16'!$B:KX,LY$1,0),0)</f>
        <v>0</v>
      </c>
      <c r="MA41" s="128">
        <v>0</v>
      </c>
      <c r="MB41" s="32">
        <v>0</v>
      </c>
      <c r="MC41" s="100">
        <f t="shared" si="472"/>
        <v>200</v>
      </c>
      <c r="ME41" s="37">
        <f t="shared" si="473"/>
        <v>200</v>
      </c>
      <c r="MF41" s="154">
        <f>IFERROR(VLOOKUP($D41,'Adient Assende (Belgium) WK.17'!$B:LB,MG$1,0),0)</f>
        <v>0</v>
      </c>
      <c r="MG41" s="140">
        <f>IFERROR(VLOOKUP($D41,'Adient Arendal (Malzia) WK.12'!$B:LC,MG$1,0),0)</f>
        <v>0</v>
      </c>
      <c r="MH41" s="140">
        <f>IFERROR(VLOOKUP($D41,'Adient Taizhou (China) WK.16'!$B:LF,MG$1,0),0)</f>
        <v>0</v>
      </c>
      <c r="MI41" s="128">
        <v>0</v>
      </c>
      <c r="MJ41" s="32">
        <v>0</v>
      </c>
      <c r="MK41" s="100">
        <f t="shared" si="474"/>
        <v>200</v>
      </c>
      <c r="MM41" s="37">
        <f t="shared" si="475"/>
        <v>200</v>
      </c>
      <c r="MN41" s="141">
        <f>IFERROR(VLOOKUP($D41,'Adient Assende (Belgium) WK.17'!$B:LJ,MO$1,0),0)</f>
        <v>0</v>
      </c>
      <c r="MO41" s="140">
        <f>IFERROR(VLOOKUP($D41,'Adient Arendal (Malzia) WK.12'!$B:LK,MO$1,0),0)</f>
        <v>0</v>
      </c>
      <c r="MP41" s="140">
        <f>IFERROR(VLOOKUP($D41,'Adient Taizhou (China) WK.16'!$B:LN,MO$1,0),0)</f>
        <v>0</v>
      </c>
      <c r="MQ41" s="128">
        <v>0</v>
      </c>
      <c r="MR41" s="32">
        <v>0</v>
      </c>
      <c r="MS41" s="100">
        <f t="shared" si="476"/>
        <v>200</v>
      </c>
      <c r="MU41" s="37">
        <f t="shared" si="477"/>
        <v>200</v>
      </c>
      <c r="MV41" s="141">
        <f>IFERROR(VLOOKUP($D41,'Adient Assende (Belgium) WK.17'!$B:LR,MW$1,0),0)</f>
        <v>0</v>
      </c>
      <c r="MW41" s="140">
        <f>IFERROR(VLOOKUP($D41,'Adient Arendal (Malzia) WK.12'!$B:LS,MW$1,0),0)</f>
        <v>0</v>
      </c>
      <c r="MX41" s="140">
        <f>IFERROR(VLOOKUP($D41,'Adient Taizhou (China) WK.16'!$B:LV,MW$1,0),0)</f>
        <v>0</v>
      </c>
      <c r="MY41" s="128">
        <v>0</v>
      </c>
      <c r="MZ41" s="32">
        <v>0</v>
      </c>
      <c r="NA41" s="100">
        <f t="shared" si="478"/>
        <v>200</v>
      </c>
      <c r="NC41" s="37">
        <f t="shared" si="479"/>
        <v>200</v>
      </c>
      <c r="ND41" s="141">
        <f>IFERROR(VLOOKUP($D41,'Adient Assende (Belgium) WK.17'!$B:LZ,NE$1,0),0)</f>
        <v>100</v>
      </c>
      <c r="NE41" s="140">
        <f>IFERROR(VLOOKUP($D41,'Adient Arendal (Malzia) WK.12'!$B:MA,NE$1,0),0)</f>
        <v>0</v>
      </c>
      <c r="NF41" s="140">
        <f>IFERROR(VLOOKUP($D41,'Adient Taizhou (China) WK.16'!$B:MD,NE$1,0),0)</f>
        <v>0</v>
      </c>
      <c r="NG41" s="128">
        <v>0</v>
      </c>
      <c r="NH41" s="32">
        <v>0</v>
      </c>
      <c r="NI41" s="100">
        <f t="shared" si="480"/>
        <v>100</v>
      </c>
      <c r="NK41" s="37">
        <f t="shared" si="481"/>
        <v>100</v>
      </c>
      <c r="NL41" s="141">
        <f>IFERROR(VLOOKUP($D41,'Adient Assende (Belgium) WK.17'!$B:MH,NM$1,0),0)</f>
        <v>0</v>
      </c>
      <c r="NM41" s="140">
        <f>IFERROR(VLOOKUP($D41,'Adient Arendal (Malzia) WK.12'!$B:MI,NM$1,0),0)</f>
        <v>0</v>
      </c>
      <c r="NN41" s="140">
        <f>IFERROR(VLOOKUP($D41,'Adient Taizhou (China) WK.16'!$B:ML,NM$1,0),0)</f>
        <v>0</v>
      </c>
      <c r="NO41" s="128">
        <v>0</v>
      </c>
      <c r="NP41" s="32">
        <v>0</v>
      </c>
      <c r="NQ41" s="100">
        <f t="shared" si="482"/>
        <v>100</v>
      </c>
      <c r="NS41" s="37">
        <f t="shared" si="483"/>
        <v>100</v>
      </c>
      <c r="NT41" s="141">
        <f>IFERROR(VLOOKUP($D41,'Adient Assende (Belgium) WK.17'!$B:MP,NU$1,0),0)</f>
        <v>100</v>
      </c>
      <c r="NU41" s="140">
        <f>IFERROR(VLOOKUP($D41,'Adient Arendal (Malzia) WK.12'!$B:MQ,NU$1,0),0)</f>
        <v>0</v>
      </c>
      <c r="NV41" s="140">
        <f>IFERROR(VLOOKUP($D41,'Adient Taizhou (China) WK.16'!$B:MT,NU$1,0),0)</f>
        <v>0</v>
      </c>
      <c r="NW41" s="128">
        <v>0</v>
      </c>
      <c r="NX41" s="32">
        <v>0</v>
      </c>
      <c r="NY41" s="100">
        <f t="shared" si="484"/>
        <v>0</v>
      </c>
      <c r="OA41" s="37">
        <f t="shared" si="485"/>
        <v>0</v>
      </c>
      <c r="OB41" s="141">
        <f>IFERROR(VLOOKUP($D41,'Adient Assende (Belgium) WK.17'!$B:MX,OC$1,0),0)</f>
        <v>100</v>
      </c>
      <c r="OC41" s="140">
        <f>IFERROR(VLOOKUP($D41,'Adient Arendal (Malzia) WK.12'!$B:MY,OC$1,0),0)</f>
        <v>0</v>
      </c>
      <c r="OD41" s="140">
        <f>IFERROR(VLOOKUP($D41,'Adient Taizhou (China) WK.16'!$B:NB,OC$1,0),0)</f>
        <v>0</v>
      </c>
      <c r="OE41" s="128">
        <v>0</v>
      </c>
      <c r="OF41" s="32">
        <v>0</v>
      </c>
      <c r="OG41" s="100">
        <f t="shared" si="486"/>
        <v>-100</v>
      </c>
      <c r="OI41" s="37">
        <f t="shared" si="487"/>
        <v>-100</v>
      </c>
      <c r="OJ41" s="141">
        <f>IFERROR(VLOOKUP($D41,'Adient Assende (Belgium) WK.17'!$B:NF,OK$1,0),0)</f>
        <v>200</v>
      </c>
      <c r="OK41" s="140">
        <f>IFERROR(VLOOKUP($D41,'Adient Arendal (Malzia) WK.12'!$B:NG,OK$1,0),0)</f>
        <v>0</v>
      </c>
      <c r="OL41" s="140">
        <f>IFERROR(VLOOKUP($D41,'Adient Taizhou (China) WK.16'!$B:NJ,OK$1,0),0)</f>
        <v>0</v>
      </c>
      <c r="OM41" s="128">
        <v>0</v>
      </c>
      <c r="ON41" s="32">
        <v>0</v>
      </c>
      <c r="OO41" s="100">
        <f t="shared" si="488"/>
        <v>-300</v>
      </c>
      <c r="OQ41" s="37">
        <f t="shared" si="489"/>
        <v>-300</v>
      </c>
      <c r="OR41" s="141">
        <f>IFERROR(VLOOKUP($D41,'Adient Assende (Belgium) WK.17'!$B:NN,OS$1,0),0)</f>
        <v>0</v>
      </c>
      <c r="OS41" s="140">
        <f>IFERROR(VLOOKUP($D41,'Adient Arendal (Malzia) WK.12'!$B:NO,OS$1,0),0)</f>
        <v>0</v>
      </c>
      <c r="OT41" s="140">
        <f>IFERROR(VLOOKUP($D41,'Adient Taizhou (China) WK.16'!$B:NR,OS$1,0),0)</f>
        <v>0</v>
      </c>
      <c r="OU41" s="128">
        <v>0</v>
      </c>
      <c r="OV41" s="32">
        <v>0</v>
      </c>
      <c r="OW41" s="100">
        <f t="shared" si="490"/>
        <v>-300</v>
      </c>
      <c r="OY41" s="37">
        <f t="shared" si="491"/>
        <v>-300</v>
      </c>
      <c r="OZ41" s="141">
        <f>IFERROR(VLOOKUP($D41,'Adient Assende (Belgium) WK.17'!$B:NV,PA$1,0),0)</f>
        <v>0</v>
      </c>
      <c r="PA41" s="140">
        <f>IFERROR(VLOOKUP($D41,'Adient Arendal (Malzia) WK.12'!$B:NW,PA$1,0),0)</f>
        <v>0</v>
      </c>
      <c r="PB41" s="140">
        <f>IFERROR(VLOOKUP($D41,'Adient Taizhou (China) WK.16'!$B:NZ,PA$1,0),0)</f>
        <v>0</v>
      </c>
      <c r="PC41" s="128">
        <v>0</v>
      </c>
      <c r="PD41" s="32">
        <v>0</v>
      </c>
      <c r="PE41" s="100">
        <f t="shared" si="492"/>
        <v>-300</v>
      </c>
      <c r="PG41" s="37">
        <f t="shared" si="493"/>
        <v>-300</v>
      </c>
      <c r="PH41" s="141">
        <f>IFERROR(VLOOKUP($D41,'Adient Assende (Belgium) WK.17'!$B:OD,PI$1,0),0)</f>
        <v>0</v>
      </c>
      <c r="PI41" s="140">
        <f>IFERROR(VLOOKUP($D41,'Adient Arendal (Malzia) WK.12'!$B:OE,PI$1,0),0)</f>
        <v>0</v>
      </c>
      <c r="PJ41" s="140">
        <f>IFERROR(VLOOKUP($D41,'Adient Taizhou (China) WK.16'!$B:OH,PI$1,0),0)</f>
        <v>0</v>
      </c>
      <c r="PK41" s="128">
        <v>0</v>
      </c>
      <c r="PL41" s="32">
        <v>0</v>
      </c>
      <c r="PM41" s="100">
        <f t="shared" si="494"/>
        <v>-300</v>
      </c>
      <c r="PO41" s="37">
        <f t="shared" si="495"/>
        <v>-300</v>
      </c>
      <c r="PP41" s="141">
        <f>IFERROR(VLOOKUP($D41,'Adient Assende (Belgium) WK.17'!$B:OL,PQ$1,0),0)</f>
        <v>0</v>
      </c>
      <c r="PQ41" s="140">
        <f>IFERROR(VLOOKUP($D41,'Adient Arendal (Malzia) WK.12'!$B:OM,PQ$1,0),0)</f>
        <v>0</v>
      </c>
      <c r="PR41" s="140">
        <f>IFERROR(VLOOKUP($D41,'Adient Taizhou (China) WK.16'!$B:OP,PQ$1,0),0)</f>
        <v>0</v>
      </c>
      <c r="PS41" s="128">
        <v>0</v>
      </c>
      <c r="PT41" s="32">
        <v>0</v>
      </c>
      <c r="PU41" s="100">
        <f t="shared" si="496"/>
        <v>-300</v>
      </c>
      <c r="PW41" s="37">
        <f t="shared" si="497"/>
        <v>-300</v>
      </c>
      <c r="PX41" s="141">
        <f>IFERROR(VLOOKUP($D41,'Adient Assende (Belgium) WK.17'!$B:OT,PY$1,0),0)</f>
        <v>0</v>
      </c>
      <c r="PY41" s="140">
        <f>IFERROR(VLOOKUP($D41,'Adient Arendal (Malzia) WK.12'!$B:OU,PY$1,0),0)</f>
        <v>0</v>
      </c>
      <c r="PZ41" s="140">
        <f>IFERROR(VLOOKUP($D41,'Adient Taizhou (China) WK.16'!$B:OX,PY$1,0),0)</f>
        <v>0</v>
      </c>
      <c r="QA41" s="128">
        <v>0</v>
      </c>
      <c r="QB41" s="32">
        <v>0</v>
      </c>
      <c r="QC41" s="100">
        <f t="shared" si="498"/>
        <v>-300</v>
      </c>
      <c r="QE41" s="37">
        <f t="shared" si="499"/>
        <v>-300</v>
      </c>
      <c r="QF41" s="141">
        <f>IFERROR(VLOOKUP($D41,'Adient Assende (Belgium) WK.17'!$B:PB,QG$1,0),0)</f>
        <v>100</v>
      </c>
      <c r="QG41" s="140">
        <f>IFERROR(VLOOKUP($D41,'Adient Arendal (Malzia) WK.12'!$B:PC,QG$1,0),0)</f>
        <v>0</v>
      </c>
      <c r="QH41" s="140">
        <f>IFERROR(VLOOKUP($D41,'Adient Taizhou (China) WK.16'!$B:PF,QG$1,0),0)</f>
        <v>0</v>
      </c>
      <c r="QI41" s="128">
        <v>0</v>
      </c>
      <c r="QJ41" s="32">
        <v>0</v>
      </c>
      <c r="QK41" s="100">
        <f t="shared" si="500"/>
        <v>-400</v>
      </c>
      <c r="QM41" s="37">
        <f t="shared" si="501"/>
        <v>-400</v>
      </c>
      <c r="QN41" s="141">
        <f>IFERROR(VLOOKUP($D41,'Adient Assende (Belgium) WK.17'!$B:PJ,QO$1,0),0)</f>
        <v>100</v>
      </c>
      <c r="QO41" s="140">
        <f>IFERROR(VLOOKUP($D41,'Adient Arendal (Malzia) WK.12'!$B:PK,QO$1,0),0)</f>
        <v>0</v>
      </c>
      <c r="QP41" s="140">
        <f>IFERROR(VLOOKUP($D41,'Adient Taizhou (China) WK.16'!$B:PN,QO$1,0),0)</f>
        <v>0</v>
      </c>
      <c r="QQ41" s="128">
        <v>0</v>
      </c>
      <c r="QR41" s="32">
        <v>0</v>
      </c>
      <c r="QS41" s="100">
        <f t="shared" si="502"/>
        <v>-500</v>
      </c>
      <c r="QU41" s="37">
        <f t="shared" si="503"/>
        <v>-500</v>
      </c>
      <c r="QV41" s="141">
        <f>IFERROR(VLOOKUP($D41,'Adient Assende (Belgium) WK.17'!$B:PR,QW$1,0),0)</f>
        <v>80</v>
      </c>
      <c r="QW41" s="140">
        <f>IFERROR(VLOOKUP($D41,'Adient Arendal (Malzia) WK.12'!$B:PS,QW$1,0),0)</f>
        <v>0</v>
      </c>
      <c r="QX41" s="140">
        <f>IFERROR(VLOOKUP($D41,'Adient Taizhou (China) WK.16'!$B:PV,QW$1,0),0)</f>
        <v>0</v>
      </c>
      <c r="QY41" s="128">
        <v>0</v>
      </c>
      <c r="QZ41" s="32">
        <v>0</v>
      </c>
      <c r="RA41" s="100">
        <f t="shared" si="504"/>
        <v>-580</v>
      </c>
      <c r="RC41" s="37">
        <f t="shared" si="505"/>
        <v>-580</v>
      </c>
      <c r="RD41" s="141">
        <f>IFERROR(VLOOKUP($D41,'Adient Assende (Belgium) WK.17'!$B:PZ,RE$1,0),0)</f>
        <v>80</v>
      </c>
      <c r="RE41" s="140">
        <f>IFERROR(VLOOKUP($D41,'Adient Arendal (Malzia) WK.12'!$B:QA,RE$1,0),0)</f>
        <v>0</v>
      </c>
      <c r="RF41" s="140">
        <f>IFERROR(VLOOKUP($D41,'Adient Taizhou (China) WK.16'!$B:QD,RE$1,0),0)</f>
        <v>0</v>
      </c>
      <c r="RG41" s="128">
        <v>0</v>
      </c>
      <c r="RH41" s="32">
        <v>0</v>
      </c>
      <c r="RI41" s="100">
        <f t="shared" si="506"/>
        <v>-660</v>
      </c>
      <c r="RK41" s="37">
        <f t="shared" si="507"/>
        <v>-660</v>
      </c>
      <c r="RL41" s="141">
        <f>IFERROR(VLOOKUP($D41,'Adient Assende (Belgium) WK.17'!$B:QH,RM$1,0),0)</f>
        <v>80</v>
      </c>
      <c r="RM41" s="140">
        <f>IFERROR(VLOOKUP($D41,'Adient Arendal (Malzia) WK.12'!$B:QI,RM$1,0),0)</f>
        <v>0</v>
      </c>
      <c r="RN41" s="140">
        <f>IFERROR(VLOOKUP($D41,'Adient Taizhou (China) WK.16'!$B:QL,RM$1,0),0)</f>
        <v>0</v>
      </c>
      <c r="RO41" s="128">
        <v>0</v>
      </c>
      <c r="RP41" s="32">
        <v>0</v>
      </c>
      <c r="RQ41" s="100">
        <f t="shared" si="508"/>
        <v>-740</v>
      </c>
      <c r="RS41" s="37">
        <f t="shared" si="509"/>
        <v>-740</v>
      </c>
      <c r="RT41" s="141">
        <f>IFERROR(VLOOKUP($D41,'Adient Assende (Belgium) WK.17'!$B:QP,RU$1,0),0)</f>
        <v>60</v>
      </c>
      <c r="RU41" s="140">
        <f>IFERROR(VLOOKUP($D41,'Adient Arendal (Malzia) WK.12'!$B:QQ,RU$1,0),0)</f>
        <v>0</v>
      </c>
      <c r="RV41" s="140">
        <f>IFERROR(VLOOKUP($D41,'Adient Taizhou (China) WK.16'!$B:QT,RU$1,0),0)</f>
        <v>0</v>
      </c>
      <c r="RW41" s="128">
        <v>0</v>
      </c>
      <c r="RX41" s="32">
        <v>0</v>
      </c>
      <c r="RY41" s="100">
        <f t="shared" si="510"/>
        <v>-800</v>
      </c>
      <c r="SA41" s="37">
        <f t="shared" si="511"/>
        <v>-800</v>
      </c>
      <c r="SB41" s="141">
        <f>IFERROR(VLOOKUP($D41,'Adient Assende (Belgium) WK.17'!$B:QX,SC$1,0),0)</f>
        <v>50</v>
      </c>
      <c r="SC41" s="140">
        <f>IFERROR(VLOOKUP($D41,'Adient Arendal (Malzia) WK.12'!$B:QY,SC$1,0),0)</f>
        <v>0</v>
      </c>
      <c r="SD41" s="140">
        <f>IFERROR(VLOOKUP($D41,'Adient Taizhou (China) WK.16'!$B:RB,SC$1,0),0)</f>
        <v>0</v>
      </c>
      <c r="SE41" s="128">
        <v>0</v>
      </c>
      <c r="SF41" s="32">
        <v>0</v>
      </c>
      <c r="SG41" s="100">
        <f t="shared" si="512"/>
        <v>-850</v>
      </c>
      <c r="SI41" s="37">
        <f t="shared" si="513"/>
        <v>-850</v>
      </c>
      <c r="SJ41" s="141">
        <f>IFERROR(VLOOKUP($D41,'Adient Assende (Belgium) WK.17'!$B:RF,SK$1,0),0)</f>
        <v>50</v>
      </c>
      <c r="SK41" s="140">
        <f>IFERROR(VLOOKUP($D41,'Adient Arendal (Malzia) WK.12'!$B:RG,SK$1,0),0)</f>
        <v>0</v>
      </c>
      <c r="SL41" s="140">
        <f>IFERROR(VLOOKUP($D41,'Adient Taizhou (China) WK.16'!$B:RJ,SK$1,0),0)</f>
        <v>0</v>
      </c>
      <c r="SM41" s="128">
        <v>0</v>
      </c>
      <c r="SN41" s="32">
        <v>0</v>
      </c>
      <c r="SO41" s="100">
        <f t="shared" si="514"/>
        <v>-900</v>
      </c>
      <c r="SQ41" s="37">
        <f t="shared" si="515"/>
        <v>-900</v>
      </c>
      <c r="SR41" s="141">
        <f>IFERROR(VLOOKUP($D41,'Adient Assende (Belgium) WK.17'!$B:RN,SS$1,0),0)</f>
        <v>50</v>
      </c>
      <c r="SS41" s="140">
        <f>IFERROR(VLOOKUP($D41,'Adient Arendal (Malzia) WK.12'!$B:RO,SS$1,0),0)</f>
        <v>0</v>
      </c>
      <c r="ST41" s="140">
        <f>IFERROR(VLOOKUP($D41,'Adient Taizhou (China) WK.16'!$B:RR,SS$1,0),0)</f>
        <v>0</v>
      </c>
      <c r="SU41" s="128">
        <v>0</v>
      </c>
      <c r="SV41" s="32">
        <v>0</v>
      </c>
      <c r="SW41" s="100">
        <f t="shared" si="516"/>
        <v>-950</v>
      </c>
      <c r="SY41" s="37">
        <f t="shared" si="517"/>
        <v>-950</v>
      </c>
      <c r="SZ41" s="141">
        <f>IFERROR(VLOOKUP($D41,'Adient Assende (Belgium) WK.17'!$B:RV,TA$1,0),0)</f>
        <v>50</v>
      </c>
      <c r="TA41" s="140">
        <f>IFERROR(VLOOKUP($D41,'Adient Arendal (Malzia) WK.12'!$B:RW,TA$1,0),0)</f>
        <v>0</v>
      </c>
      <c r="TB41" s="140">
        <f>IFERROR(VLOOKUP($D41,'Adient Taizhou (China) WK.16'!$B:RZ,TA$1,0),0)</f>
        <v>0</v>
      </c>
      <c r="TC41" s="128">
        <v>0</v>
      </c>
      <c r="TD41" s="32">
        <v>0</v>
      </c>
      <c r="TE41" s="100">
        <f t="shared" si="518"/>
        <v>-1000</v>
      </c>
      <c r="TG41" s="37">
        <f t="shared" si="519"/>
        <v>-1000</v>
      </c>
      <c r="TH41" s="141">
        <f>IFERROR(VLOOKUP($D41,'Adient Assende (Belgium) WK.17'!$B:SD,TI$1,0),0)</f>
        <v>0</v>
      </c>
      <c r="TI41" s="140">
        <f>IFERROR(VLOOKUP($D41,'Adient Arendal (Malzia) WK.12'!$B:SE,TI$1,0),0)</f>
        <v>0</v>
      </c>
      <c r="TJ41" s="140">
        <f>IFERROR(VLOOKUP($D41,'Adient Taizhou (China) WK.16'!$B:SH,TI$1,0),0)</f>
        <v>0</v>
      </c>
      <c r="TK41" s="128">
        <v>0</v>
      </c>
      <c r="TL41" s="32">
        <v>0</v>
      </c>
      <c r="TM41" s="100">
        <f t="shared" si="520"/>
        <v>-1000</v>
      </c>
      <c r="TO41" s="37">
        <f t="shared" si="521"/>
        <v>-1000</v>
      </c>
      <c r="TP41" s="141">
        <f>IFERROR(VLOOKUP($D41,'Adient Assende (Belgium) WK.17'!$B:SL,TQ$1,0),0)</f>
        <v>0</v>
      </c>
      <c r="TQ41" s="140">
        <f>IFERROR(VLOOKUP($D41,'Adient Arendal (Malzia) WK.12'!$B:SM,TQ$1,0),0)</f>
        <v>0</v>
      </c>
      <c r="TR41" s="140">
        <f>IFERROR(VLOOKUP($D41,'Adient Taizhou (China) WK.16'!$B:SP,TQ$1,0),0)</f>
        <v>0</v>
      </c>
      <c r="TS41" s="128">
        <v>0</v>
      </c>
      <c r="TT41" s="32">
        <v>0</v>
      </c>
      <c r="TU41" s="100">
        <f t="shared" si="522"/>
        <v>-1000</v>
      </c>
      <c r="TW41" s="37">
        <f t="shared" si="523"/>
        <v>-1000</v>
      </c>
      <c r="TX41" s="141">
        <f>IFERROR(VLOOKUP($D41,'Adient Assende (Belgium) WK.17'!$B:ST,TY$1,0),0)</f>
        <v>0</v>
      </c>
      <c r="TY41" s="140">
        <f>IFERROR(VLOOKUP($D41,'Adient Arendal (Malzia) WK.12'!$B:SU,TY$1,0),0)</f>
        <v>0</v>
      </c>
      <c r="TZ41" s="140">
        <f>IFERROR(VLOOKUP($D41,'Adient Taizhou (China) WK.16'!$B:SX,TY$1,0),0)</f>
        <v>0</v>
      </c>
      <c r="UA41" s="128">
        <v>0</v>
      </c>
      <c r="UB41" s="32">
        <v>0</v>
      </c>
      <c r="UC41" s="100">
        <f t="shared" si="524"/>
        <v>-1000</v>
      </c>
      <c r="UE41" s="37">
        <f t="shared" si="525"/>
        <v>-1000</v>
      </c>
      <c r="UF41" s="141">
        <f>IFERROR(VLOOKUP($D41,'Adient Assende (Belgium) WK.17'!$B:TB,UG$1,0),0)</f>
        <v>0</v>
      </c>
      <c r="UG41" s="140">
        <f>IFERROR(VLOOKUP($D41,'Adient Arendal (Malzia) WK.12'!$B:TC,UG$1,0),0)</f>
        <v>0</v>
      </c>
      <c r="UH41" s="140">
        <f>IFERROR(VLOOKUP($D41,'Adient Taizhou (China) WK.16'!$B:TF,UG$1,0),0)</f>
        <v>0</v>
      </c>
      <c r="UI41" s="128">
        <v>0</v>
      </c>
      <c r="UJ41" s="32">
        <v>0</v>
      </c>
      <c r="UK41" s="100">
        <f t="shared" si="526"/>
        <v>-1000</v>
      </c>
      <c r="UM41" s="37">
        <f t="shared" si="527"/>
        <v>-1000</v>
      </c>
      <c r="UN41" s="141">
        <f>IFERROR(VLOOKUP($D41,'Adient Assende (Belgium) WK.17'!$B:TJ,UO$1,0),0)</f>
        <v>0</v>
      </c>
      <c r="UO41" s="140">
        <f>IFERROR(VLOOKUP($D41,'Adient Arendal (Malzia) WK.12'!$B:TK,UO$1,0),0)</f>
        <v>0</v>
      </c>
      <c r="UP41" s="140">
        <f>IFERROR(VLOOKUP($D41,'Adient Taizhou (China) WK.16'!$B:TN,UO$1,0),0)</f>
        <v>0</v>
      </c>
      <c r="UQ41" s="128">
        <v>0</v>
      </c>
      <c r="UR41" s="32">
        <v>0</v>
      </c>
      <c r="US41" s="100">
        <f t="shared" si="528"/>
        <v>-1000</v>
      </c>
      <c r="UU41" s="37">
        <f t="shared" si="529"/>
        <v>-1000</v>
      </c>
      <c r="UV41" s="141">
        <f>IFERROR(VLOOKUP($D41,'Adient Assende (Belgium) WK.17'!$B:TR,UW$1,0),0)</f>
        <v>0</v>
      </c>
      <c r="UW41" s="140">
        <f>IFERROR(VLOOKUP($D41,'Adient Arendal (Malzia) WK.12'!$B:TS,UW$1,0),0)</f>
        <v>0</v>
      </c>
      <c r="UX41" s="140">
        <f>IFERROR(VLOOKUP($D41,'Adient Taizhou (China) WK.16'!$B:TV,UW$1,0),0)</f>
        <v>0</v>
      </c>
      <c r="UY41" s="128">
        <v>0</v>
      </c>
      <c r="UZ41" s="32">
        <v>0</v>
      </c>
      <c r="VA41" s="100">
        <f t="shared" si="530"/>
        <v>-1000</v>
      </c>
      <c r="VC41" s="37">
        <f t="shared" si="531"/>
        <v>-1000</v>
      </c>
      <c r="VD41" s="141">
        <f>IFERROR(VLOOKUP($D41,'Adient Assende (Belgium) WK.17'!$B:TZ,VE$1,0),0)</f>
        <v>0</v>
      </c>
      <c r="VE41" s="140">
        <f>IFERROR(VLOOKUP($D41,'Adient Arendal (Malzia) WK.12'!$B:UA,VE$1,0),0)</f>
        <v>0</v>
      </c>
      <c r="VF41" s="140">
        <f>IFERROR(VLOOKUP($D41,'Adient Taizhou (China) WK.16'!$B:UD,VE$1,0),0)</f>
        <v>0</v>
      </c>
      <c r="VG41" s="128">
        <v>0</v>
      </c>
      <c r="VH41" s="32">
        <v>0</v>
      </c>
      <c r="VI41" s="100">
        <f t="shared" si="532"/>
        <v>-1000</v>
      </c>
      <c r="VK41" s="37">
        <f t="shared" si="533"/>
        <v>-1000</v>
      </c>
      <c r="VL41" s="141">
        <f>IFERROR(VLOOKUP($D41,'Adient Assende (Belgium) WK.17'!$B:UH,VM$1,0),0)</f>
        <v>0</v>
      </c>
      <c r="VM41" s="140">
        <f>IFERROR(VLOOKUP($D41,'Adient Arendal (Malzia) WK.12'!$B:UI,VM$1,0),0)</f>
        <v>0</v>
      </c>
      <c r="VN41" s="140">
        <f>IFERROR(VLOOKUP($D41,'Adient Taizhou (China) WK.16'!$B:UL,VM$1,0),0)</f>
        <v>0</v>
      </c>
      <c r="VO41" s="128">
        <v>0</v>
      </c>
      <c r="VP41" s="32">
        <v>0</v>
      </c>
      <c r="VQ41" s="100">
        <f t="shared" si="534"/>
        <v>-1000</v>
      </c>
    </row>
    <row r="42" spans="1:589" x14ac:dyDescent="0.25">
      <c r="A42" s="10" t="s">
        <v>18</v>
      </c>
      <c r="B42" s="11" t="s">
        <v>17</v>
      </c>
      <c r="C42" s="87">
        <v>32248186</v>
      </c>
      <c r="D42" s="81">
        <v>4172821</v>
      </c>
      <c r="E42" s="11">
        <v>25</v>
      </c>
      <c r="F42" s="12"/>
      <c r="H42" s="122">
        <v>2100</v>
      </c>
      <c r="I42" s="125">
        <f>IFERROR(VLOOKUP($D42,'Adient Assende (Belgium) WK.17'!$B:C,J$1,0),0)</f>
        <v>200</v>
      </c>
      <c r="J42" s="55">
        <f>IFERROR(VLOOKUP($D42,'Adient Arendal (Malzia) WK.12'!$B:C,J$1,0),0)</f>
        <v>0</v>
      </c>
      <c r="K42" s="55">
        <f>IFERROR(VLOOKUP($D42,'Adient Taizhou (China) WK.16'!$B:C,J$1,0),0)</f>
        <v>0</v>
      </c>
      <c r="L42" s="128">
        <v>300</v>
      </c>
      <c r="M42" s="32">
        <v>0</v>
      </c>
      <c r="N42" s="106">
        <f t="shared" si="233"/>
        <v>1800</v>
      </c>
      <c r="P42" s="37">
        <f t="shared" si="234"/>
        <v>1800</v>
      </c>
      <c r="Q42" s="125">
        <f>IFERROR(VLOOKUP($D42,'Adient Assende (Belgium) WK.17'!$B:K,R$1,0),0)</f>
        <v>300</v>
      </c>
      <c r="R42" s="55">
        <f>IFERROR(VLOOKUP($D42,'Adient Arendal (Malzia) WK.12'!$B:K,R$1,0),0)</f>
        <v>0</v>
      </c>
      <c r="S42" s="55">
        <f>IFERROR(VLOOKUP($D42,'Adient Taizhou (China) WK.16'!$B:K,R$1,0),0)</f>
        <v>0</v>
      </c>
      <c r="T42" s="41">
        <v>300</v>
      </c>
      <c r="U42" s="32">
        <v>0</v>
      </c>
      <c r="V42" s="106">
        <f t="shared" si="235"/>
        <v>1500</v>
      </c>
      <c r="X42" s="37">
        <f t="shared" si="236"/>
        <v>1500</v>
      </c>
      <c r="Y42" s="125">
        <f>IFERROR(VLOOKUP($D42,'Adient Assende (Belgium) WK.17'!$B:S,Z$1,0),0)</f>
        <v>300</v>
      </c>
      <c r="Z42" s="55">
        <f>IFERROR(VLOOKUP($D42,'Adient Arendal (Malzia) WK.12'!$B:S,Z$1,0),0)</f>
        <v>0</v>
      </c>
      <c r="AA42" s="55">
        <f>IFERROR(VLOOKUP($D42,'Adient Taizhou (China) WK.16'!$B:S,Z$1,0),0)</f>
        <v>0</v>
      </c>
      <c r="AB42" s="41">
        <v>300</v>
      </c>
      <c r="AC42" s="32">
        <v>0</v>
      </c>
      <c r="AD42" s="106">
        <f t="shared" si="237"/>
        <v>1200</v>
      </c>
      <c r="AF42" s="37">
        <f t="shared" si="238"/>
        <v>1200</v>
      </c>
      <c r="AG42" s="125">
        <f>IFERROR(VLOOKUP($D42,'Adient Assende (Belgium) WK.17'!$B:AA,AH$1,0),0)</f>
        <v>300</v>
      </c>
      <c r="AH42" s="55">
        <f>IFERROR(VLOOKUP($D42,'Adient Arendal (Malzia) WK.12'!$B:AA,AH$1,0),0)</f>
        <v>0</v>
      </c>
      <c r="AI42" s="55">
        <f>IFERROR(VLOOKUP($D42,'Adient Taizhou (China) WK.16'!$B:AA,AH$1,0),0)</f>
        <v>0</v>
      </c>
      <c r="AJ42" s="41">
        <v>300</v>
      </c>
      <c r="AK42" s="32">
        <v>0</v>
      </c>
      <c r="AL42" s="106">
        <f t="shared" si="239"/>
        <v>900</v>
      </c>
      <c r="AN42" s="37">
        <f t="shared" si="432"/>
        <v>900</v>
      </c>
      <c r="AO42" s="125">
        <f>IFERROR(VLOOKUP($D42,'Adient Assende (Belgium) WK.17'!$B:AI,AP$1,0),0)</f>
        <v>300</v>
      </c>
      <c r="AP42" s="55">
        <f>IFERROR(VLOOKUP($D42,'Adient Arendal (Malzia) WK.12'!$B:AI,AP$1,0),0)</f>
        <v>0</v>
      </c>
      <c r="AQ42" s="55">
        <f>IFERROR(VLOOKUP($D42,'Adient Taizhou (China) WK.16'!$B:AI,AP$1,0),0)</f>
        <v>0</v>
      </c>
      <c r="AR42" s="60">
        <v>0</v>
      </c>
      <c r="AS42" s="41">
        <v>200</v>
      </c>
      <c r="AT42" s="32">
        <v>0</v>
      </c>
      <c r="AU42" s="106">
        <f t="shared" si="240"/>
        <v>700</v>
      </c>
      <c r="AW42" s="37">
        <f t="shared" si="433"/>
        <v>700</v>
      </c>
      <c r="AX42" s="125">
        <f>IFERROR(VLOOKUP($D42,'Adient Assende (Belgium) WK.17'!$B:AR,AY$1,0),0)</f>
        <v>200</v>
      </c>
      <c r="AY42" s="55">
        <f>IFERROR(VLOOKUP($D42,'Adient Arendal (Malzia) WK.12'!$B:AR,AY$1,0),0)</f>
        <v>0</v>
      </c>
      <c r="AZ42" s="55">
        <f>IFERROR(VLOOKUP($D42,'Adient Taizhou (China) WK.16'!$B:AU,AY$1,0),0)</f>
        <v>0</v>
      </c>
      <c r="BA42" s="41">
        <v>300</v>
      </c>
      <c r="BB42" s="32">
        <v>0</v>
      </c>
      <c r="BC42" s="106">
        <f t="shared" si="241"/>
        <v>400</v>
      </c>
      <c r="BE42" s="37">
        <f t="shared" si="434"/>
        <v>400</v>
      </c>
      <c r="BF42" s="125">
        <f>IFERROR(VLOOKUP($D42,'Adient Assende (Belgium) WK.17'!$B:AX,BG$1,0),0)</f>
        <v>300</v>
      </c>
      <c r="BG42" s="55">
        <f>IFERROR(VLOOKUP($D42,'Adient Arendal (Malzia) WK.12'!$B:AZ,BG$1,0),0)</f>
        <v>0</v>
      </c>
      <c r="BH42" s="55">
        <f>IFERROR(VLOOKUP($D42,'Adient Taizhou (China) WK.16'!$B:BB,BG$1,0),0)</f>
        <v>0</v>
      </c>
      <c r="BI42" s="60">
        <v>575</v>
      </c>
      <c r="BJ42" s="60">
        <v>0</v>
      </c>
      <c r="BK42" s="41">
        <v>200</v>
      </c>
      <c r="BL42" s="32">
        <v>0</v>
      </c>
      <c r="BM42" s="106">
        <f t="shared" si="242"/>
        <v>775</v>
      </c>
      <c r="BN42" s="8"/>
      <c r="BO42" s="37">
        <f t="shared" si="435"/>
        <v>775</v>
      </c>
      <c r="BP42" s="125">
        <f>IFERROR(VLOOKUP($D42,'Adient Assende (Belgium) WK.17'!$B:BH,BQ$1,0),0)</f>
        <v>200</v>
      </c>
      <c r="BQ42" s="55">
        <f>IFERROR(VLOOKUP($D42,'Adient Arendal (Malzia) WK.12'!$B:BI,BQ$1,0),0)</f>
        <v>0</v>
      </c>
      <c r="BR42" s="55">
        <f>IFERROR(VLOOKUP($D42,'Adient Taizhou (China) WK.16'!$B:BL,BQ$1,0),0)</f>
        <v>0</v>
      </c>
      <c r="BS42" s="60">
        <v>75</v>
      </c>
      <c r="BT42" s="60">
        <v>0</v>
      </c>
      <c r="BU42" s="60">
        <v>0</v>
      </c>
      <c r="BV42" s="41">
        <v>300</v>
      </c>
      <c r="BW42" s="32">
        <v>0</v>
      </c>
      <c r="BX42" s="106">
        <f t="shared" si="243"/>
        <v>550</v>
      </c>
      <c r="BY42" s="8"/>
      <c r="BZ42" s="37">
        <f t="shared" si="436"/>
        <v>550</v>
      </c>
      <c r="CA42" s="125">
        <f>IFERROR(VLOOKUP($D42,'Adient Assende (Belgium) WK.17'!$B:BS,CB$1,0),0)</f>
        <v>300</v>
      </c>
      <c r="CB42" s="55">
        <f>IFERROR(VLOOKUP($D42,'Adient Arendal (Malzia) WK.12'!$B:BT,CB$1,0),0)</f>
        <v>0</v>
      </c>
      <c r="CC42" s="55">
        <f>IFERROR(VLOOKUP($D42,'Adient Taizhou (China) WK.16'!$B:BW,CB$1,0),0)</f>
        <v>0</v>
      </c>
      <c r="CD42" s="60">
        <v>0</v>
      </c>
      <c r="CE42" s="60">
        <v>75</v>
      </c>
      <c r="CF42" s="41">
        <v>600</v>
      </c>
      <c r="CG42" s="32">
        <v>0</v>
      </c>
      <c r="CH42" s="106">
        <f t="shared" si="244"/>
        <v>25</v>
      </c>
      <c r="CI42" s="8"/>
      <c r="CJ42" s="37">
        <f t="shared" si="437"/>
        <v>25</v>
      </c>
      <c r="CK42" s="125">
        <f>IFERROR(VLOOKUP($D42,'Adient Assende (Belgium) WK.17'!$B:CC,CL$1,0),0)</f>
        <v>600</v>
      </c>
      <c r="CL42" s="55">
        <f>IFERROR(VLOOKUP($D42,'Adient Arendal (Malzia) WK.12'!$B:CD,CL$1,0),0)</f>
        <v>0</v>
      </c>
      <c r="CM42" s="55">
        <f>IFERROR(VLOOKUP($D42,'Adient Taizhou (China) WK.16'!$B:CG,CL$1,0),0)</f>
        <v>0</v>
      </c>
      <c r="CN42" s="60">
        <v>500</v>
      </c>
      <c r="CO42" s="149">
        <v>0</v>
      </c>
      <c r="CP42" s="32">
        <v>0</v>
      </c>
      <c r="CQ42" s="106">
        <f t="shared" si="245"/>
        <v>525</v>
      </c>
      <c r="CR42" s="8"/>
      <c r="CS42" s="122">
        <f t="shared" si="438"/>
        <v>525</v>
      </c>
      <c r="CT42" s="154">
        <f>IFERROR(VLOOKUP($D42,'Adient Assende (Belgium) WK.17'!$B:CL,CU$1,0),0)</f>
        <v>0</v>
      </c>
      <c r="CU42" s="55">
        <f>IFERROR(VLOOKUP($D42,'Adient Arendal (Malzia) WK.12'!$B:CM,CU$1,0),0)</f>
        <v>0</v>
      </c>
      <c r="CV42" s="55">
        <f>IFERROR(VLOOKUP($D42,'Adient Taizhou (China) WK.16'!$B:CP,CU$1,0),0)</f>
        <v>0</v>
      </c>
      <c r="CW42" s="60">
        <v>0</v>
      </c>
      <c r="CX42" s="60">
        <v>475</v>
      </c>
      <c r="CY42" s="128">
        <v>200</v>
      </c>
      <c r="CZ42" s="32">
        <v>0</v>
      </c>
      <c r="DA42" s="106">
        <f t="shared" si="246"/>
        <v>800</v>
      </c>
      <c r="DB42" s="8"/>
      <c r="DC42" s="37">
        <f t="shared" si="439"/>
        <v>800</v>
      </c>
      <c r="DD42" s="125">
        <f>IFERROR(VLOOKUP($D42,'Adient Assende (Belgium) WK.17'!$B:CS,DE$1,0),0)</f>
        <v>200</v>
      </c>
      <c r="DE42" s="55">
        <f>IFERROR(VLOOKUP($D42,'Adient Arendal (Malzia) WK.12'!$B:CU,DE$1,0),0)</f>
        <v>0</v>
      </c>
      <c r="DF42" s="55">
        <f>IFERROR(VLOOKUP($D42,'Adient Taizhou (China) WK.16'!$B:CX,DE$1,0),0)</f>
        <v>0</v>
      </c>
      <c r="DG42" s="60">
        <v>0</v>
      </c>
      <c r="DH42" s="128">
        <v>100</v>
      </c>
      <c r="DI42" s="32">
        <v>0</v>
      </c>
      <c r="DJ42" s="106">
        <f t="shared" si="247"/>
        <v>700</v>
      </c>
      <c r="DL42" s="37">
        <f t="shared" si="440"/>
        <v>700</v>
      </c>
      <c r="DM42" s="125">
        <f>IFERROR(VLOOKUP($D42,'Adient Assende (Belgium) WK.17'!$B:DB,DN$1,0),0)</f>
        <v>100</v>
      </c>
      <c r="DN42" s="55">
        <f>IFERROR(VLOOKUP($D42,'Adient Arendal (Malzia) WK.12'!$B:DC,DN$1,0),0)</f>
        <v>0</v>
      </c>
      <c r="DO42" s="55">
        <f>IFERROR(VLOOKUP($D42,'Adient Taizhou (China) WK.16'!$B:DF,DN$1,0),0)</f>
        <v>0</v>
      </c>
      <c r="DP42" s="128">
        <v>300</v>
      </c>
      <c r="DQ42" s="32">
        <v>0</v>
      </c>
      <c r="DR42" s="106">
        <f t="shared" si="441"/>
        <v>400</v>
      </c>
      <c r="DS42" s="8"/>
      <c r="DT42" s="37">
        <f t="shared" si="442"/>
        <v>400</v>
      </c>
      <c r="DU42" s="125">
        <f>IFERROR(VLOOKUP($D42,'Adient Assende (Belgium) WK.17'!$B:DJ,DV$1,0),0)</f>
        <v>300</v>
      </c>
      <c r="DV42" s="55">
        <f>IFERROR(VLOOKUP($D42,'Adient Arendal (Malzia) WK.12'!$B:DK,DV$1,0),0)</f>
        <v>0</v>
      </c>
      <c r="DW42" s="55">
        <f>IFERROR(VLOOKUP($D42,'Adient Taizhou (China) WK.16'!$B:DN,DV$1,0),0)</f>
        <v>0</v>
      </c>
      <c r="DX42" s="60">
        <v>400</v>
      </c>
      <c r="DY42" s="60">
        <v>300</v>
      </c>
      <c r="DZ42" s="128">
        <v>200</v>
      </c>
      <c r="EA42" s="32">
        <v>0</v>
      </c>
      <c r="EB42" s="106">
        <f t="shared" si="248"/>
        <v>900</v>
      </c>
      <c r="EC42" s="8"/>
      <c r="ED42" s="37">
        <f t="shared" si="443"/>
        <v>900</v>
      </c>
      <c r="EE42" s="125">
        <f>IFERROR(VLOOKUP($D42,'Adient Assende (Belgium) WK.17'!$B:DR,EF$1,0),0)</f>
        <v>200</v>
      </c>
      <c r="EF42" s="55">
        <f>IFERROR(VLOOKUP($D42,'Adient Arendal (Malzia) WK.12'!$B:DS,EF$1,0),0)</f>
        <v>0</v>
      </c>
      <c r="EG42" s="55">
        <f>IFERROR(VLOOKUP($D42,'Adient Taizhou (China) WK.16'!$B:DV,EF$1,0),0)</f>
        <v>0</v>
      </c>
      <c r="EH42" s="60">
        <v>325</v>
      </c>
      <c r="EI42" s="128">
        <v>300</v>
      </c>
      <c r="EJ42" s="32">
        <v>0</v>
      </c>
      <c r="EK42" s="106">
        <f t="shared" si="249"/>
        <v>925</v>
      </c>
      <c r="EM42" s="37">
        <f t="shared" si="444"/>
        <v>925</v>
      </c>
      <c r="EN42" s="125">
        <f>IFERROR(VLOOKUP($D42,'Adient Assende (Belgium) WK.17'!$B:DZ,EO$1,0),0)</f>
        <v>300</v>
      </c>
      <c r="EO42" s="55">
        <f>IFERROR(VLOOKUP($D42,'Adient Arendal (Malzia) WK.12'!$B:EA,EO$1,0),0)</f>
        <v>0</v>
      </c>
      <c r="EP42" s="55">
        <f>IFERROR(VLOOKUP($D42,'Adient Taizhou (China) WK.16'!$B:ED,EO$1,0),0)</f>
        <v>0</v>
      </c>
      <c r="EQ42" s="128">
        <v>100</v>
      </c>
      <c r="ER42" s="32">
        <v>0</v>
      </c>
      <c r="ES42" s="106">
        <f t="shared" si="250"/>
        <v>825</v>
      </c>
      <c r="EU42" s="37">
        <f t="shared" si="445"/>
        <v>825</v>
      </c>
      <c r="EV42" s="125">
        <f>IFERROR(VLOOKUP($D42,'Adient Assende (Belgium) WK.17'!$B:EH,EW$1,0),0)</f>
        <v>100</v>
      </c>
      <c r="EW42" s="55">
        <f>IFERROR(VLOOKUP($D42,'Adient Arendal (Malzia) WK.12'!$B:EI,EW$1,0),0)</f>
        <v>0</v>
      </c>
      <c r="EX42" s="55">
        <f>IFERROR(VLOOKUP($D42,'Adient Taizhou (China) WK.16'!$B:EL,EW$1,0),0)</f>
        <v>0</v>
      </c>
      <c r="EY42" s="128">
        <v>0</v>
      </c>
      <c r="EZ42" s="32">
        <v>0</v>
      </c>
      <c r="FA42" s="106">
        <f t="shared" si="251"/>
        <v>825</v>
      </c>
      <c r="FC42" s="37">
        <f t="shared" si="446"/>
        <v>825</v>
      </c>
      <c r="FD42" s="154">
        <f>IFERROR(VLOOKUP($D42,'Adient Assende (Belgium) WK.17'!$B:EP,FE$1,0),0)</f>
        <v>0</v>
      </c>
      <c r="FE42" s="154">
        <f>IFERROR(VLOOKUP($D42,'Adient Arendal (Malzia) WK.12'!$B:EQ,FE$1,0),0)</f>
        <v>0</v>
      </c>
      <c r="FF42" s="154">
        <f>IFERROR(VLOOKUP($D42,'Adient Taizhou (China) WK.16'!$B:ET,FE$1,0),0)</f>
        <v>0</v>
      </c>
      <c r="FG42" s="128">
        <v>0</v>
      </c>
      <c r="FH42" s="32">
        <v>0</v>
      </c>
      <c r="FI42" s="106">
        <f t="shared" si="252"/>
        <v>825</v>
      </c>
      <c r="FK42" s="37">
        <f t="shared" si="447"/>
        <v>825</v>
      </c>
      <c r="FL42" s="125">
        <f>IFERROR(VLOOKUP($D42,'Adient Assende (Belgium) WK.17'!$B:EX,FM$1,0),0)</f>
        <v>0</v>
      </c>
      <c r="FM42" s="55">
        <f>IFERROR(VLOOKUP($D42,'Adient Arendal (Malzia) WK.12'!$B:EY,FM$1,0),0)</f>
        <v>0</v>
      </c>
      <c r="FN42" s="55">
        <f>IFERROR(VLOOKUP($D42,'Adient Taizhou (China) WK.16'!$B:FB,FM$1,0),0)</f>
        <v>0</v>
      </c>
      <c r="FO42" s="128">
        <v>200</v>
      </c>
      <c r="FP42" s="32">
        <v>0</v>
      </c>
      <c r="FQ42" s="106">
        <f t="shared" si="253"/>
        <v>625</v>
      </c>
      <c r="FR42" s="8"/>
      <c r="FS42" s="37">
        <f t="shared" si="448"/>
        <v>625</v>
      </c>
      <c r="FT42" s="125">
        <f>IFERROR(VLOOKUP($D42,'Adient Assende (Belgium) WK.17'!$B:FF,FU$1,0),0)</f>
        <v>200</v>
      </c>
      <c r="FU42" s="55">
        <f>IFERROR(VLOOKUP($D42,'Adient Arendal (Malzia) WK.12'!$B:FG,FU$1,0),0)</f>
        <v>0</v>
      </c>
      <c r="FV42" s="55">
        <f>IFERROR(VLOOKUP($D42,'Adient Taizhou (China) WK.16'!$B:FJ,FU$1,0),0)</f>
        <v>0</v>
      </c>
      <c r="FW42" s="60">
        <v>225</v>
      </c>
      <c r="FX42" s="60">
        <v>125</v>
      </c>
      <c r="FY42" s="60">
        <v>225</v>
      </c>
      <c r="FZ42" s="60">
        <v>125</v>
      </c>
      <c r="GA42" s="60">
        <v>0</v>
      </c>
      <c r="GB42" s="128">
        <v>200</v>
      </c>
      <c r="GC42" s="32">
        <v>0</v>
      </c>
      <c r="GD42" s="106">
        <f t="shared" si="254"/>
        <v>1125</v>
      </c>
      <c r="GF42" s="37">
        <f t="shared" si="449"/>
        <v>1125</v>
      </c>
      <c r="GG42" s="125">
        <f>IFERROR(VLOOKUP($D42,'Adient Assende (Belgium) WK.17'!$B:FN,GH$1,0),0)</f>
        <v>200</v>
      </c>
      <c r="GH42" s="55">
        <f>IFERROR(VLOOKUP($D42,'Adient Arendal (Malzia) WK.12'!$B:FO,GH$1,0),0)</f>
        <v>0</v>
      </c>
      <c r="GI42" s="55">
        <f>IFERROR(VLOOKUP($D42,'Adient Taizhou (China) WK.16'!$B:FR,GH$1,0),0)</f>
        <v>0</v>
      </c>
      <c r="GJ42" s="60">
        <v>350</v>
      </c>
      <c r="GK42" s="128">
        <v>300</v>
      </c>
      <c r="GL42" s="32">
        <v>0</v>
      </c>
      <c r="GM42" s="106">
        <f t="shared" si="255"/>
        <v>1175</v>
      </c>
      <c r="GO42" s="37">
        <f t="shared" si="450"/>
        <v>1175</v>
      </c>
      <c r="GP42" s="125">
        <f>IFERROR(VLOOKUP($D42,'Adient Assende (Belgium) WK.17'!$B:FV,GQ$1,0),0)</f>
        <v>300</v>
      </c>
      <c r="GQ42" s="55">
        <f>IFERROR(VLOOKUP($D42,'Adient Arendal (Malzia) WK.12'!$B:FW,GQ$1,0),0)</f>
        <v>0</v>
      </c>
      <c r="GR42" s="55">
        <f>IFERROR(VLOOKUP($D42,'Adient Taizhou (China) WK.16'!$B:FZ,GQ$1,0),0)</f>
        <v>0</v>
      </c>
      <c r="GS42" s="60">
        <v>100</v>
      </c>
      <c r="GT42" s="128">
        <v>100</v>
      </c>
      <c r="GU42" s="32">
        <v>0</v>
      </c>
      <c r="GV42" s="106">
        <f t="shared" si="256"/>
        <v>1175</v>
      </c>
      <c r="GW42" s="8"/>
      <c r="GX42" s="37">
        <f t="shared" si="451"/>
        <v>1175</v>
      </c>
      <c r="GY42" s="125">
        <f>IFERROR(VLOOKUP($D42,'Adient Assende (Belgium) WK.17'!$B:GD,GZ$1,0),0)</f>
        <v>100</v>
      </c>
      <c r="GZ42" s="55">
        <f>IFERROR(VLOOKUP($D42,'Adient Arendal (Malzia) WK.12'!$B:GE,GZ$1,0),0)</f>
        <v>0</v>
      </c>
      <c r="HA42" s="55">
        <f>IFERROR(VLOOKUP($D42,'Adient Taizhou (China) WK.16'!$B:GH,GZ$1,0),0)</f>
        <v>0</v>
      </c>
      <c r="HB42" s="60">
        <v>450</v>
      </c>
      <c r="HC42" s="128">
        <v>200</v>
      </c>
      <c r="HD42" s="32">
        <v>0</v>
      </c>
      <c r="HE42" s="106">
        <f t="shared" si="257"/>
        <v>1425</v>
      </c>
      <c r="HF42" s="8"/>
      <c r="HG42" s="37">
        <f t="shared" si="452"/>
        <v>1425</v>
      </c>
      <c r="HH42" s="125">
        <f>IFERROR(VLOOKUP($D42,'Adient Assende (Belgium) WK.17'!$B:GL,HI$1,0),0)</f>
        <v>200</v>
      </c>
      <c r="HI42" s="55">
        <f>IFERROR(VLOOKUP($D42,'Adient Arendal (Malzia) WK.12'!$B:GM,HI$1,0),0)</f>
        <v>0</v>
      </c>
      <c r="HJ42" s="55">
        <f>IFERROR(VLOOKUP($D42,'Adient Taizhou (China) WK.16'!$B:GP,HI$1,0),0)</f>
        <v>0</v>
      </c>
      <c r="HK42" s="60">
        <v>0</v>
      </c>
      <c r="HL42" s="128">
        <v>100</v>
      </c>
      <c r="HM42" s="32">
        <v>0</v>
      </c>
      <c r="HN42" s="106">
        <f t="shared" si="258"/>
        <v>1325</v>
      </c>
      <c r="HO42" s="8"/>
      <c r="HP42" s="37">
        <f t="shared" si="453"/>
        <v>1325</v>
      </c>
      <c r="HQ42" s="125">
        <f>IFERROR(VLOOKUP($D42,'Adient Assende (Belgium) WK.17'!$B:GT,HR$1,0),0)</f>
        <v>100</v>
      </c>
      <c r="HR42" s="55">
        <f>IFERROR(VLOOKUP($D42,'Adient Arendal (Malzia) WK.12'!$B:GU,HR$1,0),0)</f>
        <v>0</v>
      </c>
      <c r="HS42" s="55">
        <f>IFERROR(VLOOKUP($D42,'Adient Taizhou (China) WK.16'!$B:GX,HR$1,0),0)</f>
        <v>0</v>
      </c>
      <c r="HT42" s="60">
        <v>0</v>
      </c>
      <c r="HU42" s="128">
        <v>200</v>
      </c>
      <c r="HV42" s="32">
        <v>0</v>
      </c>
      <c r="HW42" s="106">
        <f t="shared" si="259"/>
        <v>1125</v>
      </c>
      <c r="HX42" s="8"/>
      <c r="HY42" s="37">
        <f t="shared" si="454"/>
        <v>1125</v>
      </c>
      <c r="HZ42" s="125">
        <f>IFERROR(VLOOKUP($D42,'Adient Assende (Belgium) WK.17'!$B:HB,IA$1,0),0)</f>
        <v>200</v>
      </c>
      <c r="IA42" s="55">
        <f>IFERROR(VLOOKUP($D42,'Adient Arendal (Malzia) WK.12'!$B:HC,IA$1,0),0)</f>
        <v>0</v>
      </c>
      <c r="IB42" s="55">
        <f>IFERROR(VLOOKUP($D42,'Adient Taizhou (China) WK.16'!$B:HF,IA$1,0),0)</f>
        <v>0</v>
      </c>
      <c r="IC42" s="60">
        <v>0</v>
      </c>
      <c r="ID42" s="128">
        <v>200</v>
      </c>
      <c r="IE42" s="32">
        <v>0</v>
      </c>
      <c r="IF42" s="106">
        <f t="shared" si="260"/>
        <v>925</v>
      </c>
      <c r="IG42" s="8"/>
      <c r="IH42" s="37">
        <f t="shared" si="455"/>
        <v>925</v>
      </c>
      <c r="II42" s="125">
        <f>IFERROR(VLOOKUP($D42,'Adient Assende (Belgium) WK.17'!$B:HJ,IJ$1,0),0)</f>
        <v>200</v>
      </c>
      <c r="IJ42" s="55">
        <f>IFERROR(VLOOKUP($D42,'Adient Arendal (Malzia) WK.12'!$B:HK,IJ$1,0),0)</f>
        <v>0</v>
      </c>
      <c r="IK42" s="55">
        <f>IFERROR(VLOOKUP($D42,'Adient Taizhou (China) WK.16'!$B:HN,IJ$1,0),0)</f>
        <v>0</v>
      </c>
      <c r="IL42" s="128">
        <v>300</v>
      </c>
      <c r="IM42" s="32">
        <v>0</v>
      </c>
      <c r="IN42" s="106">
        <f t="shared" si="456"/>
        <v>625</v>
      </c>
      <c r="IO42" s="8"/>
      <c r="IP42" s="37">
        <f t="shared" si="457"/>
        <v>625</v>
      </c>
      <c r="IQ42" s="125">
        <f>IFERROR(VLOOKUP($D42,'Adient Assende (Belgium) WK.17'!$B:HR,IR$1,0),0)</f>
        <v>300</v>
      </c>
      <c r="IR42" s="55">
        <f>IFERROR(VLOOKUP($D42,'Adient Arendal (Malzia) WK.12'!$B:HS,IR$1,0),0)</f>
        <v>0</v>
      </c>
      <c r="IS42" s="55">
        <f>IFERROR(VLOOKUP($D42,'Adient Taizhou (China) WK.16'!$B:HV,IR$1,0),0)</f>
        <v>0</v>
      </c>
      <c r="IT42" s="60">
        <v>300</v>
      </c>
      <c r="IU42" s="128">
        <v>200</v>
      </c>
      <c r="IV42" s="32">
        <v>0</v>
      </c>
      <c r="IW42" s="106">
        <f t="shared" si="261"/>
        <v>725</v>
      </c>
      <c r="IX42" s="8"/>
      <c r="IY42" s="37">
        <f t="shared" si="458"/>
        <v>725</v>
      </c>
      <c r="IZ42" s="125">
        <f>IFERROR(VLOOKUP($D42,'Adient Assende (Belgium) WK.17'!$B:HZ,JA$1,0),0)</f>
        <v>200</v>
      </c>
      <c r="JA42" s="55">
        <f>IFERROR(VLOOKUP($D42,'Adient Arendal (Malzia) WK.12'!$B:IA,JA$1,0),0)</f>
        <v>0</v>
      </c>
      <c r="JB42" s="55">
        <f>IFERROR(VLOOKUP($D42,'Adient Taizhou (China) WK.16'!$B:ID,JA$1,0),0)</f>
        <v>0</v>
      </c>
      <c r="JC42" s="128">
        <v>100</v>
      </c>
      <c r="JD42" s="32">
        <v>0</v>
      </c>
      <c r="JE42" s="106">
        <f t="shared" si="459"/>
        <v>625</v>
      </c>
      <c r="JF42" s="8"/>
      <c r="JG42" s="37">
        <f t="shared" si="460"/>
        <v>625</v>
      </c>
      <c r="JH42" s="125">
        <f>IFERROR(VLOOKUP($D42,'Adient Assende (Belgium) WK.17'!$B:IH,JI$1,0),0)</f>
        <v>100</v>
      </c>
      <c r="JI42" s="55">
        <f>IFERROR(VLOOKUP($D42,'Adient Arendal (Malzia) WK.12'!$B:II,JI$1,0),0)</f>
        <v>0</v>
      </c>
      <c r="JJ42" s="55">
        <f>IFERROR(VLOOKUP($D42,'Adient Taizhou (China) WK.16'!$B:IL,JI$1,0),0)</f>
        <v>0</v>
      </c>
      <c r="JK42" s="60">
        <v>0</v>
      </c>
      <c r="JL42" s="128">
        <v>500</v>
      </c>
      <c r="JM42" s="32">
        <v>0</v>
      </c>
      <c r="JN42" s="106">
        <f t="shared" si="262"/>
        <v>125</v>
      </c>
      <c r="JO42" s="8"/>
      <c r="JP42" s="37">
        <f t="shared" si="461"/>
        <v>125</v>
      </c>
      <c r="JQ42" s="125">
        <f>IFERROR(VLOOKUP($D42,'Adient Assende (Belgium) WK.17'!$B:IP,JR$1,0),0)</f>
        <v>500</v>
      </c>
      <c r="JR42" s="55">
        <f>IFERROR(VLOOKUP($D42,'Adient Arendal (Malzia) WK.12'!$B:IQ,JR$1,0),0)</f>
        <v>0</v>
      </c>
      <c r="JS42" s="55">
        <f>IFERROR(VLOOKUP($D42,'Adient Taizhou (China) WK.16'!$B:IT,JR$1,0),0)</f>
        <v>0</v>
      </c>
      <c r="JT42" s="128">
        <v>0</v>
      </c>
      <c r="JU42" s="32">
        <v>0</v>
      </c>
      <c r="JV42" s="106">
        <f t="shared" si="462"/>
        <v>125</v>
      </c>
      <c r="JW42" s="8"/>
      <c r="JX42" s="37">
        <f t="shared" si="463"/>
        <v>125</v>
      </c>
      <c r="JY42" s="154">
        <f>IFERROR(VLOOKUP($D42,'Adient Assende (Belgium) WK.17'!$B:IX,JZ$1,0),0)</f>
        <v>0</v>
      </c>
      <c r="JZ42" s="55">
        <f>IFERROR(VLOOKUP($D42,'Adient Arendal (Malzia) WK.12'!$B:IY,JZ$1,0),0)</f>
        <v>0</v>
      </c>
      <c r="KA42" s="55">
        <f>IFERROR(VLOOKUP($D42,'Adient Taizhou (China) WK.16'!$B:JB,JZ$1,0),0)</f>
        <v>0</v>
      </c>
      <c r="KB42" s="128">
        <v>100</v>
      </c>
      <c r="KC42" s="32">
        <v>0</v>
      </c>
      <c r="KD42" s="106">
        <f t="shared" si="263"/>
        <v>25</v>
      </c>
      <c r="KE42" s="8"/>
      <c r="KF42" s="37">
        <f t="shared" si="464"/>
        <v>25</v>
      </c>
      <c r="KG42" s="125">
        <f>IFERROR(VLOOKUP($D42,'Adient Assende (Belgium) WK.17'!$B:JF,KH$1,0),0)</f>
        <v>100</v>
      </c>
      <c r="KH42" s="55">
        <f>IFERROR(VLOOKUP($D42,'Adient Arendal (Malzia) WK.12'!$B:JG,KH$1,0),0)</f>
        <v>0</v>
      </c>
      <c r="KI42" s="55">
        <f>IFERROR(VLOOKUP($D42,'Adient Taizhou (China) WK.16'!$B:JJ,KH$1,0),0)</f>
        <v>0</v>
      </c>
      <c r="KJ42" s="60">
        <v>100</v>
      </c>
      <c r="KK42" s="128">
        <v>0</v>
      </c>
      <c r="KL42" s="32">
        <v>0</v>
      </c>
      <c r="KM42" s="106">
        <f t="shared" si="264"/>
        <v>125</v>
      </c>
      <c r="KN42" s="8"/>
      <c r="KO42" s="37">
        <f t="shared" si="465"/>
        <v>125</v>
      </c>
      <c r="KP42" s="141">
        <f>IFERROR(VLOOKUP($D42,'Adient Assende (Belgium) WK.17'!$B:JN,KQ$1,0),0)</f>
        <v>0</v>
      </c>
      <c r="KQ42" s="140">
        <f>IFERROR(VLOOKUP($D42,'Adient Arendal (Malzia) WK.12'!$B:JO,KQ$1,0),0)</f>
        <v>0</v>
      </c>
      <c r="KR42" s="140">
        <f>IFERROR(VLOOKUP($D42,'Adient Taizhou (China) WK.16'!$B:JR,KQ$1,0),0)</f>
        <v>0</v>
      </c>
      <c r="KS42" s="60">
        <v>0</v>
      </c>
      <c r="KT42" s="128">
        <v>0</v>
      </c>
      <c r="KU42" s="32">
        <v>0</v>
      </c>
      <c r="KV42" s="106">
        <f t="shared" si="265"/>
        <v>125</v>
      </c>
      <c r="KX42" s="37">
        <f t="shared" si="466"/>
        <v>125</v>
      </c>
      <c r="KY42" s="141">
        <f>IFERROR(VLOOKUP($D42,'Adient Assende (Belgium) WK.17'!$B:JV,KZ$1,0),0)</f>
        <v>0</v>
      </c>
      <c r="KZ42" s="140">
        <f>IFERROR(VLOOKUP($D42,'Adient Arendal (Malzia) WK.12'!$B:JW,KZ$1,0),0)</f>
        <v>0</v>
      </c>
      <c r="LA42" s="140">
        <f>IFERROR(VLOOKUP($D42,'Adient Taizhou (China) WK.16'!$B:JZ,KZ$1,0),0)</f>
        <v>0</v>
      </c>
      <c r="LB42" s="128">
        <v>0</v>
      </c>
      <c r="LC42" s="32">
        <v>0</v>
      </c>
      <c r="LD42" s="106">
        <f t="shared" si="467"/>
        <v>125</v>
      </c>
      <c r="LF42" s="37">
        <f t="shared" si="468"/>
        <v>125</v>
      </c>
      <c r="LG42" s="141">
        <f>IFERROR(VLOOKUP($D42,'Adient Assende (Belgium) WK.17'!$B:KD,LH$1,0),0)</f>
        <v>0</v>
      </c>
      <c r="LH42" s="140">
        <f>IFERROR(VLOOKUP($D42,'Adient Arendal (Malzia) WK.12'!$B:KE,LH$1,0),0)</f>
        <v>0</v>
      </c>
      <c r="LI42" s="140">
        <f>IFERROR(VLOOKUP($D42,'Adient Taizhou (China) WK.16'!$B:KH,LH$1,0),0)</f>
        <v>0</v>
      </c>
      <c r="LJ42" s="60">
        <v>0</v>
      </c>
      <c r="LK42" s="128">
        <v>0</v>
      </c>
      <c r="LL42" s="32">
        <v>0</v>
      </c>
      <c r="LM42" s="100">
        <f t="shared" si="267"/>
        <v>125</v>
      </c>
      <c r="LO42" s="37">
        <f t="shared" si="469"/>
        <v>125</v>
      </c>
      <c r="LP42" s="141">
        <f>IFERROR(VLOOKUP($D42,'Adient Assende (Belgium) WK.17'!$B:KL,LQ$1,0),0)</f>
        <v>0</v>
      </c>
      <c r="LQ42" s="140">
        <f>IFERROR(VLOOKUP($D42,'Adient Arendal (Malzia) WK.12'!$B:KM,LQ$1,0),0)</f>
        <v>0</v>
      </c>
      <c r="LR42" s="140">
        <f>IFERROR(VLOOKUP($D42,'Adient Taizhou (China) WK.16'!$B:KP,LQ$1,0),0)</f>
        <v>0</v>
      </c>
      <c r="LS42" s="128">
        <v>0</v>
      </c>
      <c r="LT42" s="32">
        <v>0</v>
      </c>
      <c r="LU42" s="100">
        <f t="shared" si="470"/>
        <v>125</v>
      </c>
      <c r="LW42" s="37">
        <f t="shared" si="471"/>
        <v>125</v>
      </c>
      <c r="LX42" s="141">
        <f>IFERROR(VLOOKUP($D42,'Adient Assende (Belgium) WK.17'!$B:KT,LY$1,0),0)</f>
        <v>0</v>
      </c>
      <c r="LY42" s="140">
        <f>IFERROR(VLOOKUP($D42,'Adient Arendal (Malzia) WK.12'!$B:KU,LY$1,0),0)</f>
        <v>0</v>
      </c>
      <c r="LZ42" s="140">
        <f>IFERROR(VLOOKUP($D42,'Adient Taizhou (China) WK.16'!$B:KX,LY$1,0),0)</f>
        <v>0</v>
      </c>
      <c r="MA42" s="128">
        <v>0</v>
      </c>
      <c r="MB42" s="32">
        <v>0</v>
      </c>
      <c r="MC42" s="100">
        <f t="shared" si="472"/>
        <v>125</v>
      </c>
      <c r="ME42" s="37">
        <f t="shared" si="473"/>
        <v>125</v>
      </c>
      <c r="MF42" s="154">
        <f>IFERROR(VLOOKUP($D42,'Adient Assende (Belgium) WK.17'!$B:LB,MG$1,0),0)</f>
        <v>0</v>
      </c>
      <c r="MG42" s="140">
        <f>IFERROR(VLOOKUP($D42,'Adient Arendal (Malzia) WK.12'!$B:LC,MG$1,0),0)</f>
        <v>0</v>
      </c>
      <c r="MH42" s="140">
        <f>IFERROR(VLOOKUP($D42,'Adient Taizhou (China) WK.16'!$B:LF,MG$1,0),0)</f>
        <v>0</v>
      </c>
      <c r="MI42" s="128">
        <v>0</v>
      </c>
      <c r="MJ42" s="32">
        <v>0</v>
      </c>
      <c r="MK42" s="100">
        <f t="shared" si="474"/>
        <v>125</v>
      </c>
      <c r="MM42" s="37">
        <f t="shared" si="475"/>
        <v>125</v>
      </c>
      <c r="MN42" s="141">
        <f>IFERROR(VLOOKUP($D42,'Adient Assende (Belgium) WK.17'!$B:LJ,MO$1,0),0)</f>
        <v>0</v>
      </c>
      <c r="MO42" s="140">
        <f>IFERROR(VLOOKUP($D42,'Adient Arendal (Malzia) WK.12'!$B:LK,MO$1,0),0)</f>
        <v>0</v>
      </c>
      <c r="MP42" s="140">
        <f>IFERROR(VLOOKUP($D42,'Adient Taizhou (China) WK.16'!$B:LN,MO$1,0),0)</f>
        <v>0</v>
      </c>
      <c r="MQ42" s="128">
        <v>0</v>
      </c>
      <c r="MR42" s="32">
        <v>0</v>
      </c>
      <c r="MS42" s="100">
        <f t="shared" si="476"/>
        <v>125</v>
      </c>
      <c r="MU42" s="37">
        <f t="shared" si="477"/>
        <v>125</v>
      </c>
      <c r="MV42" s="141">
        <f>IFERROR(VLOOKUP($D42,'Adient Assende (Belgium) WK.17'!$B:LR,MW$1,0),0)</f>
        <v>0</v>
      </c>
      <c r="MW42" s="140">
        <f>IFERROR(VLOOKUP($D42,'Adient Arendal (Malzia) WK.12'!$B:LS,MW$1,0),0)</f>
        <v>0</v>
      </c>
      <c r="MX42" s="140">
        <f>IFERROR(VLOOKUP($D42,'Adient Taizhou (China) WK.16'!$B:LV,MW$1,0),0)</f>
        <v>0</v>
      </c>
      <c r="MY42" s="128">
        <v>0</v>
      </c>
      <c r="MZ42" s="32">
        <v>0</v>
      </c>
      <c r="NA42" s="100">
        <f t="shared" si="478"/>
        <v>125</v>
      </c>
      <c r="NC42" s="37">
        <f t="shared" si="479"/>
        <v>125</v>
      </c>
      <c r="ND42" s="141">
        <f>IFERROR(VLOOKUP($D42,'Adient Assende (Belgium) WK.17'!$B:LZ,NE$1,0),0)</f>
        <v>0</v>
      </c>
      <c r="NE42" s="140">
        <f>IFERROR(VLOOKUP($D42,'Adient Arendal (Malzia) WK.12'!$B:MA,NE$1,0),0)</f>
        <v>0</v>
      </c>
      <c r="NF42" s="140">
        <f>IFERROR(VLOOKUP($D42,'Adient Taizhou (China) WK.16'!$B:MD,NE$1,0),0)</f>
        <v>0</v>
      </c>
      <c r="NG42" s="128">
        <v>0</v>
      </c>
      <c r="NH42" s="32">
        <v>0</v>
      </c>
      <c r="NI42" s="100">
        <f t="shared" si="480"/>
        <v>125</v>
      </c>
      <c r="NK42" s="37">
        <f t="shared" si="481"/>
        <v>125</v>
      </c>
      <c r="NL42" s="141">
        <f>IFERROR(VLOOKUP($D42,'Adient Assende (Belgium) WK.17'!$B:MH,NM$1,0),0)</f>
        <v>0</v>
      </c>
      <c r="NM42" s="140">
        <f>IFERROR(VLOOKUP($D42,'Adient Arendal (Malzia) WK.12'!$B:MI,NM$1,0),0)</f>
        <v>0</v>
      </c>
      <c r="NN42" s="140">
        <f>IFERROR(VLOOKUP($D42,'Adient Taizhou (China) WK.16'!$B:ML,NM$1,0),0)</f>
        <v>0</v>
      </c>
      <c r="NO42" s="128">
        <v>0</v>
      </c>
      <c r="NP42" s="32">
        <v>0</v>
      </c>
      <c r="NQ42" s="100">
        <f t="shared" si="482"/>
        <v>125</v>
      </c>
      <c r="NS42" s="37">
        <f t="shared" si="483"/>
        <v>125</v>
      </c>
      <c r="NT42" s="141">
        <f>IFERROR(VLOOKUP($D42,'Adient Assende (Belgium) WK.17'!$B:MP,NU$1,0),0)</f>
        <v>0</v>
      </c>
      <c r="NU42" s="140">
        <f>IFERROR(VLOOKUP($D42,'Adient Arendal (Malzia) WK.12'!$B:MQ,NU$1,0),0)</f>
        <v>0</v>
      </c>
      <c r="NV42" s="140">
        <f>IFERROR(VLOOKUP($D42,'Adient Taizhou (China) WK.16'!$B:MT,NU$1,0),0)</f>
        <v>0</v>
      </c>
      <c r="NW42" s="128">
        <v>0</v>
      </c>
      <c r="NX42" s="32">
        <v>0</v>
      </c>
      <c r="NY42" s="100">
        <f t="shared" si="484"/>
        <v>125</v>
      </c>
      <c r="OA42" s="37">
        <f t="shared" si="485"/>
        <v>125</v>
      </c>
      <c r="OB42" s="141">
        <f>IFERROR(VLOOKUP($D42,'Adient Assende (Belgium) WK.17'!$B:MX,OC$1,0),0)</f>
        <v>0</v>
      </c>
      <c r="OC42" s="140">
        <f>IFERROR(VLOOKUP($D42,'Adient Arendal (Malzia) WK.12'!$B:MY,OC$1,0),0)</f>
        <v>0</v>
      </c>
      <c r="OD42" s="140">
        <f>IFERROR(VLOOKUP($D42,'Adient Taizhou (China) WK.16'!$B:NB,OC$1,0),0)</f>
        <v>0</v>
      </c>
      <c r="OE42" s="128">
        <v>0</v>
      </c>
      <c r="OF42" s="32">
        <v>0</v>
      </c>
      <c r="OG42" s="100">
        <f t="shared" si="486"/>
        <v>125</v>
      </c>
      <c r="OI42" s="37">
        <f t="shared" si="487"/>
        <v>125</v>
      </c>
      <c r="OJ42" s="141">
        <f>IFERROR(VLOOKUP($D42,'Adient Assende (Belgium) WK.17'!$B:NF,OK$1,0),0)</f>
        <v>0</v>
      </c>
      <c r="OK42" s="140">
        <f>IFERROR(VLOOKUP($D42,'Adient Arendal (Malzia) WK.12'!$B:NG,OK$1,0),0)</f>
        <v>0</v>
      </c>
      <c r="OL42" s="140">
        <f>IFERROR(VLOOKUP($D42,'Adient Taizhou (China) WK.16'!$B:NJ,OK$1,0),0)</f>
        <v>0</v>
      </c>
      <c r="OM42" s="128">
        <v>0</v>
      </c>
      <c r="ON42" s="32">
        <v>0</v>
      </c>
      <c r="OO42" s="100">
        <f t="shared" si="488"/>
        <v>125</v>
      </c>
      <c r="OQ42" s="37">
        <f t="shared" si="489"/>
        <v>125</v>
      </c>
      <c r="OR42" s="141">
        <f>IFERROR(VLOOKUP($D42,'Adient Assende (Belgium) WK.17'!$B:NN,OS$1,0),0)</f>
        <v>0</v>
      </c>
      <c r="OS42" s="140">
        <f>IFERROR(VLOOKUP($D42,'Adient Arendal (Malzia) WK.12'!$B:NO,OS$1,0),0)</f>
        <v>0</v>
      </c>
      <c r="OT42" s="140">
        <f>IFERROR(VLOOKUP($D42,'Adient Taizhou (China) WK.16'!$B:NR,OS$1,0),0)</f>
        <v>0</v>
      </c>
      <c r="OU42" s="128">
        <v>0</v>
      </c>
      <c r="OV42" s="32">
        <v>0</v>
      </c>
      <c r="OW42" s="100">
        <f t="shared" si="490"/>
        <v>125</v>
      </c>
      <c r="OY42" s="37">
        <f t="shared" si="491"/>
        <v>125</v>
      </c>
      <c r="OZ42" s="141">
        <f>IFERROR(VLOOKUP($D42,'Adient Assende (Belgium) WK.17'!$B:NV,PA$1,0),0)</f>
        <v>0</v>
      </c>
      <c r="PA42" s="140">
        <f>IFERROR(VLOOKUP($D42,'Adient Arendal (Malzia) WK.12'!$B:NW,PA$1,0),0)</f>
        <v>0</v>
      </c>
      <c r="PB42" s="140">
        <f>IFERROR(VLOOKUP($D42,'Adient Taizhou (China) WK.16'!$B:NZ,PA$1,0),0)</f>
        <v>0</v>
      </c>
      <c r="PC42" s="128">
        <v>0</v>
      </c>
      <c r="PD42" s="32">
        <v>0</v>
      </c>
      <c r="PE42" s="100">
        <f t="shared" si="492"/>
        <v>125</v>
      </c>
      <c r="PG42" s="37">
        <f t="shared" si="493"/>
        <v>125</v>
      </c>
      <c r="PH42" s="141">
        <f>IFERROR(VLOOKUP($D42,'Adient Assende (Belgium) WK.17'!$B:OD,PI$1,0),0)</f>
        <v>0</v>
      </c>
      <c r="PI42" s="140">
        <f>IFERROR(VLOOKUP($D42,'Adient Arendal (Malzia) WK.12'!$B:OE,PI$1,0),0)</f>
        <v>0</v>
      </c>
      <c r="PJ42" s="140">
        <f>IFERROR(VLOOKUP($D42,'Adient Taizhou (China) WK.16'!$B:OH,PI$1,0),0)</f>
        <v>0</v>
      </c>
      <c r="PK42" s="128">
        <v>0</v>
      </c>
      <c r="PL42" s="32">
        <v>0</v>
      </c>
      <c r="PM42" s="100">
        <f t="shared" si="494"/>
        <v>125</v>
      </c>
      <c r="PO42" s="37">
        <f t="shared" si="495"/>
        <v>125</v>
      </c>
      <c r="PP42" s="141">
        <f>IFERROR(VLOOKUP($D42,'Adient Assende (Belgium) WK.17'!$B:OL,PQ$1,0),0)</f>
        <v>0</v>
      </c>
      <c r="PQ42" s="140">
        <f>IFERROR(VLOOKUP($D42,'Adient Arendal (Malzia) WK.12'!$B:OM,PQ$1,0),0)</f>
        <v>0</v>
      </c>
      <c r="PR42" s="140">
        <f>IFERROR(VLOOKUP($D42,'Adient Taizhou (China) WK.16'!$B:OP,PQ$1,0),0)</f>
        <v>0</v>
      </c>
      <c r="PS42" s="128">
        <v>0</v>
      </c>
      <c r="PT42" s="32">
        <v>0</v>
      </c>
      <c r="PU42" s="100">
        <f t="shared" si="496"/>
        <v>125</v>
      </c>
      <c r="PW42" s="37">
        <f t="shared" si="497"/>
        <v>125</v>
      </c>
      <c r="PX42" s="141">
        <f>IFERROR(VLOOKUP($D42,'Adient Assende (Belgium) WK.17'!$B:OT,PY$1,0),0)</f>
        <v>0</v>
      </c>
      <c r="PY42" s="140">
        <f>IFERROR(VLOOKUP($D42,'Adient Arendal (Malzia) WK.12'!$B:OU,PY$1,0),0)</f>
        <v>0</v>
      </c>
      <c r="PZ42" s="140">
        <f>IFERROR(VLOOKUP($D42,'Adient Taizhou (China) WK.16'!$B:OX,PY$1,0),0)</f>
        <v>0</v>
      </c>
      <c r="QA42" s="128">
        <v>0</v>
      </c>
      <c r="QB42" s="32">
        <v>0</v>
      </c>
      <c r="QC42" s="100">
        <f t="shared" si="498"/>
        <v>125</v>
      </c>
      <c r="QE42" s="37">
        <f t="shared" si="499"/>
        <v>125</v>
      </c>
      <c r="QF42" s="141">
        <f>IFERROR(VLOOKUP($D42,'Adient Assende (Belgium) WK.17'!$B:PB,QG$1,0),0)</f>
        <v>0</v>
      </c>
      <c r="QG42" s="140">
        <f>IFERROR(VLOOKUP($D42,'Adient Arendal (Malzia) WK.12'!$B:PC,QG$1,0),0)</f>
        <v>0</v>
      </c>
      <c r="QH42" s="140">
        <f>IFERROR(VLOOKUP($D42,'Adient Taizhou (China) WK.16'!$B:PF,QG$1,0),0)</f>
        <v>0</v>
      </c>
      <c r="QI42" s="128">
        <v>0</v>
      </c>
      <c r="QJ42" s="32">
        <v>0</v>
      </c>
      <c r="QK42" s="100">
        <f t="shared" si="500"/>
        <v>125</v>
      </c>
      <c r="QM42" s="37">
        <f t="shared" si="501"/>
        <v>125</v>
      </c>
      <c r="QN42" s="141">
        <f>IFERROR(VLOOKUP($D42,'Adient Assende (Belgium) WK.17'!$B:PJ,QO$1,0),0)</f>
        <v>100</v>
      </c>
      <c r="QO42" s="140">
        <f>IFERROR(VLOOKUP($D42,'Adient Arendal (Malzia) WK.12'!$B:PK,QO$1,0),0)</f>
        <v>0</v>
      </c>
      <c r="QP42" s="140">
        <f>IFERROR(VLOOKUP($D42,'Adient Taizhou (China) WK.16'!$B:PN,QO$1,0),0)</f>
        <v>0</v>
      </c>
      <c r="QQ42" s="128">
        <v>0</v>
      </c>
      <c r="QR42" s="32">
        <v>0</v>
      </c>
      <c r="QS42" s="100">
        <f t="shared" si="502"/>
        <v>25</v>
      </c>
      <c r="QU42" s="37">
        <f t="shared" si="503"/>
        <v>25</v>
      </c>
      <c r="QV42" s="141">
        <f>IFERROR(VLOOKUP($D42,'Adient Assende (Belgium) WK.17'!$B:PR,QW$1,0),0)</f>
        <v>0</v>
      </c>
      <c r="QW42" s="140">
        <f>IFERROR(VLOOKUP($D42,'Adient Arendal (Malzia) WK.12'!$B:PS,QW$1,0),0)</f>
        <v>0</v>
      </c>
      <c r="QX42" s="140">
        <f>IFERROR(VLOOKUP($D42,'Adient Taizhou (China) WK.16'!$B:PV,QW$1,0),0)</f>
        <v>0</v>
      </c>
      <c r="QY42" s="128">
        <v>0</v>
      </c>
      <c r="QZ42" s="32">
        <v>0</v>
      </c>
      <c r="RA42" s="100">
        <f t="shared" si="504"/>
        <v>25</v>
      </c>
      <c r="RC42" s="37">
        <f t="shared" si="505"/>
        <v>25</v>
      </c>
      <c r="RD42" s="141">
        <f>IFERROR(VLOOKUP($D42,'Adient Assende (Belgium) WK.17'!$B:PZ,RE$1,0),0)</f>
        <v>0</v>
      </c>
      <c r="RE42" s="140">
        <f>IFERROR(VLOOKUP($D42,'Adient Arendal (Malzia) WK.12'!$B:QA,RE$1,0),0)</f>
        <v>0</v>
      </c>
      <c r="RF42" s="140">
        <f>IFERROR(VLOOKUP($D42,'Adient Taizhou (China) WK.16'!$B:QD,RE$1,0),0)</f>
        <v>0</v>
      </c>
      <c r="RG42" s="128">
        <v>0</v>
      </c>
      <c r="RH42" s="32">
        <v>0</v>
      </c>
      <c r="RI42" s="100">
        <f t="shared" si="506"/>
        <v>25</v>
      </c>
      <c r="RK42" s="37">
        <f t="shared" si="507"/>
        <v>25</v>
      </c>
      <c r="RL42" s="141">
        <f>IFERROR(VLOOKUP($D42,'Adient Assende (Belgium) WK.17'!$B:QH,RM$1,0),0)</f>
        <v>0</v>
      </c>
      <c r="RM42" s="140">
        <f>IFERROR(VLOOKUP($D42,'Adient Arendal (Malzia) WK.12'!$B:QI,RM$1,0),0)</f>
        <v>0</v>
      </c>
      <c r="RN42" s="140">
        <f>IFERROR(VLOOKUP($D42,'Adient Taizhou (China) WK.16'!$B:QL,RM$1,0),0)</f>
        <v>0</v>
      </c>
      <c r="RO42" s="128">
        <v>0</v>
      </c>
      <c r="RP42" s="32">
        <v>0</v>
      </c>
      <c r="RQ42" s="100">
        <f t="shared" si="508"/>
        <v>25</v>
      </c>
      <c r="RS42" s="37">
        <f t="shared" si="509"/>
        <v>25</v>
      </c>
      <c r="RT42" s="141">
        <f>IFERROR(VLOOKUP($D42,'Adient Assende (Belgium) WK.17'!$B:QP,RU$1,0),0)</f>
        <v>0</v>
      </c>
      <c r="RU42" s="140">
        <f>IFERROR(VLOOKUP($D42,'Adient Arendal (Malzia) WK.12'!$B:QQ,RU$1,0),0)</f>
        <v>0</v>
      </c>
      <c r="RV42" s="140">
        <f>IFERROR(VLOOKUP($D42,'Adient Taizhou (China) WK.16'!$B:QT,RU$1,0),0)</f>
        <v>0</v>
      </c>
      <c r="RW42" s="128">
        <v>0</v>
      </c>
      <c r="RX42" s="32">
        <v>0</v>
      </c>
      <c r="RY42" s="100">
        <f t="shared" si="510"/>
        <v>25</v>
      </c>
      <c r="SA42" s="37">
        <f t="shared" si="511"/>
        <v>25</v>
      </c>
      <c r="SB42" s="141">
        <f>IFERROR(VLOOKUP($D42,'Adient Assende (Belgium) WK.17'!$B:QX,SC$1,0),0)</f>
        <v>0</v>
      </c>
      <c r="SC42" s="140">
        <f>IFERROR(VLOOKUP($D42,'Adient Arendal (Malzia) WK.12'!$B:QY,SC$1,0),0)</f>
        <v>0</v>
      </c>
      <c r="SD42" s="140">
        <f>IFERROR(VLOOKUP($D42,'Adient Taizhou (China) WK.16'!$B:RB,SC$1,0),0)</f>
        <v>0</v>
      </c>
      <c r="SE42" s="128">
        <v>0</v>
      </c>
      <c r="SF42" s="32">
        <v>0</v>
      </c>
      <c r="SG42" s="100">
        <f t="shared" si="512"/>
        <v>25</v>
      </c>
      <c r="SI42" s="37">
        <f t="shared" si="513"/>
        <v>25</v>
      </c>
      <c r="SJ42" s="141">
        <f>IFERROR(VLOOKUP($D42,'Adient Assende (Belgium) WK.17'!$B:RF,SK$1,0),0)</f>
        <v>0</v>
      </c>
      <c r="SK42" s="140">
        <f>IFERROR(VLOOKUP($D42,'Adient Arendal (Malzia) WK.12'!$B:RG,SK$1,0),0)</f>
        <v>0</v>
      </c>
      <c r="SL42" s="140">
        <f>IFERROR(VLOOKUP($D42,'Adient Taizhou (China) WK.16'!$B:RJ,SK$1,0),0)</f>
        <v>0</v>
      </c>
      <c r="SM42" s="128">
        <v>0</v>
      </c>
      <c r="SN42" s="32">
        <v>0</v>
      </c>
      <c r="SO42" s="100">
        <f t="shared" si="514"/>
        <v>25</v>
      </c>
      <c r="SQ42" s="37">
        <f t="shared" si="515"/>
        <v>25</v>
      </c>
      <c r="SR42" s="141">
        <f>IFERROR(VLOOKUP($D42,'Adient Assende (Belgium) WK.17'!$B:RN,SS$1,0),0)</f>
        <v>0</v>
      </c>
      <c r="SS42" s="140">
        <f>IFERROR(VLOOKUP($D42,'Adient Arendal (Malzia) WK.12'!$B:RO,SS$1,0),0)</f>
        <v>0</v>
      </c>
      <c r="ST42" s="140">
        <f>IFERROR(VLOOKUP($D42,'Adient Taizhou (China) WK.16'!$B:RR,SS$1,0),0)</f>
        <v>0</v>
      </c>
      <c r="SU42" s="128">
        <v>0</v>
      </c>
      <c r="SV42" s="32">
        <v>0</v>
      </c>
      <c r="SW42" s="100">
        <f t="shared" si="516"/>
        <v>25</v>
      </c>
      <c r="SY42" s="37">
        <f t="shared" si="517"/>
        <v>25</v>
      </c>
      <c r="SZ42" s="141">
        <f>IFERROR(VLOOKUP($D42,'Adient Assende (Belgium) WK.17'!$B:RV,TA$1,0),0)</f>
        <v>0</v>
      </c>
      <c r="TA42" s="140">
        <f>IFERROR(VLOOKUP($D42,'Adient Arendal (Malzia) WK.12'!$B:RW,TA$1,0),0)</f>
        <v>0</v>
      </c>
      <c r="TB42" s="140">
        <f>IFERROR(VLOOKUP($D42,'Adient Taizhou (China) WK.16'!$B:RZ,TA$1,0),0)</f>
        <v>0</v>
      </c>
      <c r="TC42" s="128">
        <v>0</v>
      </c>
      <c r="TD42" s="32">
        <v>0</v>
      </c>
      <c r="TE42" s="100">
        <f t="shared" si="518"/>
        <v>25</v>
      </c>
      <c r="TG42" s="37">
        <f t="shared" si="519"/>
        <v>25</v>
      </c>
      <c r="TH42" s="141">
        <f>IFERROR(VLOOKUP($D42,'Adient Assende (Belgium) WK.17'!$B:SD,TI$1,0),0)</f>
        <v>0</v>
      </c>
      <c r="TI42" s="140">
        <f>IFERROR(VLOOKUP($D42,'Adient Arendal (Malzia) WK.12'!$B:SE,TI$1,0),0)</f>
        <v>0</v>
      </c>
      <c r="TJ42" s="140">
        <f>IFERROR(VLOOKUP($D42,'Adient Taizhou (China) WK.16'!$B:SH,TI$1,0),0)</f>
        <v>0</v>
      </c>
      <c r="TK42" s="128">
        <v>0</v>
      </c>
      <c r="TL42" s="32">
        <v>0</v>
      </c>
      <c r="TM42" s="100">
        <f t="shared" si="520"/>
        <v>25</v>
      </c>
      <c r="TO42" s="37">
        <f t="shared" si="521"/>
        <v>25</v>
      </c>
      <c r="TP42" s="141">
        <f>IFERROR(VLOOKUP($D42,'Adient Assende (Belgium) WK.17'!$B:SL,TQ$1,0),0)</f>
        <v>0</v>
      </c>
      <c r="TQ42" s="140">
        <f>IFERROR(VLOOKUP($D42,'Adient Arendal (Malzia) WK.12'!$B:SM,TQ$1,0),0)</f>
        <v>0</v>
      </c>
      <c r="TR42" s="140">
        <f>IFERROR(VLOOKUP($D42,'Adient Taizhou (China) WK.16'!$B:SP,TQ$1,0),0)</f>
        <v>0</v>
      </c>
      <c r="TS42" s="128">
        <v>0</v>
      </c>
      <c r="TT42" s="32">
        <v>0</v>
      </c>
      <c r="TU42" s="100">
        <f t="shared" si="522"/>
        <v>25</v>
      </c>
      <c r="TW42" s="37">
        <f t="shared" si="523"/>
        <v>25</v>
      </c>
      <c r="TX42" s="141">
        <f>IFERROR(VLOOKUP($D42,'Adient Assende (Belgium) WK.17'!$B:ST,TY$1,0),0)</f>
        <v>0</v>
      </c>
      <c r="TY42" s="140">
        <f>IFERROR(VLOOKUP($D42,'Adient Arendal (Malzia) WK.12'!$B:SU,TY$1,0),0)</f>
        <v>0</v>
      </c>
      <c r="TZ42" s="140">
        <f>IFERROR(VLOOKUP($D42,'Adient Taizhou (China) WK.16'!$B:SX,TY$1,0),0)</f>
        <v>0</v>
      </c>
      <c r="UA42" s="128">
        <v>0</v>
      </c>
      <c r="UB42" s="32">
        <v>0</v>
      </c>
      <c r="UC42" s="100">
        <f t="shared" si="524"/>
        <v>25</v>
      </c>
      <c r="UE42" s="37">
        <f t="shared" si="525"/>
        <v>25</v>
      </c>
      <c r="UF42" s="141">
        <f>IFERROR(VLOOKUP($D42,'Adient Assende (Belgium) WK.17'!$B:TB,UG$1,0),0)</f>
        <v>0</v>
      </c>
      <c r="UG42" s="140">
        <f>IFERROR(VLOOKUP($D42,'Adient Arendal (Malzia) WK.12'!$B:TC,UG$1,0),0)</f>
        <v>0</v>
      </c>
      <c r="UH42" s="140">
        <f>IFERROR(VLOOKUP($D42,'Adient Taizhou (China) WK.16'!$B:TF,UG$1,0),0)</f>
        <v>0</v>
      </c>
      <c r="UI42" s="128">
        <v>0</v>
      </c>
      <c r="UJ42" s="32">
        <v>0</v>
      </c>
      <c r="UK42" s="100">
        <f t="shared" si="526"/>
        <v>25</v>
      </c>
      <c r="UM42" s="37">
        <f t="shared" si="527"/>
        <v>25</v>
      </c>
      <c r="UN42" s="141">
        <f>IFERROR(VLOOKUP($D42,'Adient Assende (Belgium) WK.17'!$B:TJ,UO$1,0),0)</f>
        <v>0</v>
      </c>
      <c r="UO42" s="140">
        <f>IFERROR(VLOOKUP($D42,'Adient Arendal (Malzia) WK.12'!$B:TK,UO$1,0),0)</f>
        <v>0</v>
      </c>
      <c r="UP42" s="140">
        <f>IFERROR(VLOOKUP($D42,'Adient Taizhou (China) WK.16'!$B:TN,UO$1,0),0)</f>
        <v>0</v>
      </c>
      <c r="UQ42" s="128">
        <v>0</v>
      </c>
      <c r="UR42" s="32">
        <v>0</v>
      </c>
      <c r="US42" s="100">
        <f t="shared" si="528"/>
        <v>25</v>
      </c>
      <c r="UU42" s="37">
        <f t="shared" si="529"/>
        <v>25</v>
      </c>
      <c r="UV42" s="141">
        <f>IFERROR(VLOOKUP($D42,'Adient Assende (Belgium) WK.17'!$B:TR,UW$1,0),0)</f>
        <v>0</v>
      </c>
      <c r="UW42" s="140">
        <f>IFERROR(VLOOKUP($D42,'Adient Arendal (Malzia) WK.12'!$B:TS,UW$1,0),0)</f>
        <v>0</v>
      </c>
      <c r="UX42" s="140">
        <f>IFERROR(VLOOKUP($D42,'Adient Taizhou (China) WK.16'!$B:TV,UW$1,0),0)</f>
        <v>0</v>
      </c>
      <c r="UY42" s="128">
        <v>0</v>
      </c>
      <c r="UZ42" s="32">
        <v>0</v>
      </c>
      <c r="VA42" s="100">
        <f t="shared" si="530"/>
        <v>25</v>
      </c>
      <c r="VC42" s="37">
        <f t="shared" si="531"/>
        <v>25</v>
      </c>
      <c r="VD42" s="141">
        <f>IFERROR(VLOOKUP($D42,'Adient Assende (Belgium) WK.17'!$B:TZ,VE$1,0),0)</f>
        <v>0</v>
      </c>
      <c r="VE42" s="140">
        <f>IFERROR(VLOOKUP($D42,'Adient Arendal (Malzia) WK.12'!$B:UA,VE$1,0),0)</f>
        <v>0</v>
      </c>
      <c r="VF42" s="140">
        <f>IFERROR(VLOOKUP($D42,'Adient Taizhou (China) WK.16'!$B:UD,VE$1,0),0)</f>
        <v>0</v>
      </c>
      <c r="VG42" s="128">
        <v>0</v>
      </c>
      <c r="VH42" s="32">
        <v>0</v>
      </c>
      <c r="VI42" s="100">
        <f t="shared" si="532"/>
        <v>25</v>
      </c>
      <c r="VK42" s="37">
        <f t="shared" si="533"/>
        <v>25</v>
      </c>
      <c r="VL42" s="141">
        <f>IFERROR(VLOOKUP($D42,'Adient Assende (Belgium) WK.17'!$B:UH,VM$1,0),0)</f>
        <v>0</v>
      </c>
      <c r="VM42" s="140">
        <f>IFERROR(VLOOKUP($D42,'Adient Arendal (Malzia) WK.12'!$B:UI,VM$1,0),0)</f>
        <v>0</v>
      </c>
      <c r="VN42" s="140">
        <f>IFERROR(VLOOKUP($D42,'Adient Taizhou (China) WK.16'!$B:UL,VM$1,0),0)</f>
        <v>0</v>
      </c>
      <c r="VO42" s="128">
        <v>0</v>
      </c>
      <c r="VP42" s="32">
        <v>0</v>
      </c>
      <c r="VQ42" s="100">
        <f t="shared" si="534"/>
        <v>25</v>
      </c>
    </row>
    <row r="43" spans="1:589" x14ac:dyDescent="0.25">
      <c r="A43" s="10" t="s">
        <v>18</v>
      </c>
      <c r="B43" s="11" t="s">
        <v>17</v>
      </c>
      <c r="C43" s="87">
        <v>32248190</v>
      </c>
      <c r="D43" s="81">
        <v>4172826</v>
      </c>
      <c r="E43" s="11">
        <v>25</v>
      </c>
      <c r="F43" s="12"/>
      <c r="H43" s="122">
        <v>1625</v>
      </c>
      <c r="I43" s="125">
        <f>IFERROR(VLOOKUP($D43,'Adient Assende (Belgium) WK.17'!$B:C,J$1,0),0)</f>
        <v>200</v>
      </c>
      <c r="J43" s="55">
        <f>IFERROR(VLOOKUP($D43,'Adient Arendal (Malzia) WK.12'!$B:C,J$1,0),0)</f>
        <v>0</v>
      </c>
      <c r="K43" s="55">
        <f>IFERROR(VLOOKUP($D43,'Adient Taizhou (China) WK.16'!$B:C,J$1,0),0)</f>
        <v>0</v>
      </c>
      <c r="L43" s="128">
        <v>400</v>
      </c>
      <c r="M43" s="32">
        <v>0</v>
      </c>
      <c r="N43" s="106">
        <f t="shared" si="233"/>
        <v>1225</v>
      </c>
      <c r="P43" s="37">
        <f t="shared" si="234"/>
        <v>1225</v>
      </c>
      <c r="Q43" s="125">
        <f>IFERROR(VLOOKUP($D43,'Adient Assende (Belgium) WK.17'!$B:K,R$1,0),0)</f>
        <v>400</v>
      </c>
      <c r="R43" s="55">
        <f>IFERROR(VLOOKUP($D43,'Adient Arendal (Malzia) WK.12'!$B:K,R$1,0),0)</f>
        <v>0</v>
      </c>
      <c r="S43" s="55">
        <f>IFERROR(VLOOKUP($D43,'Adient Taizhou (China) WK.16'!$B:K,R$1,0),0)</f>
        <v>0</v>
      </c>
      <c r="T43" s="41">
        <v>100</v>
      </c>
      <c r="U43" s="32">
        <v>0</v>
      </c>
      <c r="V43" s="106">
        <f t="shared" si="235"/>
        <v>1125</v>
      </c>
      <c r="X43" s="37">
        <f t="shared" si="236"/>
        <v>1125</v>
      </c>
      <c r="Y43" s="125">
        <f>IFERROR(VLOOKUP($D43,'Adient Assende (Belgium) WK.17'!$B:S,Z$1,0),0)</f>
        <v>100</v>
      </c>
      <c r="Z43" s="55">
        <f>IFERROR(VLOOKUP($D43,'Adient Arendal (Malzia) WK.12'!$B:S,Z$1,0),0)</f>
        <v>0</v>
      </c>
      <c r="AA43" s="55">
        <f>IFERROR(VLOOKUP($D43,'Adient Taizhou (China) WK.16'!$B:S,Z$1,0),0)</f>
        <v>0</v>
      </c>
      <c r="AB43" s="41">
        <v>100</v>
      </c>
      <c r="AC43" s="32">
        <v>0</v>
      </c>
      <c r="AD43" s="106">
        <f t="shared" si="237"/>
        <v>1025</v>
      </c>
      <c r="AF43" s="37">
        <f t="shared" si="238"/>
        <v>1025</v>
      </c>
      <c r="AG43" s="125">
        <f>IFERROR(VLOOKUP($D43,'Adient Assende (Belgium) WK.17'!$B:AA,AH$1,0),0)</f>
        <v>100</v>
      </c>
      <c r="AH43" s="55">
        <f>IFERROR(VLOOKUP($D43,'Adient Arendal (Malzia) WK.12'!$B:AA,AH$1,0),0)</f>
        <v>0</v>
      </c>
      <c r="AI43" s="55">
        <f>IFERROR(VLOOKUP($D43,'Adient Taizhou (China) WK.16'!$B:AA,AH$1,0),0)</f>
        <v>0</v>
      </c>
      <c r="AJ43" s="41">
        <v>200</v>
      </c>
      <c r="AK43" s="32">
        <v>0</v>
      </c>
      <c r="AL43" s="106">
        <f t="shared" si="239"/>
        <v>825</v>
      </c>
      <c r="AN43" s="37">
        <f t="shared" si="432"/>
        <v>825</v>
      </c>
      <c r="AO43" s="125">
        <f>IFERROR(VLOOKUP($D43,'Adient Assende (Belgium) WK.17'!$B:AI,AP$1,0),0)</f>
        <v>200</v>
      </c>
      <c r="AP43" s="55">
        <f>IFERROR(VLOOKUP($D43,'Adient Arendal (Malzia) WK.12'!$B:AI,AP$1,0),0)</f>
        <v>0</v>
      </c>
      <c r="AQ43" s="55">
        <f>IFERROR(VLOOKUP($D43,'Adient Taizhou (China) WK.16'!$B:AI,AP$1,0),0)</f>
        <v>0</v>
      </c>
      <c r="AR43" s="60">
        <v>0</v>
      </c>
      <c r="AS43" s="41">
        <v>200</v>
      </c>
      <c r="AT43" s="32">
        <v>0</v>
      </c>
      <c r="AU43" s="106">
        <f t="shared" si="240"/>
        <v>625</v>
      </c>
      <c r="AW43" s="37">
        <f t="shared" si="433"/>
        <v>625</v>
      </c>
      <c r="AX43" s="125">
        <f>IFERROR(VLOOKUP($D43,'Adient Assende (Belgium) WK.17'!$B:AR,AY$1,0),0)</f>
        <v>200</v>
      </c>
      <c r="AY43" s="55">
        <f>IFERROR(VLOOKUP($D43,'Adient Arendal (Malzia) WK.12'!$B:AR,AY$1,0),0)</f>
        <v>0</v>
      </c>
      <c r="AZ43" s="55">
        <f>IFERROR(VLOOKUP($D43,'Adient Taizhou (China) WK.16'!$B:AU,AY$1,0),0)</f>
        <v>0</v>
      </c>
      <c r="BA43" s="41">
        <v>200</v>
      </c>
      <c r="BB43" s="32">
        <v>0</v>
      </c>
      <c r="BC43" s="106">
        <f t="shared" si="241"/>
        <v>425</v>
      </c>
      <c r="BE43" s="37">
        <f t="shared" si="434"/>
        <v>425</v>
      </c>
      <c r="BF43" s="125">
        <f>IFERROR(VLOOKUP($D43,'Adient Assende (Belgium) WK.17'!$B:AX,BG$1,0),0)</f>
        <v>200</v>
      </c>
      <c r="BG43" s="55">
        <f>IFERROR(VLOOKUP($D43,'Adient Arendal (Malzia) WK.12'!$B:AZ,BG$1,0),0)</f>
        <v>0</v>
      </c>
      <c r="BH43" s="55">
        <f>IFERROR(VLOOKUP($D43,'Adient Taizhou (China) WK.16'!$B:BB,BG$1,0),0)</f>
        <v>0</v>
      </c>
      <c r="BI43" s="60">
        <v>0</v>
      </c>
      <c r="BJ43" s="60">
        <v>0</v>
      </c>
      <c r="BK43" s="41">
        <v>200</v>
      </c>
      <c r="BL43" s="32">
        <v>0</v>
      </c>
      <c r="BM43" s="106">
        <f t="shared" si="242"/>
        <v>225</v>
      </c>
      <c r="BN43" s="8"/>
      <c r="BO43" s="37">
        <f t="shared" si="435"/>
        <v>225</v>
      </c>
      <c r="BP43" s="125">
        <f>IFERROR(VLOOKUP($D43,'Adient Assende (Belgium) WK.17'!$B:BH,BQ$1,0),0)</f>
        <v>200</v>
      </c>
      <c r="BQ43" s="55">
        <f>IFERROR(VLOOKUP($D43,'Adient Arendal (Malzia) WK.12'!$B:BI,BQ$1,0),0)</f>
        <v>0</v>
      </c>
      <c r="BR43" s="55">
        <f>IFERROR(VLOOKUP($D43,'Adient Taizhou (China) WK.16'!$B:BL,BQ$1,0),0)</f>
        <v>0</v>
      </c>
      <c r="BS43" s="60">
        <v>150</v>
      </c>
      <c r="BT43" s="60">
        <v>0</v>
      </c>
      <c r="BU43" s="60">
        <v>0</v>
      </c>
      <c r="BV43" s="41">
        <v>200</v>
      </c>
      <c r="BW43" s="32">
        <v>0</v>
      </c>
      <c r="BX43" s="106">
        <f t="shared" si="243"/>
        <v>175</v>
      </c>
      <c r="BY43" s="8"/>
      <c r="BZ43" s="37">
        <f t="shared" si="436"/>
        <v>175</v>
      </c>
      <c r="CA43" s="125">
        <f>IFERROR(VLOOKUP($D43,'Adient Assende (Belgium) WK.17'!$B:BS,CB$1,0),0)</f>
        <v>200</v>
      </c>
      <c r="CB43" s="55">
        <f>IFERROR(VLOOKUP($D43,'Adient Arendal (Malzia) WK.12'!$B:BT,CB$1,0),0)</f>
        <v>0</v>
      </c>
      <c r="CC43" s="55">
        <f>IFERROR(VLOOKUP($D43,'Adient Taizhou (China) WK.16'!$B:BW,CB$1,0),0)</f>
        <v>0</v>
      </c>
      <c r="CD43" s="60">
        <v>0</v>
      </c>
      <c r="CE43" s="60">
        <v>125</v>
      </c>
      <c r="CF43" s="41">
        <v>200</v>
      </c>
      <c r="CG43" s="32">
        <v>0</v>
      </c>
      <c r="CH43" s="106">
        <f t="shared" si="244"/>
        <v>100</v>
      </c>
      <c r="CI43" s="8"/>
      <c r="CJ43" s="37">
        <f t="shared" si="437"/>
        <v>100</v>
      </c>
      <c r="CK43" s="125">
        <f>IFERROR(VLOOKUP($D43,'Adient Assende (Belgium) WK.17'!$B:CC,CL$1,0),0)</f>
        <v>200</v>
      </c>
      <c r="CL43" s="55">
        <f>IFERROR(VLOOKUP($D43,'Adient Arendal (Malzia) WK.12'!$B:CD,CL$1,0),0)</f>
        <v>0</v>
      </c>
      <c r="CM43" s="55">
        <f>IFERROR(VLOOKUP($D43,'Adient Taizhou (China) WK.16'!$B:CG,CL$1,0),0)</f>
        <v>0</v>
      </c>
      <c r="CN43" s="60">
        <v>275</v>
      </c>
      <c r="CO43" s="149">
        <v>0</v>
      </c>
      <c r="CP43" s="32">
        <v>0</v>
      </c>
      <c r="CQ43" s="106">
        <f t="shared" si="245"/>
        <v>375</v>
      </c>
      <c r="CR43" s="8"/>
      <c r="CS43" s="122">
        <f t="shared" si="438"/>
        <v>375</v>
      </c>
      <c r="CT43" s="154">
        <f>IFERROR(VLOOKUP($D43,'Adient Assende (Belgium) WK.17'!$B:CL,CU$1,0),0)</f>
        <v>0</v>
      </c>
      <c r="CU43" s="55">
        <f>IFERROR(VLOOKUP($D43,'Adient Arendal (Malzia) WK.12'!$B:CM,CU$1,0),0)</f>
        <v>0</v>
      </c>
      <c r="CV43" s="55">
        <f>IFERROR(VLOOKUP($D43,'Adient Taizhou (China) WK.16'!$B:CP,CU$1,0),0)</f>
        <v>0</v>
      </c>
      <c r="CW43" s="60">
        <v>0</v>
      </c>
      <c r="CX43" s="60">
        <v>75</v>
      </c>
      <c r="CY43" s="128">
        <v>100</v>
      </c>
      <c r="CZ43" s="32">
        <v>0</v>
      </c>
      <c r="DA43" s="106">
        <f t="shared" si="246"/>
        <v>350</v>
      </c>
      <c r="DB43" s="8"/>
      <c r="DC43" s="37">
        <f t="shared" si="439"/>
        <v>350</v>
      </c>
      <c r="DD43" s="125">
        <f>IFERROR(VLOOKUP($D43,'Adient Assende (Belgium) WK.17'!$B:CS,DE$1,0),0)</f>
        <v>100</v>
      </c>
      <c r="DE43" s="55">
        <f>IFERROR(VLOOKUP($D43,'Adient Arendal (Malzia) WK.12'!$B:CU,DE$1,0),0)</f>
        <v>0</v>
      </c>
      <c r="DF43" s="55">
        <f>IFERROR(VLOOKUP($D43,'Adient Taizhou (China) WK.16'!$B:CX,DE$1,0),0)</f>
        <v>0</v>
      </c>
      <c r="DG43" s="60">
        <v>400</v>
      </c>
      <c r="DH43" s="128">
        <v>200</v>
      </c>
      <c r="DI43" s="32">
        <v>0</v>
      </c>
      <c r="DJ43" s="106">
        <f t="shared" si="247"/>
        <v>550</v>
      </c>
      <c r="DL43" s="37">
        <f t="shared" si="440"/>
        <v>550</v>
      </c>
      <c r="DM43" s="125">
        <f>IFERROR(VLOOKUP($D43,'Adient Assende (Belgium) WK.17'!$B:DB,DN$1,0),0)</f>
        <v>200</v>
      </c>
      <c r="DN43" s="55">
        <f>IFERROR(VLOOKUP($D43,'Adient Arendal (Malzia) WK.12'!$B:DC,DN$1,0),0)</f>
        <v>0</v>
      </c>
      <c r="DO43" s="55">
        <f>IFERROR(VLOOKUP($D43,'Adient Taizhou (China) WK.16'!$B:DF,DN$1,0),0)</f>
        <v>0</v>
      </c>
      <c r="DP43" s="128">
        <v>200</v>
      </c>
      <c r="DQ43" s="32">
        <v>0</v>
      </c>
      <c r="DR43" s="106">
        <f t="shared" si="441"/>
        <v>350</v>
      </c>
      <c r="DS43" s="8"/>
      <c r="DT43" s="37">
        <f t="shared" si="442"/>
        <v>350</v>
      </c>
      <c r="DU43" s="125">
        <f>IFERROR(VLOOKUP($D43,'Adient Assende (Belgium) WK.17'!$B:DJ,DV$1,0),0)</f>
        <v>200</v>
      </c>
      <c r="DV43" s="55">
        <f>IFERROR(VLOOKUP($D43,'Adient Arendal (Malzia) WK.12'!$B:DK,DV$1,0),0)</f>
        <v>0</v>
      </c>
      <c r="DW43" s="55">
        <f>IFERROR(VLOOKUP($D43,'Adient Taizhou (China) WK.16'!$B:DN,DV$1,0),0)</f>
        <v>0</v>
      </c>
      <c r="DX43" s="60">
        <v>225</v>
      </c>
      <c r="DY43" s="60">
        <v>350</v>
      </c>
      <c r="DZ43" s="128">
        <v>200</v>
      </c>
      <c r="EA43" s="32">
        <v>0</v>
      </c>
      <c r="EB43" s="106">
        <f t="shared" si="248"/>
        <v>725</v>
      </c>
      <c r="EC43" s="8"/>
      <c r="ED43" s="37">
        <f t="shared" si="443"/>
        <v>725</v>
      </c>
      <c r="EE43" s="125">
        <f>IFERROR(VLOOKUP($D43,'Adient Assende (Belgium) WK.17'!$B:DR,EF$1,0),0)</f>
        <v>200</v>
      </c>
      <c r="EF43" s="55">
        <f>IFERROR(VLOOKUP($D43,'Adient Arendal (Malzia) WK.12'!$B:DS,EF$1,0),0)</f>
        <v>0</v>
      </c>
      <c r="EG43" s="55">
        <f>IFERROR(VLOOKUP($D43,'Adient Taizhou (China) WK.16'!$B:DV,EF$1,0),0)</f>
        <v>0</v>
      </c>
      <c r="EH43" s="60">
        <v>150</v>
      </c>
      <c r="EI43" s="128">
        <v>100</v>
      </c>
      <c r="EJ43" s="32">
        <v>0</v>
      </c>
      <c r="EK43" s="106">
        <f t="shared" si="249"/>
        <v>775</v>
      </c>
      <c r="EM43" s="37">
        <f t="shared" si="444"/>
        <v>775</v>
      </c>
      <c r="EN43" s="125">
        <f>IFERROR(VLOOKUP($D43,'Adient Assende (Belgium) WK.17'!$B:DZ,EO$1,0),0)</f>
        <v>100</v>
      </c>
      <c r="EO43" s="55">
        <f>IFERROR(VLOOKUP($D43,'Adient Arendal (Malzia) WK.12'!$B:EA,EO$1,0),0)</f>
        <v>0</v>
      </c>
      <c r="EP43" s="55">
        <f>IFERROR(VLOOKUP($D43,'Adient Taizhou (China) WK.16'!$B:ED,EO$1,0),0)</f>
        <v>0</v>
      </c>
      <c r="EQ43" s="128">
        <v>100</v>
      </c>
      <c r="ER43" s="32">
        <v>0</v>
      </c>
      <c r="ES43" s="106">
        <f t="shared" si="250"/>
        <v>675</v>
      </c>
      <c r="EU43" s="37">
        <f t="shared" si="445"/>
        <v>675</v>
      </c>
      <c r="EV43" s="125">
        <f>IFERROR(VLOOKUP($D43,'Adient Assende (Belgium) WK.17'!$B:EH,EW$1,0),0)</f>
        <v>100</v>
      </c>
      <c r="EW43" s="55">
        <f>IFERROR(VLOOKUP($D43,'Adient Arendal (Malzia) WK.12'!$B:EI,EW$1,0),0)</f>
        <v>0</v>
      </c>
      <c r="EX43" s="55">
        <f>IFERROR(VLOOKUP($D43,'Adient Taizhou (China) WK.16'!$B:EL,EW$1,0),0)</f>
        <v>0</v>
      </c>
      <c r="EY43" s="128">
        <v>0</v>
      </c>
      <c r="EZ43" s="32">
        <v>0</v>
      </c>
      <c r="FA43" s="106">
        <f t="shared" si="251"/>
        <v>675</v>
      </c>
      <c r="FC43" s="37">
        <f t="shared" si="446"/>
        <v>675</v>
      </c>
      <c r="FD43" s="154">
        <f>IFERROR(VLOOKUP($D43,'Adient Assende (Belgium) WK.17'!$B:EP,FE$1,0),0)</f>
        <v>0</v>
      </c>
      <c r="FE43" s="154">
        <f>IFERROR(VLOOKUP($D43,'Adient Arendal (Malzia) WK.12'!$B:EQ,FE$1,0),0)</f>
        <v>0</v>
      </c>
      <c r="FF43" s="154">
        <f>IFERROR(VLOOKUP($D43,'Adient Taizhou (China) WK.16'!$B:ET,FE$1,0),0)</f>
        <v>0</v>
      </c>
      <c r="FG43" s="128">
        <v>0</v>
      </c>
      <c r="FH43" s="32">
        <v>0</v>
      </c>
      <c r="FI43" s="106">
        <f t="shared" si="252"/>
        <v>675</v>
      </c>
      <c r="FK43" s="37">
        <f t="shared" si="447"/>
        <v>675</v>
      </c>
      <c r="FL43" s="125">
        <f>IFERROR(VLOOKUP($D43,'Adient Assende (Belgium) WK.17'!$B:EX,FM$1,0),0)</f>
        <v>0</v>
      </c>
      <c r="FM43" s="55">
        <f>IFERROR(VLOOKUP($D43,'Adient Arendal (Malzia) WK.12'!$B:EY,FM$1,0),0)</f>
        <v>0</v>
      </c>
      <c r="FN43" s="55">
        <f>IFERROR(VLOOKUP($D43,'Adient Taizhou (China) WK.16'!$B:FB,FM$1,0),0)</f>
        <v>0</v>
      </c>
      <c r="FO43" s="128">
        <v>100</v>
      </c>
      <c r="FP43" s="32">
        <v>0</v>
      </c>
      <c r="FQ43" s="106">
        <f t="shared" si="253"/>
        <v>575</v>
      </c>
      <c r="FR43" s="8"/>
      <c r="FS43" s="37">
        <f t="shared" si="448"/>
        <v>575</v>
      </c>
      <c r="FT43" s="125">
        <f>IFERROR(VLOOKUP($D43,'Adient Assende (Belgium) WK.17'!$B:FF,FU$1,0),0)</f>
        <v>100</v>
      </c>
      <c r="FU43" s="55">
        <f>IFERROR(VLOOKUP($D43,'Adient Arendal (Malzia) WK.12'!$B:FG,FU$1,0),0)</f>
        <v>0</v>
      </c>
      <c r="FV43" s="55">
        <f>IFERROR(VLOOKUP($D43,'Adient Taizhou (China) WK.16'!$B:FJ,FU$1,0),0)</f>
        <v>0</v>
      </c>
      <c r="FW43" s="60">
        <v>125</v>
      </c>
      <c r="FX43" s="60">
        <v>0</v>
      </c>
      <c r="FY43" s="60">
        <v>200</v>
      </c>
      <c r="FZ43" s="60">
        <v>0</v>
      </c>
      <c r="GA43" s="60">
        <v>0</v>
      </c>
      <c r="GB43" s="128">
        <v>100</v>
      </c>
      <c r="GC43" s="32">
        <v>0</v>
      </c>
      <c r="GD43" s="106">
        <f t="shared" si="254"/>
        <v>800</v>
      </c>
      <c r="GF43" s="37">
        <f t="shared" si="449"/>
        <v>800</v>
      </c>
      <c r="GG43" s="125">
        <f>IFERROR(VLOOKUP($D43,'Adient Assende (Belgium) WK.17'!$B:FN,GH$1,0),0)</f>
        <v>100</v>
      </c>
      <c r="GH43" s="55">
        <f>IFERROR(VLOOKUP($D43,'Adient Arendal (Malzia) WK.12'!$B:FO,GH$1,0),0)</f>
        <v>0</v>
      </c>
      <c r="GI43" s="55">
        <f>IFERROR(VLOOKUP($D43,'Adient Taizhou (China) WK.16'!$B:FR,GH$1,0),0)</f>
        <v>0</v>
      </c>
      <c r="GJ43" s="60">
        <v>0</v>
      </c>
      <c r="GK43" s="128">
        <v>100</v>
      </c>
      <c r="GL43" s="32">
        <v>0</v>
      </c>
      <c r="GM43" s="106">
        <f t="shared" si="255"/>
        <v>700</v>
      </c>
      <c r="GO43" s="37">
        <f t="shared" si="450"/>
        <v>700</v>
      </c>
      <c r="GP43" s="125">
        <f>IFERROR(VLOOKUP($D43,'Adient Assende (Belgium) WK.17'!$B:FV,GQ$1,0),0)</f>
        <v>100</v>
      </c>
      <c r="GQ43" s="55">
        <f>IFERROR(VLOOKUP($D43,'Adient Arendal (Malzia) WK.12'!$B:FW,GQ$1,0),0)</f>
        <v>0</v>
      </c>
      <c r="GR43" s="55">
        <f>IFERROR(VLOOKUP($D43,'Adient Taizhou (China) WK.16'!$B:FZ,GQ$1,0),0)</f>
        <v>0</v>
      </c>
      <c r="GS43" s="60">
        <v>0</v>
      </c>
      <c r="GT43" s="128">
        <v>0</v>
      </c>
      <c r="GU43" s="32">
        <v>0</v>
      </c>
      <c r="GV43" s="106">
        <f t="shared" si="256"/>
        <v>700</v>
      </c>
      <c r="GW43" s="8"/>
      <c r="GX43" s="37">
        <f t="shared" si="451"/>
        <v>700</v>
      </c>
      <c r="GY43" s="125">
        <f>IFERROR(VLOOKUP($D43,'Adient Assende (Belgium) WK.17'!$B:GD,GZ$1,0),0)</f>
        <v>0</v>
      </c>
      <c r="GZ43" s="55">
        <f>IFERROR(VLOOKUP($D43,'Adient Arendal (Malzia) WK.12'!$B:GE,GZ$1,0),0)</f>
        <v>0</v>
      </c>
      <c r="HA43" s="55">
        <f>IFERROR(VLOOKUP($D43,'Adient Taizhou (China) WK.16'!$B:GH,GZ$1,0),0)</f>
        <v>0</v>
      </c>
      <c r="HB43" s="60">
        <v>0</v>
      </c>
      <c r="HC43" s="128">
        <v>100</v>
      </c>
      <c r="HD43" s="32">
        <v>0</v>
      </c>
      <c r="HE43" s="106">
        <f t="shared" si="257"/>
        <v>600</v>
      </c>
      <c r="HF43" s="8"/>
      <c r="HG43" s="37">
        <f t="shared" si="452"/>
        <v>600</v>
      </c>
      <c r="HH43" s="125">
        <f>IFERROR(VLOOKUP($D43,'Adient Assende (Belgium) WK.17'!$B:GL,HI$1,0),0)</f>
        <v>100</v>
      </c>
      <c r="HI43" s="55">
        <f>IFERROR(VLOOKUP($D43,'Adient Arendal (Malzia) WK.12'!$B:GM,HI$1,0),0)</f>
        <v>0</v>
      </c>
      <c r="HJ43" s="55">
        <f>IFERROR(VLOOKUP($D43,'Adient Taizhou (China) WK.16'!$B:GP,HI$1,0),0)</f>
        <v>0</v>
      </c>
      <c r="HK43" s="60">
        <v>200</v>
      </c>
      <c r="HL43" s="128">
        <v>100</v>
      </c>
      <c r="HM43" s="32">
        <v>0</v>
      </c>
      <c r="HN43" s="106">
        <f t="shared" si="258"/>
        <v>700</v>
      </c>
      <c r="HO43" s="8"/>
      <c r="HP43" s="37">
        <f t="shared" si="453"/>
        <v>700</v>
      </c>
      <c r="HQ43" s="125">
        <f>IFERROR(VLOOKUP($D43,'Adient Assende (Belgium) WK.17'!$B:GT,HR$1,0),0)</f>
        <v>100</v>
      </c>
      <c r="HR43" s="55">
        <f>IFERROR(VLOOKUP($D43,'Adient Arendal (Malzia) WK.12'!$B:GU,HR$1,0),0)</f>
        <v>0</v>
      </c>
      <c r="HS43" s="55">
        <f>IFERROR(VLOOKUP($D43,'Adient Taizhou (China) WK.16'!$B:GX,HR$1,0),0)</f>
        <v>0</v>
      </c>
      <c r="HT43" s="60">
        <v>200</v>
      </c>
      <c r="HU43" s="128">
        <v>100</v>
      </c>
      <c r="HV43" s="32">
        <v>0</v>
      </c>
      <c r="HW43" s="106">
        <f t="shared" si="259"/>
        <v>800</v>
      </c>
      <c r="HX43" s="8"/>
      <c r="HY43" s="37">
        <f t="shared" si="454"/>
        <v>800</v>
      </c>
      <c r="HZ43" s="125">
        <f>IFERROR(VLOOKUP($D43,'Adient Assende (Belgium) WK.17'!$B:HB,IA$1,0),0)</f>
        <v>100</v>
      </c>
      <c r="IA43" s="55">
        <f>IFERROR(VLOOKUP($D43,'Adient Arendal (Malzia) WK.12'!$B:HC,IA$1,0),0)</f>
        <v>0</v>
      </c>
      <c r="IB43" s="55">
        <f>IFERROR(VLOOKUP($D43,'Adient Taizhou (China) WK.16'!$B:HF,IA$1,0),0)</f>
        <v>0</v>
      </c>
      <c r="IC43" s="60">
        <v>100</v>
      </c>
      <c r="ID43" s="128">
        <v>200</v>
      </c>
      <c r="IE43" s="32">
        <v>0</v>
      </c>
      <c r="IF43" s="106">
        <f t="shared" si="260"/>
        <v>700</v>
      </c>
      <c r="IG43" s="8"/>
      <c r="IH43" s="37">
        <f t="shared" si="455"/>
        <v>700</v>
      </c>
      <c r="II43" s="125">
        <f>IFERROR(VLOOKUP($D43,'Adient Assende (Belgium) WK.17'!$B:HJ,IJ$1,0),0)</f>
        <v>200</v>
      </c>
      <c r="IJ43" s="55">
        <f>IFERROR(VLOOKUP($D43,'Adient Arendal (Malzia) WK.12'!$B:HK,IJ$1,0),0)</f>
        <v>0</v>
      </c>
      <c r="IK43" s="55">
        <f>IFERROR(VLOOKUP($D43,'Adient Taizhou (China) WK.16'!$B:HN,IJ$1,0),0)</f>
        <v>0</v>
      </c>
      <c r="IL43" s="128">
        <v>200</v>
      </c>
      <c r="IM43" s="32">
        <v>0</v>
      </c>
      <c r="IN43" s="106">
        <f t="shared" si="456"/>
        <v>500</v>
      </c>
      <c r="IO43" s="8"/>
      <c r="IP43" s="37">
        <f t="shared" si="457"/>
        <v>500</v>
      </c>
      <c r="IQ43" s="125">
        <f>IFERROR(VLOOKUP($D43,'Adient Assende (Belgium) WK.17'!$B:HR,IR$1,0),0)</f>
        <v>200</v>
      </c>
      <c r="IR43" s="55">
        <f>IFERROR(VLOOKUP($D43,'Adient Arendal (Malzia) WK.12'!$B:HS,IR$1,0),0)</f>
        <v>0</v>
      </c>
      <c r="IS43" s="55">
        <f>IFERROR(VLOOKUP($D43,'Adient Taizhou (China) WK.16'!$B:HV,IR$1,0),0)</f>
        <v>0</v>
      </c>
      <c r="IT43" s="60">
        <v>175</v>
      </c>
      <c r="IU43" s="128">
        <v>200</v>
      </c>
      <c r="IV43" s="32">
        <v>0</v>
      </c>
      <c r="IW43" s="106">
        <f t="shared" si="261"/>
        <v>475</v>
      </c>
      <c r="IX43" s="8"/>
      <c r="IY43" s="37">
        <f t="shared" si="458"/>
        <v>475</v>
      </c>
      <c r="IZ43" s="125">
        <f>IFERROR(VLOOKUP($D43,'Adient Assende (Belgium) WK.17'!$B:HZ,JA$1,0),0)</f>
        <v>200</v>
      </c>
      <c r="JA43" s="55">
        <f>IFERROR(VLOOKUP($D43,'Adient Arendal (Malzia) WK.12'!$B:IA,JA$1,0),0)</f>
        <v>0</v>
      </c>
      <c r="JB43" s="55">
        <f>IFERROR(VLOOKUP($D43,'Adient Taizhou (China) WK.16'!$B:ID,JA$1,0),0)</f>
        <v>0</v>
      </c>
      <c r="JC43" s="128">
        <v>0</v>
      </c>
      <c r="JD43" s="32">
        <v>0</v>
      </c>
      <c r="JE43" s="106">
        <f t="shared" si="459"/>
        <v>475</v>
      </c>
      <c r="JF43" s="8"/>
      <c r="JG43" s="37">
        <f t="shared" si="460"/>
        <v>475</v>
      </c>
      <c r="JH43" s="125">
        <f>IFERROR(VLOOKUP($D43,'Adient Assende (Belgium) WK.17'!$B:IH,JI$1,0),0)</f>
        <v>0</v>
      </c>
      <c r="JI43" s="55">
        <f>IFERROR(VLOOKUP($D43,'Adient Arendal (Malzia) WK.12'!$B:II,JI$1,0),0)</f>
        <v>0</v>
      </c>
      <c r="JJ43" s="55">
        <f>IFERROR(VLOOKUP($D43,'Adient Taizhou (China) WK.16'!$B:IL,JI$1,0),0)</f>
        <v>0</v>
      </c>
      <c r="JK43" s="60">
        <v>700</v>
      </c>
      <c r="JL43" s="128">
        <v>100</v>
      </c>
      <c r="JM43" s="32">
        <v>0</v>
      </c>
      <c r="JN43" s="106">
        <f t="shared" si="262"/>
        <v>1075</v>
      </c>
      <c r="JO43" s="8"/>
      <c r="JP43" s="37">
        <f t="shared" si="461"/>
        <v>1075</v>
      </c>
      <c r="JQ43" s="125">
        <f>IFERROR(VLOOKUP($D43,'Adient Assende (Belgium) WK.17'!$B:IP,JR$1,0),0)</f>
        <v>100</v>
      </c>
      <c r="JR43" s="55">
        <f>IFERROR(VLOOKUP($D43,'Adient Arendal (Malzia) WK.12'!$B:IQ,JR$1,0),0)</f>
        <v>0</v>
      </c>
      <c r="JS43" s="55">
        <f>IFERROR(VLOOKUP($D43,'Adient Taizhou (China) WK.16'!$B:IT,JR$1,0),0)</f>
        <v>0</v>
      </c>
      <c r="JT43" s="128">
        <v>0</v>
      </c>
      <c r="JU43" s="32">
        <v>0</v>
      </c>
      <c r="JV43" s="106">
        <f t="shared" si="462"/>
        <v>1075</v>
      </c>
      <c r="JW43" s="8"/>
      <c r="JX43" s="37">
        <f t="shared" si="463"/>
        <v>1075</v>
      </c>
      <c r="JY43" s="154">
        <f>IFERROR(VLOOKUP($D43,'Adient Assende (Belgium) WK.17'!$B:IX,JZ$1,0),0)</f>
        <v>0</v>
      </c>
      <c r="JZ43" s="55">
        <f>IFERROR(VLOOKUP($D43,'Adient Arendal (Malzia) WK.12'!$B:IY,JZ$1,0),0)</f>
        <v>0</v>
      </c>
      <c r="KA43" s="55">
        <f>IFERROR(VLOOKUP($D43,'Adient Taizhou (China) WK.16'!$B:JB,JZ$1,0),0)</f>
        <v>0</v>
      </c>
      <c r="KB43" s="128">
        <v>100</v>
      </c>
      <c r="KC43" s="32">
        <v>0</v>
      </c>
      <c r="KD43" s="106">
        <f t="shared" si="263"/>
        <v>975</v>
      </c>
      <c r="KE43" s="8"/>
      <c r="KF43" s="37">
        <f t="shared" si="464"/>
        <v>975</v>
      </c>
      <c r="KG43" s="125">
        <f>IFERROR(VLOOKUP($D43,'Adient Assende (Belgium) WK.17'!$B:JF,KH$1,0),0)</f>
        <v>100</v>
      </c>
      <c r="KH43" s="55">
        <f>IFERROR(VLOOKUP($D43,'Adient Arendal (Malzia) WK.12'!$B:JG,KH$1,0),0)</f>
        <v>0</v>
      </c>
      <c r="KI43" s="55">
        <f>IFERROR(VLOOKUP($D43,'Adient Taizhou (China) WK.16'!$B:JJ,KH$1,0),0)</f>
        <v>0</v>
      </c>
      <c r="KJ43" s="60">
        <v>250</v>
      </c>
      <c r="KK43" s="128">
        <v>200</v>
      </c>
      <c r="KL43" s="32">
        <v>0</v>
      </c>
      <c r="KM43" s="106">
        <f t="shared" si="264"/>
        <v>1025</v>
      </c>
      <c r="KN43" s="8"/>
      <c r="KO43" s="37">
        <f t="shared" si="465"/>
        <v>1025</v>
      </c>
      <c r="KP43" s="141">
        <f>IFERROR(VLOOKUP($D43,'Adient Assende (Belgium) WK.17'!$B:JN,KQ$1,0),0)</f>
        <v>200</v>
      </c>
      <c r="KQ43" s="140">
        <f>IFERROR(VLOOKUP($D43,'Adient Arendal (Malzia) WK.12'!$B:JO,KQ$1,0),0)</f>
        <v>0</v>
      </c>
      <c r="KR43" s="140">
        <f>IFERROR(VLOOKUP($D43,'Adient Taizhou (China) WK.16'!$B:JR,KQ$1,0),0)</f>
        <v>0</v>
      </c>
      <c r="KS43" s="60">
        <v>275</v>
      </c>
      <c r="KT43" s="128">
        <v>300</v>
      </c>
      <c r="KU43" s="32">
        <v>0</v>
      </c>
      <c r="KV43" s="106">
        <f t="shared" si="265"/>
        <v>1000</v>
      </c>
      <c r="KX43" s="37">
        <f t="shared" si="466"/>
        <v>1000</v>
      </c>
      <c r="KY43" s="141">
        <f>IFERROR(VLOOKUP($D43,'Adient Assende (Belgium) WK.17'!$B:JV,KZ$1,0),0)</f>
        <v>300</v>
      </c>
      <c r="KZ43" s="140">
        <f>IFERROR(VLOOKUP($D43,'Adient Arendal (Malzia) WK.12'!$B:JW,KZ$1,0),0)</f>
        <v>0</v>
      </c>
      <c r="LA43" s="140">
        <f>IFERROR(VLOOKUP($D43,'Adient Taizhou (China) WK.16'!$B:JZ,KZ$1,0),0)</f>
        <v>0</v>
      </c>
      <c r="LB43" s="128">
        <v>0</v>
      </c>
      <c r="LC43" s="32">
        <v>0</v>
      </c>
      <c r="LD43" s="106">
        <f t="shared" si="467"/>
        <v>1000</v>
      </c>
      <c r="LF43" s="37">
        <f t="shared" si="468"/>
        <v>1000</v>
      </c>
      <c r="LG43" s="141">
        <f>IFERROR(VLOOKUP($D43,'Adient Assende (Belgium) WK.17'!$B:KD,LH$1,0),0)</f>
        <v>300</v>
      </c>
      <c r="LH43" s="140">
        <f>IFERROR(VLOOKUP($D43,'Adient Arendal (Malzia) WK.12'!$B:KE,LH$1,0),0)</f>
        <v>0</v>
      </c>
      <c r="LI43" s="140">
        <f>IFERROR(VLOOKUP($D43,'Adient Taizhou (China) WK.16'!$B:KH,LH$1,0),0)</f>
        <v>0</v>
      </c>
      <c r="LJ43" s="60">
        <v>375</v>
      </c>
      <c r="LK43" s="128">
        <v>0</v>
      </c>
      <c r="LL43" s="32">
        <v>0</v>
      </c>
      <c r="LM43" s="100">
        <f t="shared" si="267"/>
        <v>1075</v>
      </c>
      <c r="LO43" s="37">
        <f t="shared" si="469"/>
        <v>1075</v>
      </c>
      <c r="LP43" s="141">
        <f>IFERROR(VLOOKUP($D43,'Adient Assende (Belgium) WK.17'!$B:KL,LQ$1,0),0)</f>
        <v>200</v>
      </c>
      <c r="LQ43" s="140">
        <f>IFERROR(VLOOKUP($D43,'Adient Arendal (Malzia) WK.12'!$B:KM,LQ$1,0),0)</f>
        <v>0</v>
      </c>
      <c r="LR43" s="140">
        <f>IFERROR(VLOOKUP($D43,'Adient Taizhou (China) WK.16'!$B:KP,LQ$1,0),0)</f>
        <v>0</v>
      </c>
      <c r="LS43" s="128">
        <v>0</v>
      </c>
      <c r="LT43" s="32">
        <v>0</v>
      </c>
      <c r="LU43" s="100">
        <f t="shared" si="470"/>
        <v>875</v>
      </c>
      <c r="LW43" s="37">
        <f t="shared" si="471"/>
        <v>875</v>
      </c>
      <c r="LX43" s="141">
        <f>IFERROR(VLOOKUP($D43,'Adient Assende (Belgium) WK.17'!$B:KT,LY$1,0),0)</f>
        <v>500</v>
      </c>
      <c r="LY43" s="140">
        <f>IFERROR(VLOOKUP($D43,'Adient Arendal (Malzia) WK.12'!$B:KU,LY$1,0),0)</f>
        <v>0</v>
      </c>
      <c r="LZ43" s="140">
        <f>IFERROR(VLOOKUP($D43,'Adient Taizhou (China) WK.16'!$B:KX,LY$1,0),0)</f>
        <v>0</v>
      </c>
      <c r="MA43" s="128">
        <v>0</v>
      </c>
      <c r="MB43" s="32">
        <v>0</v>
      </c>
      <c r="MC43" s="100">
        <f t="shared" si="472"/>
        <v>375</v>
      </c>
      <c r="ME43" s="37">
        <f t="shared" si="473"/>
        <v>375</v>
      </c>
      <c r="MF43" s="154">
        <f>IFERROR(VLOOKUP($D43,'Adient Assende (Belgium) WK.17'!$B:LB,MG$1,0),0)</f>
        <v>0</v>
      </c>
      <c r="MG43" s="140">
        <f>IFERROR(VLOOKUP($D43,'Adient Arendal (Malzia) WK.12'!$B:LC,MG$1,0),0)</f>
        <v>0</v>
      </c>
      <c r="MH43" s="140">
        <f>IFERROR(VLOOKUP($D43,'Adient Taizhou (China) WK.16'!$B:LF,MG$1,0),0)</f>
        <v>0</v>
      </c>
      <c r="MI43" s="128">
        <v>0</v>
      </c>
      <c r="MJ43" s="32">
        <v>0</v>
      </c>
      <c r="MK43" s="100">
        <f t="shared" si="474"/>
        <v>375</v>
      </c>
      <c r="MM43" s="37">
        <f t="shared" si="475"/>
        <v>375</v>
      </c>
      <c r="MN43" s="141">
        <f>IFERROR(VLOOKUP($D43,'Adient Assende (Belgium) WK.17'!$B:LJ,MO$1,0),0)</f>
        <v>200</v>
      </c>
      <c r="MO43" s="140">
        <f>IFERROR(VLOOKUP($D43,'Adient Arendal (Malzia) WK.12'!$B:LK,MO$1,0),0)</f>
        <v>0</v>
      </c>
      <c r="MP43" s="140">
        <f>IFERROR(VLOOKUP($D43,'Adient Taizhou (China) WK.16'!$B:LN,MO$1,0),0)</f>
        <v>0</v>
      </c>
      <c r="MQ43" s="128">
        <v>0</v>
      </c>
      <c r="MR43" s="32">
        <v>0</v>
      </c>
      <c r="MS43" s="100">
        <f t="shared" si="476"/>
        <v>175</v>
      </c>
      <c r="MU43" s="37">
        <f t="shared" si="477"/>
        <v>175</v>
      </c>
      <c r="MV43" s="141">
        <f>IFERROR(VLOOKUP($D43,'Adient Assende (Belgium) WK.17'!$B:LR,MW$1,0),0)</f>
        <v>300</v>
      </c>
      <c r="MW43" s="140">
        <f>IFERROR(VLOOKUP($D43,'Adient Arendal (Malzia) WK.12'!$B:LS,MW$1,0),0)</f>
        <v>0</v>
      </c>
      <c r="MX43" s="140">
        <f>IFERROR(VLOOKUP($D43,'Adient Taizhou (China) WK.16'!$B:LV,MW$1,0),0)</f>
        <v>0</v>
      </c>
      <c r="MY43" s="128">
        <v>0</v>
      </c>
      <c r="MZ43" s="32">
        <v>0</v>
      </c>
      <c r="NA43" s="100">
        <f t="shared" si="478"/>
        <v>-125</v>
      </c>
      <c r="NC43" s="37">
        <f t="shared" si="479"/>
        <v>-125</v>
      </c>
      <c r="ND43" s="141">
        <f>IFERROR(VLOOKUP($D43,'Adient Assende (Belgium) WK.17'!$B:LZ,NE$1,0),0)</f>
        <v>200</v>
      </c>
      <c r="NE43" s="140">
        <f>IFERROR(VLOOKUP($D43,'Adient Arendal (Malzia) WK.12'!$B:MA,NE$1,0),0)</f>
        <v>0</v>
      </c>
      <c r="NF43" s="140">
        <f>IFERROR(VLOOKUP($D43,'Adient Taizhou (China) WK.16'!$B:MD,NE$1,0),0)</f>
        <v>0</v>
      </c>
      <c r="NG43" s="128">
        <v>0</v>
      </c>
      <c r="NH43" s="32">
        <v>0</v>
      </c>
      <c r="NI43" s="100">
        <f t="shared" si="480"/>
        <v>-325</v>
      </c>
      <c r="NK43" s="37">
        <f t="shared" si="481"/>
        <v>-325</v>
      </c>
      <c r="NL43" s="141">
        <f>IFERROR(VLOOKUP($D43,'Adient Assende (Belgium) WK.17'!$B:MH,NM$1,0),0)</f>
        <v>300</v>
      </c>
      <c r="NM43" s="140">
        <f>IFERROR(VLOOKUP($D43,'Adient Arendal (Malzia) WK.12'!$B:MI,NM$1,0),0)</f>
        <v>0</v>
      </c>
      <c r="NN43" s="140">
        <f>IFERROR(VLOOKUP($D43,'Adient Taizhou (China) WK.16'!$B:ML,NM$1,0),0)</f>
        <v>0</v>
      </c>
      <c r="NO43" s="128">
        <v>0</v>
      </c>
      <c r="NP43" s="32">
        <v>0</v>
      </c>
      <c r="NQ43" s="100">
        <f t="shared" si="482"/>
        <v>-625</v>
      </c>
      <c r="NS43" s="37">
        <f t="shared" si="483"/>
        <v>-625</v>
      </c>
      <c r="NT43" s="141">
        <f>IFERROR(VLOOKUP($D43,'Adient Assende (Belgium) WK.17'!$B:MP,NU$1,0),0)</f>
        <v>300</v>
      </c>
      <c r="NU43" s="140">
        <f>IFERROR(VLOOKUP($D43,'Adient Arendal (Malzia) WK.12'!$B:MQ,NU$1,0),0)</f>
        <v>0</v>
      </c>
      <c r="NV43" s="140">
        <f>IFERROR(VLOOKUP($D43,'Adient Taizhou (China) WK.16'!$B:MT,NU$1,0),0)</f>
        <v>0</v>
      </c>
      <c r="NW43" s="128">
        <v>0</v>
      </c>
      <c r="NX43" s="32">
        <v>0</v>
      </c>
      <c r="NY43" s="100">
        <f t="shared" si="484"/>
        <v>-925</v>
      </c>
      <c r="OA43" s="37">
        <f t="shared" si="485"/>
        <v>-925</v>
      </c>
      <c r="OB43" s="141">
        <f>IFERROR(VLOOKUP($D43,'Adient Assende (Belgium) WK.17'!$B:MX,OC$1,0),0)</f>
        <v>200</v>
      </c>
      <c r="OC43" s="140">
        <f>IFERROR(VLOOKUP($D43,'Adient Arendal (Malzia) WK.12'!$B:MY,OC$1,0),0)</f>
        <v>0</v>
      </c>
      <c r="OD43" s="140">
        <f>IFERROR(VLOOKUP($D43,'Adient Taizhou (China) WK.16'!$B:NB,OC$1,0),0)</f>
        <v>0</v>
      </c>
      <c r="OE43" s="128">
        <v>0</v>
      </c>
      <c r="OF43" s="32">
        <v>0</v>
      </c>
      <c r="OG43" s="100">
        <f t="shared" si="486"/>
        <v>-1125</v>
      </c>
      <c r="OI43" s="37">
        <f t="shared" si="487"/>
        <v>-1125</v>
      </c>
      <c r="OJ43" s="141">
        <f>IFERROR(VLOOKUP($D43,'Adient Assende (Belgium) WK.17'!$B:NF,OK$1,0),0)</f>
        <v>400</v>
      </c>
      <c r="OK43" s="140">
        <f>IFERROR(VLOOKUP($D43,'Adient Arendal (Malzia) WK.12'!$B:NG,OK$1,0),0)</f>
        <v>0</v>
      </c>
      <c r="OL43" s="140">
        <f>IFERROR(VLOOKUP($D43,'Adient Taizhou (China) WK.16'!$B:NJ,OK$1,0),0)</f>
        <v>0</v>
      </c>
      <c r="OM43" s="128">
        <v>0</v>
      </c>
      <c r="ON43" s="32">
        <v>0</v>
      </c>
      <c r="OO43" s="100">
        <f t="shared" si="488"/>
        <v>-1525</v>
      </c>
      <c r="OQ43" s="37">
        <f t="shared" si="489"/>
        <v>-1525</v>
      </c>
      <c r="OR43" s="141">
        <f>IFERROR(VLOOKUP($D43,'Adient Assende (Belgium) WK.17'!$B:NN,OS$1,0),0)</f>
        <v>0</v>
      </c>
      <c r="OS43" s="140">
        <f>IFERROR(VLOOKUP($D43,'Adient Arendal (Malzia) WK.12'!$B:NO,OS$1,0),0)</f>
        <v>0</v>
      </c>
      <c r="OT43" s="140">
        <f>IFERROR(VLOOKUP($D43,'Adient Taizhou (China) WK.16'!$B:NR,OS$1,0),0)</f>
        <v>0</v>
      </c>
      <c r="OU43" s="128">
        <v>0</v>
      </c>
      <c r="OV43" s="32">
        <v>0</v>
      </c>
      <c r="OW43" s="100">
        <f t="shared" si="490"/>
        <v>-1525</v>
      </c>
      <c r="OY43" s="37">
        <f t="shared" si="491"/>
        <v>-1525</v>
      </c>
      <c r="OZ43" s="141">
        <f>IFERROR(VLOOKUP($D43,'Adient Assende (Belgium) WK.17'!$B:NV,PA$1,0),0)</f>
        <v>0</v>
      </c>
      <c r="PA43" s="140">
        <f>IFERROR(VLOOKUP($D43,'Adient Arendal (Malzia) WK.12'!$B:NW,PA$1,0),0)</f>
        <v>0</v>
      </c>
      <c r="PB43" s="140">
        <f>IFERROR(VLOOKUP($D43,'Adient Taizhou (China) WK.16'!$B:NZ,PA$1,0),0)</f>
        <v>0</v>
      </c>
      <c r="PC43" s="128">
        <v>0</v>
      </c>
      <c r="PD43" s="32">
        <v>0</v>
      </c>
      <c r="PE43" s="100">
        <f t="shared" si="492"/>
        <v>-1525</v>
      </c>
      <c r="PG43" s="37">
        <f t="shared" si="493"/>
        <v>-1525</v>
      </c>
      <c r="PH43" s="141">
        <f>IFERROR(VLOOKUP($D43,'Adient Assende (Belgium) WK.17'!$B:OD,PI$1,0),0)</f>
        <v>0</v>
      </c>
      <c r="PI43" s="140">
        <f>IFERROR(VLOOKUP($D43,'Adient Arendal (Malzia) WK.12'!$B:OE,PI$1,0),0)</f>
        <v>0</v>
      </c>
      <c r="PJ43" s="140">
        <f>IFERROR(VLOOKUP($D43,'Adient Taizhou (China) WK.16'!$B:OH,PI$1,0),0)</f>
        <v>0</v>
      </c>
      <c r="PK43" s="128">
        <v>0</v>
      </c>
      <c r="PL43" s="32">
        <v>0</v>
      </c>
      <c r="PM43" s="100">
        <f t="shared" si="494"/>
        <v>-1525</v>
      </c>
      <c r="PO43" s="37">
        <f t="shared" si="495"/>
        <v>-1525</v>
      </c>
      <c r="PP43" s="141">
        <f>IFERROR(VLOOKUP($D43,'Adient Assende (Belgium) WK.17'!$B:OL,PQ$1,0),0)</f>
        <v>0</v>
      </c>
      <c r="PQ43" s="140">
        <f>IFERROR(VLOOKUP($D43,'Adient Arendal (Malzia) WK.12'!$B:OM,PQ$1,0),0)</f>
        <v>0</v>
      </c>
      <c r="PR43" s="140">
        <f>IFERROR(VLOOKUP($D43,'Adient Taizhou (China) WK.16'!$B:OP,PQ$1,0),0)</f>
        <v>0</v>
      </c>
      <c r="PS43" s="128">
        <v>0</v>
      </c>
      <c r="PT43" s="32">
        <v>0</v>
      </c>
      <c r="PU43" s="100">
        <f t="shared" si="496"/>
        <v>-1525</v>
      </c>
      <c r="PW43" s="37">
        <f t="shared" si="497"/>
        <v>-1525</v>
      </c>
      <c r="PX43" s="141">
        <f>IFERROR(VLOOKUP($D43,'Adient Assende (Belgium) WK.17'!$B:OT,PY$1,0),0)</f>
        <v>200</v>
      </c>
      <c r="PY43" s="140">
        <f>IFERROR(VLOOKUP($D43,'Adient Arendal (Malzia) WK.12'!$B:OU,PY$1,0),0)</f>
        <v>0</v>
      </c>
      <c r="PZ43" s="140">
        <f>IFERROR(VLOOKUP($D43,'Adient Taizhou (China) WK.16'!$B:OX,PY$1,0),0)</f>
        <v>0</v>
      </c>
      <c r="QA43" s="128">
        <v>0</v>
      </c>
      <c r="QB43" s="32">
        <v>0</v>
      </c>
      <c r="QC43" s="100">
        <f t="shared" si="498"/>
        <v>-1725</v>
      </c>
      <c r="QE43" s="37">
        <f t="shared" si="499"/>
        <v>-1725</v>
      </c>
      <c r="QF43" s="141">
        <f>IFERROR(VLOOKUP($D43,'Adient Assende (Belgium) WK.17'!$B:PB,QG$1,0),0)</f>
        <v>200</v>
      </c>
      <c r="QG43" s="140">
        <f>IFERROR(VLOOKUP($D43,'Adient Arendal (Malzia) WK.12'!$B:PC,QG$1,0),0)</f>
        <v>0</v>
      </c>
      <c r="QH43" s="140">
        <f>IFERROR(VLOOKUP($D43,'Adient Taizhou (China) WK.16'!$B:PF,QG$1,0),0)</f>
        <v>0</v>
      </c>
      <c r="QI43" s="128">
        <v>0</v>
      </c>
      <c r="QJ43" s="32">
        <v>0</v>
      </c>
      <c r="QK43" s="100">
        <f t="shared" si="500"/>
        <v>-1925</v>
      </c>
      <c r="QM43" s="37">
        <f t="shared" si="501"/>
        <v>-1925</v>
      </c>
      <c r="QN43" s="141">
        <f>IFERROR(VLOOKUP($D43,'Adient Assende (Belgium) WK.17'!$B:PJ,QO$1,0),0)</f>
        <v>200</v>
      </c>
      <c r="QO43" s="140">
        <f>IFERROR(VLOOKUP($D43,'Adient Arendal (Malzia) WK.12'!$B:PK,QO$1,0),0)</f>
        <v>0</v>
      </c>
      <c r="QP43" s="140">
        <f>IFERROR(VLOOKUP($D43,'Adient Taizhou (China) WK.16'!$B:PN,QO$1,0),0)</f>
        <v>0</v>
      </c>
      <c r="QQ43" s="128">
        <v>0</v>
      </c>
      <c r="QR43" s="32">
        <v>0</v>
      </c>
      <c r="QS43" s="100">
        <f t="shared" si="502"/>
        <v>-2125</v>
      </c>
      <c r="QU43" s="37">
        <f t="shared" si="503"/>
        <v>-2125</v>
      </c>
      <c r="QV43" s="141">
        <f>IFERROR(VLOOKUP($D43,'Adient Assende (Belgium) WK.17'!$B:PR,QW$1,0),0)</f>
        <v>230</v>
      </c>
      <c r="QW43" s="140">
        <f>IFERROR(VLOOKUP($D43,'Adient Arendal (Malzia) WK.12'!$B:PS,QW$1,0),0)</f>
        <v>0</v>
      </c>
      <c r="QX43" s="140">
        <f>IFERROR(VLOOKUP($D43,'Adient Taizhou (China) WK.16'!$B:PV,QW$1,0),0)</f>
        <v>0</v>
      </c>
      <c r="QY43" s="128">
        <v>0</v>
      </c>
      <c r="QZ43" s="32">
        <v>0</v>
      </c>
      <c r="RA43" s="100">
        <f t="shared" si="504"/>
        <v>-2355</v>
      </c>
      <c r="RC43" s="37">
        <f t="shared" si="505"/>
        <v>-2355</v>
      </c>
      <c r="RD43" s="141">
        <f>IFERROR(VLOOKUP($D43,'Adient Assende (Belgium) WK.17'!$B:PZ,RE$1,0),0)</f>
        <v>230</v>
      </c>
      <c r="RE43" s="140">
        <f>IFERROR(VLOOKUP($D43,'Adient Arendal (Malzia) WK.12'!$B:QA,RE$1,0),0)</f>
        <v>0</v>
      </c>
      <c r="RF43" s="140">
        <f>IFERROR(VLOOKUP($D43,'Adient Taizhou (China) WK.16'!$B:QD,RE$1,0),0)</f>
        <v>0</v>
      </c>
      <c r="RG43" s="128">
        <v>0</v>
      </c>
      <c r="RH43" s="32">
        <v>0</v>
      </c>
      <c r="RI43" s="100">
        <f t="shared" si="506"/>
        <v>-2585</v>
      </c>
      <c r="RK43" s="37">
        <f t="shared" si="507"/>
        <v>-2585</v>
      </c>
      <c r="RL43" s="141">
        <f>IFERROR(VLOOKUP($D43,'Adient Assende (Belgium) WK.17'!$B:QH,RM$1,0),0)</f>
        <v>230</v>
      </c>
      <c r="RM43" s="140">
        <f>IFERROR(VLOOKUP($D43,'Adient Arendal (Malzia) WK.12'!$B:QI,RM$1,0),0)</f>
        <v>0</v>
      </c>
      <c r="RN43" s="140">
        <f>IFERROR(VLOOKUP($D43,'Adient Taizhou (China) WK.16'!$B:QL,RM$1,0),0)</f>
        <v>0</v>
      </c>
      <c r="RO43" s="128">
        <v>0</v>
      </c>
      <c r="RP43" s="32">
        <v>0</v>
      </c>
      <c r="RQ43" s="100">
        <f t="shared" si="508"/>
        <v>-2815</v>
      </c>
      <c r="RS43" s="37">
        <f t="shared" si="509"/>
        <v>-2815</v>
      </c>
      <c r="RT43" s="141">
        <f>IFERROR(VLOOKUP($D43,'Adient Assende (Belgium) WK.17'!$B:QP,RU$1,0),0)</f>
        <v>210</v>
      </c>
      <c r="RU43" s="140">
        <f>IFERROR(VLOOKUP($D43,'Adient Arendal (Malzia) WK.12'!$B:QQ,RU$1,0),0)</f>
        <v>0</v>
      </c>
      <c r="RV43" s="140">
        <f>IFERROR(VLOOKUP($D43,'Adient Taizhou (China) WK.16'!$B:QT,RU$1,0),0)</f>
        <v>0</v>
      </c>
      <c r="RW43" s="128">
        <v>0</v>
      </c>
      <c r="RX43" s="32">
        <v>0</v>
      </c>
      <c r="RY43" s="100">
        <f t="shared" si="510"/>
        <v>-3025</v>
      </c>
      <c r="SA43" s="37">
        <f t="shared" si="511"/>
        <v>-3025</v>
      </c>
      <c r="SB43" s="141">
        <f>IFERROR(VLOOKUP($D43,'Adient Assende (Belgium) WK.17'!$B:QX,SC$1,0),0)</f>
        <v>180</v>
      </c>
      <c r="SC43" s="140">
        <f>IFERROR(VLOOKUP($D43,'Adient Arendal (Malzia) WK.12'!$B:QY,SC$1,0),0)</f>
        <v>0</v>
      </c>
      <c r="SD43" s="140">
        <f>IFERROR(VLOOKUP($D43,'Adient Taizhou (China) WK.16'!$B:RB,SC$1,0),0)</f>
        <v>0</v>
      </c>
      <c r="SE43" s="128">
        <v>0</v>
      </c>
      <c r="SF43" s="32">
        <v>0</v>
      </c>
      <c r="SG43" s="100">
        <f t="shared" si="512"/>
        <v>-3205</v>
      </c>
      <c r="SI43" s="37">
        <f t="shared" si="513"/>
        <v>-3205</v>
      </c>
      <c r="SJ43" s="141">
        <f>IFERROR(VLOOKUP($D43,'Adient Assende (Belgium) WK.17'!$B:RF,SK$1,0),0)</f>
        <v>180</v>
      </c>
      <c r="SK43" s="140">
        <f>IFERROR(VLOOKUP($D43,'Adient Arendal (Malzia) WK.12'!$B:RG,SK$1,0),0)</f>
        <v>0</v>
      </c>
      <c r="SL43" s="140">
        <f>IFERROR(VLOOKUP($D43,'Adient Taizhou (China) WK.16'!$B:RJ,SK$1,0),0)</f>
        <v>0</v>
      </c>
      <c r="SM43" s="128">
        <v>0</v>
      </c>
      <c r="SN43" s="32">
        <v>0</v>
      </c>
      <c r="SO43" s="100">
        <f t="shared" si="514"/>
        <v>-3385</v>
      </c>
      <c r="SQ43" s="37">
        <f t="shared" si="515"/>
        <v>-3385</v>
      </c>
      <c r="SR43" s="141">
        <f>IFERROR(VLOOKUP($D43,'Adient Assende (Belgium) WK.17'!$B:RN,SS$1,0),0)</f>
        <v>180</v>
      </c>
      <c r="SS43" s="140">
        <f>IFERROR(VLOOKUP($D43,'Adient Arendal (Malzia) WK.12'!$B:RO,SS$1,0),0)</f>
        <v>0</v>
      </c>
      <c r="ST43" s="140">
        <f>IFERROR(VLOOKUP($D43,'Adient Taizhou (China) WK.16'!$B:RR,SS$1,0),0)</f>
        <v>0</v>
      </c>
      <c r="SU43" s="128">
        <v>0</v>
      </c>
      <c r="SV43" s="32">
        <v>0</v>
      </c>
      <c r="SW43" s="100">
        <f t="shared" si="516"/>
        <v>-3565</v>
      </c>
      <c r="SY43" s="37">
        <f t="shared" si="517"/>
        <v>-3565</v>
      </c>
      <c r="SZ43" s="141">
        <f>IFERROR(VLOOKUP($D43,'Adient Assende (Belgium) WK.17'!$B:RV,TA$1,0),0)</f>
        <v>160</v>
      </c>
      <c r="TA43" s="140">
        <f>IFERROR(VLOOKUP($D43,'Adient Arendal (Malzia) WK.12'!$B:RW,TA$1,0),0)</f>
        <v>0</v>
      </c>
      <c r="TB43" s="140">
        <f>IFERROR(VLOOKUP($D43,'Adient Taizhou (China) WK.16'!$B:RZ,TA$1,0),0)</f>
        <v>0</v>
      </c>
      <c r="TC43" s="128">
        <v>0</v>
      </c>
      <c r="TD43" s="32">
        <v>0</v>
      </c>
      <c r="TE43" s="100">
        <f t="shared" si="518"/>
        <v>-3725</v>
      </c>
      <c r="TG43" s="37">
        <f t="shared" si="519"/>
        <v>-3725</v>
      </c>
      <c r="TH43" s="141">
        <f>IFERROR(VLOOKUP($D43,'Adient Assende (Belgium) WK.17'!$B:SD,TI$1,0),0)</f>
        <v>260</v>
      </c>
      <c r="TI43" s="140">
        <f>IFERROR(VLOOKUP($D43,'Adient Arendal (Malzia) WK.12'!$B:SE,TI$1,0),0)</f>
        <v>0</v>
      </c>
      <c r="TJ43" s="140">
        <f>IFERROR(VLOOKUP($D43,'Adient Taizhou (China) WK.16'!$B:SH,TI$1,0),0)</f>
        <v>0</v>
      </c>
      <c r="TK43" s="128">
        <v>0</v>
      </c>
      <c r="TL43" s="32">
        <v>0</v>
      </c>
      <c r="TM43" s="100">
        <f t="shared" si="520"/>
        <v>-3985</v>
      </c>
      <c r="TO43" s="37">
        <f t="shared" si="521"/>
        <v>-3985</v>
      </c>
      <c r="TP43" s="141">
        <f>IFERROR(VLOOKUP($D43,'Adient Assende (Belgium) WK.17'!$B:SL,TQ$1,0),0)</f>
        <v>260</v>
      </c>
      <c r="TQ43" s="140">
        <f>IFERROR(VLOOKUP($D43,'Adient Arendal (Malzia) WK.12'!$B:SM,TQ$1,0),0)</f>
        <v>0</v>
      </c>
      <c r="TR43" s="140">
        <f>IFERROR(VLOOKUP($D43,'Adient Taizhou (China) WK.16'!$B:SP,TQ$1,0),0)</f>
        <v>0</v>
      </c>
      <c r="TS43" s="128">
        <v>0</v>
      </c>
      <c r="TT43" s="32">
        <v>0</v>
      </c>
      <c r="TU43" s="100">
        <f t="shared" si="522"/>
        <v>-4245</v>
      </c>
      <c r="TW43" s="37">
        <f t="shared" si="523"/>
        <v>-4245</v>
      </c>
      <c r="TX43" s="141">
        <f>IFERROR(VLOOKUP($D43,'Adient Assende (Belgium) WK.17'!$B:ST,TY$1,0),0)</f>
        <v>260</v>
      </c>
      <c r="TY43" s="140">
        <f>IFERROR(VLOOKUP($D43,'Adient Arendal (Malzia) WK.12'!$B:SU,TY$1,0),0)</f>
        <v>0</v>
      </c>
      <c r="TZ43" s="140">
        <f>IFERROR(VLOOKUP($D43,'Adient Taizhou (China) WK.16'!$B:SX,TY$1,0),0)</f>
        <v>0</v>
      </c>
      <c r="UA43" s="128">
        <v>0</v>
      </c>
      <c r="UB43" s="32">
        <v>0</v>
      </c>
      <c r="UC43" s="100">
        <f t="shared" si="524"/>
        <v>-4505</v>
      </c>
      <c r="UE43" s="37">
        <f t="shared" si="525"/>
        <v>-4505</v>
      </c>
      <c r="UF43" s="141">
        <f>IFERROR(VLOOKUP($D43,'Adient Assende (Belgium) WK.17'!$B:TB,UG$1,0),0)</f>
        <v>260</v>
      </c>
      <c r="UG43" s="140">
        <f>IFERROR(VLOOKUP($D43,'Adient Arendal (Malzia) WK.12'!$B:TC,UG$1,0),0)</f>
        <v>0</v>
      </c>
      <c r="UH43" s="140">
        <f>IFERROR(VLOOKUP($D43,'Adient Taizhou (China) WK.16'!$B:TF,UG$1,0),0)</f>
        <v>0</v>
      </c>
      <c r="UI43" s="128">
        <v>0</v>
      </c>
      <c r="UJ43" s="32">
        <v>0</v>
      </c>
      <c r="UK43" s="100">
        <f t="shared" si="526"/>
        <v>-4765</v>
      </c>
      <c r="UM43" s="37">
        <f t="shared" si="527"/>
        <v>-4765</v>
      </c>
      <c r="UN43" s="141">
        <f>IFERROR(VLOOKUP($D43,'Adient Assende (Belgium) WK.17'!$B:TJ,UO$1,0),0)</f>
        <v>260</v>
      </c>
      <c r="UO43" s="140">
        <f>IFERROR(VLOOKUP($D43,'Adient Arendal (Malzia) WK.12'!$B:TK,UO$1,0),0)</f>
        <v>0</v>
      </c>
      <c r="UP43" s="140">
        <f>IFERROR(VLOOKUP($D43,'Adient Taizhou (China) WK.16'!$B:TN,UO$1,0),0)</f>
        <v>0</v>
      </c>
      <c r="UQ43" s="128">
        <v>0</v>
      </c>
      <c r="UR43" s="32">
        <v>0</v>
      </c>
      <c r="US43" s="100">
        <f t="shared" si="528"/>
        <v>-5025</v>
      </c>
      <c r="UU43" s="37">
        <f t="shared" si="529"/>
        <v>-5025</v>
      </c>
      <c r="UV43" s="141">
        <f>IFERROR(VLOOKUP($D43,'Adient Assende (Belgium) WK.17'!$B:TR,UW$1,0),0)</f>
        <v>200</v>
      </c>
      <c r="UW43" s="140">
        <f>IFERROR(VLOOKUP($D43,'Adient Arendal (Malzia) WK.12'!$B:TS,UW$1,0),0)</f>
        <v>0</v>
      </c>
      <c r="UX43" s="140">
        <f>IFERROR(VLOOKUP($D43,'Adient Taizhou (China) WK.16'!$B:TV,UW$1,0),0)</f>
        <v>0</v>
      </c>
      <c r="UY43" s="128">
        <v>0</v>
      </c>
      <c r="UZ43" s="32">
        <v>0</v>
      </c>
      <c r="VA43" s="100">
        <f t="shared" si="530"/>
        <v>-5225</v>
      </c>
      <c r="VC43" s="37">
        <f t="shared" si="531"/>
        <v>-5225</v>
      </c>
      <c r="VD43" s="141">
        <f>IFERROR(VLOOKUP($D43,'Adient Assende (Belgium) WK.17'!$B:TZ,VE$1,0),0)</f>
        <v>200</v>
      </c>
      <c r="VE43" s="140">
        <f>IFERROR(VLOOKUP($D43,'Adient Arendal (Malzia) WK.12'!$B:UA,VE$1,0),0)</f>
        <v>0</v>
      </c>
      <c r="VF43" s="140">
        <f>IFERROR(VLOOKUP($D43,'Adient Taizhou (China) WK.16'!$B:UD,VE$1,0),0)</f>
        <v>0</v>
      </c>
      <c r="VG43" s="128">
        <v>0</v>
      </c>
      <c r="VH43" s="32">
        <v>0</v>
      </c>
      <c r="VI43" s="100">
        <f t="shared" si="532"/>
        <v>-5425</v>
      </c>
      <c r="VK43" s="37">
        <f t="shared" si="533"/>
        <v>-5425</v>
      </c>
      <c r="VL43" s="141">
        <f>IFERROR(VLOOKUP($D43,'Adient Assende (Belgium) WK.17'!$B:UH,VM$1,0),0)</f>
        <v>0</v>
      </c>
      <c r="VM43" s="140">
        <f>IFERROR(VLOOKUP($D43,'Adient Arendal (Malzia) WK.12'!$B:UI,VM$1,0),0)</f>
        <v>0</v>
      </c>
      <c r="VN43" s="140">
        <f>IFERROR(VLOOKUP($D43,'Adient Taizhou (China) WK.16'!$B:UL,VM$1,0),0)</f>
        <v>0</v>
      </c>
      <c r="VO43" s="128">
        <v>0</v>
      </c>
      <c r="VP43" s="32">
        <v>0</v>
      </c>
      <c r="VQ43" s="100">
        <f t="shared" si="534"/>
        <v>-5425</v>
      </c>
    </row>
    <row r="44" spans="1:589" x14ac:dyDescent="0.25">
      <c r="A44" s="10" t="s">
        <v>18</v>
      </c>
      <c r="B44" s="11" t="s">
        <v>17</v>
      </c>
      <c r="C44" s="87">
        <v>32272877</v>
      </c>
      <c r="D44" s="81">
        <v>5080446</v>
      </c>
      <c r="E44" s="11">
        <v>25</v>
      </c>
      <c r="F44" s="12"/>
      <c r="H44" s="122">
        <v>200</v>
      </c>
      <c r="I44" s="125">
        <f>IFERROR(VLOOKUP($D44,'Adient Assende (Belgium) WK.17'!$B:C,J$1,0),0)</f>
        <v>0</v>
      </c>
      <c r="J44" s="55">
        <f>IFERROR(VLOOKUP($D44,'Adient Arendal (Malzia) WK.12'!$B:C,J$1,0),0)</f>
        <v>0</v>
      </c>
      <c r="K44" s="55">
        <f>IFERROR(VLOOKUP($D44,'Adient Taizhou (China) WK.16'!$B:C,J$1,0),0)</f>
        <v>0</v>
      </c>
      <c r="L44" s="128">
        <v>100</v>
      </c>
      <c r="M44" s="32">
        <v>0</v>
      </c>
      <c r="N44" s="106">
        <f t="shared" si="233"/>
        <v>100</v>
      </c>
      <c r="P44" s="37">
        <f t="shared" si="234"/>
        <v>100</v>
      </c>
      <c r="Q44" s="125">
        <f>IFERROR(VLOOKUP($D44,'Adient Assende (Belgium) WK.17'!$B:K,R$1,0),0)</f>
        <v>100</v>
      </c>
      <c r="R44" s="55">
        <f>IFERROR(VLOOKUP($D44,'Adient Arendal (Malzia) WK.12'!$B:K,R$1,0),0)</f>
        <v>0</v>
      </c>
      <c r="S44" s="55">
        <f>IFERROR(VLOOKUP($D44,'Adient Taizhou (China) WK.16'!$B:K,R$1,0),0)</f>
        <v>0</v>
      </c>
      <c r="T44" s="41">
        <v>0</v>
      </c>
      <c r="U44" s="32">
        <v>0</v>
      </c>
      <c r="V44" s="106">
        <f t="shared" si="235"/>
        <v>100</v>
      </c>
      <c r="X44" s="37">
        <f t="shared" si="236"/>
        <v>100</v>
      </c>
      <c r="Y44" s="125">
        <f>IFERROR(VLOOKUP($D44,'Adient Assende (Belgium) WK.17'!$B:S,Z$1,0),0)</f>
        <v>0</v>
      </c>
      <c r="Z44" s="55">
        <f>IFERROR(VLOOKUP($D44,'Adient Arendal (Malzia) WK.12'!$B:S,Z$1,0),0)</f>
        <v>0</v>
      </c>
      <c r="AA44" s="55">
        <f>IFERROR(VLOOKUP($D44,'Adient Taizhou (China) WK.16'!$B:S,Z$1,0),0)</f>
        <v>0</v>
      </c>
      <c r="AB44" s="41">
        <v>0</v>
      </c>
      <c r="AC44" s="32">
        <v>0</v>
      </c>
      <c r="AD44" s="106">
        <f t="shared" si="237"/>
        <v>100</v>
      </c>
      <c r="AF44" s="37">
        <f t="shared" si="238"/>
        <v>100</v>
      </c>
      <c r="AG44" s="125">
        <f>IFERROR(VLOOKUP($D44,'Adient Assende (Belgium) WK.17'!$B:AA,AH$1,0),0)</f>
        <v>0</v>
      </c>
      <c r="AH44" s="55">
        <f>IFERROR(VLOOKUP($D44,'Adient Arendal (Malzia) WK.12'!$B:AA,AH$1,0),0)</f>
        <v>0</v>
      </c>
      <c r="AI44" s="55">
        <f>IFERROR(VLOOKUP($D44,'Adient Taizhou (China) WK.16'!$B:AA,AH$1,0),0)</f>
        <v>0</v>
      </c>
      <c r="AJ44" s="41">
        <v>0</v>
      </c>
      <c r="AK44" s="32">
        <v>0</v>
      </c>
      <c r="AL44" s="106">
        <f t="shared" si="239"/>
        <v>100</v>
      </c>
      <c r="AN44" s="37">
        <f t="shared" si="432"/>
        <v>100</v>
      </c>
      <c r="AO44" s="125">
        <f>IFERROR(VLOOKUP($D44,'Adient Assende (Belgium) WK.17'!$B:AI,AP$1,0),0)</f>
        <v>0</v>
      </c>
      <c r="AP44" s="55">
        <f>IFERROR(VLOOKUP($D44,'Adient Arendal (Malzia) WK.12'!$B:AI,AP$1,0),0)</f>
        <v>0</v>
      </c>
      <c r="AQ44" s="55">
        <f>IFERROR(VLOOKUP($D44,'Adient Taizhou (China) WK.16'!$B:AI,AP$1,0),0)</f>
        <v>0</v>
      </c>
      <c r="AR44" s="60">
        <v>0</v>
      </c>
      <c r="AS44" s="41">
        <v>0</v>
      </c>
      <c r="AT44" s="32">
        <v>0</v>
      </c>
      <c r="AU44" s="106">
        <f t="shared" si="240"/>
        <v>100</v>
      </c>
      <c r="AW44" s="37">
        <f t="shared" si="433"/>
        <v>100</v>
      </c>
      <c r="AX44" s="125">
        <f>IFERROR(VLOOKUP($D44,'Adient Assende (Belgium) WK.17'!$B:AR,AY$1,0),0)</f>
        <v>0</v>
      </c>
      <c r="AY44" s="55">
        <f>IFERROR(VLOOKUP($D44,'Adient Arendal (Malzia) WK.12'!$B:AR,AY$1,0),0)</f>
        <v>0</v>
      </c>
      <c r="AZ44" s="55">
        <f>IFERROR(VLOOKUP($D44,'Adient Taizhou (China) WK.16'!$B:AU,AY$1,0),0)</f>
        <v>0</v>
      </c>
      <c r="BA44" s="41">
        <v>0</v>
      </c>
      <c r="BB44" s="32">
        <v>0</v>
      </c>
      <c r="BC44" s="106">
        <f t="shared" si="241"/>
        <v>100</v>
      </c>
      <c r="BE44" s="37">
        <f t="shared" si="434"/>
        <v>100</v>
      </c>
      <c r="BF44" s="125">
        <f>IFERROR(VLOOKUP($D44,'Adient Assende (Belgium) WK.17'!$B:AX,BG$1,0),0)</f>
        <v>0</v>
      </c>
      <c r="BG44" s="55">
        <f>IFERROR(VLOOKUP($D44,'Adient Arendal (Malzia) WK.12'!$B:AZ,BG$1,0),0)</f>
        <v>0</v>
      </c>
      <c r="BH44" s="55">
        <f>IFERROR(VLOOKUP($D44,'Adient Taizhou (China) WK.16'!$B:BB,BG$1,0),0)</f>
        <v>0</v>
      </c>
      <c r="BI44" s="60">
        <v>0</v>
      </c>
      <c r="BJ44" s="60">
        <v>0</v>
      </c>
      <c r="BK44" s="41">
        <v>0</v>
      </c>
      <c r="BL44" s="32">
        <v>0</v>
      </c>
      <c r="BM44" s="106">
        <f t="shared" si="242"/>
        <v>100</v>
      </c>
      <c r="BN44" s="8"/>
      <c r="BO44" s="37">
        <f t="shared" si="435"/>
        <v>100</v>
      </c>
      <c r="BP44" s="125">
        <f>IFERROR(VLOOKUP($D44,'Adient Assende (Belgium) WK.17'!$B:BH,BQ$1,0),0)</f>
        <v>0</v>
      </c>
      <c r="BQ44" s="55">
        <f>IFERROR(VLOOKUP($D44,'Adient Arendal (Malzia) WK.12'!$B:BI,BQ$1,0),0)</f>
        <v>0</v>
      </c>
      <c r="BR44" s="55">
        <f>IFERROR(VLOOKUP($D44,'Adient Taizhou (China) WK.16'!$B:BL,BQ$1,0),0)</f>
        <v>0</v>
      </c>
      <c r="BS44" s="60">
        <v>0</v>
      </c>
      <c r="BT44" s="60">
        <v>0</v>
      </c>
      <c r="BU44" s="60">
        <v>0</v>
      </c>
      <c r="BV44" s="41">
        <v>0</v>
      </c>
      <c r="BW44" s="32">
        <v>0</v>
      </c>
      <c r="BX44" s="106">
        <f t="shared" si="243"/>
        <v>100</v>
      </c>
      <c r="BY44" s="8"/>
      <c r="BZ44" s="37">
        <f t="shared" si="436"/>
        <v>100</v>
      </c>
      <c r="CA44" s="125">
        <f>IFERROR(VLOOKUP($D44,'Adient Assende (Belgium) WK.17'!$B:BS,CB$1,0),0)</f>
        <v>0</v>
      </c>
      <c r="CB44" s="55">
        <f>IFERROR(VLOOKUP($D44,'Adient Arendal (Malzia) WK.12'!$B:BT,CB$1,0),0)</f>
        <v>0</v>
      </c>
      <c r="CC44" s="55">
        <f>IFERROR(VLOOKUP($D44,'Adient Taizhou (China) WK.16'!$B:BW,CB$1,0),0)</f>
        <v>0</v>
      </c>
      <c r="CD44" s="60">
        <v>0</v>
      </c>
      <c r="CE44" s="60">
        <v>0</v>
      </c>
      <c r="CF44" s="41">
        <v>100</v>
      </c>
      <c r="CG44" s="32">
        <v>0</v>
      </c>
      <c r="CH44" s="106">
        <f t="shared" si="244"/>
        <v>0</v>
      </c>
      <c r="CI44" s="8"/>
      <c r="CJ44" s="37">
        <f t="shared" si="437"/>
        <v>0</v>
      </c>
      <c r="CK44" s="125">
        <f>IFERROR(VLOOKUP($D44,'Adient Assende (Belgium) WK.17'!$B:CC,CL$1,0),0)</f>
        <v>100</v>
      </c>
      <c r="CL44" s="55">
        <f>IFERROR(VLOOKUP($D44,'Adient Arendal (Malzia) WK.12'!$B:CD,CL$1,0),0)</f>
        <v>0</v>
      </c>
      <c r="CM44" s="55">
        <f>IFERROR(VLOOKUP($D44,'Adient Taizhou (China) WK.16'!$B:CG,CL$1,0),0)</f>
        <v>0</v>
      </c>
      <c r="CN44" s="60">
        <v>100</v>
      </c>
      <c r="CO44" s="149">
        <v>0</v>
      </c>
      <c r="CP44" s="32">
        <v>0</v>
      </c>
      <c r="CQ44" s="106">
        <f t="shared" si="245"/>
        <v>100</v>
      </c>
      <c r="CR44" s="8"/>
      <c r="CS44" s="122">
        <f t="shared" si="438"/>
        <v>100</v>
      </c>
      <c r="CT44" s="154">
        <f>IFERROR(VLOOKUP($D44,'Adient Assende (Belgium) WK.17'!$B:CL,CU$1,0),0)</f>
        <v>0</v>
      </c>
      <c r="CU44" s="55">
        <f>IFERROR(VLOOKUP($D44,'Adient Arendal (Malzia) WK.12'!$B:CM,CU$1,0),0)</f>
        <v>0</v>
      </c>
      <c r="CV44" s="55">
        <f>IFERROR(VLOOKUP($D44,'Adient Taizhou (China) WK.16'!$B:CP,CU$1,0),0)</f>
        <v>0</v>
      </c>
      <c r="CW44" s="60">
        <v>0</v>
      </c>
      <c r="CX44" s="60">
        <v>0</v>
      </c>
      <c r="CY44" s="128">
        <v>0</v>
      </c>
      <c r="CZ44" s="32">
        <v>0</v>
      </c>
      <c r="DA44" s="106">
        <f t="shared" si="246"/>
        <v>100</v>
      </c>
      <c r="DB44" s="8"/>
      <c r="DC44" s="37">
        <f t="shared" si="439"/>
        <v>100</v>
      </c>
      <c r="DD44" s="125">
        <f>IFERROR(VLOOKUP($D44,'Adient Assende (Belgium) WK.17'!$B:CS,DE$1,0),0)</f>
        <v>0</v>
      </c>
      <c r="DE44" s="55">
        <f>IFERROR(VLOOKUP($D44,'Adient Arendal (Malzia) WK.12'!$B:CU,DE$1,0),0)</f>
        <v>0</v>
      </c>
      <c r="DF44" s="55">
        <f>IFERROR(VLOOKUP($D44,'Adient Taizhou (China) WK.16'!$B:CX,DE$1,0),0)</f>
        <v>0</v>
      </c>
      <c r="DG44" s="60">
        <v>0</v>
      </c>
      <c r="DH44" s="128">
        <v>0</v>
      </c>
      <c r="DI44" s="32">
        <v>0</v>
      </c>
      <c r="DJ44" s="106">
        <f t="shared" si="247"/>
        <v>100</v>
      </c>
      <c r="DL44" s="37">
        <f t="shared" si="440"/>
        <v>100</v>
      </c>
      <c r="DM44" s="125">
        <f>IFERROR(VLOOKUP($D44,'Adient Assende (Belgium) WK.17'!$B:DB,DN$1,0),0)</f>
        <v>0</v>
      </c>
      <c r="DN44" s="55">
        <f>IFERROR(VLOOKUP($D44,'Adient Arendal (Malzia) WK.12'!$B:DC,DN$1,0),0)</f>
        <v>0</v>
      </c>
      <c r="DO44" s="55">
        <f>IFERROR(VLOOKUP($D44,'Adient Taizhou (China) WK.16'!$B:DF,DN$1,0),0)</f>
        <v>0</v>
      </c>
      <c r="DP44" s="128">
        <v>0</v>
      </c>
      <c r="DQ44" s="32">
        <v>0</v>
      </c>
      <c r="DR44" s="106">
        <f t="shared" si="441"/>
        <v>100</v>
      </c>
      <c r="DS44" s="8"/>
      <c r="DT44" s="37">
        <f t="shared" si="442"/>
        <v>100</v>
      </c>
      <c r="DU44" s="125">
        <f>IFERROR(VLOOKUP($D44,'Adient Assende (Belgium) WK.17'!$B:DJ,DV$1,0),0)</f>
        <v>0</v>
      </c>
      <c r="DV44" s="55">
        <f>IFERROR(VLOOKUP($D44,'Adient Arendal (Malzia) WK.12'!$B:DK,DV$1,0),0)</f>
        <v>0</v>
      </c>
      <c r="DW44" s="55">
        <f>IFERROR(VLOOKUP($D44,'Adient Taizhou (China) WK.16'!$B:DN,DV$1,0),0)</f>
        <v>0</v>
      </c>
      <c r="DX44" s="60">
        <v>0</v>
      </c>
      <c r="DY44" s="60">
        <v>0</v>
      </c>
      <c r="DZ44" s="128">
        <v>0</v>
      </c>
      <c r="EA44" s="32">
        <v>0</v>
      </c>
      <c r="EB44" s="106">
        <f t="shared" si="248"/>
        <v>100</v>
      </c>
      <c r="EC44" s="8"/>
      <c r="ED44" s="37">
        <f t="shared" si="443"/>
        <v>100</v>
      </c>
      <c r="EE44" s="125">
        <f>IFERROR(VLOOKUP($D44,'Adient Assende (Belgium) WK.17'!$B:DR,EF$1,0),0)</f>
        <v>0</v>
      </c>
      <c r="EF44" s="55">
        <f>IFERROR(VLOOKUP($D44,'Adient Arendal (Malzia) WK.12'!$B:DS,EF$1,0),0)</f>
        <v>0</v>
      </c>
      <c r="EG44" s="55">
        <f>IFERROR(VLOOKUP($D44,'Adient Taizhou (China) WK.16'!$B:DV,EF$1,0),0)</f>
        <v>0</v>
      </c>
      <c r="EH44" s="60">
        <v>100</v>
      </c>
      <c r="EI44" s="128">
        <v>0</v>
      </c>
      <c r="EJ44" s="32">
        <v>0</v>
      </c>
      <c r="EK44" s="106">
        <f t="shared" si="249"/>
        <v>200</v>
      </c>
      <c r="EM44" s="37">
        <f t="shared" si="444"/>
        <v>200</v>
      </c>
      <c r="EN44" s="125">
        <f>IFERROR(VLOOKUP($D44,'Adient Assende (Belgium) WK.17'!$B:DZ,EO$1,0),0)</f>
        <v>0</v>
      </c>
      <c r="EO44" s="55">
        <f>IFERROR(VLOOKUP($D44,'Adient Arendal (Malzia) WK.12'!$B:EA,EO$1,0),0)</f>
        <v>0</v>
      </c>
      <c r="EP44" s="55">
        <f>IFERROR(VLOOKUP($D44,'Adient Taizhou (China) WK.16'!$B:ED,EO$1,0),0)</f>
        <v>0</v>
      </c>
      <c r="EQ44" s="128">
        <v>0</v>
      </c>
      <c r="ER44" s="32">
        <v>0</v>
      </c>
      <c r="ES44" s="106">
        <f t="shared" si="250"/>
        <v>200</v>
      </c>
      <c r="EU44" s="37">
        <f t="shared" si="445"/>
        <v>200</v>
      </c>
      <c r="EV44" s="125">
        <f>IFERROR(VLOOKUP($D44,'Adient Assende (Belgium) WK.17'!$B:EH,EW$1,0),0)</f>
        <v>0</v>
      </c>
      <c r="EW44" s="55">
        <f>IFERROR(VLOOKUP($D44,'Adient Arendal (Malzia) WK.12'!$B:EI,EW$1,0),0)</f>
        <v>0</v>
      </c>
      <c r="EX44" s="55">
        <f>IFERROR(VLOOKUP($D44,'Adient Taizhou (China) WK.16'!$B:EL,EW$1,0),0)</f>
        <v>0</v>
      </c>
      <c r="EY44" s="128">
        <v>0</v>
      </c>
      <c r="EZ44" s="32">
        <v>0</v>
      </c>
      <c r="FA44" s="106">
        <f t="shared" si="251"/>
        <v>200</v>
      </c>
      <c r="FC44" s="37">
        <f t="shared" si="446"/>
        <v>200</v>
      </c>
      <c r="FD44" s="154">
        <f>IFERROR(VLOOKUP($D44,'Adient Assende (Belgium) WK.17'!$B:EP,FE$1,0),0)</f>
        <v>0</v>
      </c>
      <c r="FE44" s="154">
        <f>IFERROR(VLOOKUP($D44,'Adient Arendal (Malzia) WK.12'!$B:EQ,FE$1,0),0)</f>
        <v>0</v>
      </c>
      <c r="FF44" s="154">
        <f>IFERROR(VLOOKUP($D44,'Adient Taizhou (China) WK.16'!$B:ET,FE$1,0),0)</f>
        <v>0</v>
      </c>
      <c r="FG44" s="128">
        <v>0</v>
      </c>
      <c r="FH44" s="32">
        <v>0</v>
      </c>
      <c r="FI44" s="106">
        <f t="shared" si="252"/>
        <v>200</v>
      </c>
      <c r="FK44" s="37">
        <f t="shared" si="447"/>
        <v>200</v>
      </c>
      <c r="FL44" s="125">
        <f>IFERROR(VLOOKUP($D44,'Adient Assende (Belgium) WK.17'!$B:EX,FM$1,0),0)</f>
        <v>0</v>
      </c>
      <c r="FM44" s="55">
        <f>IFERROR(VLOOKUP($D44,'Adient Arendal (Malzia) WK.12'!$B:EY,FM$1,0),0)</f>
        <v>0</v>
      </c>
      <c r="FN44" s="55">
        <f>IFERROR(VLOOKUP($D44,'Adient Taizhou (China) WK.16'!$B:FB,FM$1,0),0)</f>
        <v>0</v>
      </c>
      <c r="FO44" s="128">
        <v>0</v>
      </c>
      <c r="FP44" s="32">
        <v>0</v>
      </c>
      <c r="FQ44" s="106">
        <f t="shared" si="253"/>
        <v>200</v>
      </c>
      <c r="FR44" s="8"/>
      <c r="FS44" s="37">
        <f t="shared" si="448"/>
        <v>200</v>
      </c>
      <c r="FT44" s="125">
        <f>IFERROR(VLOOKUP($D44,'Adient Assende (Belgium) WK.17'!$B:FF,FU$1,0),0)</f>
        <v>0</v>
      </c>
      <c r="FU44" s="55">
        <f>IFERROR(VLOOKUP($D44,'Adient Arendal (Malzia) WK.12'!$B:FG,FU$1,0),0)</f>
        <v>0</v>
      </c>
      <c r="FV44" s="55">
        <f>IFERROR(VLOOKUP($D44,'Adient Taizhou (China) WK.16'!$B:FJ,FU$1,0),0)</f>
        <v>0</v>
      </c>
      <c r="FW44" s="60">
        <v>0</v>
      </c>
      <c r="FX44" s="60">
        <v>0</v>
      </c>
      <c r="FY44" s="60">
        <v>0</v>
      </c>
      <c r="FZ44" s="60">
        <v>0</v>
      </c>
      <c r="GA44" s="60">
        <v>250</v>
      </c>
      <c r="GB44" s="128">
        <v>0</v>
      </c>
      <c r="GC44" s="32">
        <v>0</v>
      </c>
      <c r="GD44" s="106">
        <f t="shared" si="254"/>
        <v>450</v>
      </c>
      <c r="GF44" s="37">
        <f t="shared" si="449"/>
        <v>450</v>
      </c>
      <c r="GG44" s="125">
        <f>IFERROR(VLOOKUP($D44,'Adient Assende (Belgium) WK.17'!$B:FN,GH$1,0),0)</f>
        <v>0</v>
      </c>
      <c r="GH44" s="55">
        <f>IFERROR(VLOOKUP($D44,'Adient Arendal (Malzia) WK.12'!$B:FO,GH$1,0),0)</f>
        <v>0</v>
      </c>
      <c r="GI44" s="55">
        <f>IFERROR(VLOOKUP($D44,'Adient Taizhou (China) WK.16'!$B:FR,GH$1,0),0)</f>
        <v>0</v>
      </c>
      <c r="GJ44" s="60">
        <v>0</v>
      </c>
      <c r="GK44" s="128">
        <v>0</v>
      </c>
      <c r="GL44" s="32">
        <v>0</v>
      </c>
      <c r="GM44" s="106">
        <f t="shared" si="255"/>
        <v>450</v>
      </c>
      <c r="GO44" s="37">
        <f t="shared" si="450"/>
        <v>450</v>
      </c>
      <c r="GP44" s="125">
        <f>IFERROR(VLOOKUP($D44,'Adient Assende (Belgium) WK.17'!$B:FV,GQ$1,0),0)</f>
        <v>0</v>
      </c>
      <c r="GQ44" s="55">
        <f>IFERROR(VLOOKUP($D44,'Adient Arendal (Malzia) WK.12'!$B:FW,GQ$1,0),0)</f>
        <v>0</v>
      </c>
      <c r="GR44" s="55">
        <f>IFERROR(VLOOKUP($D44,'Adient Taizhou (China) WK.16'!$B:FZ,GQ$1,0),0)</f>
        <v>0</v>
      </c>
      <c r="GS44" s="60">
        <v>0</v>
      </c>
      <c r="GT44" s="128">
        <v>0</v>
      </c>
      <c r="GU44" s="32">
        <v>0</v>
      </c>
      <c r="GV44" s="106">
        <f t="shared" si="256"/>
        <v>450</v>
      </c>
      <c r="GW44" s="8"/>
      <c r="GX44" s="37">
        <f t="shared" si="451"/>
        <v>450</v>
      </c>
      <c r="GY44" s="125">
        <f>IFERROR(VLOOKUP($D44,'Adient Assende (Belgium) WK.17'!$B:GD,GZ$1,0),0)</f>
        <v>0</v>
      </c>
      <c r="GZ44" s="55">
        <f>IFERROR(VLOOKUP($D44,'Adient Arendal (Malzia) WK.12'!$B:GE,GZ$1,0),0)</f>
        <v>0</v>
      </c>
      <c r="HA44" s="55">
        <f>IFERROR(VLOOKUP($D44,'Adient Taizhou (China) WK.16'!$B:GH,GZ$1,0),0)</f>
        <v>0</v>
      </c>
      <c r="HB44" s="60">
        <v>0</v>
      </c>
      <c r="HC44" s="128">
        <v>0</v>
      </c>
      <c r="HD44" s="32">
        <v>0</v>
      </c>
      <c r="HE44" s="106">
        <f t="shared" si="257"/>
        <v>450</v>
      </c>
      <c r="HF44" s="8"/>
      <c r="HG44" s="37">
        <f t="shared" si="452"/>
        <v>450</v>
      </c>
      <c r="HH44" s="125">
        <f>IFERROR(VLOOKUP($D44,'Adient Assende (Belgium) WK.17'!$B:GL,HI$1,0),0)</f>
        <v>0</v>
      </c>
      <c r="HI44" s="55">
        <f>IFERROR(VLOOKUP($D44,'Adient Arendal (Malzia) WK.12'!$B:GM,HI$1,0),0)</f>
        <v>0</v>
      </c>
      <c r="HJ44" s="55">
        <f>IFERROR(VLOOKUP($D44,'Adient Taizhou (China) WK.16'!$B:GP,HI$1,0),0)</f>
        <v>0</v>
      </c>
      <c r="HK44" s="60">
        <v>0</v>
      </c>
      <c r="HL44" s="128">
        <v>100</v>
      </c>
      <c r="HM44" s="32">
        <v>0</v>
      </c>
      <c r="HN44" s="106">
        <f t="shared" si="258"/>
        <v>350</v>
      </c>
      <c r="HO44" s="8"/>
      <c r="HP44" s="37">
        <f t="shared" si="453"/>
        <v>350</v>
      </c>
      <c r="HQ44" s="125">
        <f>IFERROR(VLOOKUP($D44,'Adient Assende (Belgium) WK.17'!$B:GT,HR$1,0),0)</f>
        <v>100</v>
      </c>
      <c r="HR44" s="55">
        <f>IFERROR(VLOOKUP($D44,'Adient Arendal (Malzia) WK.12'!$B:GU,HR$1,0),0)</f>
        <v>0</v>
      </c>
      <c r="HS44" s="55">
        <f>IFERROR(VLOOKUP($D44,'Adient Taizhou (China) WK.16'!$B:GX,HR$1,0),0)</f>
        <v>0</v>
      </c>
      <c r="HT44" s="60">
        <v>0</v>
      </c>
      <c r="HU44" s="128">
        <v>0</v>
      </c>
      <c r="HV44" s="32">
        <v>0</v>
      </c>
      <c r="HW44" s="106">
        <f t="shared" si="259"/>
        <v>350</v>
      </c>
      <c r="HX44" s="8"/>
      <c r="HY44" s="37">
        <f t="shared" si="454"/>
        <v>350</v>
      </c>
      <c r="HZ44" s="125">
        <f>IFERROR(VLOOKUP($D44,'Adient Assende (Belgium) WK.17'!$B:HB,IA$1,0),0)</f>
        <v>0</v>
      </c>
      <c r="IA44" s="55">
        <f>IFERROR(VLOOKUP($D44,'Adient Arendal (Malzia) WK.12'!$B:HC,IA$1,0),0)</f>
        <v>0</v>
      </c>
      <c r="IB44" s="55">
        <f>IFERROR(VLOOKUP($D44,'Adient Taizhou (China) WK.16'!$B:HF,IA$1,0),0)</f>
        <v>0</v>
      </c>
      <c r="IC44" s="60">
        <v>0</v>
      </c>
      <c r="ID44" s="128">
        <v>0</v>
      </c>
      <c r="IE44" s="32">
        <v>0</v>
      </c>
      <c r="IF44" s="106">
        <f t="shared" si="260"/>
        <v>350</v>
      </c>
      <c r="IG44" s="8"/>
      <c r="IH44" s="37">
        <f t="shared" si="455"/>
        <v>350</v>
      </c>
      <c r="II44" s="125">
        <f>IFERROR(VLOOKUP($D44,'Adient Assende (Belgium) WK.17'!$B:HJ,IJ$1,0),0)</f>
        <v>0</v>
      </c>
      <c r="IJ44" s="55">
        <f>IFERROR(VLOOKUP($D44,'Adient Arendal (Malzia) WK.12'!$B:HK,IJ$1,0),0)</f>
        <v>0</v>
      </c>
      <c r="IK44" s="55">
        <f>IFERROR(VLOOKUP($D44,'Adient Taizhou (China) WK.16'!$B:HN,IJ$1,0),0)</f>
        <v>0</v>
      </c>
      <c r="IL44" s="128">
        <v>0</v>
      </c>
      <c r="IM44" s="32">
        <v>0</v>
      </c>
      <c r="IN44" s="106">
        <f t="shared" si="456"/>
        <v>350</v>
      </c>
      <c r="IO44" s="8"/>
      <c r="IP44" s="37">
        <f t="shared" si="457"/>
        <v>350</v>
      </c>
      <c r="IQ44" s="125">
        <f>IFERROR(VLOOKUP($D44,'Adient Assende (Belgium) WK.17'!$B:HR,IR$1,0),0)</f>
        <v>0</v>
      </c>
      <c r="IR44" s="55">
        <f>IFERROR(VLOOKUP($D44,'Adient Arendal (Malzia) WK.12'!$B:HS,IR$1,0),0)</f>
        <v>0</v>
      </c>
      <c r="IS44" s="55">
        <f>IFERROR(VLOOKUP($D44,'Adient Taizhou (China) WK.16'!$B:HV,IR$1,0),0)</f>
        <v>0</v>
      </c>
      <c r="IT44" s="60">
        <v>0</v>
      </c>
      <c r="IU44" s="128">
        <v>0</v>
      </c>
      <c r="IV44" s="32">
        <v>0</v>
      </c>
      <c r="IW44" s="106">
        <f t="shared" si="261"/>
        <v>350</v>
      </c>
      <c r="IX44" s="8"/>
      <c r="IY44" s="37">
        <f t="shared" si="458"/>
        <v>350</v>
      </c>
      <c r="IZ44" s="125">
        <f>IFERROR(VLOOKUP($D44,'Adient Assende (Belgium) WK.17'!$B:HZ,JA$1,0),0)</f>
        <v>0</v>
      </c>
      <c r="JA44" s="55">
        <f>IFERROR(VLOOKUP($D44,'Adient Arendal (Malzia) WK.12'!$B:IA,JA$1,0),0)</f>
        <v>0</v>
      </c>
      <c r="JB44" s="55">
        <f>IFERROR(VLOOKUP($D44,'Adient Taizhou (China) WK.16'!$B:ID,JA$1,0),0)</f>
        <v>0</v>
      </c>
      <c r="JC44" s="128">
        <v>0</v>
      </c>
      <c r="JD44" s="32">
        <v>0</v>
      </c>
      <c r="JE44" s="106">
        <f t="shared" si="459"/>
        <v>350</v>
      </c>
      <c r="JF44" s="8"/>
      <c r="JG44" s="37">
        <f t="shared" si="460"/>
        <v>350</v>
      </c>
      <c r="JH44" s="125">
        <f>IFERROR(VLOOKUP($D44,'Adient Assende (Belgium) WK.17'!$B:IH,JI$1,0),0)</f>
        <v>0</v>
      </c>
      <c r="JI44" s="55">
        <f>IFERROR(VLOOKUP($D44,'Adient Arendal (Malzia) WK.12'!$B:II,JI$1,0),0)</f>
        <v>0</v>
      </c>
      <c r="JJ44" s="55">
        <f>IFERROR(VLOOKUP($D44,'Adient Taizhou (China) WK.16'!$B:IL,JI$1,0),0)</f>
        <v>0</v>
      </c>
      <c r="JK44" s="60">
        <v>175</v>
      </c>
      <c r="JL44" s="128">
        <v>0</v>
      </c>
      <c r="JM44" s="32">
        <v>0</v>
      </c>
      <c r="JN44" s="106">
        <f t="shared" si="262"/>
        <v>525</v>
      </c>
      <c r="JO44" s="8"/>
      <c r="JP44" s="37">
        <f t="shared" si="461"/>
        <v>525</v>
      </c>
      <c r="JQ44" s="125">
        <f>IFERROR(VLOOKUP($D44,'Adient Assende (Belgium) WK.17'!$B:IP,JR$1,0),0)</f>
        <v>0</v>
      </c>
      <c r="JR44" s="55">
        <f>IFERROR(VLOOKUP($D44,'Adient Arendal (Malzia) WK.12'!$B:IQ,JR$1,0),0)</f>
        <v>0</v>
      </c>
      <c r="JS44" s="55">
        <f>IFERROR(VLOOKUP($D44,'Adient Taizhou (China) WK.16'!$B:IT,JR$1,0),0)</f>
        <v>0</v>
      </c>
      <c r="JT44" s="128">
        <v>0</v>
      </c>
      <c r="JU44" s="32">
        <v>0</v>
      </c>
      <c r="JV44" s="106">
        <f t="shared" si="462"/>
        <v>525</v>
      </c>
      <c r="JW44" s="8"/>
      <c r="JX44" s="37">
        <f t="shared" si="463"/>
        <v>525</v>
      </c>
      <c r="JY44" s="154">
        <f>IFERROR(VLOOKUP($D44,'Adient Assende (Belgium) WK.17'!$B:IX,JZ$1,0),0)</f>
        <v>0</v>
      </c>
      <c r="JZ44" s="55">
        <f>IFERROR(VLOOKUP($D44,'Adient Arendal (Malzia) WK.12'!$B:IY,JZ$1,0),0)</f>
        <v>0</v>
      </c>
      <c r="KA44" s="55">
        <f>IFERROR(VLOOKUP($D44,'Adient Taizhou (China) WK.16'!$B:JB,JZ$1,0),0)</f>
        <v>0</v>
      </c>
      <c r="KB44" s="128">
        <v>0</v>
      </c>
      <c r="KC44" s="32">
        <v>0</v>
      </c>
      <c r="KD44" s="106">
        <f t="shared" si="263"/>
        <v>525</v>
      </c>
      <c r="KE44" s="8"/>
      <c r="KF44" s="37">
        <f t="shared" si="464"/>
        <v>525</v>
      </c>
      <c r="KG44" s="125">
        <f>IFERROR(VLOOKUP($D44,'Adient Assende (Belgium) WK.17'!$B:JF,KH$1,0),0)</f>
        <v>0</v>
      </c>
      <c r="KH44" s="55">
        <f>IFERROR(VLOOKUP($D44,'Adient Arendal (Malzia) WK.12'!$B:JG,KH$1,0),0)</f>
        <v>0</v>
      </c>
      <c r="KI44" s="55">
        <f>IFERROR(VLOOKUP($D44,'Adient Taizhou (China) WK.16'!$B:JJ,KH$1,0),0)</f>
        <v>0</v>
      </c>
      <c r="KJ44" s="60">
        <v>0</v>
      </c>
      <c r="KK44" s="128">
        <v>0</v>
      </c>
      <c r="KL44" s="32">
        <v>0</v>
      </c>
      <c r="KM44" s="106">
        <f t="shared" si="264"/>
        <v>525</v>
      </c>
      <c r="KN44" s="8"/>
      <c r="KO44" s="37">
        <f t="shared" si="465"/>
        <v>525</v>
      </c>
      <c r="KP44" s="141">
        <f>IFERROR(VLOOKUP($D44,'Adient Assende (Belgium) WK.17'!$B:JN,KQ$1,0),0)</f>
        <v>0</v>
      </c>
      <c r="KQ44" s="140">
        <f>IFERROR(VLOOKUP($D44,'Adient Arendal (Malzia) WK.12'!$B:JO,KQ$1,0),0)</f>
        <v>0</v>
      </c>
      <c r="KR44" s="140">
        <f>IFERROR(VLOOKUP($D44,'Adient Taizhou (China) WK.16'!$B:JR,KQ$1,0),0)</f>
        <v>0</v>
      </c>
      <c r="KS44" s="60">
        <v>0</v>
      </c>
      <c r="KT44" s="128">
        <v>0</v>
      </c>
      <c r="KU44" s="32">
        <v>0</v>
      </c>
      <c r="KV44" s="106">
        <f t="shared" si="265"/>
        <v>525</v>
      </c>
      <c r="KX44" s="37">
        <f t="shared" si="466"/>
        <v>525</v>
      </c>
      <c r="KY44" s="141">
        <f>IFERROR(VLOOKUP($D44,'Adient Assende (Belgium) WK.17'!$B:JV,KZ$1,0),0)</f>
        <v>0</v>
      </c>
      <c r="KZ44" s="140">
        <f>IFERROR(VLOOKUP($D44,'Adient Arendal (Malzia) WK.12'!$B:JW,KZ$1,0),0)</f>
        <v>0</v>
      </c>
      <c r="LA44" s="140">
        <f>IFERROR(VLOOKUP($D44,'Adient Taizhou (China) WK.16'!$B:JZ,KZ$1,0),0)</f>
        <v>0</v>
      </c>
      <c r="LB44" s="128">
        <v>0</v>
      </c>
      <c r="LC44" s="32">
        <v>0</v>
      </c>
      <c r="LD44" s="106">
        <f t="shared" si="467"/>
        <v>525</v>
      </c>
      <c r="LF44" s="37">
        <f t="shared" si="468"/>
        <v>525</v>
      </c>
      <c r="LG44" s="141">
        <f>IFERROR(VLOOKUP($D44,'Adient Assende (Belgium) WK.17'!$B:KD,LH$1,0),0)</f>
        <v>0</v>
      </c>
      <c r="LH44" s="140">
        <f>IFERROR(VLOOKUP($D44,'Adient Arendal (Malzia) WK.12'!$B:KE,LH$1,0),0)</f>
        <v>0</v>
      </c>
      <c r="LI44" s="140">
        <f>IFERROR(VLOOKUP($D44,'Adient Taizhou (China) WK.16'!$B:KH,LH$1,0),0)</f>
        <v>0</v>
      </c>
      <c r="LJ44" s="60">
        <v>0</v>
      </c>
      <c r="LK44" s="128">
        <v>0</v>
      </c>
      <c r="LL44" s="32">
        <v>0</v>
      </c>
      <c r="LM44" s="100">
        <f t="shared" si="267"/>
        <v>525</v>
      </c>
      <c r="LO44" s="37">
        <f t="shared" si="469"/>
        <v>525</v>
      </c>
      <c r="LP44" s="141">
        <f>IFERROR(VLOOKUP($D44,'Adient Assende (Belgium) WK.17'!$B:KL,LQ$1,0),0)</f>
        <v>0</v>
      </c>
      <c r="LQ44" s="140">
        <f>IFERROR(VLOOKUP($D44,'Adient Arendal (Malzia) WK.12'!$B:KM,LQ$1,0),0)</f>
        <v>0</v>
      </c>
      <c r="LR44" s="140">
        <f>IFERROR(VLOOKUP($D44,'Adient Taizhou (China) WK.16'!$B:KP,LQ$1,0),0)</f>
        <v>0</v>
      </c>
      <c r="LS44" s="128">
        <v>0</v>
      </c>
      <c r="LT44" s="32">
        <v>0</v>
      </c>
      <c r="LU44" s="100">
        <f t="shared" si="470"/>
        <v>525</v>
      </c>
      <c r="LW44" s="37">
        <f t="shared" si="471"/>
        <v>525</v>
      </c>
      <c r="LX44" s="141">
        <f>IFERROR(VLOOKUP($D44,'Adient Assende (Belgium) WK.17'!$B:KT,LY$1,0),0)</f>
        <v>0</v>
      </c>
      <c r="LY44" s="140">
        <f>IFERROR(VLOOKUP($D44,'Adient Arendal (Malzia) WK.12'!$B:KU,LY$1,0),0)</f>
        <v>0</v>
      </c>
      <c r="LZ44" s="140">
        <f>IFERROR(VLOOKUP($D44,'Adient Taizhou (China) WK.16'!$B:KX,LY$1,0),0)</f>
        <v>0</v>
      </c>
      <c r="MA44" s="128">
        <v>0</v>
      </c>
      <c r="MB44" s="32">
        <v>0</v>
      </c>
      <c r="MC44" s="100">
        <f t="shared" si="472"/>
        <v>525</v>
      </c>
      <c r="ME44" s="37">
        <f t="shared" si="473"/>
        <v>525</v>
      </c>
      <c r="MF44" s="154">
        <f>IFERROR(VLOOKUP($D44,'Adient Assende (Belgium) WK.17'!$B:LB,MG$1,0),0)</f>
        <v>0</v>
      </c>
      <c r="MG44" s="140">
        <f>IFERROR(VLOOKUP($D44,'Adient Arendal (Malzia) WK.12'!$B:LC,MG$1,0),0)</f>
        <v>0</v>
      </c>
      <c r="MH44" s="140">
        <f>IFERROR(VLOOKUP($D44,'Adient Taizhou (China) WK.16'!$B:LF,MG$1,0),0)</f>
        <v>0</v>
      </c>
      <c r="MI44" s="128">
        <v>0</v>
      </c>
      <c r="MJ44" s="32">
        <v>0</v>
      </c>
      <c r="MK44" s="100">
        <f t="shared" si="474"/>
        <v>525</v>
      </c>
      <c r="MM44" s="37">
        <f t="shared" si="475"/>
        <v>525</v>
      </c>
      <c r="MN44" s="141">
        <f>IFERROR(VLOOKUP($D44,'Adient Assende (Belgium) WK.17'!$B:LJ,MO$1,0),0)</f>
        <v>0</v>
      </c>
      <c r="MO44" s="140">
        <f>IFERROR(VLOOKUP($D44,'Adient Arendal (Malzia) WK.12'!$B:LK,MO$1,0),0)</f>
        <v>0</v>
      </c>
      <c r="MP44" s="140">
        <f>IFERROR(VLOOKUP($D44,'Adient Taizhou (China) WK.16'!$B:LN,MO$1,0),0)</f>
        <v>0</v>
      </c>
      <c r="MQ44" s="128">
        <v>0</v>
      </c>
      <c r="MR44" s="32">
        <v>0</v>
      </c>
      <c r="MS44" s="100">
        <f t="shared" si="476"/>
        <v>525</v>
      </c>
      <c r="MU44" s="37">
        <f t="shared" si="477"/>
        <v>525</v>
      </c>
      <c r="MV44" s="141">
        <f>IFERROR(VLOOKUP($D44,'Adient Assende (Belgium) WK.17'!$B:LR,MW$1,0),0)</f>
        <v>0</v>
      </c>
      <c r="MW44" s="140">
        <f>IFERROR(VLOOKUP($D44,'Adient Arendal (Malzia) WK.12'!$B:LS,MW$1,0),0)</f>
        <v>0</v>
      </c>
      <c r="MX44" s="140">
        <f>IFERROR(VLOOKUP($D44,'Adient Taizhou (China) WK.16'!$B:LV,MW$1,0),0)</f>
        <v>0</v>
      </c>
      <c r="MY44" s="128">
        <v>0</v>
      </c>
      <c r="MZ44" s="32">
        <v>0</v>
      </c>
      <c r="NA44" s="100">
        <f t="shared" si="478"/>
        <v>525</v>
      </c>
      <c r="NC44" s="37">
        <f t="shared" si="479"/>
        <v>525</v>
      </c>
      <c r="ND44" s="141">
        <f>IFERROR(VLOOKUP($D44,'Adient Assende (Belgium) WK.17'!$B:LZ,NE$1,0),0)</f>
        <v>0</v>
      </c>
      <c r="NE44" s="140">
        <f>IFERROR(VLOOKUP($D44,'Adient Arendal (Malzia) WK.12'!$B:MA,NE$1,0),0)</f>
        <v>0</v>
      </c>
      <c r="NF44" s="140">
        <f>IFERROR(VLOOKUP($D44,'Adient Taizhou (China) WK.16'!$B:MD,NE$1,0),0)</f>
        <v>0</v>
      </c>
      <c r="NG44" s="128">
        <v>0</v>
      </c>
      <c r="NH44" s="32">
        <v>0</v>
      </c>
      <c r="NI44" s="100">
        <f t="shared" si="480"/>
        <v>525</v>
      </c>
      <c r="NK44" s="37">
        <f t="shared" si="481"/>
        <v>525</v>
      </c>
      <c r="NL44" s="141">
        <f>IFERROR(VLOOKUP($D44,'Adient Assende (Belgium) WK.17'!$B:MH,NM$1,0),0)</f>
        <v>100</v>
      </c>
      <c r="NM44" s="140">
        <f>IFERROR(VLOOKUP($D44,'Adient Arendal (Malzia) WK.12'!$B:MI,NM$1,0),0)</f>
        <v>0</v>
      </c>
      <c r="NN44" s="140">
        <f>IFERROR(VLOOKUP($D44,'Adient Taizhou (China) WK.16'!$B:ML,NM$1,0),0)</f>
        <v>0</v>
      </c>
      <c r="NO44" s="128">
        <v>0</v>
      </c>
      <c r="NP44" s="32">
        <v>0</v>
      </c>
      <c r="NQ44" s="100">
        <f t="shared" si="482"/>
        <v>425</v>
      </c>
      <c r="NS44" s="37">
        <f t="shared" si="483"/>
        <v>425</v>
      </c>
      <c r="NT44" s="141">
        <f>IFERROR(VLOOKUP($D44,'Adient Assende (Belgium) WK.17'!$B:MP,NU$1,0),0)</f>
        <v>0</v>
      </c>
      <c r="NU44" s="140">
        <f>IFERROR(VLOOKUP($D44,'Adient Arendal (Malzia) WK.12'!$B:MQ,NU$1,0),0)</f>
        <v>0</v>
      </c>
      <c r="NV44" s="140">
        <f>IFERROR(VLOOKUP($D44,'Adient Taizhou (China) WK.16'!$B:MT,NU$1,0),0)</f>
        <v>0</v>
      </c>
      <c r="NW44" s="128">
        <v>0</v>
      </c>
      <c r="NX44" s="32">
        <v>0</v>
      </c>
      <c r="NY44" s="100">
        <f t="shared" si="484"/>
        <v>425</v>
      </c>
      <c r="OA44" s="37">
        <f t="shared" si="485"/>
        <v>425</v>
      </c>
      <c r="OB44" s="141">
        <f>IFERROR(VLOOKUP($D44,'Adient Assende (Belgium) WK.17'!$B:MX,OC$1,0),0)</f>
        <v>0</v>
      </c>
      <c r="OC44" s="140">
        <f>IFERROR(VLOOKUP($D44,'Adient Arendal (Malzia) WK.12'!$B:MY,OC$1,0),0)</f>
        <v>0</v>
      </c>
      <c r="OD44" s="140">
        <f>IFERROR(VLOOKUP($D44,'Adient Taizhou (China) WK.16'!$B:NB,OC$1,0),0)</f>
        <v>0</v>
      </c>
      <c r="OE44" s="128">
        <v>0</v>
      </c>
      <c r="OF44" s="32">
        <v>0</v>
      </c>
      <c r="OG44" s="100">
        <f t="shared" si="486"/>
        <v>425</v>
      </c>
      <c r="OI44" s="37">
        <f t="shared" si="487"/>
        <v>425</v>
      </c>
      <c r="OJ44" s="141">
        <f>IFERROR(VLOOKUP($D44,'Adient Assende (Belgium) WK.17'!$B:NF,OK$1,0),0)</f>
        <v>0</v>
      </c>
      <c r="OK44" s="140">
        <f>IFERROR(VLOOKUP($D44,'Adient Arendal (Malzia) WK.12'!$B:NG,OK$1,0),0)</f>
        <v>0</v>
      </c>
      <c r="OL44" s="140">
        <f>IFERROR(VLOOKUP($D44,'Adient Taizhou (China) WK.16'!$B:NJ,OK$1,0),0)</f>
        <v>0</v>
      </c>
      <c r="OM44" s="128">
        <v>0</v>
      </c>
      <c r="ON44" s="32">
        <v>0</v>
      </c>
      <c r="OO44" s="100">
        <f t="shared" si="488"/>
        <v>425</v>
      </c>
      <c r="OQ44" s="37">
        <f t="shared" si="489"/>
        <v>425</v>
      </c>
      <c r="OR44" s="141">
        <f>IFERROR(VLOOKUP($D44,'Adient Assende (Belgium) WK.17'!$B:NN,OS$1,0),0)</f>
        <v>0</v>
      </c>
      <c r="OS44" s="140">
        <f>IFERROR(VLOOKUP($D44,'Adient Arendal (Malzia) WK.12'!$B:NO,OS$1,0),0)</f>
        <v>0</v>
      </c>
      <c r="OT44" s="140">
        <f>IFERROR(VLOOKUP($D44,'Adient Taizhou (China) WK.16'!$B:NR,OS$1,0),0)</f>
        <v>0</v>
      </c>
      <c r="OU44" s="128">
        <v>0</v>
      </c>
      <c r="OV44" s="32">
        <v>0</v>
      </c>
      <c r="OW44" s="100">
        <f t="shared" si="490"/>
        <v>425</v>
      </c>
      <c r="OY44" s="37">
        <f t="shared" si="491"/>
        <v>425</v>
      </c>
      <c r="OZ44" s="141">
        <f>IFERROR(VLOOKUP($D44,'Adient Assende (Belgium) WK.17'!$B:NV,PA$1,0),0)</f>
        <v>0</v>
      </c>
      <c r="PA44" s="140">
        <f>IFERROR(VLOOKUP($D44,'Adient Arendal (Malzia) WK.12'!$B:NW,PA$1,0),0)</f>
        <v>0</v>
      </c>
      <c r="PB44" s="140">
        <f>IFERROR(VLOOKUP($D44,'Adient Taizhou (China) WK.16'!$B:NZ,PA$1,0),0)</f>
        <v>0</v>
      </c>
      <c r="PC44" s="128">
        <v>0</v>
      </c>
      <c r="PD44" s="32">
        <v>0</v>
      </c>
      <c r="PE44" s="100">
        <f t="shared" si="492"/>
        <v>425</v>
      </c>
      <c r="PG44" s="37">
        <f t="shared" si="493"/>
        <v>425</v>
      </c>
      <c r="PH44" s="141">
        <f>IFERROR(VLOOKUP($D44,'Adient Assende (Belgium) WK.17'!$B:OD,PI$1,0),0)</f>
        <v>0</v>
      </c>
      <c r="PI44" s="140">
        <f>IFERROR(VLOOKUP($D44,'Adient Arendal (Malzia) WK.12'!$B:OE,PI$1,0),0)</f>
        <v>0</v>
      </c>
      <c r="PJ44" s="140">
        <f>IFERROR(VLOOKUP($D44,'Adient Taizhou (China) WK.16'!$B:OH,PI$1,0),0)</f>
        <v>0</v>
      </c>
      <c r="PK44" s="128">
        <v>0</v>
      </c>
      <c r="PL44" s="32">
        <v>0</v>
      </c>
      <c r="PM44" s="100">
        <f t="shared" si="494"/>
        <v>425</v>
      </c>
      <c r="PO44" s="37">
        <f t="shared" si="495"/>
        <v>425</v>
      </c>
      <c r="PP44" s="141">
        <f>IFERROR(VLOOKUP($D44,'Adient Assende (Belgium) WK.17'!$B:OL,PQ$1,0),0)</f>
        <v>0</v>
      </c>
      <c r="PQ44" s="140">
        <f>IFERROR(VLOOKUP($D44,'Adient Arendal (Malzia) WK.12'!$B:OM,PQ$1,0),0)</f>
        <v>0</v>
      </c>
      <c r="PR44" s="140">
        <f>IFERROR(VLOOKUP($D44,'Adient Taizhou (China) WK.16'!$B:OP,PQ$1,0),0)</f>
        <v>0</v>
      </c>
      <c r="PS44" s="128">
        <v>0</v>
      </c>
      <c r="PT44" s="32">
        <v>0</v>
      </c>
      <c r="PU44" s="100">
        <f t="shared" si="496"/>
        <v>425</v>
      </c>
      <c r="PW44" s="37">
        <f t="shared" si="497"/>
        <v>425</v>
      </c>
      <c r="PX44" s="141">
        <f>IFERROR(VLOOKUP($D44,'Adient Assende (Belgium) WK.17'!$B:OT,PY$1,0),0)</f>
        <v>0</v>
      </c>
      <c r="PY44" s="140">
        <f>IFERROR(VLOOKUP($D44,'Adient Arendal (Malzia) WK.12'!$B:OU,PY$1,0),0)</f>
        <v>0</v>
      </c>
      <c r="PZ44" s="140">
        <f>IFERROR(VLOOKUP($D44,'Adient Taizhou (China) WK.16'!$B:OX,PY$1,0),0)</f>
        <v>0</v>
      </c>
      <c r="QA44" s="128">
        <v>0</v>
      </c>
      <c r="QB44" s="32">
        <v>0</v>
      </c>
      <c r="QC44" s="100">
        <f t="shared" si="498"/>
        <v>425</v>
      </c>
      <c r="QE44" s="37">
        <f t="shared" si="499"/>
        <v>425</v>
      </c>
      <c r="QF44" s="141">
        <f>IFERROR(VLOOKUP($D44,'Adient Assende (Belgium) WK.17'!$B:PB,QG$1,0),0)</f>
        <v>0</v>
      </c>
      <c r="QG44" s="140">
        <f>IFERROR(VLOOKUP($D44,'Adient Arendal (Malzia) WK.12'!$B:PC,QG$1,0),0)</f>
        <v>0</v>
      </c>
      <c r="QH44" s="140">
        <f>IFERROR(VLOOKUP($D44,'Adient Taizhou (China) WK.16'!$B:PF,QG$1,0),0)</f>
        <v>0</v>
      </c>
      <c r="QI44" s="128">
        <v>0</v>
      </c>
      <c r="QJ44" s="32">
        <v>0</v>
      </c>
      <c r="QK44" s="100">
        <f t="shared" si="500"/>
        <v>425</v>
      </c>
      <c r="QM44" s="37">
        <f t="shared" si="501"/>
        <v>425</v>
      </c>
      <c r="QN44" s="141">
        <f>IFERROR(VLOOKUP($D44,'Adient Assende (Belgium) WK.17'!$B:PJ,QO$1,0),0)</f>
        <v>0</v>
      </c>
      <c r="QO44" s="140">
        <f>IFERROR(VLOOKUP($D44,'Adient Arendal (Malzia) WK.12'!$B:PK,QO$1,0),0)</f>
        <v>0</v>
      </c>
      <c r="QP44" s="140">
        <f>IFERROR(VLOOKUP($D44,'Adient Taizhou (China) WK.16'!$B:PN,QO$1,0),0)</f>
        <v>0</v>
      </c>
      <c r="QQ44" s="128">
        <v>0</v>
      </c>
      <c r="QR44" s="32">
        <v>0</v>
      </c>
      <c r="QS44" s="100">
        <f t="shared" si="502"/>
        <v>425</v>
      </c>
      <c r="QU44" s="37">
        <f t="shared" si="503"/>
        <v>425</v>
      </c>
      <c r="QV44" s="141">
        <f>IFERROR(VLOOKUP($D44,'Adient Assende (Belgium) WK.17'!$B:PR,QW$1,0),0)</f>
        <v>0</v>
      </c>
      <c r="QW44" s="140">
        <f>IFERROR(VLOOKUP($D44,'Adient Arendal (Malzia) WK.12'!$B:PS,QW$1,0),0)</f>
        <v>0</v>
      </c>
      <c r="QX44" s="140">
        <f>IFERROR(VLOOKUP($D44,'Adient Taizhou (China) WK.16'!$B:PV,QW$1,0),0)</f>
        <v>0</v>
      </c>
      <c r="QY44" s="128">
        <v>0</v>
      </c>
      <c r="QZ44" s="32">
        <v>0</v>
      </c>
      <c r="RA44" s="100">
        <f t="shared" si="504"/>
        <v>425</v>
      </c>
      <c r="RC44" s="37">
        <f t="shared" si="505"/>
        <v>425</v>
      </c>
      <c r="RD44" s="141">
        <f>IFERROR(VLOOKUP($D44,'Adient Assende (Belgium) WK.17'!$B:PZ,RE$1,0),0)</f>
        <v>0</v>
      </c>
      <c r="RE44" s="140">
        <f>IFERROR(VLOOKUP($D44,'Adient Arendal (Malzia) WK.12'!$B:QA,RE$1,0),0)</f>
        <v>0</v>
      </c>
      <c r="RF44" s="140">
        <f>IFERROR(VLOOKUP($D44,'Adient Taizhou (China) WK.16'!$B:QD,RE$1,0),0)</f>
        <v>0</v>
      </c>
      <c r="RG44" s="128">
        <v>0</v>
      </c>
      <c r="RH44" s="32">
        <v>0</v>
      </c>
      <c r="RI44" s="100">
        <f t="shared" si="506"/>
        <v>425</v>
      </c>
      <c r="RK44" s="37">
        <f t="shared" si="507"/>
        <v>425</v>
      </c>
      <c r="RL44" s="141">
        <f>IFERROR(VLOOKUP($D44,'Adient Assende (Belgium) WK.17'!$B:QH,RM$1,0),0)</f>
        <v>0</v>
      </c>
      <c r="RM44" s="140">
        <f>IFERROR(VLOOKUP($D44,'Adient Arendal (Malzia) WK.12'!$B:QI,RM$1,0),0)</f>
        <v>0</v>
      </c>
      <c r="RN44" s="140">
        <f>IFERROR(VLOOKUP($D44,'Adient Taizhou (China) WK.16'!$B:QL,RM$1,0),0)</f>
        <v>0</v>
      </c>
      <c r="RO44" s="128">
        <v>0</v>
      </c>
      <c r="RP44" s="32">
        <v>0</v>
      </c>
      <c r="RQ44" s="100">
        <f t="shared" si="508"/>
        <v>425</v>
      </c>
      <c r="RS44" s="37">
        <f t="shared" si="509"/>
        <v>425</v>
      </c>
      <c r="RT44" s="141">
        <f>IFERROR(VLOOKUP($D44,'Adient Assende (Belgium) WK.17'!$B:QP,RU$1,0),0)</f>
        <v>0</v>
      </c>
      <c r="RU44" s="140">
        <f>IFERROR(VLOOKUP($D44,'Adient Arendal (Malzia) WK.12'!$B:QQ,RU$1,0),0)</f>
        <v>0</v>
      </c>
      <c r="RV44" s="140">
        <f>IFERROR(VLOOKUP($D44,'Adient Taizhou (China) WK.16'!$B:QT,RU$1,0),0)</f>
        <v>0</v>
      </c>
      <c r="RW44" s="128">
        <v>0</v>
      </c>
      <c r="RX44" s="32">
        <v>0</v>
      </c>
      <c r="RY44" s="100">
        <f t="shared" si="510"/>
        <v>425</v>
      </c>
      <c r="SA44" s="37">
        <f t="shared" si="511"/>
        <v>425</v>
      </c>
      <c r="SB44" s="141">
        <f>IFERROR(VLOOKUP($D44,'Adient Assende (Belgium) WK.17'!$B:QX,SC$1,0),0)</f>
        <v>0</v>
      </c>
      <c r="SC44" s="140">
        <f>IFERROR(VLOOKUP($D44,'Adient Arendal (Malzia) WK.12'!$B:QY,SC$1,0),0)</f>
        <v>0</v>
      </c>
      <c r="SD44" s="140">
        <f>IFERROR(VLOOKUP($D44,'Adient Taizhou (China) WK.16'!$B:RB,SC$1,0),0)</f>
        <v>0</v>
      </c>
      <c r="SE44" s="128">
        <v>0</v>
      </c>
      <c r="SF44" s="32">
        <v>0</v>
      </c>
      <c r="SG44" s="100">
        <f t="shared" si="512"/>
        <v>425</v>
      </c>
      <c r="SI44" s="37">
        <f t="shared" si="513"/>
        <v>425</v>
      </c>
      <c r="SJ44" s="141">
        <f>IFERROR(VLOOKUP($D44,'Adient Assende (Belgium) WK.17'!$B:RF,SK$1,0),0)</f>
        <v>0</v>
      </c>
      <c r="SK44" s="140">
        <f>IFERROR(VLOOKUP($D44,'Adient Arendal (Malzia) WK.12'!$B:RG,SK$1,0),0)</f>
        <v>0</v>
      </c>
      <c r="SL44" s="140">
        <f>IFERROR(VLOOKUP($D44,'Adient Taizhou (China) WK.16'!$B:RJ,SK$1,0),0)</f>
        <v>0</v>
      </c>
      <c r="SM44" s="128">
        <v>0</v>
      </c>
      <c r="SN44" s="32">
        <v>0</v>
      </c>
      <c r="SO44" s="100">
        <f t="shared" si="514"/>
        <v>425</v>
      </c>
      <c r="SQ44" s="37">
        <f t="shared" si="515"/>
        <v>425</v>
      </c>
      <c r="SR44" s="141">
        <f>IFERROR(VLOOKUP($D44,'Adient Assende (Belgium) WK.17'!$B:RN,SS$1,0),0)</f>
        <v>0</v>
      </c>
      <c r="SS44" s="140">
        <f>IFERROR(VLOOKUP($D44,'Adient Arendal (Malzia) WK.12'!$B:RO,SS$1,0),0)</f>
        <v>0</v>
      </c>
      <c r="ST44" s="140">
        <f>IFERROR(VLOOKUP($D44,'Adient Taizhou (China) WK.16'!$B:RR,SS$1,0),0)</f>
        <v>0</v>
      </c>
      <c r="SU44" s="128">
        <v>0</v>
      </c>
      <c r="SV44" s="32">
        <v>0</v>
      </c>
      <c r="SW44" s="100">
        <f t="shared" si="516"/>
        <v>425</v>
      </c>
      <c r="SY44" s="37">
        <f t="shared" si="517"/>
        <v>425</v>
      </c>
      <c r="SZ44" s="141">
        <f>IFERROR(VLOOKUP($D44,'Adient Assende (Belgium) WK.17'!$B:RV,TA$1,0),0)</f>
        <v>0</v>
      </c>
      <c r="TA44" s="140">
        <f>IFERROR(VLOOKUP($D44,'Adient Arendal (Malzia) WK.12'!$B:RW,TA$1,0),0)</f>
        <v>0</v>
      </c>
      <c r="TB44" s="140">
        <f>IFERROR(VLOOKUP($D44,'Adient Taizhou (China) WK.16'!$B:RZ,TA$1,0),0)</f>
        <v>0</v>
      </c>
      <c r="TC44" s="128">
        <v>0</v>
      </c>
      <c r="TD44" s="32">
        <v>0</v>
      </c>
      <c r="TE44" s="100">
        <f t="shared" si="518"/>
        <v>425</v>
      </c>
      <c r="TG44" s="37">
        <f t="shared" si="519"/>
        <v>425</v>
      </c>
      <c r="TH44" s="141">
        <f>IFERROR(VLOOKUP($D44,'Adient Assende (Belgium) WK.17'!$B:SD,TI$1,0),0)</f>
        <v>0</v>
      </c>
      <c r="TI44" s="140">
        <f>IFERROR(VLOOKUP($D44,'Adient Arendal (Malzia) WK.12'!$B:SE,TI$1,0),0)</f>
        <v>0</v>
      </c>
      <c r="TJ44" s="140">
        <f>IFERROR(VLOOKUP($D44,'Adient Taizhou (China) WK.16'!$B:SH,TI$1,0),0)</f>
        <v>0</v>
      </c>
      <c r="TK44" s="128">
        <v>0</v>
      </c>
      <c r="TL44" s="32">
        <v>0</v>
      </c>
      <c r="TM44" s="100">
        <f t="shared" si="520"/>
        <v>425</v>
      </c>
      <c r="TO44" s="37">
        <f t="shared" si="521"/>
        <v>425</v>
      </c>
      <c r="TP44" s="141">
        <f>IFERROR(VLOOKUP($D44,'Adient Assende (Belgium) WK.17'!$B:SL,TQ$1,0),0)</f>
        <v>0</v>
      </c>
      <c r="TQ44" s="140">
        <f>IFERROR(VLOOKUP($D44,'Adient Arendal (Malzia) WK.12'!$B:SM,TQ$1,0),0)</f>
        <v>0</v>
      </c>
      <c r="TR44" s="140">
        <f>IFERROR(VLOOKUP($D44,'Adient Taizhou (China) WK.16'!$B:SP,TQ$1,0),0)</f>
        <v>0</v>
      </c>
      <c r="TS44" s="128">
        <v>0</v>
      </c>
      <c r="TT44" s="32">
        <v>0</v>
      </c>
      <c r="TU44" s="100">
        <f t="shared" si="522"/>
        <v>425</v>
      </c>
      <c r="TW44" s="37">
        <f t="shared" si="523"/>
        <v>425</v>
      </c>
      <c r="TX44" s="141">
        <f>IFERROR(VLOOKUP($D44,'Adient Assende (Belgium) WK.17'!$B:ST,TY$1,0),0)</f>
        <v>0</v>
      </c>
      <c r="TY44" s="140">
        <f>IFERROR(VLOOKUP($D44,'Adient Arendal (Malzia) WK.12'!$B:SU,TY$1,0),0)</f>
        <v>0</v>
      </c>
      <c r="TZ44" s="140">
        <f>IFERROR(VLOOKUP($D44,'Adient Taizhou (China) WK.16'!$B:SX,TY$1,0),0)</f>
        <v>0</v>
      </c>
      <c r="UA44" s="128">
        <v>0</v>
      </c>
      <c r="UB44" s="32">
        <v>0</v>
      </c>
      <c r="UC44" s="100">
        <f t="shared" si="524"/>
        <v>425</v>
      </c>
      <c r="UE44" s="37">
        <f t="shared" si="525"/>
        <v>425</v>
      </c>
      <c r="UF44" s="141">
        <f>IFERROR(VLOOKUP($D44,'Adient Assende (Belgium) WK.17'!$B:TB,UG$1,0),0)</f>
        <v>0</v>
      </c>
      <c r="UG44" s="140">
        <f>IFERROR(VLOOKUP($D44,'Adient Arendal (Malzia) WK.12'!$B:TC,UG$1,0),0)</f>
        <v>0</v>
      </c>
      <c r="UH44" s="140">
        <f>IFERROR(VLOOKUP($D44,'Adient Taizhou (China) WK.16'!$B:TF,UG$1,0),0)</f>
        <v>0</v>
      </c>
      <c r="UI44" s="128">
        <v>0</v>
      </c>
      <c r="UJ44" s="32">
        <v>0</v>
      </c>
      <c r="UK44" s="100">
        <f t="shared" si="526"/>
        <v>425</v>
      </c>
      <c r="UM44" s="37">
        <f t="shared" si="527"/>
        <v>425</v>
      </c>
      <c r="UN44" s="141">
        <f>IFERROR(VLOOKUP($D44,'Adient Assende (Belgium) WK.17'!$B:TJ,UO$1,0),0)</f>
        <v>0</v>
      </c>
      <c r="UO44" s="140">
        <f>IFERROR(VLOOKUP($D44,'Adient Arendal (Malzia) WK.12'!$B:TK,UO$1,0),0)</f>
        <v>0</v>
      </c>
      <c r="UP44" s="140">
        <f>IFERROR(VLOOKUP($D44,'Adient Taizhou (China) WK.16'!$B:TN,UO$1,0),0)</f>
        <v>0</v>
      </c>
      <c r="UQ44" s="128">
        <v>0</v>
      </c>
      <c r="UR44" s="32">
        <v>0</v>
      </c>
      <c r="US44" s="100">
        <f t="shared" si="528"/>
        <v>425</v>
      </c>
      <c r="UU44" s="37">
        <f t="shared" si="529"/>
        <v>425</v>
      </c>
      <c r="UV44" s="141">
        <f>IFERROR(VLOOKUP($D44,'Adient Assende (Belgium) WK.17'!$B:TR,UW$1,0),0)</f>
        <v>0</v>
      </c>
      <c r="UW44" s="140">
        <f>IFERROR(VLOOKUP($D44,'Adient Arendal (Malzia) WK.12'!$B:TS,UW$1,0),0)</f>
        <v>0</v>
      </c>
      <c r="UX44" s="140">
        <f>IFERROR(VLOOKUP($D44,'Adient Taizhou (China) WK.16'!$B:TV,UW$1,0),0)</f>
        <v>0</v>
      </c>
      <c r="UY44" s="128">
        <v>0</v>
      </c>
      <c r="UZ44" s="32">
        <v>0</v>
      </c>
      <c r="VA44" s="100">
        <f t="shared" si="530"/>
        <v>425</v>
      </c>
      <c r="VC44" s="37">
        <f t="shared" si="531"/>
        <v>425</v>
      </c>
      <c r="VD44" s="141">
        <f>IFERROR(VLOOKUP($D44,'Adient Assende (Belgium) WK.17'!$B:TZ,VE$1,0),0)</f>
        <v>0</v>
      </c>
      <c r="VE44" s="140">
        <f>IFERROR(VLOOKUP($D44,'Adient Arendal (Malzia) WK.12'!$B:UA,VE$1,0),0)</f>
        <v>0</v>
      </c>
      <c r="VF44" s="140">
        <f>IFERROR(VLOOKUP($D44,'Adient Taizhou (China) WK.16'!$B:UD,VE$1,0),0)</f>
        <v>0</v>
      </c>
      <c r="VG44" s="128">
        <v>0</v>
      </c>
      <c r="VH44" s="32">
        <v>0</v>
      </c>
      <c r="VI44" s="100">
        <f t="shared" si="532"/>
        <v>425</v>
      </c>
      <c r="VK44" s="37">
        <f t="shared" si="533"/>
        <v>425</v>
      </c>
      <c r="VL44" s="141">
        <f>IFERROR(VLOOKUP($D44,'Adient Assende (Belgium) WK.17'!$B:UH,VM$1,0),0)</f>
        <v>0</v>
      </c>
      <c r="VM44" s="140">
        <f>IFERROR(VLOOKUP($D44,'Adient Arendal (Malzia) WK.12'!$B:UI,VM$1,0),0)</f>
        <v>0</v>
      </c>
      <c r="VN44" s="140">
        <f>IFERROR(VLOOKUP($D44,'Adient Taizhou (China) WK.16'!$B:UL,VM$1,0),0)</f>
        <v>0</v>
      </c>
      <c r="VO44" s="128">
        <v>0</v>
      </c>
      <c r="VP44" s="32">
        <v>0</v>
      </c>
      <c r="VQ44" s="100">
        <f t="shared" si="534"/>
        <v>425</v>
      </c>
    </row>
    <row r="45" spans="1:589" x14ac:dyDescent="0.25">
      <c r="A45" s="10" t="s">
        <v>18</v>
      </c>
      <c r="B45" s="11" t="s">
        <v>17</v>
      </c>
      <c r="C45" s="87">
        <v>32288790</v>
      </c>
      <c r="D45" s="81">
        <v>5073064</v>
      </c>
      <c r="E45" s="11">
        <v>25</v>
      </c>
      <c r="F45" s="12"/>
      <c r="H45" s="122">
        <v>350</v>
      </c>
      <c r="I45" s="125">
        <f>IFERROR(VLOOKUP($D45,'Adient Assende (Belgium) WK.17'!$B:C,J$1,0),0)</f>
        <v>0</v>
      </c>
      <c r="J45" s="55">
        <f>IFERROR(VLOOKUP($D45,'Adient Arendal (Malzia) WK.12'!$B:C,J$1,0),0)</f>
        <v>0</v>
      </c>
      <c r="K45" s="55">
        <f>IFERROR(VLOOKUP($D45,'Adient Taizhou (China) WK.16'!$B:C,J$1,0),0)</f>
        <v>0</v>
      </c>
      <c r="L45" s="128">
        <v>0</v>
      </c>
      <c r="M45" s="32">
        <v>0</v>
      </c>
      <c r="N45" s="106">
        <f t="shared" si="233"/>
        <v>350</v>
      </c>
      <c r="P45" s="37">
        <f t="shared" si="234"/>
        <v>350</v>
      </c>
      <c r="Q45" s="125">
        <f>IFERROR(VLOOKUP($D45,'Adient Assende (Belgium) WK.17'!$B:K,R$1,0),0)</f>
        <v>0</v>
      </c>
      <c r="R45" s="55">
        <f>IFERROR(VLOOKUP($D45,'Adient Arendal (Malzia) WK.12'!$B:K,R$1,0),0)</f>
        <v>0</v>
      </c>
      <c r="S45" s="55">
        <f>IFERROR(VLOOKUP($D45,'Adient Taizhou (China) WK.16'!$B:K,R$1,0),0)</f>
        <v>0</v>
      </c>
      <c r="T45" s="41">
        <v>100</v>
      </c>
      <c r="U45" s="32">
        <v>0</v>
      </c>
      <c r="V45" s="106">
        <f t="shared" si="235"/>
        <v>250</v>
      </c>
      <c r="X45" s="37">
        <f t="shared" si="236"/>
        <v>250</v>
      </c>
      <c r="Y45" s="125">
        <f>IFERROR(VLOOKUP($D45,'Adient Assende (Belgium) WK.17'!$B:S,Z$1,0),0)</f>
        <v>100</v>
      </c>
      <c r="Z45" s="55">
        <f>IFERROR(VLOOKUP($D45,'Adient Arendal (Malzia) WK.12'!$B:S,Z$1,0),0)</f>
        <v>0</v>
      </c>
      <c r="AA45" s="55">
        <f>IFERROR(VLOOKUP($D45,'Adient Taizhou (China) WK.16'!$B:S,Z$1,0),0)</f>
        <v>0</v>
      </c>
      <c r="AB45" s="41">
        <v>0</v>
      </c>
      <c r="AC45" s="32">
        <v>0</v>
      </c>
      <c r="AD45" s="106">
        <f t="shared" si="237"/>
        <v>250</v>
      </c>
      <c r="AF45" s="37">
        <f t="shared" si="238"/>
        <v>250</v>
      </c>
      <c r="AG45" s="125">
        <f>IFERROR(VLOOKUP($D45,'Adient Assende (Belgium) WK.17'!$B:AA,AH$1,0),0)</f>
        <v>0</v>
      </c>
      <c r="AH45" s="55">
        <f>IFERROR(VLOOKUP($D45,'Adient Arendal (Malzia) WK.12'!$B:AA,AH$1,0),0)</f>
        <v>0</v>
      </c>
      <c r="AI45" s="55">
        <f>IFERROR(VLOOKUP($D45,'Adient Taizhou (China) WK.16'!$B:AA,AH$1,0),0)</f>
        <v>0</v>
      </c>
      <c r="AJ45" s="41">
        <v>0</v>
      </c>
      <c r="AK45" s="32">
        <v>0</v>
      </c>
      <c r="AL45" s="106">
        <f t="shared" si="239"/>
        <v>250</v>
      </c>
      <c r="AN45" s="37">
        <f t="shared" si="432"/>
        <v>250</v>
      </c>
      <c r="AO45" s="125">
        <f>IFERROR(VLOOKUP($D45,'Adient Assende (Belgium) WK.17'!$B:AI,AP$1,0),0)</f>
        <v>0</v>
      </c>
      <c r="AP45" s="55">
        <f>IFERROR(VLOOKUP($D45,'Adient Arendal (Malzia) WK.12'!$B:AI,AP$1,0),0)</f>
        <v>0</v>
      </c>
      <c r="AQ45" s="55">
        <f>IFERROR(VLOOKUP($D45,'Adient Taizhou (China) WK.16'!$B:AI,AP$1,0),0)</f>
        <v>0</v>
      </c>
      <c r="AR45" s="60">
        <v>0</v>
      </c>
      <c r="AS45" s="41">
        <v>0</v>
      </c>
      <c r="AT45" s="32">
        <v>0</v>
      </c>
      <c r="AU45" s="106">
        <f t="shared" si="240"/>
        <v>250</v>
      </c>
      <c r="AW45" s="37">
        <f t="shared" si="433"/>
        <v>250</v>
      </c>
      <c r="AX45" s="125">
        <f>IFERROR(VLOOKUP($D45,'Adient Assende (Belgium) WK.17'!$B:AR,AY$1,0),0)</f>
        <v>0</v>
      </c>
      <c r="AY45" s="55">
        <f>IFERROR(VLOOKUP($D45,'Adient Arendal (Malzia) WK.12'!$B:AR,AY$1,0),0)</f>
        <v>0</v>
      </c>
      <c r="AZ45" s="55">
        <f>IFERROR(VLOOKUP($D45,'Adient Taizhou (China) WK.16'!$B:AU,AY$1,0),0)</f>
        <v>0</v>
      </c>
      <c r="BA45" s="41">
        <v>0</v>
      </c>
      <c r="BB45" s="32">
        <v>0</v>
      </c>
      <c r="BC45" s="106">
        <f t="shared" si="241"/>
        <v>250</v>
      </c>
      <c r="BE45" s="37">
        <f t="shared" si="434"/>
        <v>250</v>
      </c>
      <c r="BF45" s="125">
        <f>IFERROR(VLOOKUP($D45,'Adient Assende (Belgium) WK.17'!$B:AX,BG$1,0),0)</f>
        <v>0</v>
      </c>
      <c r="BG45" s="55">
        <f>IFERROR(VLOOKUP($D45,'Adient Arendal (Malzia) WK.12'!$B:AZ,BG$1,0),0)</f>
        <v>0</v>
      </c>
      <c r="BH45" s="55">
        <f>IFERROR(VLOOKUP($D45,'Adient Taizhou (China) WK.16'!$B:BB,BG$1,0),0)</f>
        <v>0</v>
      </c>
      <c r="BI45" s="60">
        <v>0</v>
      </c>
      <c r="BJ45" s="60">
        <v>0</v>
      </c>
      <c r="BK45" s="41">
        <v>0</v>
      </c>
      <c r="BL45" s="32">
        <v>0</v>
      </c>
      <c r="BM45" s="106">
        <f t="shared" si="242"/>
        <v>250</v>
      </c>
      <c r="BN45" s="8"/>
      <c r="BO45" s="37">
        <f t="shared" si="435"/>
        <v>250</v>
      </c>
      <c r="BP45" s="125">
        <f>IFERROR(VLOOKUP($D45,'Adient Assende (Belgium) WK.17'!$B:BH,BQ$1,0),0)</f>
        <v>0</v>
      </c>
      <c r="BQ45" s="55">
        <f>IFERROR(VLOOKUP($D45,'Adient Arendal (Malzia) WK.12'!$B:BI,BQ$1,0),0)</f>
        <v>0</v>
      </c>
      <c r="BR45" s="55">
        <f>IFERROR(VLOOKUP($D45,'Adient Taizhou (China) WK.16'!$B:BL,BQ$1,0),0)</f>
        <v>0</v>
      </c>
      <c r="BS45" s="60">
        <v>0</v>
      </c>
      <c r="BT45" s="60">
        <v>0</v>
      </c>
      <c r="BU45" s="60">
        <v>0</v>
      </c>
      <c r="BV45" s="41">
        <v>0</v>
      </c>
      <c r="BW45" s="32">
        <v>0</v>
      </c>
      <c r="BX45" s="106">
        <f t="shared" si="243"/>
        <v>250</v>
      </c>
      <c r="BY45" s="8"/>
      <c r="BZ45" s="37">
        <f t="shared" si="436"/>
        <v>250</v>
      </c>
      <c r="CA45" s="125">
        <f>IFERROR(VLOOKUP($D45,'Adient Assende (Belgium) WK.17'!$B:BS,CB$1,0),0)</f>
        <v>0</v>
      </c>
      <c r="CB45" s="55">
        <f>IFERROR(VLOOKUP($D45,'Adient Arendal (Malzia) WK.12'!$B:BT,CB$1,0),0)</f>
        <v>0</v>
      </c>
      <c r="CC45" s="55">
        <f>IFERROR(VLOOKUP($D45,'Adient Taizhou (China) WK.16'!$B:BW,CB$1,0),0)</f>
        <v>0</v>
      </c>
      <c r="CD45" s="60">
        <v>0</v>
      </c>
      <c r="CE45" s="60">
        <v>0</v>
      </c>
      <c r="CF45" s="41">
        <v>0</v>
      </c>
      <c r="CG45" s="32">
        <v>0</v>
      </c>
      <c r="CH45" s="106">
        <f t="shared" si="244"/>
        <v>250</v>
      </c>
      <c r="CI45" s="8"/>
      <c r="CJ45" s="37">
        <f t="shared" si="437"/>
        <v>250</v>
      </c>
      <c r="CK45" s="125">
        <f>IFERROR(VLOOKUP($D45,'Adient Assende (Belgium) WK.17'!$B:CC,CL$1,0),0)</f>
        <v>0</v>
      </c>
      <c r="CL45" s="55">
        <f>IFERROR(VLOOKUP($D45,'Adient Arendal (Malzia) WK.12'!$B:CD,CL$1,0),0)</f>
        <v>0</v>
      </c>
      <c r="CM45" s="55">
        <f>IFERROR(VLOOKUP($D45,'Adient Taizhou (China) WK.16'!$B:CG,CL$1,0),0)</f>
        <v>0</v>
      </c>
      <c r="CN45" s="60">
        <v>0</v>
      </c>
      <c r="CO45" s="149">
        <v>0</v>
      </c>
      <c r="CP45" s="32">
        <v>0</v>
      </c>
      <c r="CQ45" s="106">
        <f t="shared" si="245"/>
        <v>250</v>
      </c>
      <c r="CR45" s="8"/>
      <c r="CS45" s="122">
        <f t="shared" si="438"/>
        <v>250</v>
      </c>
      <c r="CT45" s="154">
        <f>IFERROR(VLOOKUP($D45,'Adient Assende (Belgium) WK.17'!$B:CL,CU$1,0),0)</f>
        <v>0</v>
      </c>
      <c r="CU45" s="55">
        <f>IFERROR(VLOOKUP($D45,'Adient Arendal (Malzia) WK.12'!$B:CM,CU$1,0),0)</f>
        <v>0</v>
      </c>
      <c r="CV45" s="55">
        <f>IFERROR(VLOOKUP($D45,'Adient Taizhou (China) WK.16'!$B:CP,CU$1,0),0)</f>
        <v>0</v>
      </c>
      <c r="CW45" s="60">
        <v>0</v>
      </c>
      <c r="CX45" s="60">
        <v>0</v>
      </c>
      <c r="CY45" s="128">
        <v>0</v>
      </c>
      <c r="CZ45" s="32">
        <v>0</v>
      </c>
      <c r="DA45" s="106">
        <f t="shared" si="246"/>
        <v>250</v>
      </c>
      <c r="DB45" s="8"/>
      <c r="DC45" s="37">
        <f t="shared" si="439"/>
        <v>250</v>
      </c>
      <c r="DD45" s="125">
        <f>IFERROR(VLOOKUP($D45,'Adient Assende (Belgium) WK.17'!$B:CS,DE$1,0),0)</f>
        <v>0</v>
      </c>
      <c r="DE45" s="55">
        <f>IFERROR(VLOOKUP($D45,'Adient Arendal (Malzia) WK.12'!$B:CU,DE$1,0),0)</f>
        <v>0</v>
      </c>
      <c r="DF45" s="55">
        <f>IFERROR(VLOOKUP($D45,'Adient Taizhou (China) WK.16'!$B:CX,DE$1,0),0)</f>
        <v>0</v>
      </c>
      <c r="DG45" s="60">
        <v>0</v>
      </c>
      <c r="DH45" s="128">
        <v>0</v>
      </c>
      <c r="DI45" s="32">
        <v>0</v>
      </c>
      <c r="DJ45" s="106">
        <f t="shared" si="247"/>
        <v>250</v>
      </c>
      <c r="DL45" s="37">
        <f t="shared" si="440"/>
        <v>250</v>
      </c>
      <c r="DM45" s="125">
        <f>IFERROR(VLOOKUP($D45,'Adient Assende (Belgium) WK.17'!$B:DB,DN$1,0),0)</f>
        <v>0</v>
      </c>
      <c r="DN45" s="55">
        <f>IFERROR(VLOOKUP($D45,'Adient Arendal (Malzia) WK.12'!$B:DC,DN$1,0),0)</f>
        <v>0</v>
      </c>
      <c r="DO45" s="55">
        <f>IFERROR(VLOOKUP($D45,'Adient Taizhou (China) WK.16'!$B:DF,DN$1,0),0)</f>
        <v>0</v>
      </c>
      <c r="DP45" s="128">
        <v>0</v>
      </c>
      <c r="DQ45" s="32">
        <v>0</v>
      </c>
      <c r="DR45" s="106">
        <f t="shared" si="441"/>
        <v>250</v>
      </c>
      <c r="DS45" s="8"/>
      <c r="DT45" s="37">
        <f t="shared" si="442"/>
        <v>250</v>
      </c>
      <c r="DU45" s="125">
        <f>IFERROR(VLOOKUP($D45,'Adient Assende (Belgium) WK.17'!$B:DJ,DV$1,0),0)</f>
        <v>0</v>
      </c>
      <c r="DV45" s="55">
        <f>IFERROR(VLOOKUP($D45,'Adient Arendal (Malzia) WK.12'!$B:DK,DV$1,0),0)</f>
        <v>0</v>
      </c>
      <c r="DW45" s="55">
        <f>IFERROR(VLOOKUP($D45,'Adient Taizhou (China) WK.16'!$B:DN,DV$1,0),0)</f>
        <v>0</v>
      </c>
      <c r="DX45" s="60">
        <v>0</v>
      </c>
      <c r="DY45" s="60">
        <v>0</v>
      </c>
      <c r="DZ45" s="128">
        <v>0</v>
      </c>
      <c r="EA45" s="32">
        <v>0</v>
      </c>
      <c r="EB45" s="106">
        <f t="shared" si="248"/>
        <v>250</v>
      </c>
      <c r="EC45" s="8"/>
      <c r="ED45" s="37">
        <f t="shared" si="443"/>
        <v>250</v>
      </c>
      <c r="EE45" s="125">
        <f>IFERROR(VLOOKUP($D45,'Adient Assende (Belgium) WK.17'!$B:DR,EF$1,0),0)</f>
        <v>0</v>
      </c>
      <c r="EF45" s="55">
        <f>IFERROR(VLOOKUP($D45,'Adient Arendal (Malzia) WK.12'!$B:DS,EF$1,0),0)</f>
        <v>0</v>
      </c>
      <c r="EG45" s="55">
        <f>IFERROR(VLOOKUP($D45,'Adient Taizhou (China) WK.16'!$B:DV,EF$1,0),0)</f>
        <v>0</v>
      </c>
      <c r="EH45" s="60">
        <v>0</v>
      </c>
      <c r="EI45" s="128">
        <v>0</v>
      </c>
      <c r="EJ45" s="32">
        <v>0</v>
      </c>
      <c r="EK45" s="106">
        <f t="shared" si="249"/>
        <v>250</v>
      </c>
      <c r="EM45" s="37">
        <f t="shared" si="444"/>
        <v>250</v>
      </c>
      <c r="EN45" s="125">
        <f>IFERROR(VLOOKUP($D45,'Adient Assende (Belgium) WK.17'!$B:DZ,EO$1,0),0)</f>
        <v>0</v>
      </c>
      <c r="EO45" s="55">
        <f>IFERROR(VLOOKUP($D45,'Adient Arendal (Malzia) WK.12'!$B:EA,EO$1,0),0)</f>
        <v>0</v>
      </c>
      <c r="EP45" s="55">
        <f>IFERROR(VLOOKUP($D45,'Adient Taizhou (China) WK.16'!$B:ED,EO$1,0),0)</f>
        <v>0</v>
      </c>
      <c r="EQ45" s="128">
        <v>0</v>
      </c>
      <c r="ER45" s="32">
        <v>0</v>
      </c>
      <c r="ES45" s="106">
        <f t="shared" si="250"/>
        <v>250</v>
      </c>
      <c r="EU45" s="37">
        <f t="shared" si="445"/>
        <v>250</v>
      </c>
      <c r="EV45" s="125">
        <f>IFERROR(VLOOKUP($D45,'Adient Assende (Belgium) WK.17'!$B:EH,EW$1,0),0)</f>
        <v>0</v>
      </c>
      <c r="EW45" s="55">
        <f>IFERROR(VLOOKUP($D45,'Adient Arendal (Malzia) WK.12'!$B:EI,EW$1,0),0)</f>
        <v>0</v>
      </c>
      <c r="EX45" s="55">
        <f>IFERROR(VLOOKUP($D45,'Adient Taizhou (China) WK.16'!$B:EL,EW$1,0),0)</f>
        <v>0</v>
      </c>
      <c r="EY45" s="128">
        <v>0</v>
      </c>
      <c r="EZ45" s="32">
        <v>0</v>
      </c>
      <c r="FA45" s="106">
        <f t="shared" si="251"/>
        <v>250</v>
      </c>
      <c r="FC45" s="37">
        <f t="shared" si="446"/>
        <v>250</v>
      </c>
      <c r="FD45" s="154">
        <f>IFERROR(VLOOKUP($D45,'Adient Assende (Belgium) WK.17'!$B:EP,FE$1,0),0)</f>
        <v>0</v>
      </c>
      <c r="FE45" s="154">
        <f>IFERROR(VLOOKUP($D45,'Adient Arendal (Malzia) WK.12'!$B:EQ,FE$1,0),0)</f>
        <v>0</v>
      </c>
      <c r="FF45" s="154">
        <f>IFERROR(VLOOKUP($D45,'Adient Taizhou (China) WK.16'!$B:ET,FE$1,0),0)</f>
        <v>0</v>
      </c>
      <c r="FG45" s="128">
        <v>0</v>
      </c>
      <c r="FH45" s="32">
        <v>0</v>
      </c>
      <c r="FI45" s="106">
        <f t="shared" si="252"/>
        <v>250</v>
      </c>
      <c r="FK45" s="37">
        <f t="shared" si="447"/>
        <v>250</v>
      </c>
      <c r="FL45" s="125">
        <f>IFERROR(VLOOKUP($D45,'Adient Assende (Belgium) WK.17'!$B:EX,FM$1,0),0)</f>
        <v>0</v>
      </c>
      <c r="FM45" s="55">
        <f>IFERROR(VLOOKUP($D45,'Adient Arendal (Malzia) WK.12'!$B:EY,FM$1,0),0)</f>
        <v>0</v>
      </c>
      <c r="FN45" s="55">
        <f>IFERROR(VLOOKUP($D45,'Adient Taizhou (China) WK.16'!$B:FB,FM$1,0),0)</f>
        <v>0</v>
      </c>
      <c r="FO45" s="128">
        <v>0</v>
      </c>
      <c r="FP45" s="32">
        <v>0</v>
      </c>
      <c r="FQ45" s="106">
        <f t="shared" si="253"/>
        <v>250</v>
      </c>
      <c r="FR45" s="8"/>
      <c r="FS45" s="37">
        <f t="shared" si="448"/>
        <v>250</v>
      </c>
      <c r="FT45" s="125">
        <f>IFERROR(VLOOKUP($D45,'Adient Assende (Belgium) WK.17'!$B:FF,FU$1,0),0)</f>
        <v>0</v>
      </c>
      <c r="FU45" s="55">
        <f>IFERROR(VLOOKUP($D45,'Adient Arendal (Malzia) WK.12'!$B:FG,FU$1,0),0)</f>
        <v>0</v>
      </c>
      <c r="FV45" s="55">
        <f>IFERROR(VLOOKUP($D45,'Adient Taizhou (China) WK.16'!$B:FJ,FU$1,0),0)</f>
        <v>0</v>
      </c>
      <c r="FW45" s="60">
        <v>0</v>
      </c>
      <c r="FX45" s="60">
        <v>0</v>
      </c>
      <c r="FY45" s="60">
        <v>0</v>
      </c>
      <c r="FZ45" s="60">
        <v>100</v>
      </c>
      <c r="GA45" s="60">
        <v>100</v>
      </c>
      <c r="GB45" s="128">
        <v>0</v>
      </c>
      <c r="GC45" s="32">
        <v>0</v>
      </c>
      <c r="GD45" s="106">
        <f t="shared" si="254"/>
        <v>450</v>
      </c>
      <c r="GF45" s="37">
        <f t="shared" si="449"/>
        <v>450</v>
      </c>
      <c r="GG45" s="125">
        <f>IFERROR(VLOOKUP($D45,'Adient Assende (Belgium) WK.17'!$B:FN,GH$1,0),0)</f>
        <v>0</v>
      </c>
      <c r="GH45" s="55">
        <f>IFERROR(VLOOKUP($D45,'Adient Arendal (Malzia) WK.12'!$B:FO,GH$1,0),0)</f>
        <v>0</v>
      </c>
      <c r="GI45" s="55">
        <f>IFERROR(VLOOKUP($D45,'Adient Taizhou (China) WK.16'!$B:FR,GH$1,0),0)</f>
        <v>0</v>
      </c>
      <c r="GJ45" s="60">
        <v>0</v>
      </c>
      <c r="GK45" s="128">
        <v>0</v>
      </c>
      <c r="GL45" s="32">
        <v>0</v>
      </c>
      <c r="GM45" s="106">
        <f t="shared" si="255"/>
        <v>450</v>
      </c>
      <c r="GO45" s="37">
        <f t="shared" si="450"/>
        <v>450</v>
      </c>
      <c r="GP45" s="125">
        <f>IFERROR(VLOOKUP($D45,'Adient Assende (Belgium) WK.17'!$B:FV,GQ$1,0),0)</f>
        <v>0</v>
      </c>
      <c r="GQ45" s="55">
        <f>IFERROR(VLOOKUP($D45,'Adient Arendal (Malzia) WK.12'!$B:FW,GQ$1,0),0)</f>
        <v>0</v>
      </c>
      <c r="GR45" s="55">
        <f>IFERROR(VLOOKUP($D45,'Adient Taizhou (China) WK.16'!$B:FZ,GQ$1,0),0)</f>
        <v>0</v>
      </c>
      <c r="GS45" s="60">
        <v>0</v>
      </c>
      <c r="GT45" s="128">
        <v>0</v>
      </c>
      <c r="GU45" s="32">
        <v>0</v>
      </c>
      <c r="GV45" s="106">
        <f t="shared" si="256"/>
        <v>450</v>
      </c>
      <c r="GW45" s="8"/>
      <c r="GX45" s="37">
        <f t="shared" si="451"/>
        <v>450</v>
      </c>
      <c r="GY45" s="125">
        <f>IFERROR(VLOOKUP($D45,'Adient Assende (Belgium) WK.17'!$B:GD,GZ$1,0),0)</f>
        <v>0</v>
      </c>
      <c r="GZ45" s="55">
        <f>IFERROR(VLOOKUP($D45,'Adient Arendal (Malzia) WK.12'!$B:GE,GZ$1,0),0)</f>
        <v>0</v>
      </c>
      <c r="HA45" s="55">
        <f>IFERROR(VLOOKUP($D45,'Adient Taizhou (China) WK.16'!$B:GH,GZ$1,0),0)</f>
        <v>0</v>
      </c>
      <c r="HB45" s="60">
        <v>0</v>
      </c>
      <c r="HC45" s="128">
        <v>0</v>
      </c>
      <c r="HD45" s="32">
        <v>0</v>
      </c>
      <c r="HE45" s="106">
        <f t="shared" si="257"/>
        <v>450</v>
      </c>
      <c r="HF45" s="8"/>
      <c r="HG45" s="37">
        <f t="shared" si="452"/>
        <v>450</v>
      </c>
      <c r="HH45" s="125">
        <f>IFERROR(VLOOKUP($D45,'Adient Assende (Belgium) WK.17'!$B:GL,HI$1,0),0)</f>
        <v>0</v>
      </c>
      <c r="HI45" s="55">
        <f>IFERROR(VLOOKUP($D45,'Adient Arendal (Malzia) WK.12'!$B:GM,HI$1,0),0)</f>
        <v>0</v>
      </c>
      <c r="HJ45" s="55">
        <f>IFERROR(VLOOKUP($D45,'Adient Taizhou (China) WK.16'!$B:GP,HI$1,0),0)</f>
        <v>0</v>
      </c>
      <c r="HK45" s="60">
        <v>0</v>
      </c>
      <c r="HL45" s="128">
        <v>0</v>
      </c>
      <c r="HM45" s="32">
        <v>0</v>
      </c>
      <c r="HN45" s="106">
        <f t="shared" si="258"/>
        <v>450</v>
      </c>
      <c r="HO45" s="8"/>
      <c r="HP45" s="37">
        <f t="shared" si="453"/>
        <v>450</v>
      </c>
      <c r="HQ45" s="125">
        <f>IFERROR(VLOOKUP($D45,'Adient Assende (Belgium) WK.17'!$B:GT,HR$1,0),0)</f>
        <v>0</v>
      </c>
      <c r="HR45" s="55">
        <f>IFERROR(VLOOKUP($D45,'Adient Arendal (Malzia) WK.12'!$B:GU,HR$1,0),0)</f>
        <v>0</v>
      </c>
      <c r="HS45" s="55">
        <f>IFERROR(VLOOKUP($D45,'Adient Taizhou (China) WK.16'!$B:GX,HR$1,0),0)</f>
        <v>0</v>
      </c>
      <c r="HT45" s="60">
        <v>0</v>
      </c>
      <c r="HU45" s="128">
        <v>0</v>
      </c>
      <c r="HV45" s="32">
        <v>0</v>
      </c>
      <c r="HW45" s="106">
        <f t="shared" si="259"/>
        <v>450</v>
      </c>
      <c r="HX45" s="8"/>
      <c r="HY45" s="37">
        <f t="shared" si="454"/>
        <v>450</v>
      </c>
      <c r="HZ45" s="125">
        <f>IFERROR(VLOOKUP($D45,'Adient Assende (Belgium) WK.17'!$B:HB,IA$1,0),0)</f>
        <v>0</v>
      </c>
      <c r="IA45" s="55">
        <f>IFERROR(VLOOKUP($D45,'Adient Arendal (Malzia) WK.12'!$B:HC,IA$1,0),0)</f>
        <v>0</v>
      </c>
      <c r="IB45" s="55">
        <f>IFERROR(VLOOKUP($D45,'Adient Taizhou (China) WK.16'!$B:HF,IA$1,0),0)</f>
        <v>0</v>
      </c>
      <c r="IC45" s="60">
        <v>0</v>
      </c>
      <c r="ID45" s="128">
        <v>0</v>
      </c>
      <c r="IE45" s="32">
        <v>0</v>
      </c>
      <c r="IF45" s="106">
        <f t="shared" si="260"/>
        <v>450</v>
      </c>
      <c r="IG45" s="8"/>
      <c r="IH45" s="37">
        <f t="shared" si="455"/>
        <v>450</v>
      </c>
      <c r="II45" s="125">
        <f>IFERROR(VLOOKUP($D45,'Adient Assende (Belgium) WK.17'!$B:HJ,IJ$1,0),0)</f>
        <v>0</v>
      </c>
      <c r="IJ45" s="55">
        <f>IFERROR(VLOOKUP($D45,'Adient Arendal (Malzia) WK.12'!$B:HK,IJ$1,0),0)</f>
        <v>0</v>
      </c>
      <c r="IK45" s="55">
        <f>IFERROR(VLOOKUP($D45,'Adient Taizhou (China) WK.16'!$B:HN,IJ$1,0),0)</f>
        <v>0</v>
      </c>
      <c r="IL45" s="128">
        <v>0</v>
      </c>
      <c r="IM45" s="32">
        <v>0</v>
      </c>
      <c r="IN45" s="106">
        <f t="shared" si="456"/>
        <v>450</v>
      </c>
      <c r="IO45" s="8"/>
      <c r="IP45" s="37">
        <f t="shared" si="457"/>
        <v>450</v>
      </c>
      <c r="IQ45" s="125">
        <f>IFERROR(VLOOKUP($D45,'Adient Assende (Belgium) WK.17'!$B:HR,IR$1,0),0)</f>
        <v>0</v>
      </c>
      <c r="IR45" s="55">
        <f>IFERROR(VLOOKUP($D45,'Adient Arendal (Malzia) WK.12'!$B:HS,IR$1,0),0)</f>
        <v>0</v>
      </c>
      <c r="IS45" s="55">
        <f>IFERROR(VLOOKUP($D45,'Adient Taizhou (China) WK.16'!$B:HV,IR$1,0),0)</f>
        <v>0</v>
      </c>
      <c r="IT45" s="60">
        <v>0</v>
      </c>
      <c r="IU45" s="128">
        <v>0</v>
      </c>
      <c r="IV45" s="32">
        <v>0</v>
      </c>
      <c r="IW45" s="106">
        <f t="shared" si="261"/>
        <v>450</v>
      </c>
      <c r="IX45" s="8"/>
      <c r="IY45" s="37">
        <f t="shared" si="458"/>
        <v>450</v>
      </c>
      <c r="IZ45" s="125">
        <f>IFERROR(VLOOKUP($D45,'Adient Assende (Belgium) WK.17'!$B:HZ,JA$1,0),0)</f>
        <v>0</v>
      </c>
      <c r="JA45" s="55">
        <f>IFERROR(VLOOKUP($D45,'Adient Arendal (Malzia) WK.12'!$B:IA,JA$1,0),0)</f>
        <v>0</v>
      </c>
      <c r="JB45" s="55">
        <f>IFERROR(VLOOKUP($D45,'Adient Taizhou (China) WK.16'!$B:ID,JA$1,0),0)</f>
        <v>0</v>
      </c>
      <c r="JC45" s="128">
        <v>0</v>
      </c>
      <c r="JD45" s="32">
        <v>0</v>
      </c>
      <c r="JE45" s="106">
        <f t="shared" si="459"/>
        <v>450</v>
      </c>
      <c r="JF45" s="8"/>
      <c r="JG45" s="37">
        <f t="shared" si="460"/>
        <v>450</v>
      </c>
      <c r="JH45" s="125">
        <f>IFERROR(VLOOKUP($D45,'Adient Assende (Belgium) WK.17'!$B:IH,JI$1,0),0)</f>
        <v>0</v>
      </c>
      <c r="JI45" s="55">
        <f>IFERROR(VLOOKUP($D45,'Adient Arendal (Malzia) WK.12'!$B:II,JI$1,0),0)</f>
        <v>0</v>
      </c>
      <c r="JJ45" s="55">
        <f>IFERROR(VLOOKUP($D45,'Adient Taizhou (China) WK.16'!$B:IL,JI$1,0),0)</f>
        <v>0</v>
      </c>
      <c r="JK45" s="60">
        <v>0</v>
      </c>
      <c r="JL45" s="128">
        <v>0</v>
      </c>
      <c r="JM45" s="32">
        <v>0</v>
      </c>
      <c r="JN45" s="106">
        <f t="shared" si="262"/>
        <v>450</v>
      </c>
      <c r="JO45" s="8"/>
      <c r="JP45" s="37">
        <f t="shared" si="461"/>
        <v>450</v>
      </c>
      <c r="JQ45" s="125">
        <f>IFERROR(VLOOKUP($D45,'Adient Assende (Belgium) WK.17'!$B:IP,JR$1,0),0)</f>
        <v>0</v>
      </c>
      <c r="JR45" s="55">
        <f>IFERROR(VLOOKUP($D45,'Adient Arendal (Malzia) WK.12'!$B:IQ,JR$1,0),0)</f>
        <v>0</v>
      </c>
      <c r="JS45" s="55">
        <f>IFERROR(VLOOKUP($D45,'Adient Taizhou (China) WK.16'!$B:IT,JR$1,0),0)</f>
        <v>0</v>
      </c>
      <c r="JT45" s="128">
        <v>0</v>
      </c>
      <c r="JU45" s="32">
        <v>0</v>
      </c>
      <c r="JV45" s="106">
        <f t="shared" si="462"/>
        <v>450</v>
      </c>
      <c r="JW45" s="8"/>
      <c r="JX45" s="37">
        <f t="shared" si="463"/>
        <v>450</v>
      </c>
      <c r="JY45" s="154">
        <f>IFERROR(VLOOKUP($D45,'Adient Assende (Belgium) WK.17'!$B:IX,JZ$1,0),0)</f>
        <v>0</v>
      </c>
      <c r="JZ45" s="55">
        <f>IFERROR(VLOOKUP($D45,'Adient Arendal (Malzia) WK.12'!$B:IY,JZ$1,0),0)</f>
        <v>0</v>
      </c>
      <c r="KA45" s="55">
        <f>IFERROR(VLOOKUP($D45,'Adient Taizhou (China) WK.16'!$B:JB,JZ$1,0),0)</f>
        <v>0</v>
      </c>
      <c r="KB45" s="128">
        <v>100</v>
      </c>
      <c r="KC45" s="32">
        <v>0</v>
      </c>
      <c r="KD45" s="106">
        <f t="shared" si="263"/>
        <v>350</v>
      </c>
      <c r="KE45" s="8"/>
      <c r="KF45" s="37">
        <f t="shared" si="464"/>
        <v>350</v>
      </c>
      <c r="KG45" s="125">
        <f>IFERROR(VLOOKUP($D45,'Adient Assende (Belgium) WK.17'!$B:JF,KH$1,0),0)</f>
        <v>100</v>
      </c>
      <c r="KH45" s="55">
        <f>IFERROR(VLOOKUP($D45,'Adient Arendal (Malzia) WK.12'!$B:JG,KH$1,0),0)</f>
        <v>0</v>
      </c>
      <c r="KI45" s="55">
        <f>IFERROR(VLOOKUP($D45,'Adient Taizhou (China) WK.16'!$B:JJ,KH$1,0),0)</f>
        <v>0</v>
      </c>
      <c r="KJ45" s="60">
        <v>0</v>
      </c>
      <c r="KK45" s="128">
        <v>0</v>
      </c>
      <c r="KL45" s="32">
        <v>0</v>
      </c>
      <c r="KM45" s="106">
        <f t="shared" si="264"/>
        <v>350</v>
      </c>
      <c r="KN45" s="8"/>
      <c r="KO45" s="37">
        <f t="shared" si="465"/>
        <v>350</v>
      </c>
      <c r="KP45" s="141">
        <f>IFERROR(VLOOKUP($D45,'Adient Assende (Belgium) WK.17'!$B:JN,KQ$1,0),0)</f>
        <v>0</v>
      </c>
      <c r="KQ45" s="140">
        <f>IFERROR(VLOOKUP($D45,'Adient Arendal (Malzia) WK.12'!$B:JO,KQ$1,0),0)</f>
        <v>0</v>
      </c>
      <c r="KR45" s="140">
        <f>IFERROR(VLOOKUP($D45,'Adient Taizhou (China) WK.16'!$B:JR,KQ$1,0),0)</f>
        <v>0</v>
      </c>
      <c r="KS45" s="60">
        <v>0</v>
      </c>
      <c r="KT45" s="128">
        <v>0</v>
      </c>
      <c r="KU45" s="32">
        <v>0</v>
      </c>
      <c r="KV45" s="106">
        <f t="shared" si="265"/>
        <v>350</v>
      </c>
      <c r="KX45" s="37">
        <f t="shared" si="466"/>
        <v>350</v>
      </c>
      <c r="KY45" s="141">
        <f>IFERROR(VLOOKUP($D45,'Adient Assende (Belgium) WK.17'!$B:JV,KZ$1,0),0)</f>
        <v>0</v>
      </c>
      <c r="KZ45" s="140">
        <f>IFERROR(VLOOKUP($D45,'Adient Arendal (Malzia) WK.12'!$B:JW,KZ$1,0),0)</f>
        <v>0</v>
      </c>
      <c r="LA45" s="140">
        <f>IFERROR(VLOOKUP($D45,'Adient Taizhou (China) WK.16'!$B:JZ,KZ$1,0),0)</f>
        <v>0</v>
      </c>
      <c r="LB45" s="128">
        <v>0</v>
      </c>
      <c r="LC45" s="32">
        <v>0</v>
      </c>
      <c r="LD45" s="106">
        <f t="shared" si="467"/>
        <v>350</v>
      </c>
      <c r="LF45" s="37">
        <f t="shared" si="468"/>
        <v>350</v>
      </c>
      <c r="LG45" s="141">
        <f>IFERROR(VLOOKUP($D45,'Adient Assende (Belgium) WK.17'!$B:KD,LH$1,0),0)</f>
        <v>0</v>
      </c>
      <c r="LH45" s="140">
        <f>IFERROR(VLOOKUP($D45,'Adient Arendal (Malzia) WK.12'!$B:KE,LH$1,0),0)</f>
        <v>0</v>
      </c>
      <c r="LI45" s="140">
        <f>IFERROR(VLOOKUP($D45,'Adient Taizhou (China) WK.16'!$B:KH,LH$1,0),0)</f>
        <v>0</v>
      </c>
      <c r="LJ45" s="60">
        <v>0</v>
      </c>
      <c r="LK45" s="128">
        <v>0</v>
      </c>
      <c r="LL45" s="32">
        <v>0</v>
      </c>
      <c r="LM45" s="100">
        <f t="shared" si="267"/>
        <v>350</v>
      </c>
      <c r="LO45" s="37">
        <f t="shared" si="469"/>
        <v>350</v>
      </c>
      <c r="LP45" s="141">
        <f>IFERROR(VLOOKUP($D45,'Adient Assende (Belgium) WK.17'!$B:KL,LQ$1,0),0)</f>
        <v>0</v>
      </c>
      <c r="LQ45" s="140">
        <f>IFERROR(VLOOKUP($D45,'Adient Arendal (Malzia) WK.12'!$B:KM,LQ$1,0),0)</f>
        <v>0</v>
      </c>
      <c r="LR45" s="140">
        <f>IFERROR(VLOOKUP($D45,'Adient Taizhou (China) WK.16'!$B:KP,LQ$1,0),0)</f>
        <v>0</v>
      </c>
      <c r="LS45" s="128">
        <v>0</v>
      </c>
      <c r="LT45" s="32">
        <v>0</v>
      </c>
      <c r="LU45" s="100">
        <f t="shared" si="470"/>
        <v>350</v>
      </c>
      <c r="LW45" s="37">
        <f t="shared" si="471"/>
        <v>350</v>
      </c>
      <c r="LX45" s="141">
        <f>IFERROR(VLOOKUP($D45,'Adient Assende (Belgium) WK.17'!$B:KT,LY$1,0),0)</f>
        <v>0</v>
      </c>
      <c r="LY45" s="140">
        <f>IFERROR(VLOOKUP($D45,'Adient Arendal (Malzia) WK.12'!$B:KU,LY$1,0),0)</f>
        <v>0</v>
      </c>
      <c r="LZ45" s="140">
        <f>IFERROR(VLOOKUP($D45,'Adient Taizhou (China) WK.16'!$B:KX,LY$1,0),0)</f>
        <v>0</v>
      </c>
      <c r="MA45" s="128">
        <v>0</v>
      </c>
      <c r="MB45" s="32">
        <v>0</v>
      </c>
      <c r="MC45" s="100">
        <f t="shared" si="472"/>
        <v>350</v>
      </c>
      <c r="ME45" s="37">
        <f t="shared" si="473"/>
        <v>350</v>
      </c>
      <c r="MF45" s="154">
        <f>IFERROR(VLOOKUP($D45,'Adient Assende (Belgium) WK.17'!$B:LB,MG$1,0),0)</f>
        <v>0</v>
      </c>
      <c r="MG45" s="140">
        <f>IFERROR(VLOOKUP($D45,'Adient Arendal (Malzia) WK.12'!$B:LC,MG$1,0),0)</f>
        <v>0</v>
      </c>
      <c r="MH45" s="140">
        <f>IFERROR(VLOOKUP($D45,'Adient Taizhou (China) WK.16'!$B:LF,MG$1,0),0)</f>
        <v>0</v>
      </c>
      <c r="MI45" s="128">
        <v>0</v>
      </c>
      <c r="MJ45" s="32">
        <v>0</v>
      </c>
      <c r="MK45" s="100">
        <f t="shared" si="474"/>
        <v>350</v>
      </c>
      <c r="MM45" s="37">
        <f t="shared" si="475"/>
        <v>350</v>
      </c>
      <c r="MN45" s="141">
        <f>IFERROR(VLOOKUP($D45,'Adient Assende (Belgium) WK.17'!$B:LJ,MO$1,0),0)</f>
        <v>0</v>
      </c>
      <c r="MO45" s="140">
        <f>IFERROR(VLOOKUP($D45,'Adient Arendal (Malzia) WK.12'!$B:LK,MO$1,0),0)</f>
        <v>0</v>
      </c>
      <c r="MP45" s="140">
        <f>IFERROR(VLOOKUP($D45,'Adient Taizhou (China) WK.16'!$B:LN,MO$1,0),0)</f>
        <v>0</v>
      </c>
      <c r="MQ45" s="128">
        <v>0</v>
      </c>
      <c r="MR45" s="32">
        <v>0</v>
      </c>
      <c r="MS45" s="100">
        <f t="shared" si="476"/>
        <v>350</v>
      </c>
      <c r="MU45" s="37">
        <f t="shared" si="477"/>
        <v>350</v>
      </c>
      <c r="MV45" s="141">
        <f>IFERROR(VLOOKUP($D45,'Adient Assende (Belgium) WK.17'!$B:LR,MW$1,0),0)</f>
        <v>0</v>
      </c>
      <c r="MW45" s="140">
        <f>IFERROR(VLOOKUP($D45,'Adient Arendal (Malzia) WK.12'!$B:LS,MW$1,0),0)</f>
        <v>0</v>
      </c>
      <c r="MX45" s="140">
        <f>IFERROR(VLOOKUP($D45,'Adient Taizhou (China) WK.16'!$B:LV,MW$1,0),0)</f>
        <v>0</v>
      </c>
      <c r="MY45" s="128">
        <v>0</v>
      </c>
      <c r="MZ45" s="32">
        <v>0</v>
      </c>
      <c r="NA45" s="100">
        <f t="shared" si="478"/>
        <v>350</v>
      </c>
      <c r="NC45" s="37">
        <f t="shared" si="479"/>
        <v>350</v>
      </c>
      <c r="ND45" s="141">
        <f>IFERROR(VLOOKUP($D45,'Adient Assende (Belgium) WK.17'!$B:LZ,NE$1,0),0)</f>
        <v>0</v>
      </c>
      <c r="NE45" s="140">
        <f>IFERROR(VLOOKUP($D45,'Adient Arendal (Malzia) WK.12'!$B:MA,NE$1,0),0)</f>
        <v>0</v>
      </c>
      <c r="NF45" s="140">
        <f>IFERROR(VLOOKUP($D45,'Adient Taizhou (China) WK.16'!$B:MD,NE$1,0),0)</f>
        <v>0</v>
      </c>
      <c r="NG45" s="128">
        <v>0</v>
      </c>
      <c r="NH45" s="32">
        <v>0</v>
      </c>
      <c r="NI45" s="100">
        <f t="shared" si="480"/>
        <v>350</v>
      </c>
      <c r="NK45" s="37">
        <f t="shared" si="481"/>
        <v>350</v>
      </c>
      <c r="NL45" s="141">
        <f>IFERROR(VLOOKUP($D45,'Adient Assende (Belgium) WK.17'!$B:MH,NM$1,0),0)</f>
        <v>0</v>
      </c>
      <c r="NM45" s="140">
        <f>IFERROR(VLOOKUP($D45,'Adient Arendal (Malzia) WK.12'!$B:MI,NM$1,0),0)</f>
        <v>0</v>
      </c>
      <c r="NN45" s="140">
        <f>IFERROR(VLOOKUP($D45,'Adient Taizhou (China) WK.16'!$B:ML,NM$1,0),0)</f>
        <v>0</v>
      </c>
      <c r="NO45" s="128">
        <v>0</v>
      </c>
      <c r="NP45" s="32">
        <v>0</v>
      </c>
      <c r="NQ45" s="100">
        <f t="shared" si="482"/>
        <v>350</v>
      </c>
      <c r="NS45" s="37">
        <f t="shared" si="483"/>
        <v>350</v>
      </c>
      <c r="NT45" s="141">
        <f>IFERROR(VLOOKUP($D45,'Adient Assende (Belgium) WK.17'!$B:MP,NU$1,0),0)</f>
        <v>0</v>
      </c>
      <c r="NU45" s="140">
        <f>IFERROR(VLOOKUP($D45,'Adient Arendal (Malzia) WK.12'!$B:MQ,NU$1,0),0)</f>
        <v>0</v>
      </c>
      <c r="NV45" s="140">
        <f>IFERROR(VLOOKUP($D45,'Adient Taizhou (China) WK.16'!$B:MT,NU$1,0),0)</f>
        <v>0</v>
      </c>
      <c r="NW45" s="128">
        <v>0</v>
      </c>
      <c r="NX45" s="32">
        <v>0</v>
      </c>
      <c r="NY45" s="100">
        <f t="shared" si="484"/>
        <v>350</v>
      </c>
      <c r="OA45" s="37">
        <f t="shared" si="485"/>
        <v>350</v>
      </c>
      <c r="OB45" s="141">
        <f>IFERROR(VLOOKUP($D45,'Adient Assende (Belgium) WK.17'!$B:MX,OC$1,0),0)</f>
        <v>0</v>
      </c>
      <c r="OC45" s="140">
        <f>IFERROR(VLOOKUP($D45,'Adient Arendal (Malzia) WK.12'!$B:MY,OC$1,0),0)</f>
        <v>0</v>
      </c>
      <c r="OD45" s="140">
        <f>IFERROR(VLOOKUP($D45,'Adient Taizhou (China) WK.16'!$B:NB,OC$1,0),0)</f>
        <v>0</v>
      </c>
      <c r="OE45" s="128">
        <v>0</v>
      </c>
      <c r="OF45" s="32">
        <v>0</v>
      </c>
      <c r="OG45" s="100">
        <f t="shared" si="486"/>
        <v>350</v>
      </c>
      <c r="OI45" s="37">
        <f t="shared" si="487"/>
        <v>350</v>
      </c>
      <c r="OJ45" s="141">
        <f>IFERROR(VLOOKUP($D45,'Adient Assende (Belgium) WK.17'!$B:NF,OK$1,0),0)</f>
        <v>0</v>
      </c>
      <c r="OK45" s="140">
        <f>IFERROR(VLOOKUP($D45,'Adient Arendal (Malzia) WK.12'!$B:NG,OK$1,0),0)</f>
        <v>0</v>
      </c>
      <c r="OL45" s="140">
        <f>IFERROR(VLOOKUP($D45,'Adient Taizhou (China) WK.16'!$B:NJ,OK$1,0),0)</f>
        <v>0</v>
      </c>
      <c r="OM45" s="128">
        <v>0</v>
      </c>
      <c r="ON45" s="32">
        <v>0</v>
      </c>
      <c r="OO45" s="100">
        <f t="shared" si="488"/>
        <v>350</v>
      </c>
      <c r="OQ45" s="37">
        <f t="shared" si="489"/>
        <v>350</v>
      </c>
      <c r="OR45" s="141">
        <f>IFERROR(VLOOKUP($D45,'Adient Assende (Belgium) WK.17'!$B:NN,OS$1,0),0)</f>
        <v>0</v>
      </c>
      <c r="OS45" s="140">
        <f>IFERROR(VLOOKUP($D45,'Adient Arendal (Malzia) WK.12'!$B:NO,OS$1,0),0)</f>
        <v>0</v>
      </c>
      <c r="OT45" s="140">
        <f>IFERROR(VLOOKUP($D45,'Adient Taizhou (China) WK.16'!$B:NR,OS$1,0),0)</f>
        <v>0</v>
      </c>
      <c r="OU45" s="128">
        <v>0</v>
      </c>
      <c r="OV45" s="32">
        <v>0</v>
      </c>
      <c r="OW45" s="100">
        <f t="shared" si="490"/>
        <v>350</v>
      </c>
      <c r="OY45" s="37">
        <f t="shared" si="491"/>
        <v>350</v>
      </c>
      <c r="OZ45" s="141">
        <f>IFERROR(VLOOKUP($D45,'Adient Assende (Belgium) WK.17'!$B:NV,PA$1,0),0)</f>
        <v>0</v>
      </c>
      <c r="PA45" s="140">
        <f>IFERROR(VLOOKUP($D45,'Adient Arendal (Malzia) WK.12'!$B:NW,PA$1,0),0)</f>
        <v>0</v>
      </c>
      <c r="PB45" s="140">
        <f>IFERROR(VLOOKUP($D45,'Adient Taizhou (China) WK.16'!$B:NZ,PA$1,0),0)</f>
        <v>0</v>
      </c>
      <c r="PC45" s="128">
        <v>0</v>
      </c>
      <c r="PD45" s="32">
        <v>0</v>
      </c>
      <c r="PE45" s="100">
        <f t="shared" si="492"/>
        <v>350</v>
      </c>
      <c r="PG45" s="37">
        <f t="shared" si="493"/>
        <v>350</v>
      </c>
      <c r="PH45" s="141">
        <f>IFERROR(VLOOKUP($D45,'Adient Assende (Belgium) WK.17'!$B:OD,PI$1,0),0)</f>
        <v>0</v>
      </c>
      <c r="PI45" s="140">
        <f>IFERROR(VLOOKUP($D45,'Adient Arendal (Malzia) WK.12'!$B:OE,PI$1,0),0)</f>
        <v>0</v>
      </c>
      <c r="PJ45" s="140">
        <f>IFERROR(VLOOKUP($D45,'Adient Taizhou (China) WK.16'!$B:OH,PI$1,0),0)</f>
        <v>0</v>
      </c>
      <c r="PK45" s="128">
        <v>0</v>
      </c>
      <c r="PL45" s="32">
        <v>0</v>
      </c>
      <c r="PM45" s="100">
        <f t="shared" si="494"/>
        <v>350</v>
      </c>
      <c r="PO45" s="37">
        <f t="shared" si="495"/>
        <v>350</v>
      </c>
      <c r="PP45" s="141">
        <f>IFERROR(VLOOKUP($D45,'Adient Assende (Belgium) WK.17'!$B:OL,PQ$1,0),0)</f>
        <v>0</v>
      </c>
      <c r="PQ45" s="140">
        <f>IFERROR(VLOOKUP($D45,'Adient Arendal (Malzia) WK.12'!$B:OM,PQ$1,0),0)</f>
        <v>0</v>
      </c>
      <c r="PR45" s="140">
        <f>IFERROR(VLOOKUP($D45,'Adient Taizhou (China) WK.16'!$B:OP,PQ$1,0),0)</f>
        <v>0</v>
      </c>
      <c r="PS45" s="128">
        <v>0</v>
      </c>
      <c r="PT45" s="32">
        <v>0</v>
      </c>
      <c r="PU45" s="100">
        <f t="shared" si="496"/>
        <v>350</v>
      </c>
      <c r="PW45" s="37">
        <f t="shared" si="497"/>
        <v>350</v>
      </c>
      <c r="PX45" s="141">
        <f>IFERROR(VLOOKUP($D45,'Adient Assende (Belgium) WK.17'!$B:OT,PY$1,0),0)</f>
        <v>0</v>
      </c>
      <c r="PY45" s="140">
        <f>IFERROR(VLOOKUP($D45,'Adient Arendal (Malzia) WK.12'!$B:OU,PY$1,0),0)</f>
        <v>0</v>
      </c>
      <c r="PZ45" s="140">
        <f>IFERROR(VLOOKUP($D45,'Adient Taizhou (China) WK.16'!$B:OX,PY$1,0),0)</f>
        <v>0</v>
      </c>
      <c r="QA45" s="128">
        <v>0</v>
      </c>
      <c r="QB45" s="32">
        <v>0</v>
      </c>
      <c r="QC45" s="100">
        <f t="shared" si="498"/>
        <v>350</v>
      </c>
      <c r="QE45" s="37">
        <f t="shared" si="499"/>
        <v>350</v>
      </c>
      <c r="QF45" s="141">
        <f>IFERROR(VLOOKUP($D45,'Adient Assende (Belgium) WK.17'!$B:PB,QG$1,0),0)</f>
        <v>100</v>
      </c>
      <c r="QG45" s="140">
        <f>IFERROR(VLOOKUP($D45,'Adient Arendal (Malzia) WK.12'!$B:PC,QG$1,0),0)</f>
        <v>0</v>
      </c>
      <c r="QH45" s="140">
        <f>IFERROR(VLOOKUP($D45,'Adient Taizhou (China) WK.16'!$B:PF,QG$1,0),0)</f>
        <v>0</v>
      </c>
      <c r="QI45" s="128">
        <v>0</v>
      </c>
      <c r="QJ45" s="32">
        <v>0</v>
      </c>
      <c r="QK45" s="100">
        <f t="shared" si="500"/>
        <v>250</v>
      </c>
      <c r="QM45" s="37">
        <f t="shared" si="501"/>
        <v>250</v>
      </c>
      <c r="QN45" s="141">
        <f>IFERROR(VLOOKUP($D45,'Adient Assende (Belgium) WK.17'!$B:PJ,QO$1,0),0)</f>
        <v>0</v>
      </c>
      <c r="QO45" s="140">
        <f>IFERROR(VLOOKUP($D45,'Adient Arendal (Malzia) WK.12'!$B:PK,QO$1,0),0)</f>
        <v>0</v>
      </c>
      <c r="QP45" s="140">
        <f>IFERROR(VLOOKUP($D45,'Adient Taizhou (China) WK.16'!$B:PN,QO$1,0),0)</f>
        <v>0</v>
      </c>
      <c r="QQ45" s="128">
        <v>0</v>
      </c>
      <c r="QR45" s="32">
        <v>0</v>
      </c>
      <c r="QS45" s="100">
        <f t="shared" si="502"/>
        <v>250</v>
      </c>
      <c r="QU45" s="37">
        <f t="shared" si="503"/>
        <v>250</v>
      </c>
      <c r="QV45" s="141">
        <f>IFERROR(VLOOKUP($D45,'Adient Assende (Belgium) WK.17'!$B:PR,QW$1,0),0)</f>
        <v>0</v>
      </c>
      <c r="QW45" s="140">
        <f>IFERROR(VLOOKUP($D45,'Adient Arendal (Malzia) WK.12'!$B:PS,QW$1,0),0)</f>
        <v>0</v>
      </c>
      <c r="QX45" s="140">
        <f>IFERROR(VLOOKUP($D45,'Adient Taizhou (China) WK.16'!$B:PV,QW$1,0),0)</f>
        <v>0</v>
      </c>
      <c r="QY45" s="128">
        <v>0</v>
      </c>
      <c r="QZ45" s="32">
        <v>0</v>
      </c>
      <c r="RA45" s="100">
        <f t="shared" si="504"/>
        <v>250</v>
      </c>
      <c r="RC45" s="37">
        <f t="shared" si="505"/>
        <v>250</v>
      </c>
      <c r="RD45" s="141">
        <f>IFERROR(VLOOKUP($D45,'Adient Assende (Belgium) WK.17'!$B:PZ,RE$1,0),0)</f>
        <v>0</v>
      </c>
      <c r="RE45" s="140">
        <f>IFERROR(VLOOKUP($D45,'Adient Arendal (Malzia) WK.12'!$B:QA,RE$1,0),0)</f>
        <v>0</v>
      </c>
      <c r="RF45" s="140">
        <f>IFERROR(VLOOKUP($D45,'Adient Taizhou (China) WK.16'!$B:QD,RE$1,0),0)</f>
        <v>0</v>
      </c>
      <c r="RG45" s="128">
        <v>0</v>
      </c>
      <c r="RH45" s="32">
        <v>0</v>
      </c>
      <c r="RI45" s="100">
        <f t="shared" si="506"/>
        <v>250</v>
      </c>
      <c r="RK45" s="37">
        <f t="shared" si="507"/>
        <v>250</v>
      </c>
      <c r="RL45" s="141">
        <f>IFERROR(VLOOKUP($D45,'Adient Assende (Belgium) WK.17'!$B:QH,RM$1,0),0)</f>
        <v>0</v>
      </c>
      <c r="RM45" s="140">
        <f>IFERROR(VLOOKUP($D45,'Adient Arendal (Malzia) WK.12'!$B:QI,RM$1,0),0)</f>
        <v>0</v>
      </c>
      <c r="RN45" s="140">
        <f>IFERROR(VLOOKUP($D45,'Adient Taizhou (China) WK.16'!$B:QL,RM$1,0),0)</f>
        <v>0</v>
      </c>
      <c r="RO45" s="128">
        <v>0</v>
      </c>
      <c r="RP45" s="32">
        <v>0</v>
      </c>
      <c r="RQ45" s="100">
        <f t="shared" si="508"/>
        <v>250</v>
      </c>
      <c r="RS45" s="37">
        <f t="shared" si="509"/>
        <v>250</v>
      </c>
      <c r="RT45" s="141">
        <f>IFERROR(VLOOKUP($D45,'Adient Assende (Belgium) WK.17'!$B:QP,RU$1,0),0)</f>
        <v>0</v>
      </c>
      <c r="RU45" s="140">
        <f>IFERROR(VLOOKUP($D45,'Adient Arendal (Malzia) WK.12'!$B:QQ,RU$1,0),0)</f>
        <v>0</v>
      </c>
      <c r="RV45" s="140">
        <f>IFERROR(VLOOKUP($D45,'Adient Taizhou (China) WK.16'!$B:QT,RU$1,0),0)</f>
        <v>0</v>
      </c>
      <c r="RW45" s="128">
        <v>0</v>
      </c>
      <c r="RX45" s="32">
        <v>0</v>
      </c>
      <c r="RY45" s="100">
        <f t="shared" si="510"/>
        <v>250</v>
      </c>
      <c r="SA45" s="37">
        <f t="shared" si="511"/>
        <v>250</v>
      </c>
      <c r="SB45" s="141">
        <f>IFERROR(VLOOKUP($D45,'Adient Assende (Belgium) WK.17'!$B:QX,SC$1,0),0)</f>
        <v>0</v>
      </c>
      <c r="SC45" s="140">
        <f>IFERROR(VLOOKUP($D45,'Adient Arendal (Malzia) WK.12'!$B:QY,SC$1,0),0)</f>
        <v>0</v>
      </c>
      <c r="SD45" s="140">
        <f>IFERROR(VLOOKUP($D45,'Adient Taizhou (China) WK.16'!$B:RB,SC$1,0),0)</f>
        <v>0</v>
      </c>
      <c r="SE45" s="128">
        <v>0</v>
      </c>
      <c r="SF45" s="32">
        <v>0</v>
      </c>
      <c r="SG45" s="100">
        <f t="shared" si="512"/>
        <v>250</v>
      </c>
      <c r="SI45" s="37">
        <f t="shared" si="513"/>
        <v>250</v>
      </c>
      <c r="SJ45" s="141">
        <f>IFERROR(VLOOKUP($D45,'Adient Assende (Belgium) WK.17'!$B:RF,SK$1,0),0)</f>
        <v>0</v>
      </c>
      <c r="SK45" s="140">
        <f>IFERROR(VLOOKUP($D45,'Adient Arendal (Malzia) WK.12'!$B:RG,SK$1,0),0)</f>
        <v>0</v>
      </c>
      <c r="SL45" s="140">
        <f>IFERROR(VLOOKUP($D45,'Adient Taizhou (China) WK.16'!$B:RJ,SK$1,0),0)</f>
        <v>0</v>
      </c>
      <c r="SM45" s="128">
        <v>0</v>
      </c>
      <c r="SN45" s="32">
        <v>0</v>
      </c>
      <c r="SO45" s="100">
        <f t="shared" si="514"/>
        <v>250</v>
      </c>
      <c r="SQ45" s="37">
        <f t="shared" si="515"/>
        <v>250</v>
      </c>
      <c r="SR45" s="141">
        <f>IFERROR(VLOOKUP($D45,'Adient Assende (Belgium) WK.17'!$B:RN,SS$1,0),0)</f>
        <v>0</v>
      </c>
      <c r="SS45" s="140">
        <f>IFERROR(VLOOKUP($D45,'Adient Arendal (Malzia) WK.12'!$B:RO,SS$1,0),0)</f>
        <v>0</v>
      </c>
      <c r="ST45" s="140">
        <f>IFERROR(VLOOKUP($D45,'Adient Taizhou (China) WK.16'!$B:RR,SS$1,0),0)</f>
        <v>0</v>
      </c>
      <c r="SU45" s="128">
        <v>0</v>
      </c>
      <c r="SV45" s="32">
        <v>0</v>
      </c>
      <c r="SW45" s="100">
        <f t="shared" si="516"/>
        <v>250</v>
      </c>
      <c r="SY45" s="37">
        <f t="shared" si="517"/>
        <v>250</v>
      </c>
      <c r="SZ45" s="141">
        <f>IFERROR(VLOOKUP($D45,'Adient Assende (Belgium) WK.17'!$B:RV,TA$1,0),0)</f>
        <v>0</v>
      </c>
      <c r="TA45" s="140">
        <f>IFERROR(VLOOKUP($D45,'Adient Arendal (Malzia) WK.12'!$B:RW,TA$1,0),0)</f>
        <v>0</v>
      </c>
      <c r="TB45" s="140">
        <f>IFERROR(VLOOKUP($D45,'Adient Taizhou (China) WK.16'!$B:RZ,TA$1,0),0)</f>
        <v>0</v>
      </c>
      <c r="TC45" s="128">
        <v>0</v>
      </c>
      <c r="TD45" s="32">
        <v>0</v>
      </c>
      <c r="TE45" s="100">
        <f t="shared" si="518"/>
        <v>250</v>
      </c>
      <c r="TG45" s="37">
        <f t="shared" si="519"/>
        <v>250</v>
      </c>
      <c r="TH45" s="141">
        <f>IFERROR(VLOOKUP($D45,'Adient Assende (Belgium) WK.17'!$B:SD,TI$1,0),0)</f>
        <v>20</v>
      </c>
      <c r="TI45" s="140">
        <f>IFERROR(VLOOKUP($D45,'Adient Arendal (Malzia) WK.12'!$B:SE,TI$1,0),0)</f>
        <v>0</v>
      </c>
      <c r="TJ45" s="140">
        <f>IFERROR(VLOOKUP($D45,'Adient Taizhou (China) WK.16'!$B:SH,TI$1,0),0)</f>
        <v>0</v>
      </c>
      <c r="TK45" s="128">
        <v>0</v>
      </c>
      <c r="TL45" s="32">
        <v>0</v>
      </c>
      <c r="TM45" s="100">
        <f t="shared" si="520"/>
        <v>230</v>
      </c>
      <c r="TO45" s="37">
        <f t="shared" si="521"/>
        <v>230</v>
      </c>
      <c r="TP45" s="141">
        <f>IFERROR(VLOOKUP($D45,'Adient Assende (Belgium) WK.17'!$B:SL,TQ$1,0),0)</f>
        <v>20</v>
      </c>
      <c r="TQ45" s="140">
        <f>IFERROR(VLOOKUP($D45,'Adient Arendal (Malzia) WK.12'!$B:SM,TQ$1,0),0)</f>
        <v>0</v>
      </c>
      <c r="TR45" s="140">
        <f>IFERROR(VLOOKUP($D45,'Adient Taizhou (China) WK.16'!$B:SP,TQ$1,0),0)</f>
        <v>0</v>
      </c>
      <c r="TS45" s="128">
        <v>0</v>
      </c>
      <c r="TT45" s="32">
        <v>0</v>
      </c>
      <c r="TU45" s="100">
        <f t="shared" si="522"/>
        <v>210</v>
      </c>
      <c r="TW45" s="37">
        <f t="shared" si="523"/>
        <v>210</v>
      </c>
      <c r="TX45" s="141">
        <f>IFERROR(VLOOKUP($D45,'Adient Assende (Belgium) WK.17'!$B:ST,TY$1,0),0)</f>
        <v>20</v>
      </c>
      <c r="TY45" s="140">
        <f>IFERROR(VLOOKUP($D45,'Adient Arendal (Malzia) WK.12'!$B:SU,TY$1,0),0)</f>
        <v>0</v>
      </c>
      <c r="TZ45" s="140">
        <f>IFERROR(VLOOKUP($D45,'Adient Taizhou (China) WK.16'!$B:SX,TY$1,0),0)</f>
        <v>0</v>
      </c>
      <c r="UA45" s="128">
        <v>0</v>
      </c>
      <c r="UB45" s="32">
        <v>0</v>
      </c>
      <c r="UC45" s="100">
        <f t="shared" si="524"/>
        <v>190</v>
      </c>
      <c r="UE45" s="37">
        <f t="shared" si="525"/>
        <v>190</v>
      </c>
      <c r="UF45" s="141">
        <f>IFERROR(VLOOKUP($D45,'Adient Assende (Belgium) WK.17'!$B:TB,UG$1,0),0)</f>
        <v>20</v>
      </c>
      <c r="UG45" s="140">
        <f>IFERROR(VLOOKUP($D45,'Adient Arendal (Malzia) WK.12'!$B:TC,UG$1,0),0)</f>
        <v>0</v>
      </c>
      <c r="UH45" s="140">
        <f>IFERROR(VLOOKUP($D45,'Adient Taizhou (China) WK.16'!$B:TF,UG$1,0),0)</f>
        <v>0</v>
      </c>
      <c r="UI45" s="128">
        <v>0</v>
      </c>
      <c r="UJ45" s="32">
        <v>0</v>
      </c>
      <c r="UK45" s="100">
        <f t="shared" si="526"/>
        <v>170</v>
      </c>
      <c r="UM45" s="37">
        <f t="shared" si="527"/>
        <v>170</v>
      </c>
      <c r="UN45" s="141">
        <f>IFERROR(VLOOKUP($D45,'Adient Assende (Belgium) WK.17'!$B:TJ,UO$1,0),0)</f>
        <v>20</v>
      </c>
      <c r="UO45" s="140">
        <f>IFERROR(VLOOKUP($D45,'Adient Arendal (Malzia) WK.12'!$B:TK,UO$1,0),0)</f>
        <v>0</v>
      </c>
      <c r="UP45" s="140">
        <f>IFERROR(VLOOKUP($D45,'Adient Taizhou (China) WK.16'!$B:TN,UO$1,0),0)</f>
        <v>0</v>
      </c>
      <c r="UQ45" s="128">
        <v>0</v>
      </c>
      <c r="UR45" s="32">
        <v>0</v>
      </c>
      <c r="US45" s="100">
        <f t="shared" si="528"/>
        <v>150</v>
      </c>
      <c r="UU45" s="37">
        <f t="shared" si="529"/>
        <v>150</v>
      </c>
      <c r="UV45" s="141">
        <f>IFERROR(VLOOKUP($D45,'Adient Assende (Belgium) WK.17'!$B:TR,UW$1,0),0)</f>
        <v>50</v>
      </c>
      <c r="UW45" s="140">
        <f>IFERROR(VLOOKUP($D45,'Adient Arendal (Malzia) WK.12'!$B:TS,UW$1,0),0)</f>
        <v>0</v>
      </c>
      <c r="UX45" s="140">
        <f>IFERROR(VLOOKUP($D45,'Adient Taizhou (China) WK.16'!$B:TV,UW$1,0),0)</f>
        <v>0</v>
      </c>
      <c r="UY45" s="128">
        <v>0</v>
      </c>
      <c r="UZ45" s="32">
        <v>0</v>
      </c>
      <c r="VA45" s="100">
        <f t="shared" si="530"/>
        <v>100</v>
      </c>
      <c r="VC45" s="37">
        <f t="shared" si="531"/>
        <v>100</v>
      </c>
      <c r="VD45" s="141">
        <f>IFERROR(VLOOKUP($D45,'Adient Assende (Belgium) WK.17'!$B:TZ,VE$1,0),0)</f>
        <v>50</v>
      </c>
      <c r="VE45" s="140">
        <f>IFERROR(VLOOKUP($D45,'Adient Arendal (Malzia) WK.12'!$B:UA,VE$1,0),0)</f>
        <v>0</v>
      </c>
      <c r="VF45" s="140">
        <f>IFERROR(VLOOKUP($D45,'Adient Taizhou (China) WK.16'!$B:UD,VE$1,0),0)</f>
        <v>0</v>
      </c>
      <c r="VG45" s="128">
        <v>0</v>
      </c>
      <c r="VH45" s="32">
        <v>0</v>
      </c>
      <c r="VI45" s="100">
        <f t="shared" si="532"/>
        <v>50</v>
      </c>
      <c r="VK45" s="37">
        <f t="shared" si="533"/>
        <v>50</v>
      </c>
      <c r="VL45" s="141">
        <f>IFERROR(VLOOKUP($D45,'Adient Assende (Belgium) WK.17'!$B:UH,VM$1,0),0)</f>
        <v>0</v>
      </c>
      <c r="VM45" s="140">
        <f>IFERROR(VLOOKUP($D45,'Adient Arendal (Malzia) WK.12'!$B:UI,VM$1,0),0)</f>
        <v>0</v>
      </c>
      <c r="VN45" s="140">
        <f>IFERROR(VLOOKUP($D45,'Adient Taizhou (China) WK.16'!$B:UL,VM$1,0),0)</f>
        <v>0</v>
      </c>
      <c r="VO45" s="128">
        <v>0</v>
      </c>
      <c r="VP45" s="32">
        <v>0</v>
      </c>
      <c r="VQ45" s="100">
        <f t="shared" si="534"/>
        <v>50</v>
      </c>
    </row>
    <row r="46" spans="1:589" x14ac:dyDescent="0.25">
      <c r="A46" s="10" t="s">
        <v>18</v>
      </c>
      <c r="B46" s="11" t="s">
        <v>17</v>
      </c>
      <c r="C46" s="87">
        <v>32248184</v>
      </c>
      <c r="D46" s="81">
        <v>4172820</v>
      </c>
      <c r="E46" s="11">
        <v>20</v>
      </c>
      <c r="F46" s="12"/>
      <c r="H46" s="122">
        <v>4560</v>
      </c>
      <c r="I46" s="125">
        <f>IFERROR(VLOOKUP($D46,'Adient Assende (Belgium) WK.17'!$B:C,J$1,0),0)</f>
        <v>400</v>
      </c>
      <c r="J46" s="55">
        <f>IFERROR(VLOOKUP($D46,'Adient Arendal (Malzia) WK.12'!$B:C,J$1,0),0)</f>
        <v>0</v>
      </c>
      <c r="K46" s="55">
        <f>IFERROR(VLOOKUP($D46,'Adient Taizhou (China) WK.16'!$B:C,J$1,0),0)</f>
        <v>0</v>
      </c>
      <c r="L46" s="128">
        <v>400</v>
      </c>
      <c r="M46" s="32">
        <v>0</v>
      </c>
      <c r="N46" s="106">
        <f t="shared" si="233"/>
        <v>4160</v>
      </c>
      <c r="P46" s="37">
        <f t="shared" si="234"/>
        <v>4160</v>
      </c>
      <c r="Q46" s="125">
        <f>IFERROR(VLOOKUP($D46,'Adient Assende (Belgium) WK.17'!$B:K,R$1,0),0)</f>
        <v>400</v>
      </c>
      <c r="R46" s="55">
        <f>IFERROR(VLOOKUP($D46,'Adient Arendal (Malzia) WK.12'!$B:K,R$1,0),0)</f>
        <v>0</v>
      </c>
      <c r="S46" s="55">
        <f>IFERROR(VLOOKUP($D46,'Adient Taizhou (China) WK.16'!$B:K,R$1,0),0)</f>
        <v>0</v>
      </c>
      <c r="T46" s="41">
        <v>480</v>
      </c>
      <c r="U46" s="32">
        <v>0</v>
      </c>
      <c r="V46" s="106">
        <f t="shared" si="235"/>
        <v>3680</v>
      </c>
      <c r="X46" s="37">
        <f t="shared" si="236"/>
        <v>3680</v>
      </c>
      <c r="Y46" s="125">
        <f>IFERROR(VLOOKUP($D46,'Adient Assende (Belgium) WK.17'!$B:S,Z$1,0),0)</f>
        <v>480</v>
      </c>
      <c r="Z46" s="55">
        <f>IFERROR(VLOOKUP($D46,'Adient Arendal (Malzia) WK.12'!$B:S,Z$1,0),0)</f>
        <v>0</v>
      </c>
      <c r="AA46" s="55">
        <f>IFERROR(VLOOKUP($D46,'Adient Taizhou (China) WK.16'!$B:S,Z$1,0),0)</f>
        <v>0</v>
      </c>
      <c r="AB46" s="41">
        <v>400</v>
      </c>
      <c r="AC46" s="32">
        <v>0</v>
      </c>
      <c r="AD46" s="106">
        <f t="shared" si="237"/>
        <v>3280</v>
      </c>
      <c r="AF46" s="37">
        <f t="shared" si="238"/>
        <v>3280</v>
      </c>
      <c r="AG46" s="125">
        <f>IFERROR(VLOOKUP($D46,'Adient Assende (Belgium) WK.17'!$B:AA,AH$1,0),0)</f>
        <v>400</v>
      </c>
      <c r="AH46" s="55">
        <f>IFERROR(VLOOKUP($D46,'Adient Arendal (Malzia) WK.12'!$B:AA,AH$1,0),0)</f>
        <v>0</v>
      </c>
      <c r="AI46" s="55">
        <f>IFERROR(VLOOKUP($D46,'Adient Taizhou (China) WK.16'!$B:AA,AH$1,0),0)</f>
        <v>0</v>
      </c>
      <c r="AJ46" s="41">
        <v>400</v>
      </c>
      <c r="AK46" s="32">
        <v>0</v>
      </c>
      <c r="AL46" s="106">
        <f t="shared" si="239"/>
        <v>2880</v>
      </c>
      <c r="AN46" s="37">
        <f t="shared" si="432"/>
        <v>2880</v>
      </c>
      <c r="AO46" s="125">
        <f>IFERROR(VLOOKUP($D46,'Adient Assende (Belgium) WK.17'!$B:AI,AP$1,0),0)</f>
        <v>400</v>
      </c>
      <c r="AP46" s="55">
        <f>IFERROR(VLOOKUP($D46,'Adient Arendal (Malzia) WK.12'!$B:AI,AP$1,0),0)</f>
        <v>0</v>
      </c>
      <c r="AQ46" s="55">
        <f>IFERROR(VLOOKUP($D46,'Adient Taizhou (China) WK.16'!$B:AI,AP$1,0),0)</f>
        <v>0</v>
      </c>
      <c r="AR46" s="60">
        <v>0</v>
      </c>
      <c r="AS46" s="41">
        <v>400</v>
      </c>
      <c r="AT46" s="32">
        <v>0</v>
      </c>
      <c r="AU46" s="106">
        <f t="shared" si="240"/>
        <v>2480</v>
      </c>
      <c r="AW46" s="37">
        <f t="shared" si="433"/>
        <v>2480</v>
      </c>
      <c r="AX46" s="125">
        <f>IFERROR(VLOOKUP($D46,'Adient Assende (Belgium) WK.17'!$B:AR,AY$1,0),0)</f>
        <v>400</v>
      </c>
      <c r="AY46" s="55">
        <f>IFERROR(VLOOKUP($D46,'Adient Arendal (Malzia) WK.12'!$B:AR,AY$1,0),0)</f>
        <v>0</v>
      </c>
      <c r="AZ46" s="55">
        <f>IFERROR(VLOOKUP($D46,'Adient Taizhou (China) WK.16'!$B:AU,AY$1,0),0)</f>
        <v>0</v>
      </c>
      <c r="BA46" s="41">
        <v>400</v>
      </c>
      <c r="BB46" s="32">
        <v>0</v>
      </c>
      <c r="BC46" s="106">
        <f t="shared" si="241"/>
        <v>2080</v>
      </c>
      <c r="BE46" s="37">
        <f t="shared" si="434"/>
        <v>2080</v>
      </c>
      <c r="BF46" s="125">
        <f>IFERROR(VLOOKUP($D46,'Adient Assende (Belgium) WK.17'!$B:AX,BG$1,0),0)</f>
        <v>400</v>
      </c>
      <c r="BG46" s="55">
        <f>IFERROR(VLOOKUP($D46,'Adient Arendal (Malzia) WK.12'!$B:AZ,BG$1,0),0)</f>
        <v>0</v>
      </c>
      <c r="BH46" s="55">
        <f>IFERROR(VLOOKUP($D46,'Adient Taizhou (China) WK.16'!$B:BB,BG$1,0),0)</f>
        <v>0</v>
      </c>
      <c r="BI46" s="60">
        <v>0</v>
      </c>
      <c r="BJ46" s="60">
        <v>0</v>
      </c>
      <c r="BK46" s="41">
        <v>320</v>
      </c>
      <c r="BL46" s="32">
        <v>0</v>
      </c>
      <c r="BM46" s="106">
        <f t="shared" si="242"/>
        <v>1760</v>
      </c>
      <c r="BN46" s="8"/>
      <c r="BO46" s="37">
        <f t="shared" si="435"/>
        <v>1760</v>
      </c>
      <c r="BP46" s="125">
        <f>IFERROR(VLOOKUP($D46,'Adient Assende (Belgium) WK.17'!$B:BH,BQ$1,0),0)</f>
        <v>320</v>
      </c>
      <c r="BQ46" s="55">
        <f>IFERROR(VLOOKUP($D46,'Adient Arendal (Malzia) WK.12'!$B:BI,BQ$1,0),0)</f>
        <v>0</v>
      </c>
      <c r="BR46" s="55">
        <f>IFERROR(VLOOKUP($D46,'Adient Taizhou (China) WK.16'!$B:BL,BQ$1,0),0)</f>
        <v>0</v>
      </c>
      <c r="BS46" s="60">
        <v>0</v>
      </c>
      <c r="BT46" s="60">
        <v>0</v>
      </c>
      <c r="BU46" s="60">
        <v>0</v>
      </c>
      <c r="BV46" s="41">
        <v>480</v>
      </c>
      <c r="BW46" s="32">
        <v>0</v>
      </c>
      <c r="BX46" s="106">
        <f t="shared" si="243"/>
        <v>1280</v>
      </c>
      <c r="BY46" s="8"/>
      <c r="BZ46" s="37">
        <f t="shared" si="436"/>
        <v>1280</v>
      </c>
      <c r="CA46" s="125">
        <f>IFERROR(VLOOKUP($D46,'Adient Assende (Belgium) WK.17'!$B:BS,CB$1,0),0)</f>
        <v>480</v>
      </c>
      <c r="CB46" s="55">
        <f>IFERROR(VLOOKUP($D46,'Adient Arendal (Malzia) WK.12'!$B:BT,CB$1,0),0)</f>
        <v>0</v>
      </c>
      <c r="CC46" s="55">
        <f>IFERROR(VLOOKUP($D46,'Adient Taizhou (China) WK.16'!$B:BW,CB$1,0),0)</f>
        <v>0</v>
      </c>
      <c r="CD46" s="60">
        <v>0</v>
      </c>
      <c r="CE46" s="60">
        <v>0</v>
      </c>
      <c r="CF46" s="41">
        <v>720</v>
      </c>
      <c r="CG46" s="32">
        <v>0</v>
      </c>
      <c r="CH46" s="106">
        <f t="shared" si="244"/>
        <v>560</v>
      </c>
      <c r="CI46" s="8"/>
      <c r="CJ46" s="37">
        <f t="shared" si="437"/>
        <v>560</v>
      </c>
      <c r="CK46" s="125">
        <f>IFERROR(VLOOKUP($D46,'Adient Assende (Belgium) WK.17'!$B:CC,CL$1,0),0)</f>
        <v>720</v>
      </c>
      <c r="CL46" s="55">
        <f>IFERROR(VLOOKUP($D46,'Adient Arendal (Malzia) WK.12'!$B:CD,CL$1,0),0)</f>
        <v>0</v>
      </c>
      <c r="CM46" s="55">
        <f>IFERROR(VLOOKUP($D46,'Adient Taizhou (China) WK.16'!$B:CG,CL$1,0),0)</f>
        <v>0</v>
      </c>
      <c r="CN46" s="60">
        <v>760</v>
      </c>
      <c r="CO46" s="149">
        <v>0</v>
      </c>
      <c r="CP46" s="32">
        <v>0</v>
      </c>
      <c r="CQ46" s="106">
        <f t="shared" si="245"/>
        <v>1320</v>
      </c>
      <c r="CR46" s="8"/>
      <c r="CS46" s="122">
        <f t="shared" si="438"/>
        <v>1320</v>
      </c>
      <c r="CT46" s="154">
        <f>IFERROR(VLOOKUP($D46,'Adient Assende (Belgium) WK.17'!$B:CL,CU$1,0),0)</f>
        <v>0</v>
      </c>
      <c r="CU46" s="55">
        <f>IFERROR(VLOOKUP($D46,'Adient Arendal (Malzia) WK.12'!$B:CM,CU$1,0),0)</f>
        <v>0</v>
      </c>
      <c r="CV46" s="55">
        <f>IFERROR(VLOOKUP($D46,'Adient Taizhou (China) WK.16'!$B:CP,CU$1,0),0)</f>
        <v>0</v>
      </c>
      <c r="CW46" s="60">
        <v>0</v>
      </c>
      <c r="CX46" s="60">
        <v>420</v>
      </c>
      <c r="CY46" s="128">
        <v>400</v>
      </c>
      <c r="CZ46" s="32">
        <v>0</v>
      </c>
      <c r="DA46" s="106">
        <f t="shared" si="246"/>
        <v>1340</v>
      </c>
      <c r="DB46" s="8"/>
      <c r="DC46" s="37">
        <f t="shared" si="439"/>
        <v>1340</v>
      </c>
      <c r="DD46" s="125">
        <f>IFERROR(VLOOKUP($D46,'Adient Assende (Belgium) WK.17'!$B:CS,DE$1,0),0)</f>
        <v>400</v>
      </c>
      <c r="DE46" s="55">
        <f>IFERROR(VLOOKUP($D46,'Adient Arendal (Malzia) WK.12'!$B:CU,DE$1,0),0)</f>
        <v>0</v>
      </c>
      <c r="DF46" s="55">
        <f>IFERROR(VLOOKUP($D46,'Adient Taizhou (China) WK.16'!$B:CX,DE$1,0),0)</f>
        <v>0</v>
      </c>
      <c r="DG46" s="60">
        <v>540</v>
      </c>
      <c r="DH46" s="128">
        <v>560</v>
      </c>
      <c r="DI46" s="32">
        <v>0</v>
      </c>
      <c r="DJ46" s="106">
        <f t="shared" si="247"/>
        <v>1320</v>
      </c>
      <c r="DL46" s="37">
        <f t="shared" si="440"/>
        <v>1320</v>
      </c>
      <c r="DM46" s="125">
        <f>IFERROR(VLOOKUP($D46,'Adient Assende (Belgium) WK.17'!$B:DB,DN$1,0),0)</f>
        <v>560</v>
      </c>
      <c r="DN46" s="55">
        <f>IFERROR(VLOOKUP($D46,'Adient Arendal (Malzia) WK.12'!$B:DC,DN$1,0),0)</f>
        <v>0</v>
      </c>
      <c r="DO46" s="55">
        <f>IFERROR(VLOOKUP($D46,'Adient Taizhou (China) WK.16'!$B:DF,DN$1,0),0)</f>
        <v>0</v>
      </c>
      <c r="DP46" s="128">
        <v>640</v>
      </c>
      <c r="DQ46" s="32">
        <v>0</v>
      </c>
      <c r="DR46" s="106">
        <f t="shared" si="441"/>
        <v>680</v>
      </c>
      <c r="DS46" s="8"/>
      <c r="DT46" s="37">
        <f t="shared" si="442"/>
        <v>680</v>
      </c>
      <c r="DU46" s="125">
        <f>IFERROR(VLOOKUP($D46,'Adient Assende (Belgium) WK.17'!$B:DJ,DV$1,0),0)</f>
        <v>640</v>
      </c>
      <c r="DV46" s="55">
        <f>IFERROR(VLOOKUP($D46,'Adient Arendal (Malzia) WK.12'!$B:DK,DV$1,0),0)</f>
        <v>0</v>
      </c>
      <c r="DW46" s="55">
        <f>IFERROR(VLOOKUP($D46,'Adient Taizhou (China) WK.16'!$B:DN,DV$1,0),0)</f>
        <v>0</v>
      </c>
      <c r="DX46" s="60">
        <v>500</v>
      </c>
      <c r="DY46" s="60">
        <v>800</v>
      </c>
      <c r="DZ46" s="128">
        <v>560</v>
      </c>
      <c r="EA46" s="32">
        <v>0</v>
      </c>
      <c r="EB46" s="106">
        <f t="shared" si="248"/>
        <v>1420</v>
      </c>
      <c r="EC46" s="8"/>
      <c r="ED46" s="37">
        <f t="shared" si="443"/>
        <v>1420</v>
      </c>
      <c r="EE46" s="125">
        <f>IFERROR(VLOOKUP($D46,'Adient Assende (Belgium) WK.17'!$B:DR,EF$1,0),0)</f>
        <v>560</v>
      </c>
      <c r="EF46" s="55">
        <f>IFERROR(VLOOKUP($D46,'Adient Arendal (Malzia) WK.12'!$B:DS,EF$1,0),0)</f>
        <v>0</v>
      </c>
      <c r="EG46" s="55">
        <f>IFERROR(VLOOKUP($D46,'Adient Taizhou (China) WK.16'!$B:DV,EF$1,0),0)</f>
        <v>0</v>
      </c>
      <c r="EH46" s="60">
        <v>740</v>
      </c>
      <c r="EI46" s="128">
        <v>560</v>
      </c>
      <c r="EJ46" s="32">
        <v>0</v>
      </c>
      <c r="EK46" s="106">
        <f t="shared" si="249"/>
        <v>1600</v>
      </c>
      <c r="EM46" s="37">
        <f t="shared" si="444"/>
        <v>1600</v>
      </c>
      <c r="EN46" s="125">
        <f>IFERROR(VLOOKUP($D46,'Adient Assende (Belgium) WK.17'!$B:DZ,EO$1,0),0)</f>
        <v>560</v>
      </c>
      <c r="EO46" s="55">
        <f>IFERROR(VLOOKUP($D46,'Adient Arendal (Malzia) WK.12'!$B:EA,EO$1,0),0)</f>
        <v>0</v>
      </c>
      <c r="EP46" s="55">
        <f>IFERROR(VLOOKUP($D46,'Adient Taizhou (China) WK.16'!$B:ED,EO$1,0),0)</f>
        <v>0</v>
      </c>
      <c r="EQ46" s="128">
        <v>400</v>
      </c>
      <c r="ER46" s="32">
        <v>0</v>
      </c>
      <c r="ES46" s="106">
        <f t="shared" si="250"/>
        <v>1200</v>
      </c>
      <c r="EU46" s="37">
        <f t="shared" si="445"/>
        <v>1200</v>
      </c>
      <c r="EV46" s="125">
        <f>IFERROR(VLOOKUP($D46,'Adient Assende (Belgium) WK.17'!$B:EH,EW$1,0),0)</f>
        <v>400</v>
      </c>
      <c r="EW46" s="55">
        <f>IFERROR(VLOOKUP($D46,'Adient Arendal (Malzia) WK.12'!$B:EI,EW$1,0),0)</f>
        <v>0</v>
      </c>
      <c r="EX46" s="55">
        <f>IFERROR(VLOOKUP($D46,'Adient Taizhou (China) WK.16'!$B:EL,EW$1,0),0)</f>
        <v>0</v>
      </c>
      <c r="EY46" s="128">
        <v>0</v>
      </c>
      <c r="EZ46" s="32">
        <v>0</v>
      </c>
      <c r="FA46" s="106">
        <f t="shared" si="251"/>
        <v>1200</v>
      </c>
      <c r="FC46" s="37">
        <f t="shared" si="446"/>
        <v>1200</v>
      </c>
      <c r="FD46" s="154">
        <f>IFERROR(VLOOKUP($D46,'Adient Assende (Belgium) WK.17'!$B:EP,FE$1,0),0)</f>
        <v>0</v>
      </c>
      <c r="FE46" s="154">
        <f>IFERROR(VLOOKUP($D46,'Adient Arendal (Malzia) WK.12'!$B:EQ,FE$1,0),0)</f>
        <v>0</v>
      </c>
      <c r="FF46" s="154">
        <f>IFERROR(VLOOKUP($D46,'Adient Taizhou (China) WK.16'!$B:ET,FE$1,0),0)</f>
        <v>0</v>
      </c>
      <c r="FG46" s="128">
        <v>0</v>
      </c>
      <c r="FH46" s="32">
        <v>0</v>
      </c>
      <c r="FI46" s="106">
        <f t="shared" si="252"/>
        <v>1200</v>
      </c>
      <c r="FK46" s="37">
        <f t="shared" si="447"/>
        <v>1200</v>
      </c>
      <c r="FL46" s="125">
        <f>IFERROR(VLOOKUP($D46,'Adient Assende (Belgium) WK.17'!$B:EX,FM$1,0),0)</f>
        <v>0</v>
      </c>
      <c r="FM46" s="55">
        <f>IFERROR(VLOOKUP($D46,'Adient Arendal (Malzia) WK.12'!$B:EY,FM$1,0),0)</f>
        <v>0</v>
      </c>
      <c r="FN46" s="55">
        <f>IFERROR(VLOOKUP($D46,'Adient Taizhou (China) WK.16'!$B:FB,FM$1,0),0)</f>
        <v>0</v>
      </c>
      <c r="FO46" s="128">
        <v>400</v>
      </c>
      <c r="FP46" s="32">
        <v>0</v>
      </c>
      <c r="FQ46" s="106">
        <f t="shared" si="253"/>
        <v>800</v>
      </c>
      <c r="FR46" s="8"/>
      <c r="FS46" s="37">
        <f t="shared" si="448"/>
        <v>800</v>
      </c>
      <c r="FT46" s="125">
        <f>IFERROR(VLOOKUP($D46,'Adient Assende (Belgium) WK.17'!$B:FF,FU$1,0),0)</f>
        <v>400</v>
      </c>
      <c r="FU46" s="55">
        <f>IFERROR(VLOOKUP($D46,'Adient Arendal (Malzia) WK.12'!$B:FG,FU$1,0),0)</f>
        <v>0</v>
      </c>
      <c r="FV46" s="55">
        <f>IFERROR(VLOOKUP($D46,'Adient Taizhou (China) WK.16'!$B:FJ,FU$1,0),0)</f>
        <v>0</v>
      </c>
      <c r="FW46" s="60">
        <v>340</v>
      </c>
      <c r="FX46" s="60">
        <v>0</v>
      </c>
      <c r="FY46" s="60">
        <v>380</v>
      </c>
      <c r="FZ46" s="60">
        <v>640</v>
      </c>
      <c r="GA46" s="60">
        <v>500</v>
      </c>
      <c r="GB46" s="128">
        <v>400</v>
      </c>
      <c r="GC46" s="32">
        <v>0</v>
      </c>
      <c r="GD46" s="106">
        <f t="shared" si="254"/>
        <v>2260</v>
      </c>
      <c r="GF46" s="37">
        <f t="shared" si="449"/>
        <v>2260</v>
      </c>
      <c r="GG46" s="125">
        <f>IFERROR(VLOOKUP($D46,'Adient Assende (Belgium) WK.17'!$B:FN,GH$1,0),0)</f>
        <v>400</v>
      </c>
      <c r="GH46" s="55">
        <f>IFERROR(VLOOKUP($D46,'Adient Arendal (Malzia) WK.12'!$B:FO,GH$1,0),0)</f>
        <v>0</v>
      </c>
      <c r="GI46" s="55">
        <f>IFERROR(VLOOKUP($D46,'Adient Taizhou (China) WK.16'!$B:FR,GH$1,0),0)</f>
        <v>0</v>
      </c>
      <c r="GJ46" s="60">
        <v>580</v>
      </c>
      <c r="GK46" s="128">
        <v>320</v>
      </c>
      <c r="GL46" s="32">
        <v>0</v>
      </c>
      <c r="GM46" s="106">
        <f t="shared" si="255"/>
        <v>2520</v>
      </c>
      <c r="GO46" s="37">
        <f t="shared" si="450"/>
        <v>2520</v>
      </c>
      <c r="GP46" s="125">
        <f>IFERROR(VLOOKUP($D46,'Adient Assende (Belgium) WK.17'!$B:FV,GQ$1,0),0)</f>
        <v>320</v>
      </c>
      <c r="GQ46" s="55">
        <f>IFERROR(VLOOKUP($D46,'Adient Arendal (Malzia) WK.12'!$B:FW,GQ$1,0),0)</f>
        <v>0</v>
      </c>
      <c r="GR46" s="55">
        <f>IFERROR(VLOOKUP($D46,'Adient Taizhou (China) WK.16'!$B:FZ,GQ$1,0),0)</f>
        <v>0</v>
      </c>
      <c r="GS46" s="60">
        <v>740</v>
      </c>
      <c r="GT46" s="128">
        <v>480</v>
      </c>
      <c r="GU46" s="32">
        <v>0</v>
      </c>
      <c r="GV46" s="106">
        <f t="shared" si="256"/>
        <v>2780</v>
      </c>
      <c r="GW46" s="8"/>
      <c r="GX46" s="37">
        <f t="shared" si="451"/>
        <v>2780</v>
      </c>
      <c r="GY46" s="125">
        <f>IFERROR(VLOOKUP($D46,'Adient Assende (Belgium) WK.17'!$B:GD,GZ$1,0),0)</f>
        <v>480</v>
      </c>
      <c r="GZ46" s="55">
        <f>IFERROR(VLOOKUP($D46,'Adient Arendal (Malzia) WK.12'!$B:GE,GZ$1,0),0)</f>
        <v>0</v>
      </c>
      <c r="HA46" s="55">
        <f>IFERROR(VLOOKUP($D46,'Adient Taizhou (China) WK.16'!$B:GH,GZ$1,0),0)</f>
        <v>0</v>
      </c>
      <c r="HB46" s="60">
        <v>400</v>
      </c>
      <c r="HC46" s="128">
        <v>320</v>
      </c>
      <c r="HD46" s="32">
        <v>0</v>
      </c>
      <c r="HE46" s="106">
        <f t="shared" si="257"/>
        <v>2860</v>
      </c>
      <c r="HF46" s="8"/>
      <c r="HG46" s="37">
        <f t="shared" si="452"/>
        <v>2860</v>
      </c>
      <c r="HH46" s="125">
        <f>IFERROR(VLOOKUP($D46,'Adient Assende (Belgium) WK.17'!$B:GL,HI$1,0),0)</f>
        <v>320</v>
      </c>
      <c r="HI46" s="55">
        <f>IFERROR(VLOOKUP($D46,'Adient Arendal (Malzia) WK.12'!$B:GM,HI$1,0),0)</f>
        <v>0</v>
      </c>
      <c r="HJ46" s="55">
        <f>IFERROR(VLOOKUP($D46,'Adient Taizhou (China) WK.16'!$B:GP,HI$1,0),0)</f>
        <v>0</v>
      </c>
      <c r="HK46" s="60">
        <v>500</v>
      </c>
      <c r="HL46" s="128">
        <v>400</v>
      </c>
      <c r="HM46" s="32">
        <v>0</v>
      </c>
      <c r="HN46" s="106">
        <f t="shared" si="258"/>
        <v>2960</v>
      </c>
      <c r="HO46" s="8"/>
      <c r="HP46" s="37">
        <f t="shared" si="453"/>
        <v>2960</v>
      </c>
      <c r="HQ46" s="125">
        <f>IFERROR(VLOOKUP($D46,'Adient Assende (Belgium) WK.17'!$B:GT,HR$1,0),0)</f>
        <v>400</v>
      </c>
      <c r="HR46" s="55">
        <f>IFERROR(VLOOKUP($D46,'Adient Arendal (Malzia) WK.12'!$B:GU,HR$1,0),0)</f>
        <v>0</v>
      </c>
      <c r="HS46" s="55">
        <f>IFERROR(VLOOKUP($D46,'Adient Taizhou (China) WK.16'!$B:GX,HR$1,0),0)</f>
        <v>0</v>
      </c>
      <c r="HT46" s="60">
        <v>560</v>
      </c>
      <c r="HU46" s="128">
        <v>400</v>
      </c>
      <c r="HV46" s="32">
        <v>0</v>
      </c>
      <c r="HW46" s="106">
        <f t="shared" si="259"/>
        <v>3120</v>
      </c>
      <c r="HX46" s="8"/>
      <c r="HY46" s="37">
        <f t="shared" si="454"/>
        <v>3120</v>
      </c>
      <c r="HZ46" s="125">
        <f>IFERROR(VLOOKUP($D46,'Adient Assende (Belgium) WK.17'!$B:HB,IA$1,0),0)</f>
        <v>400</v>
      </c>
      <c r="IA46" s="55">
        <f>IFERROR(VLOOKUP($D46,'Adient Arendal (Malzia) WK.12'!$B:HC,IA$1,0),0)</f>
        <v>0</v>
      </c>
      <c r="IB46" s="55">
        <f>IFERROR(VLOOKUP($D46,'Adient Taizhou (China) WK.16'!$B:HF,IA$1,0),0)</f>
        <v>0</v>
      </c>
      <c r="IC46" s="60">
        <v>240</v>
      </c>
      <c r="ID46" s="128">
        <v>560</v>
      </c>
      <c r="IE46" s="32">
        <v>0</v>
      </c>
      <c r="IF46" s="106">
        <f t="shared" si="260"/>
        <v>2800</v>
      </c>
      <c r="IG46" s="8"/>
      <c r="IH46" s="37">
        <f t="shared" si="455"/>
        <v>2800</v>
      </c>
      <c r="II46" s="125">
        <f>IFERROR(VLOOKUP($D46,'Adient Assende (Belgium) WK.17'!$B:HJ,IJ$1,0),0)</f>
        <v>560</v>
      </c>
      <c r="IJ46" s="55">
        <f>IFERROR(VLOOKUP($D46,'Adient Arendal (Malzia) WK.12'!$B:HK,IJ$1,0),0)</f>
        <v>0</v>
      </c>
      <c r="IK46" s="55">
        <f>IFERROR(VLOOKUP($D46,'Adient Taizhou (China) WK.16'!$B:HN,IJ$1,0),0)</f>
        <v>0</v>
      </c>
      <c r="IL46" s="128">
        <v>560</v>
      </c>
      <c r="IM46" s="32">
        <v>0</v>
      </c>
      <c r="IN46" s="106">
        <f t="shared" si="456"/>
        <v>2240</v>
      </c>
      <c r="IO46" s="8"/>
      <c r="IP46" s="37">
        <f t="shared" si="457"/>
        <v>2240</v>
      </c>
      <c r="IQ46" s="125">
        <f>IFERROR(VLOOKUP($D46,'Adient Assende (Belgium) WK.17'!$B:HR,IR$1,0),0)</f>
        <v>560</v>
      </c>
      <c r="IR46" s="55">
        <f>IFERROR(VLOOKUP($D46,'Adient Arendal (Malzia) WK.12'!$B:HS,IR$1,0),0)</f>
        <v>0</v>
      </c>
      <c r="IS46" s="55">
        <f>IFERROR(VLOOKUP($D46,'Adient Taizhou (China) WK.16'!$B:HV,IR$1,0),0)</f>
        <v>0</v>
      </c>
      <c r="IT46" s="60">
        <v>80</v>
      </c>
      <c r="IU46" s="128">
        <v>560</v>
      </c>
      <c r="IV46" s="32">
        <v>0</v>
      </c>
      <c r="IW46" s="106">
        <f t="shared" si="261"/>
        <v>1760</v>
      </c>
      <c r="IX46" s="8"/>
      <c r="IY46" s="37">
        <f t="shared" si="458"/>
        <v>1760</v>
      </c>
      <c r="IZ46" s="125">
        <f>IFERROR(VLOOKUP($D46,'Adient Assende (Belgium) WK.17'!$B:HZ,JA$1,0),0)</f>
        <v>560</v>
      </c>
      <c r="JA46" s="55">
        <f>IFERROR(VLOOKUP($D46,'Adient Arendal (Malzia) WK.12'!$B:IA,JA$1,0),0)</f>
        <v>0</v>
      </c>
      <c r="JB46" s="55">
        <f>IFERROR(VLOOKUP($D46,'Adient Taizhou (China) WK.16'!$B:ID,JA$1,0),0)</f>
        <v>0</v>
      </c>
      <c r="JC46" s="128">
        <v>320</v>
      </c>
      <c r="JD46" s="32">
        <v>0</v>
      </c>
      <c r="JE46" s="106">
        <f t="shared" si="459"/>
        <v>1440</v>
      </c>
      <c r="JF46" s="8"/>
      <c r="JG46" s="37">
        <f t="shared" si="460"/>
        <v>1440</v>
      </c>
      <c r="JH46" s="125">
        <f>IFERROR(VLOOKUP($D46,'Adient Assende (Belgium) WK.17'!$B:IH,JI$1,0),0)</f>
        <v>320</v>
      </c>
      <c r="JI46" s="55">
        <f>IFERROR(VLOOKUP($D46,'Adient Arendal (Malzia) WK.12'!$B:II,JI$1,0),0)</f>
        <v>0</v>
      </c>
      <c r="JJ46" s="55">
        <f>IFERROR(VLOOKUP($D46,'Adient Taizhou (China) WK.16'!$B:IL,JI$1,0),0)</f>
        <v>0</v>
      </c>
      <c r="JK46" s="60">
        <v>0</v>
      </c>
      <c r="JL46" s="128">
        <v>800</v>
      </c>
      <c r="JM46" s="32">
        <v>0</v>
      </c>
      <c r="JN46" s="106">
        <f t="shared" si="262"/>
        <v>640</v>
      </c>
      <c r="JO46" s="8"/>
      <c r="JP46" s="37">
        <f t="shared" si="461"/>
        <v>640</v>
      </c>
      <c r="JQ46" s="125">
        <f>IFERROR(VLOOKUP($D46,'Adient Assende (Belgium) WK.17'!$B:IP,JR$1,0),0)</f>
        <v>800</v>
      </c>
      <c r="JR46" s="55">
        <f>IFERROR(VLOOKUP($D46,'Adient Arendal (Malzia) WK.12'!$B:IQ,JR$1,0),0)</f>
        <v>0</v>
      </c>
      <c r="JS46" s="55">
        <f>IFERROR(VLOOKUP($D46,'Adient Taizhou (China) WK.16'!$B:IT,JR$1,0),0)</f>
        <v>0</v>
      </c>
      <c r="JT46" s="128">
        <v>0</v>
      </c>
      <c r="JU46" s="32">
        <v>0</v>
      </c>
      <c r="JV46" s="106">
        <f t="shared" si="462"/>
        <v>640</v>
      </c>
      <c r="JW46" s="8"/>
      <c r="JX46" s="37">
        <f t="shared" si="463"/>
        <v>640</v>
      </c>
      <c r="JY46" s="154">
        <f>IFERROR(VLOOKUP($D46,'Adient Assende (Belgium) WK.17'!$B:IX,JZ$1,0),0)</f>
        <v>0</v>
      </c>
      <c r="JZ46" s="55">
        <f>IFERROR(VLOOKUP($D46,'Adient Arendal (Malzia) WK.12'!$B:IY,JZ$1,0),0)</f>
        <v>0</v>
      </c>
      <c r="KA46" s="55">
        <f>IFERROR(VLOOKUP($D46,'Adient Taizhou (China) WK.16'!$B:JB,JZ$1,0),0)</f>
        <v>0</v>
      </c>
      <c r="KB46" s="128">
        <v>400</v>
      </c>
      <c r="KC46" s="32">
        <v>0</v>
      </c>
      <c r="KD46" s="106">
        <f t="shared" si="263"/>
        <v>240</v>
      </c>
      <c r="KE46" s="8"/>
      <c r="KF46" s="37">
        <f t="shared" si="464"/>
        <v>240</v>
      </c>
      <c r="KG46" s="125">
        <f>IFERROR(VLOOKUP($D46,'Adient Assende (Belgium) WK.17'!$B:JF,KH$1,0),0)</f>
        <v>400</v>
      </c>
      <c r="KH46" s="55">
        <f>IFERROR(VLOOKUP($D46,'Adient Arendal (Malzia) WK.12'!$B:JG,KH$1,0),0)</f>
        <v>0</v>
      </c>
      <c r="KI46" s="55">
        <f>IFERROR(VLOOKUP($D46,'Adient Taizhou (China) WK.16'!$B:JJ,KH$1,0),0)</f>
        <v>0</v>
      </c>
      <c r="KJ46" s="60">
        <v>100</v>
      </c>
      <c r="KK46" s="128">
        <v>0</v>
      </c>
      <c r="KL46" s="32">
        <v>0</v>
      </c>
      <c r="KM46" s="106">
        <f t="shared" si="264"/>
        <v>340</v>
      </c>
      <c r="KN46" s="8"/>
      <c r="KO46" s="37">
        <f t="shared" si="465"/>
        <v>340</v>
      </c>
      <c r="KP46" s="141">
        <f>IFERROR(VLOOKUP($D46,'Adient Assende (Belgium) WK.17'!$B:JN,KQ$1,0),0)</f>
        <v>0</v>
      </c>
      <c r="KQ46" s="140">
        <f>IFERROR(VLOOKUP($D46,'Adient Arendal (Malzia) WK.12'!$B:JO,KQ$1,0),0)</f>
        <v>0</v>
      </c>
      <c r="KR46" s="140">
        <f>IFERROR(VLOOKUP($D46,'Adient Taizhou (China) WK.16'!$B:JR,KQ$1,0),0)</f>
        <v>0</v>
      </c>
      <c r="KS46" s="60">
        <v>0</v>
      </c>
      <c r="KT46" s="128">
        <v>0</v>
      </c>
      <c r="KU46" s="32">
        <v>0</v>
      </c>
      <c r="KV46" s="106">
        <f t="shared" si="265"/>
        <v>340</v>
      </c>
      <c r="KX46" s="37">
        <f t="shared" si="466"/>
        <v>340</v>
      </c>
      <c r="KY46" s="141">
        <f>IFERROR(VLOOKUP($D46,'Adient Assende (Belgium) WK.17'!$B:JV,KZ$1,0),0)</f>
        <v>0</v>
      </c>
      <c r="KZ46" s="140">
        <f>IFERROR(VLOOKUP($D46,'Adient Arendal (Malzia) WK.12'!$B:JW,KZ$1,0),0)</f>
        <v>0</v>
      </c>
      <c r="LA46" s="140">
        <f>IFERROR(VLOOKUP($D46,'Adient Taizhou (China) WK.16'!$B:JZ,KZ$1,0),0)</f>
        <v>0</v>
      </c>
      <c r="LB46" s="128">
        <v>0</v>
      </c>
      <c r="LC46" s="32">
        <v>0</v>
      </c>
      <c r="LD46" s="106">
        <f t="shared" si="467"/>
        <v>340</v>
      </c>
      <c r="LF46" s="37">
        <f t="shared" si="468"/>
        <v>340</v>
      </c>
      <c r="LG46" s="141">
        <f>IFERROR(VLOOKUP($D46,'Adient Assende (Belgium) WK.17'!$B:KD,LH$1,0),0)</f>
        <v>0</v>
      </c>
      <c r="LH46" s="140">
        <f>IFERROR(VLOOKUP($D46,'Adient Arendal (Malzia) WK.12'!$B:KE,LH$1,0),0)</f>
        <v>0</v>
      </c>
      <c r="LI46" s="140">
        <f>IFERROR(VLOOKUP($D46,'Adient Taizhou (China) WK.16'!$B:KH,LH$1,0),0)</f>
        <v>0</v>
      </c>
      <c r="LJ46" s="60">
        <v>0</v>
      </c>
      <c r="LK46" s="128">
        <v>0</v>
      </c>
      <c r="LL46" s="32">
        <v>0</v>
      </c>
      <c r="LM46" s="100">
        <f t="shared" si="267"/>
        <v>340</v>
      </c>
      <c r="LO46" s="37">
        <f t="shared" si="469"/>
        <v>340</v>
      </c>
      <c r="LP46" s="141">
        <f>IFERROR(VLOOKUP($D46,'Adient Assende (Belgium) WK.17'!$B:KL,LQ$1,0),0)</f>
        <v>0</v>
      </c>
      <c r="LQ46" s="140">
        <f>IFERROR(VLOOKUP($D46,'Adient Arendal (Malzia) WK.12'!$B:KM,LQ$1,0),0)</f>
        <v>0</v>
      </c>
      <c r="LR46" s="140">
        <f>IFERROR(VLOOKUP($D46,'Adient Taizhou (China) WK.16'!$B:KP,LQ$1,0),0)</f>
        <v>0</v>
      </c>
      <c r="LS46" s="128">
        <v>0</v>
      </c>
      <c r="LT46" s="32">
        <v>0</v>
      </c>
      <c r="LU46" s="100">
        <f t="shared" si="470"/>
        <v>340</v>
      </c>
      <c r="LW46" s="37">
        <f t="shared" si="471"/>
        <v>340</v>
      </c>
      <c r="LX46" s="141">
        <f>IFERROR(VLOOKUP($D46,'Adient Assende (Belgium) WK.17'!$B:KT,LY$1,0),0)</f>
        <v>0</v>
      </c>
      <c r="LY46" s="140">
        <f>IFERROR(VLOOKUP($D46,'Adient Arendal (Malzia) WK.12'!$B:KU,LY$1,0),0)</f>
        <v>0</v>
      </c>
      <c r="LZ46" s="140">
        <f>IFERROR(VLOOKUP($D46,'Adient Taizhou (China) WK.16'!$B:KX,LY$1,0),0)</f>
        <v>0</v>
      </c>
      <c r="MA46" s="128">
        <v>0</v>
      </c>
      <c r="MB46" s="32">
        <v>0</v>
      </c>
      <c r="MC46" s="100">
        <f t="shared" si="472"/>
        <v>340</v>
      </c>
      <c r="ME46" s="37">
        <f t="shared" si="473"/>
        <v>340</v>
      </c>
      <c r="MF46" s="154">
        <f>IFERROR(VLOOKUP($D46,'Adient Assende (Belgium) WK.17'!$B:LB,MG$1,0),0)</f>
        <v>0</v>
      </c>
      <c r="MG46" s="140">
        <f>IFERROR(VLOOKUP($D46,'Adient Arendal (Malzia) WK.12'!$B:LC,MG$1,0),0)</f>
        <v>0</v>
      </c>
      <c r="MH46" s="140">
        <f>IFERROR(VLOOKUP($D46,'Adient Taizhou (China) WK.16'!$B:LF,MG$1,0),0)</f>
        <v>0</v>
      </c>
      <c r="MI46" s="128">
        <v>0</v>
      </c>
      <c r="MJ46" s="32">
        <v>0</v>
      </c>
      <c r="MK46" s="100">
        <f t="shared" si="474"/>
        <v>340</v>
      </c>
      <c r="MM46" s="37">
        <f t="shared" si="475"/>
        <v>340</v>
      </c>
      <c r="MN46" s="141">
        <f>IFERROR(VLOOKUP($D46,'Adient Assende (Belgium) WK.17'!$B:LJ,MO$1,0),0)</f>
        <v>0</v>
      </c>
      <c r="MO46" s="140">
        <f>IFERROR(VLOOKUP($D46,'Adient Arendal (Malzia) WK.12'!$B:LK,MO$1,0),0)</f>
        <v>0</v>
      </c>
      <c r="MP46" s="140">
        <f>IFERROR(VLOOKUP($D46,'Adient Taizhou (China) WK.16'!$B:LN,MO$1,0),0)</f>
        <v>0</v>
      </c>
      <c r="MQ46" s="128">
        <v>0</v>
      </c>
      <c r="MR46" s="32">
        <v>0</v>
      </c>
      <c r="MS46" s="100">
        <f t="shared" si="476"/>
        <v>340</v>
      </c>
      <c r="MU46" s="37">
        <f t="shared" si="477"/>
        <v>340</v>
      </c>
      <c r="MV46" s="141">
        <f>IFERROR(VLOOKUP($D46,'Adient Assende (Belgium) WK.17'!$B:LR,MW$1,0),0)</f>
        <v>0</v>
      </c>
      <c r="MW46" s="140">
        <f>IFERROR(VLOOKUP($D46,'Adient Arendal (Malzia) WK.12'!$B:LS,MW$1,0),0)</f>
        <v>0</v>
      </c>
      <c r="MX46" s="140">
        <f>IFERROR(VLOOKUP($D46,'Adient Taizhou (China) WK.16'!$B:LV,MW$1,0),0)</f>
        <v>0</v>
      </c>
      <c r="MY46" s="128">
        <v>0</v>
      </c>
      <c r="MZ46" s="32">
        <v>0</v>
      </c>
      <c r="NA46" s="100">
        <f t="shared" si="478"/>
        <v>340</v>
      </c>
      <c r="NC46" s="37">
        <f t="shared" si="479"/>
        <v>340</v>
      </c>
      <c r="ND46" s="141">
        <f>IFERROR(VLOOKUP($D46,'Adient Assende (Belgium) WK.17'!$B:LZ,NE$1,0),0)</f>
        <v>0</v>
      </c>
      <c r="NE46" s="140">
        <f>IFERROR(VLOOKUP($D46,'Adient Arendal (Malzia) WK.12'!$B:MA,NE$1,0),0)</f>
        <v>0</v>
      </c>
      <c r="NF46" s="140">
        <f>IFERROR(VLOOKUP($D46,'Adient Taizhou (China) WK.16'!$B:MD,NE$1,0),0)</f>
        <v>0</v>
      </c>
      <c r="NG46" s="128">
        <v>0</v>
      </c>
      <c r="NH46" s="32">
        <v>0</v>
      </c>
      <c r="NI46" s="100">
        <f t="shared" si="480"/>
        <v>340</v>
      </c>
      <c r="NK46" s="37">
        <f t="shared" si="481"/>
        <v>340</v>
      </c>
      <c r="NL46" s="141">
        <f>IFERROR(VLOOKUP($D46,'Adient Assende (Belgium) WK.17'!$B:MH,NM$1,0),0)</f>
        <v>0</v>
      </c>
      <c r="NM46" s="140">
        <f>IFERROR(VLOOKUP($D46,'Adient Arendal (Malzia) WK.12'!$B:MI,NM$1,0),0)</f>
        <v>0</v>
      </c>
      <c r="NN46" s="140">
        <f>IFERROR(VLOOKUP($D46,'Adient Taizhou (China) WK.16'!$B:ML,NM$1,0),0)</f>
        <v>0</v>
      </c>
      <c r="NO46" s="128">
        <v>0</v>
      </c>
      <c r="NP46" s="32">
        <v>0</v>
      </c>
      <c r="NQ46" s="100">
        <f t="shared" si="482"/>
        <v>340</v>
      </c>
      <c r="NS46" s="37">
        <f t="shared" si="483"/>
        <v>340</v>
      </c>
      <c r="NT46" s="141">
        <f>IFERROR(VLOOKUP($D46,'Adient Assende (Belgium) WK.17'!$B:MP,NU$1,0),0)</f>
        <v>0</v>
      </c>
      <c r="NU46" s="140">
        <f>IFERROR(VLOOKUP($D46,'Adient Arendal (Malzia) WK.12'!$B:MQ,NU$1,0),0)</f>
        <v>0</v>
      </c>
      <c r="NV46" s="140">
        <f>IFERROR(VLOOKUP($D46,'Adient Taizhou (China) WK.16'!$B:MT,NU$1,0),0)</f>
        <v>0</v>
      </c>
      <c r="NW46" s="128">
        <v>0</v>
      </c>
      <c r="NX46" s="32">
        <v>0</v>
      </c>
      <c r="NY46" s="100">
        <f t="shared" si="484"/>
        <v>340</v>
      </c>
      <c r="OA46" s="37">
        <f t="shared" si="485"/>
        <v>340</v>
      </c>
      <c r="OB46" s="141">
        <f>IFERROR(VLOOKUP($D46,'Adient Assende (Belgium) WK.17'!$B:MX,OC$1,0),0)</f>
        <v>0</v>
      </c>
      <c r="OC46" s="140">
        <f>IFERROR(VLOOKUP($D46,'Adient Arendal (Malzia) WK.12'!$B:MY,OC$1,0),0)</f>
        <v>0</v>
      </c>
      <c r="OD46" s="140">
        <f>IFERROR(VLOOKUP($D46,'Adient Taizhou (China) WK.16'!$B:NB,OC$1,0),0)</f>
        <v>0</v>
      </c>
      <c r="OE46" s="128">
        <v>0</v>
      </c>
      <c r="OF46" s="32">
        <v>0</v>
      </c>
      <c r="OG46" s="100">
        <f t="shared" si="486"/>
        <v>340</v>
      </c>
      <c r="OI46" s="37">
        <f t="shared" si="487"/>
        <v>340</v>
      </c>
      <c r="OJ46" s="141">
        <f>IFERROR(VLOOKUP($D46,'Adient Assende (Belgium) WK.17'!$B:NF,OK$1,0),0)</f>
        <v>0</v>
      </c>
      <c r="OK46" s="140">
        <f>IFERROR(VLOOKUP($D46,'Adient Arendal (Malzia) WK.12'!$B:NG,OK$1,0),0)</f>
        <v>0</v>
      </c>
      <c r="OL46" s="140">
        <f>IFERROR(VLOOKUP($D46,'Adient Taizhou (China) WK.16'!$B:NJ,OK$1,0),0)</f>
        <v>0</v>
      </c>
      <c r="OM46" s="128">
        <v>0</v>
      </c>
      <c r="ON46" s="32">
        <v>0</v>
      </c>
      <c r="OO46" s="100">
        <f t="shared" si="488"/>
        <v>340</v>
      </c>
      <c r="OQ46" s="37">
        <f t="shared" si="489"/>
        <v>340</v>
      </c>
      <c r="OR46" s="141">
        <f>IFERROR(VLOOKUP($D46,'Adient Assende (Belgium) WK.17'!$B:NN,OS$1,0),0)</f>
        <v>0</v>
      </c>
      <c r="OS46" s="140">
        <f>IFERROR(VLOOKUP($D46,'Adient Arendal (Malzia) WK.12'!$B:NO,OS$1,0),0)</f>
        <v>0</v>
      </c>
      <c r="OT46" s="140">
        <f>IFERROR(VLOOKUP($D46,'Adient Taizhou (China) WK.16'!$B:NR,OS$1,0),0)</f>
        <v>0</v>
      </c>
      <c r="OU46" s="128">
        <v>0</v>
      </c>
      <c r="OV46" s="32">
        <v>0</v>
      </c>
      <c r="OW46" s="100">
        <f t="shared" si="490"/>
        <v>340</v>
      </c>
      <c r="OY46" s="37">
        <f t="shared" si="491"/>
        <v>340</v>
      </c>
      <c r="OZ46" s="141">
        <f>IFERROR(VLOOKUP($D46,'Adient Assende (Belgium) WK.17'!$B:NV,PA$1,0),0)</f>
        <v>0</v>
      </c>
      <c r="PA46" s="140">
        <f>IFERROR(VLOOKUP($D46,'Adient Arendal (Malzia) WK.12'!$B:NW,PA$1,0),0)</f>
        <v>0</v>
      </c>
      <c r="PB46" s="140">
        <f>IFERROR(VLOOKUP($D46,'Adient Taizhou (China) WK.16'!$B:NZ,PA$1,0),0)</f>
        <v>0</v>
      </c>
      <c r="PC46" s="128">
        <v>0</v>
      </c>
      <c r="PD46" s="32">
        <v>0</v>
      </c>
      <c r="PE46" s="100">
        <f t="shared" si="492"/>
        <v>340</v>
      </c>
      <c r="PG46" s="37">
        <f t="shared" si="493"/>
        <v>340</v>
      </c>
      <c r="PH46" s="141">
        <f>IFERROR(VLOOKUP($D46,'Adient Assende (Belgium) WK.17'!$B:OD,PI$1,0),0)</f>
        <v>0</v>
      </c>
      <c r="PI46" s="140">
        <f>IFERROR(VLOOKUP($D46,'Adient Arendal (Malzia) WK.12'!$B:OE,PI$1,0),0)</f>
        <v>0</v>
      </c>
      <c r="PJ46" s="140">
        <f>IFERROR(VLOOKUP($D46,'Adient Taizhou (China) WK.16'!$B:OH,PI$1,0),0)</f>
        <v>0</v>
      </c>
      <c r="PK46" s="128">
        <v>0</v>
      </c>
      <c r="PL46" s="32">
        <v>0</v>
      </c>
      <c r="PM46" s="100">
        <f t="shared" si="494"/>
        <v>340</v>
      </c>
      <c r="PO46" s="37">
        <f t="shared" si="495"/>
        <v>340</v>
      </c>
      <c r="PP46" s="141">
        <f>IFERROR(VLOOKUP($D46,'Adient Assende (Belgium) WK.17'!$B:OL,PQ$1,0),0)</f>
        <v>0</v>
      </c>
      <c r="PQ46" s="140">
        <f>IFERROR(VLOOKUP($D46,'Adient Arendal (Malzia) WK.12'!$B:OM,PQ$1,0),0)</f>
        <v>0</v>
      </c>
      <c r="PR46" s="140">
        <f>IFERROR(VLOOKUP($D46,'Adient Taizhou (China) WK.16'!$B:OP,PQ$1,0),0)</f>
        <v>0</v>
      </c>
      <c r="PS46" s="128">
        <v>0</v>
      </c>
      <c r="PT46" s="32">
        <v>0</v>
      </c>
      <c r="PU46" s="100">
        <f t="shared" si="496"/>
        <v>340</v>
      </c>
      <c r="PW46" s="37">
        <f t="shared" si="497"/>
        <v>340</v>
      </c>
      <c r="PX46" s="141">
        <f>IFERROR(VLOOKUP($D46,'Adient Assende (Belgium) WK.17'!$B:OT,PY$1,0),0)</f>
        <v>0</v>
      </c>
      <c r="PY46" s="140">
        <f>IFERROR(VLOOKUP($D46,'Adient Arendal (Malzia) WK.12'!$B:OU,PY$1,0),0)</f>
        <v>0</v>
      </c>
      <c r="PZ46" s="140">
        <f>IFERROR(VLOOKUP($D46,'Adient Taizhou (China) WK.16'!$B:OX,PY$1,0),0)</f>
        <v>0</v>
      </c>
      <c r="QA46" s="128">
        <v>0</v>
      </c>
      <c r="QB46" s="32">
        <v>0</v>
      </c>
      <c r="QC46" s="100">
        <f t="shared" si="498"/>
        <v>340</v>
      </c>
      <c r="QE46" s="37">
        <f t="shared" si="499"/>
        <v>340</v>
      </c>
      <c r="QF46" s="141">
        <f>IFERROR(VLOOKUP($D46,'Adient Assende (Belgium) WK.17'!$B:PB,QG$1,0),0)</f>
        <v>0</v>
      </c>
      <c r="QG46" s="140">
        <f>IFERROR(VLOOKUP($D46,'Adient Arendal (Malzia) WK.12'!$B:PC,QG$1,0),0)</f>
        <v>0</v>
      </c>
      <c r="QH46" s="140">
        <f>IFERROR(VLOOKUP($D46,'Adient Taizhou (China) WK.16'!$B:PF,QG$1,0),0)</f>
        <v>0</v>
      </c>
      <c r="QI46" s="128">
        <v>0</v>
      </c>
      <c r="QJ46" s="32">
        <v>0</v>
      </c>
      <c r="QK46" s="100">
        <f t="shared" si="500"/>
        <v>340</v>
      </c>
      <c r="QM46" s="37">
        <f t="shared" si="501"/>
        <v>340</v>
      </c>
      <c r="QN46" s="141">
        <f>IFERROR(VLOOKUP($D46,'Adient Assende (Belgium) WK.17'!$B:PJ,QO$1,0),0)</f>
        <v>0</v>
      </c>
      <c r="QO46" s="140">
        <f>IFERROR(VLOOKUP($D46,'Adient Arendal (Malzia) WK.12'!$B:PK,QO$1,0),0)</f>
        <v>0</v>
      </c>
      <c r="QP46" s="140">
        <f>IFERROR(VLOOKUP($D46,'Adient Taizhou (China) WK.16'!$B:PN,QO$1,0),0)</f>
        <v>0</v>
      </c>
      <c r="QQ46" s="128">
        <v>0</v>
      </c>
      <c r="QR46" s="32">
        <v>0</v>
      </c>
      <c r="QS46" s="100">
        <f t="shared" si="502"/>
        <v>340</v>
      </c>
      <c r="QU46" s="37">
        <f t="shared" si="503"/>
        <v>340</v>
      </c>
      <c r="QV46" s="141">
        <f>IFERROR(VLOOKUP($D46,'Adient Assende (Belgium) WK.17'!$B:PR,QW$1,0),0)</f>
        <v>0</v>
      </c>
      <c r="QW46" s="140">
        <f>IFERROR(VLOOKUP($D46,'Adient Arendal (Malzia) WK.12'!$B:PS,QW$1,0),0)</f>
        <v>0</v>
      </c>
      <c r="QX46" s="140">
        <f>IFERROR(VLOOKUP($D46,'Adient Taizhou (China) WK.16'!$B:PV,QW$1,0),0)</f>
        <v>0</v>
      </c>
      <c r="QY46" s="128">
        <v>0</v>
      </c>
      <c r="QZ46" s="32">
        <v>0</v>
      </c>
      <c r="RA46" s="100">
        <f t="shared" si="504"/>
        <v>340</v>
      </c>
      <c r="RC46" s="37">
        <f t="shared" si="505"/>
        <v>340</v>
      </c>
      <c r="RD46" s="141">
        <f>IFERROR(VLOOKUP($D46,'Adient Assende (Belgium) WK.17'!$B:PZ,RE$1,0),0)</f>
        <v>0</v>
      </c>
      <c r="RE46" s="140">
        <f>IFERROR(VLOOKUP($D46,'Adient Arendal (Malzia) WK.12'!$B:QA,RE$1,0),0)</f>
        <v>0</v>
      </c>
      <c r="RF46" s="140">
        <f>IFERROR(VLOOKUP($D46,'Adient Taizhou (China) WK.16'!$B:QD,RE$1,0),0)</f>
        <v>0</v>
      </c>
      <c r="RG46" s="128">
        <v>0</v>
      </c>
      <c r="RH46" s="32">
        <v>0</v>
      </c>
      <c r="RI46" s="100">
        <f t="shared" si="506"/>
        <v>340</v>
      </c>
      <c r="RK46" s="37">
        <f t="shared" si="507"/>
        <v>340</v>
      </c>
      <c r="RL46" s="141">
        <f>IFERROR(VLOOKUP($D46,'Adient Assende (Belgium) WK.17'!$B:QH,RM$1,0),0)</f>
        <v>0</v>
      </c>
      <c r="RM46" s="140">
        <f>IFERROR(VLOOKUP($D46,'Adient Arendal (Malzia) WK.12'!$B:QI,RM$1,0),0)</f>
        <v>0</v>
      </c>
      <c r="RN46" s="140">
        <f>IFERROR(VLOOKUP($D46,'Adient Taizhou (China) WK.16'!$B:QL,RM$1,0),0)</f>
        <v>0</v>
      </c>
      <c r="RO46" s="128">
        <v>0</v>
      </c>
      <c r="RP46" s="32">
        <v>0</v>
      </c>
      <c r="RQ46" s="100">
        <f t="shared" si="508"/>
        <v>340</v>
      </c>
      <c r="RS46" s="37">
        <f t="shared" si="509"/>
        <v>340</v>
      </c>
      <c r="RT46" s="141">
        <f>IFERROR(VLOOKUP($D46,'Adient Assende (Belgium) WK.17'!$B:QP,RU$1,0),0)</f>
        <v>0</v>
      </c>
      <c r="RU46" s="140">
        <f>IFERROR(VLOOKUP($D46,'Adient Arendal (Malzia) WK.12'!$B:QQ,RU$1,0),0)</f>
        <v>0</v>
      </c>
      <c r="RV46" s="140">
        <f>IFERROR(VLOOKUP($D46,'Adient Taizhou (China) WK.16'!$B:QT,RU$1,0),0)</f>
        <v>0</v>
      </c>
      <c r="RW46" s="128">
        <v>0</v>
      </c>
      <c r="RX46" s="32">
        <v>0</v>
      </c>
      <c r="RY46" s="100">
        <f t="shared" si="510"/>
        <v>340</v>
      </c>
      <c r="SA46" s="37">
        <f t="shared" si="511"/>
        <v>340</v>
      </c>
      <c r="SB46" s="141">
        <f>IFERROR(VLOOKUP($D46,'Adient Assende (Belgium) WK.17'!$B:QX,SC$1,0),0)</f>
        <v>0</v>
      </c>
      <c r="SC46" s="140">
        <f>IFERROR(VLOOKUP($D46,'Adient Arendal (Malzia) WK.12'!$B:QY,SC$1,0),0)</f>
        <v>0</v>
      </c>
      <c r="SD46" s="140">
        <f>IFERROR(VLOOKUP($D46,'Adient Taizhou (China) WK.16'!$B:RB,SC$1,0),0)</f>
        <v>0</v>
      </c>
      <c r="SE46" s="128">
        <v>0</v>
      </c>
      <c r="SF46" s="32">
        <v>0</v>
      </c>
      <c r="SG46" s="100">
        <f t="shared" si="512"/>
        <v>340</v>
      </c>
      <c r="SI46" s="37">
        <f t="shared" si="513"/>
        <v>340</v>
      </c>
      <c r="SJ46" s="141">
        <f>IFERROR(VLOOKUP($D46,'Adient Assende (Belgium) WK.17'!$B:RF,SK$1,0),0)</f>
        <v>0</v>
      </c>
      <c r="SK46" s="140">
        <f>IFERROR(VLOOKUP($D46,'Adient Arendal (Malzia) WK.12'!$B:RG,SK$1,0),0)</f>
        <v>0</v>
      </c>
      <c r="SL46" s="140">
        <f>IFERROR(VLOOKUP($D46,'Adient Taizhou (China) WK.16'!$B:RJ,SK$1,0),0)</f>
        <v>0</v>
      </c>
      <c r="SM46" s="128">
        <v>0</v>
      </c>
      <c r="SN46" s="32">
        <v>0</v>
      </c>
      <c r="SO46" s="100">
        <f t="shared" si="514"/>
        <v>340</v>
      </c>
      <c r="SQ46" s="37">
        <f t="shared" si="515"/>
        <v>340</v>
      </c>
      <c r="SR46" s="141">
        <f>IFERROR(VLOOKUP($D46,'Adient Assende (Belgium) WK.17'!$B:RN,SS$1,0),0)</f>
        <v>0</v>
      </c>
      <c r="SS46" s="140">
        <f>IFERROR(VLOOKUP($D46,'Adient Arendal (Malzia) WK.12'!$B:RO,SS$1,0),0)</f>
        <v>0</v>
      </c>
      <c r="ST46" s="140">
        <f>IFERROR(VLOOKUP($D46,'Adient Taizhou (China) WK.16'!$B:RR,SS$1,0),0)</f>
        <v>0</v>
      </c>
      <c r="SU46" s="128">
        <v>0</v>
      </c>
      <c r="SV46" s="32">
        <v>0</v>
      </c>
      <c r="SW46" s="100">
        <f t="shared" si="516"/>
        <v>340</v>
      </c>
      <c r="SY46" s="37">
        <f t="shared" si="517"/>
        <v>340</v>
      </c>
      <c r="SZ46" s="141">
        <f>IFERROR(VLOOKUP($D46,'Adient Assende (Belgium) WK.17'!$B:RV,TA$1,0),0)</f>
        <v>0</v>
      </c>
      <c r="TA46" s="140">
        <f>IFERROR(VLOOKUP($D46,'Adient Arendal (Malzia) WK.12'!$B:RW,TA$1,0),0)</f>
        <v>0</v>
      </c>
      <c r="TB46" s="140">
        <f>IFERROR(VLOOKUP($D46,'Adient Taizhou (China) WK.16'!$B:RZ,TA$1,0),0)</f>
        <v>0</v>
      </c>
      <c r="TC46" s="128">
        <v>0</v>
      </c>
      <c r="TD46" s="32">
        <v>0</v>
      </c>
      <c r="TE46" s="100">
        <f t="shared" si="518"/>
        <v>340</v>
      </c>
      <c r="TG46" s="37">
        <f t="shared" si="519"/>
        <v>340</v>
      </c>
      <c r="TH46" s="141">
        <f>IFERROR(VLOOKUP($D46,'Adient Assende (Belgium) WK.17'!$B:SD,TI$1,0),0)</f>
        <v>0</v>
      </c>
      <c r="TI46" s="140">
        <f>IFERROR(VLOOKUP($D46,'Adient Arendal (Malzia) WK.12'!$B:SE,TI$1,0),0)</f>
        <v>0</v>
      </c>
      <c r="TJ46" s="140">
        <f>IFERROR(VLOOKUP($D46,'Adient Taizhou (China) WK.16'!$B:SH,TI$1,0),0)</f>
        <v>0</v>
      </c>
      <c r="TK46" s="128">
        <v>0</v>
      </c>
      <c r="TL46" s="32">
        <v>0</v>
      </c>
      <c r="TM46" s="100">
        <f t="shared" si="520"/>
        <v>340</v>
      </c>
      <c r="TO46" s="37">
        <f t="shared" si="521"/>
        <v>340</v>
      </c>
      <c r="TP46" s="141">
        <f>IFERROR(VLOOKUP($D46,'Adient Assende (Belgium) WK.17'!$B:SL,TQ$1,0),0)</f>
        <v>0</v>
      </c>
      <c r="TQ46" s="140">
        <f>IFERROR(VLOOKUP($D46,'Adient Arendal (Malzia) WK.12'!$B:SM,TQ$1,0),0)</f>
        <v>0</v>
      </c>
      <c r="TR46" s="140">
        <f>IFERROR(VLOOKUP($D46,'Adient Taizhou (China) WK.16'!$B:SP,TQ$1,0),0)</f>
        <v>0</v>
      </c>
      <c r="TS46" s="128">
        <v>0</v>
      </c>
      <c r="TT46" s="32">
        <v>0</v>
      </c>
      <c r="TU46" s="100">
        <f t="shared" si="522"/>
        <v>340</v>
      </c>
      <c r="TW46" s="37">
        <f t="shared" si="523"/>
        <v>340</v>
      </c>
      <c r="TX46" s="141">
        <f>IFERROR(VLOOKUP($D46,'Adient Assende (Belgium) WK.17'!$B:ST,TY$1,0),0)</f>
        <v>0</v>
      </c>
      <c r="TY46" s="140">
        <f>IFERROR(VLOOKUP($D46,'Adient Arendal (Malzia) WK.12'!$B:SU,TY$1,0),0)</f>
        <v>0</v>
      </c>
      <c r="TZ46" s="140">
        <f>IFERROR(VLOOKUP($D46,'Adient Taizhou (China) WK.16'!$B:SX,TY$1,0),0)</f>
        <v>0</v>
      </c>
      <c r="UA46" s="128">
        <v>0</v>
      </c>
      <c r="UB46" s="32">
        <v>0</v>
      </c>
      <c r="UC46" s="100">
        <f t="shared" si="524"/>
        <v>340</v>
      </c>
      <c r="UE46" s="37">
        <f t="shared" si="525"/>
        <v>340</v>
      </c>
      <c r="UF46" s="141">
        <f>IFERROR(VLOOKUP($D46,'Adient Assende (Belgium) WK.17'!$B:TB,UG$1,0),0)</f>
        <v>0</v>
      </c>
      <c r="UG46" s="140">
        <f>IFERROR(VLOOKUP($D46,'Adient Arendal (Malzia) WK.12'!$B:TC,UG$1,0),0)</f>
        <v>0</v>
      </c>
      <c r="UH46" s="140">
        <f>IFERROR(VLOOKUP($D46,'Adient Taizhou (China) WK.16'!$B:TF,UG$1,0),0)</f>
        <v>0</v>
      </c>
      <c r="UI46" s="128">
        <v>0</v>
      </c>
      <c r="UJ46" s="32">
        <v>0</v>
      </c>
      <c r="UK46" s="100">
        <f t="shared" si="526"/>
        <v>340</v>
      </c>
      <c r="UM46" s="37">
        <f t="shared" si="527"/>
        <v>340</v>
      </c>
      <c r="UN46" s="141">
        <f>IFERROR(VLOOKUP($D46,'Adient Assende (Belgium) WK.17'!$B:TJ,UO$1,0),0)</f>
        <v>0</v>
      </c>
      <c r="UO46" s="140">
        <f>IFERROR(VLOOKUP($D46,'Adient Arendal (Malzia) WK.12'!$B:TK,UO$1,0),0)</f>
        <v>0</v>
      </c>
      <c r="UP46" s="140">
        <f>IFERROR(VLOOKUP($D46,'Adient Taizhou (China) WK.16'!$B:TN,UO$1,0),0)</f>
        <v>0</v>
      </c>
      <c r="UQ46" s="128">
        <v>0</v>
      </c>
      <c r="UR46" s="32">
        <v>0</v>
      </c>
      <c r="US46" s="100">
        <f t="shared" si="528"/>
        <v>340</v>
      </c>
      <c r="UU46" s="37">
        <f t="shared" si="529"/>
        <v>340</v>
      </c>
      <c r="UV46" s="141">
        <f>IFERROR(VLOOKUP($D46,'Adient Assende (Belgium) WK.17'!$B:TR,UW$1,0),0)</f>
        <v>0</v>
      </c>
      <c r="UW46" s="140">
        <f>IFERROR(VLOOKUP($D46,'Adient Arendal (Malzia) WK.12'!$B:TS,UW$1,0),0)</f>
        <v>0</v>
      </c>
      <c r="UX46" s="140">
        <f>IFERROR(VLOOKUP($D46,'Adient Taizhou (China) WK.16'!$B:TV,UW$1,0),0)</f>
        <v>0</v>
      </c>
      <c r="UY46" s="128">
        <v>0</v>
      </c>
      <c r="UZ46" s="32">
        <v>0</v>
      </c>
      <c r="VA46" s="100">
        <f t="shared" si="530"/>
        <v>340</v>
      </c>
      <c r="VC46" s="37">
        <f t="shared" si="531"/>
        <v>340</v>
      </c>
      <c r="VD46" s="141">
        <f>IFERROR(VLOOKUP($D46,'Adient Assende (Belgium) WK.17'!$B:TZ,VE$1,0),0)</f>
        <v>0</v>
      </c>
      <c r="VE46" s="140">
        <f>IFERROR(VLOOKUP($D46,'Adient Arendal (Malzia) WK.12'!$B:UA,VE$1,0),0)</f>
        <v>0</v>
      </c>
      <c r="VF46" s="140">
        <f>IFERROR(VLOOKUP($D46,'Adient Taizhou (China) WK.16'!$B:UD,VE$1,0),0)</f>
        <v>0</v>
      </c>
      <c r="VG46" s="128">
        <v>0</v>
      </c>
      <c r="VH46" s="32">
        <v>0</v>
      </c>
      <c r="VI46" s="100">
        <f t="shared" si="532"/>
        <v>340</v>
      </c>
      <c r="VK46" s="37">
        <f t="shared" si="533"/>
        <v>340</v>
      </c>
      <c r="VL46" s="141">
        <f>IFERROR(VLOOKUP($D46,'Adient Assende (Belgium) WK.17'!$B:UH,VM$1,0),0)</f>
        <v>0</v>
      </c>
      <c r="VM46" s="140">
        <f>IFERROR(VLOOKUP($D46,'Adient Arendal (Malzia) WK.12'!$B:UI,VM$1,0),0)</f>
        <v>0</v>
      </c>
      <c r="VN46" s="140">
        <f>IFERROR(VLOOKUP($D46,'Adient Taizhou (China) WK.16'!$B:UL,VM$1,0),0)</f>
        <v>0</v>
      </c>
      <c r="VO46" s="128">
        <v>0</v>
      </c>
      <c r="VP46" s="32">
        <v>0</v>
      </c>
      <c r="VQ46" s="100">
        <f t="shared" si="534"/>
        <v>340</v>
      </c>
    </row>
    <row r="47" spans="1:589" x14ac:dyDescent="0.25">
      <c r="A47" s="10" t="s">
        <v>18</v>
      </c>
      <c r="B47" s="11" t="s">
        <v>17</v>
      </c>
      <c r="C47" s="87">
        <v>32248188</v>
      </c>
      <c r="D47" s="81">
        <v>4172825</v>
      </c>
      <c r="E47" s="11">
        <v>20</v>
      </c>
      <c r="F47" s="12"/>
      <c r="H47" s="122">
        <v>120</v>
      </c>
      <c r="I47" s="125">
        <f>IFERROR(VLOOKUP($D47,'Adient Assende (Belgium) WK.17'!$B:C,J$1,0),0)</f>
        <v>80</v>
      </c>
      <c r="J47" s="55">
        <f>IFERROR(VLOOKUP($D47,'Adient Arendal (Malzia) WK.12'!$B:C,J$1,0),0)</f>
        <v>0</v>
      </c>
      <c r="K47" s="55">
        <f>IFERROR(VLOOKUP($D47,'Adient Taizhou (China) WK.16'!$B:C,J$1,0),0)</f>
        <v>0</v>
      </c>
      <c r="L47" s="128">
        <v>0</v>
      </c>
      <c r="M47" s="32">
        <v>0</v>
      </c>
      <c r="N47" s="106">
        <f t="shared" si="233"/>
        <v>120</v>
      </c>
      <c r="P47" s="37">
        <f t="shared" si="234"/>
        <v>120</v>
      </c>
      <c r="Q47" s="125">
        <f>IFERROR(VLOOKUP($D47,'Adient Assende (Belgium) WK.17'!$B:K,R$1,0),0)</f>
        <v>0</v>
      </c>
      <c r="R47" s="55">
        <f>IFERROR(VLOOKUP($D47,'Adient Arendal (Malzia) WK.12'!$B:K,R$1,0),0)</f>
        <v>0</v>
      </c>
      <c r="S47" s="55">
        <f>IFERROR(VLOOKUP($D47,'Adient Taizhou (China) WK.16'!$B:K,R$1,0),0)</f>
        <v>0</v>
      </c>
      <c r="T47" s="41">
        <v>0</v>
      </c>
      <c r="U47" s="32">
        <v>0</v>
      </c>
      <c r="V47" s="106">
        <f t="shared" si="235"/>
        <v>120</v>
      </c>
      <c r="X47" s="37">
        <f t="shared" si="236"/>
        <v>120</v>
      </c>
      <c r="Y47" s="125">
        <f>IFERROR(VLOOKUP($D47,'Adient Assende (Belgium) WK.17'!$B:S,Z$1,0),0)</f>
        <v>0</v>
      </c>
      <c r="Z47" s="55">
        <f>IFERROR(VLOOKUP($D47,'Adient Arendal (Malzia) WK.12'!$B:S,Z$1,0),0)</f>
        <v>0</v>
      </c>
      <c r="AA47" s="55">
        <f>IFERROR(VLOOKUP($D47,'Adient Taizhou (China) WK.16'!$B:S,Z$1,0),0)</f>
        <v>0</v>
      </c>
      <c r="AB47" s="41">
        <v>0</v>
      </c>
      <c r="AC47" s="32">
        <v>0</v>
      </c>
      <c r="AD47" s="106">
        <f t="shared" si="237"/>
        <v>120</v>
      </c>
      <c r="AF47" s="37">
        <f t="shared" si="238"/>
        <v>120</v>
      </c>
      <c r="AG47" s="125">
        <f>IFERROR(VLOOKUP($D47,'Adient Assende (Belgium) WK.17'!$B:AA,AH$1,0),0)</f>
        <v>0</v>
      </c>
      <c r="AH47" s="55">
        <f>IFERROR(VLOOKUP($D47,'Adient Arendal (Malzia) WK.12'!$B:AA,AH$1,0),0)</f>
        <v>0</v>
      </c>
      <c r="AI47" s="55">
        <f>IFERROR(VLOOKUP($D47,'Adient Taizhou (China) WK.16'!$B:AA,AH$1,0),0)</f>
        <v>0</v>
      </c>
      <c r="AJ47" s="41">
        <v>0</v>
      </c>
      <c r="AK47" s="32">
        <v>0</v>
      </c>
      <c r="AL47" s="106">
        <f t="shared" si="239"/>
        <v>120</v>
      </c>
      <c r="AN47" s="37">
        <f t="shared" si="432"/>
        <v>120</v>
      </c>
      <c r="AO47" s="125">
        <f>IFERROR(VLOOKUP($D47,'Adient Assende (Belgium) WK.17'!$B:AI,AP$1,0),0)</f>
        <v>0</v>
      </c>
      <c r="AP47" s="55">
        <f>IFERROR(VLOOKUP($D47,'Adient Arendal (Malzia) WK.12'!$B:AI,AP$1,0),0)</f>
        <v>0</v>
      </c>
      <c r="AQ47" s="55">
        <f>IFERROR(VLOOKUP($D47,'Adient Taizhou (China) WK.16'!$B:AI,AP$1,0),0)</f>
        <v>0</v>
      </c>
      <c r="AR47" s="60">
        <v>0</v>
      </c>
      <c r="AS47" s="41">
        <v>0</v>
      </c>
      <c r="AT47" s="32">
        <v>0</v>
      </c>
      <c r="AU47" s="106">
        <f t="shared" si="240"/>
        <v>120</v>
      </c>
      <c r="AW47" s="37">
        <f t="shared" si="433"/>
        <v>120</v>
      </c>
      <c r="AX47" s="125">
        <f>IFERROR(VLOOKUP($D47,'Adient Assende (Belgium) WK.17'!$B:AR,AY$1,0),0)</f>
        <v>0</v>
      </c>
      <c r="AY47" s="55">
        <f>IFERROR(VLOOKUP($D47,'Adient Arendal (Malzia) WK.12'!$B:AR,AY$1,0),0)</f>
        <v>0</v>
      </c>
      <c r="AZ47" s="55">
        <f>IFERROR(VLOOKUP($D47,'Adient Taizhou (China) WK.16'!$B:AU,AY$1,0),0)</f>
        <v>0</v>
      </c>
      <c r="BA47" s="41">
        <v>0</v>
      </c>
      <c r="BB47" s="32">
        <v>0</v>
      </c>
      <c r="BC47" s="106">
        <f t="shared" si="241"/>
        <v>120</v>
      </c>
      <c r="BE47" s="37">
        <f t="shared" si="434"/>
        <v>120</v>
      </c>
      <c r="BF47" s="125">
        <f>IFERROR(VLOOKUP($D47,'Adient Assende (Belgium) WK.17'!$B:AX,BG$1,0),0)</f>
        <v>0</v>
      </c>
      <c r="BG47" s="55">
        <f>IFERROR(VLOOKUP($D47,'Adient Arendal (Malzia) WK.12'!$B:AZ,BG$1,0),0)</f>
        <v>0</v>
      </c>
      <c r="BH47" s="55">
        <f>IFERROR(VLOOKUP($D47,'Adient Taizhou (China) WK.16'!$B:BB,BG$1,0),0)</f>
        <v>0</v>
      </c>
      <c r="BI47" s="60">
        <v>0</v>
      </c>
      <c r="BJ47" s="60">
        <v>0</v>
      </c>
      <c r="BK47" s="41">
        <v>0</v>
      </c>
      <c r="BL47" s="32">
        <v>0</v>
      </c>
      <c r="BM47" s="106">
        <f t="shared" si="242"/>
        <v>120</v>
      </c>
      <c r="BN47" s="8"/>
      <c r="BO47" s="37">
        <f t="shared" si="435"/>
        <v>120</v>
      </c>
      <c r="BP47" s="125">
        <f>IFERROR(VLOOKUP($D47,'Adient Assende (Belgium) WK.17'!$B:BH,BQ$1,0),0)</f>
        <v>0</v>
      </c>
      <c r="BQ47" s="55">
        <f>IFERROR(VLOOKUP($D47,'Adient Arendal (Malzia) WK.12'!$B:BI,BQ$1,0),0)</f>
        <v>0</v>
      </c>
      <c r="BR47" s="55">
        <f>IFERROR(VLOOKUP($D47,'Adient Taizhou (China) WK.16'!$B:BL,BQ$1,0),0)</f>
        <v>0</v>
      </c>
      <c r="BS47" s="60">
        <v>0</v>
      </c>
      <c r="BT47" s="60">
        <v>0</v>
      </c>
      <c r="BU47" s="60">
        <v>0</v>
      </c>
      <c r="BV47" s="41">
        <v>80</v>
      </c>
      <c r="BW47" s="32">
        <v>0</v>
      </c>
      <c r="BX47" s="106">
        <f t="shared" si="243"/>
        <v>40</v>
      </c>
      <c r="BY47" s="8"/>
      <c r="BZ47" s="37">
        <f t="shared" si="436"/>
        <v>40</v>
      </c>
      <c r="CA47" s="125">
        <f>IFERROR(VLOOKUP($D47,'Adient Assende (Belgium) WK.17'!$B:BS,CB$1,0),0)</f>
        <v>80</v>
      </c>
      <c r="CB47" s="55">
        <f>IFERROR(VLOOKUP($D47,'Adient Arendal (Malzia) WK.12'!$B:BT,CB$1,0),0)</f>
        <v>0</v>
      </c>
      <c r="CC47" s="55">
        <f>IFERROR(VLOOKUP($D47,'Adient Taizhou (China) WK.16'!$B:BW,CB$1,0),0)</f>
        <v>0</v>
      </c>
      <c r="CD47" s="60">
        <v>0</v>
      </c>
      <c r="CE47" s="60">
        <v>0</v>
      </c>
      <c r="CF47" s="41">
        <v>0</v>
      </c>
      <c r="CG47" s="32">
        <v>0</v>
      </c>
      <c r="CH47" s="106">
        <f t="shared" si="244"/>
        <v>40</v>
      </c>
      <c r="CI47" s="8"/>
      <c r="CJ47" s="37">
        <f t="shared" si="437"/>
        <v>40</v>
      </c>
      <c r="CK47" s="125">
        <f>IFERROR(VLOOKUP($D47,'Adient Assende (Belgium) WK.17'!$B:CC,CL$1,0),0)</f>
        <v>0</v>
      </c>
      <c r="CL47" s="55">
        <f>IFERROR(VLOOKUP($D47,'Adient Arendal (Malzia) WK.12'!$B:CD,CL$1,0),0)</f>
        <v>0</v>
      </c>
      <c r="CM47" s="55">
        <f>IFERROR(VLOOKUP($D47,'Adient Taizhou (China) WK.16'!$B:CG,CL$1,0),0)</f>
        <v>0</v>
      </c>
      <c r="CN47" s="60">
        <v>40</v>
      </c>
      <c r="CO47" s="149">
        <v>0</v>
      </c>
      <c r="CP47" s="32">
        <v>0</v>
      </c>
      <c r="CQ47" s="106">
        <f t="shared" si="245"/>
        <v>80</v>
      </c>
      <c r="CR47" s="8"/>
      <c r="CS47" s="122">
        <f t="shared" si="438"/>
        <v>80</v>
      </c>
      <c r="CT47" s="154">
        <f>IFERROR(VLOOKUP($D47,'Adient Assende (Belgium) WK.17'!$B:CL,CU$1,0),0)</f>
        <v>0</v>
      </c>
      <c r="CU47" s="55">
        <f>IFERROR(VLOOKUP($D47,'Adient Arendal (Malzia) WK.12'!$B:CM,CU$1,0),0)</f>
        <v>0</v>
      </c>
      <c r="CV47" s="55">
        <f>IFERROR(VLOOKUP($D47,'Adient Taizhou (China) WK.16'!$B:CP,CU$1,0),0)</f>
        <v>0</v>
      </c>
      <c r="CW47" s="60">
        <v>0</v>
      </c>
      <c r="CX47" s="60">
        <v>40</v>
      </c>
      <c r="CY47" s="128">
        <v>0</v>
      </c>
      <c r="CZ47" s="32">
        <v>0</v>
      </c>
      <c r="DA47" s="106">
        <f t="shared" si="246"/>
        <v>120</v>
      </c>
      <c r="DB47" s="8"/>
      <c r="DC47" s="37">
        <f t="shared" si="439"/>
        <v>120</v>
      </c>
      <c r="DD47" s="125">
        <f>IFERROR(VLOOKUP($D47,'Adient Assende (Belgium) WK.17'!$B:CS,DE$1,0),0)</f>
        <v>0</v>
      </c>
      <c r="DE47" s="55">
        <f>IFERROR(VLOOKUP($D47,'Adient Arendal (Malzia) WK.12'!$B:CU,DE$1,0),0)</f>
        <v>0</v>
      </c>
      <c r="DF47" s="55">
        <f>IFERROR(VLOOKUP($D47,'Adient Taizhou (China) WK.16'!$B:CX,DE$1,0),0)</f>
        <v>0</v>
      </c>
      <c r="DG47" s="60">
        <v>140</v>
      </c>
      <c r="DH47" s="128">
        <v>0</v>
      </c>
      <c r="DI47" s="32">
        <v>0</v>
      </c>
      <c r="DJ47" s="106">
        <f t="shared" si="247"/>
        <v>260</v>
      </c>
      <c r="DL47" s="37">
        <f t="shared" si="440"/>
        <v>260</v>
      </c>
      <c r="DM47" s="125">
        <f>IFERROR(VLOOKUP($D47,'Adient Assende (Belgium) WK.17'!$B:DB,DN$1,0),0)</f>
        <v>0</v>
      </c>
      <c r="DN47" s="55">
        <f>IFERROR(VLOOKUP($D47,'Adient Arendal (Malzia) WK.12'!$B:DC,DN$1,0),0)</f>
        <v>0</v>
      </c>
      <c r="DO47" s="55">
        <f>IFERROR(VLOOKUP($D47,'Adient Taizhou (China) WK.16'!$B:DF,DN$1,0),0)</f>
        <v>0</v>
      </c>
      <c r="DP47" s="128">
        <v>0</v>
      </c>
      <c r="DQ47" s="32">
        <v>0</v>
      </c>
      <c r="DR47" s="106">
        <f t="shared" si="441"/>
        <v>260</v>
      </c>
      <c r="DS47" s="8"/>
      <c r="DT47" s="37">
        <f t="shared" si="442"/>
        <v>260</v>
      </c>
      <c r="DU47" s="125">
        <f>IFERROR(VLOOKUP($D47,'Adient Assende (Belgium) WK.17'!$B:DJ,DV$1,0),0)</f>
        <v>0</v>
      </c>
      <c r="DV47" s="55">
        <f>IFERROR(VLOOKUP($D47,'Adient Arendal (Malzia) WK.12'!$B:DK,DV$1,0),0)</f>
        <v>0</v>
      </c>
      <c r="DW47" s="55">
        <f>IFERROR(VLOOKUP($D47,'Adient Taizhou (China) WK.16'!$B:DN,DV$1,0),0)</f>
        <v>0</v>
      </c>
      <c r="DX47" s="60">
        <v>0</v>
      </c>
      <c r="DY47" s="60">
        <v>0</v>
      </c>
      <c r="DZ47" s="128">
        <v>0</v>
      </c>
      <c r="EA47" s="32">
        <v>0</v>
      </c>
      <c r="EB47" s="106">
        <f t="shared" si="248"/>
        <v>260</v>
      </c>
      <c r="EC47" s="8"/>
      <c r="ED47" s="37">
        <f t="shared" si="443"/>
        <v>260</v>
      </c>
      <c r="EE47" s="125">
        <f>IFERROR(VLOOKUP($D47,'Adient Assende (Belgium) WK.17'!$B:DR,EF$1,0),0)</f>
        <v>0</v>
      </c>
      <c r="EF47" s="55">
        <f>IFERROR(VLOOKUP($D47,'Adient Arendal (Malzia) WK.12'!$B:DS,EF$1,0),0)</f>
        <v>0</v>
      </c>
      <c r="EG47" s="55">
        <f>IFERROR(VLOOKUP($D47,'Adient Taizhou (China) WK.16'!$B:DV,EF$1,0),0)</f>
        <v>0</v>
      </c>
      <c r="EH47" s="60">
        <v>0</v>
      </c>
      <c r="EI47" s="128">
        <v>80</v>
      </c>
      <c r="EJ47" s="32">
        <v>0</v>
      </c>
      <c r="EK47" s="106">
        <f t="shared" si="249"/>
        <v>180</v>
      </c>
      <c r="EM47" s="37">
        <f t="shared" si="444"/>
        <v>180</v>
      </c>
      <c r="EN47" s="125">
        <f>IFERROR(VLOOKUP($D47,'Adient Assende (Belgium) WK.17'!$B:DZ,EO$1,0),0)</f>
        <v>80</v>
      </c>
      <c r="EO47" s="55">
        <f>IFERROR(VLOOKUP($D47,'Adient Arendal (Malzia) WK.12'!$B:EA,EO$1,0),0)</f>
        <v>0</v>
      </c>
      <c r="EP47" s="55">
        <f>IFERROR(VLOOKUP($D47,'Adient Taizhou (China) WK.16'!$B:ED,EO$1,0),0)</f>
        <v>0</v>
      </c>
      <c r="EQ47" s="128">
        <v>0</v>
      </c>
      <c r="ER47" s="32">
        <v>0</v>
      </c>
      <c r="ES47" s="106">
        <f t="shared" si="250"/>
        <v>180</v>
      </c>
      <c r="EU47" s="37">
        <f t="shared" si="445"/>
        <v>180</v>
      </c>
      <c r="EV47" s="125">
        <f>IFERROR(VLOOKUP($D47,'Adient Assende (Belgium) WK.17'!$B:EH,EW$1,0),0)</f>
        <v>0</v>
      </c>
      <c r="EW47" s="55">
        <f>IFERROR(VLOOKUP($D47,'Adient Arendal (Malzia) WK.12'!$B:EI,EW$1,0),0)</f>
        <v>0</v>
      </c>
      <c r="EX47" s="55">
        <f>IFERROR(VLOOKUP($D47,'Adient Taizhou (China) WK.16'!$B:EL,EW$1,0),0)</f>
        <v>0</v>
      </c>
      <c r="EY47" s="128">
        <v>0</v>
      </c>
      <c r="EZ47" s="32">
        <v>0</v>
      </c>
      <c r="FA47" s="106">
        <f t="shared" si="251"/>
        <v>180</v>
      </c>
      <c r="FC47" s="37">
        <f t="shared" si="446"/>
        <v>180</v>
      </c>
      <c r="FD47" s="154">
        <f>IFERROR(VLOOKUP($D47,'Adient Assende (Belgium) WK.17'!$B:EP,FE$1,0),0)</f>
        <v>0</v>
      </c>
      <c r="FE47" s="154">
        <f>IFERROR(VLOOKUP($D47,'Adient Arendal (Malzia) WK.12'!$B:EQ,FE$1,0),0)</f>
        <v>0</v>
      </c>
      <c r="FF47" s="154">
        <f>IFERROR(VLOOKUP($D47,'Adient Taizhou (China) WK.16'!$B:ET,FE$1,0),0)</f>
        <v>0</v>
      </c>
      <c r="FG47" s="128">
        <v>0</v>
      </c>
      <c r="FH47" s="32">
        <v>0</v>
      </c>
      <c r="FI47" s="106">
        <f t="shared" si="252"/>
        <v>180</v>
      </c>
      <c r="FK47" s="37">
        <f t="shared" si="447"/>
        <v>180</v>
      </c>
      <c r="FL47" s="125">
        <f>IFERROR(VLOOKUP($D47,'Adient Assende (Belgium) WK.17'!$B:EX,FM$1,0),0)</f>
        <v>0</v>
      </c>
      <c r="FM47" s="55">
        <f>IFERROR(VLOOKUP($D47,'Adient Arendal (Malzia) WK.12'!$B:EY,FM$1,0),0)</f>
        <v>0</v>
      </c>
      <c r="FN47" s="55">
        <f>IFERROR(VLOOKUP($D47,'Adient Taizhou (China) WK.16'!$B:FB,FM$1,0),0)</f>
        <v>0</v>
      </c>
      <c r="FO47" s="128">
        <v>0</v>
      </c>
      <c r="FP47" s="32">
        <v>0</v>
      </c>
      <c r="FQ47" s="106">
        <f t="shared" si="253"/>
        <v>180</v>
      </c>
      <c r="FR47" s="8"/>
      <c r="FS47" s="37">
        <f t="shared" si="448"/>
        <v>180</v>
      </c>
      <c r="FT47" s="125">
        <f>IFERROR(VLOOKUP($D47,'Adient Assende (Belgium) WK.17'!$B:FF,FU$1,0),0)</f>
        <v>0</v>
      </c>
      <c r="FU47" s="55">
        <f>IFERROR(VLOOKUP($D47,'Adient Arendal (Malzia) WK.12'!$B:FG,FU$1,0),0)</f>
        <v>0</v>
      </c>
      <c r="FV47" s="55">
        <f>IFERROR(VLOOKUP($D47,'Adient Taizhou (China) WK.16'!$B:FJ,FU$1,0),0)</f>
        <v>0</v>
      </c>
      <c r="FW47" s="60">
        <v>0</v>
      </c>
      <c r="FX47" s="60">
        <v>0</v>
      </c>
      <c r="FY47" s="60">
        <v>100</v>
      </c>
      <c r="FZ47" s="60">
        <v>100</v>
      </c>
      <c r="GA47" s="60">
        <v>0</v>
      </c>
      <c r="GB47" s="128">
        <v>0</v>
      </c>
      <c r="GC47" s="32">
        <v>0</v>
      </c>
      <c r="GD47" s="106">
        <f t="shared" si="254"/>
        <v>380</v>
      </c>
      <c r="GF47" s="37">
        <f t="shared" si="449"/>
        <v>380</v>
      </c>
      <c r="GG47" s="125">
        <f>IFERROR(VLOOKUP($D47,'Adient Assende (Belgium) WK.17'!$B:FN,GH$1,0),0)</f>
        <v>0</v>
      </c>
      <c r="GH47" s="55">
        <f>IFERROR(VLOOKUP($D47,'Adient Arendal (Malzia) WK.12'!$B:FO,GH$1,0),0)</f>
        <v>0</v>
      </c>
      <c r="GI47" s="55">
        <f>IFERROR(VLOOKUP($D47,'Adient Taizhou (China) WK.16'!$B:FR,GH$1,0),0)</f>
        <v>0</v>
      </c>
      <c r="GJ47" s="60">
        <v>0</v>
      </c>
      <c r="GK47" s="128">
        <v>0</v>
      </c>
      <c r="GL47" s="32">
        <v>0</v>
      </c>
      <c r="GM47" s="106">
        <f t="shared" si="255"/>
        <v>380</v>
      </c>
      <c r="GO47" s="37">
        <f t="shared" si="450"/>
        <v>380</v>
      </c>
      <c r="GP47" s="125">
        <f>IFERROR(VLOOKUP($D47,'Adient Assende (Belgium) WK.17'!$B:FV,GQ$1,0),0)</f>
        <v>0</v>
      </c>
      <c r="GQ47" s="55">
        <f>IFERROR(VLOOKUP($D47,'Adient Arendal (Malzia) WK.12'!$B:FW,GQ$1,0),0)</f>
        <v>0</v>
      </c>
      <c r="GR47" s="55">
        <f>IFERROR(VLOOKUP($D47,'Adient Taizhou (China) WK.16'!$B:FZ,GQ$1,0),0)</f>
        <v>0</v>
      </c>
      <c r="GS47" s="60">
        <v>0</v>
      </c>
      <c r="GT47" s="128">
        <v>0</v>
      </c>
      <c r="GU47" s="32">
        <v>0</v>
      </c>
      <c r="GV47" s="106">
        <f t="shared" si="256"/>
        <v>380</v>
      </c>
      <c r="GW47" s="8"/>
      <c r="GX47" s="37">
        <f t="shared" si="451"/>
        <v>380</v>
      </c>
      <c r="GY47" s="125">
        <f>IFERROR(VLOOKUP($D47,'Adient Assende (Belgium) WK.17'!$B:GD,GZ$1,0),0)</f>
        <v>0</v>
      </c>
      <c r="GZ47" s="55">
        <f>IFERROR(VLOOKUP($D47,'Adient Arendal (Malzia) WK.12'!$B:GE,GZ$1,0),0)</f>
        <v>0</v>
      </c>
      <c r="HA47" s="55">
        <f>IFERROR(VLOOKUP($D47,'Adient Taizhou (China) WK.16'!$B:GH,GZ$1,0),0)</f>
        <v>0</v>
      </c>
      <c r="HB47" s="60">
        <v>0</v>
      </c>
      <c r="HC47" s="128">
        <v>0</v>
      </c>
      <c r="HD47" s="32">
        <v>0</v>
      </c>
      <c r="HE47" s="106">
        <f t="shared" si="257"/>
        <v>380</v>
      </c>
      <c r="HF47" s="8"/>
      <c r="HG47" s="37">
        <f t="shared" si="452"/>
        <v>380</v>
      </c>
      <c r="HH47" s="125">
        <f>IFERROR(VLOOKUP($D47,'Adient Assende (Belgium) WK.17'!$B:GL,HI$1,0),0)</f>
        <v>0</v>
      </c>
      <c r="HI47" s="55">
        <f>IFERROR(VLOOKUP($D47,'Adient Arendal (Malzia) WK.12'!$B:GM,HI$1,0),0)</f>
        <v>0</v>
      </c>
      <c r="HJ47" s="55">
        <f>IFERROR(VLOOKUP($D47,'Adient Taizhou (China) WK.16'!$B:GP,HI$1,0),0)</f>
        <v>0</v>
      </c>
      <c r="HK47" s="60">
        <v>0</v>
      </c>
      <c r="HL47" s="128">
        <v>0</v>
      </c>
      <c r="HM47" s="32">
        <v>0</v>
      </c>
      <c r="HN47" s="106">
        <f t="shared" si="258"/>
        <v>380</v>
      </c>
      <c r="HO47" s="8"/>
      <c r="HP47" s="37">
        <f t="shared" si="453"/>
        <v>380</v>
      </c>
      <c r="HQ47" s="125">
        <f>IFERROR(VLOOKUP($D47,'Adient Assende (Belgium) WK.17'!$B:GT,HR$1,0),0)</f>
        <v>0</v>
      </c>
      <c r="HR47" s="55">
        <f>IFERROR(VLOOKUP($D47,'Adient Arendal (Malzia) WK.12'!$B:GU,HR$1,0),0)</f>
        <v>0</v>
      </c>
      <c r="HS47" s="55">
        <f>IFERROR(VLOOKUP($D47,'Adient Taizhou (China) WK.16'!$B:GX,HR$1,0),0)</f>
        <v>0</v>
      </c>
      <c r="HT47" s="60">
        <v>0</v>
      </c>
      <c r="HU47" s="128">
        <v>80</v>
      </c>
      <c r="HV47" s="32">
        <v>0</v>
      </c>
      <c r="HW47" s="106">
        <f t="shared" si="259"/>
        <v>300</v>
      </c>
      <c r="HX47" s="8"/>
      <c r="HY47" s="37">
        <f t="shared" si="454"/>
        <v>300</v>
      </c>
      <c r="HZ47" s="125">
        <f>IFERROR(VLOOKUP($D47,'Adient Assende (Belgium) WK.17'!$B:HB,IA$1,0),0)</f>
        <v>80</v>
      </c>
      <c r="IA47" s="55">
        <f>IFERROR(VLOOKUP($D47,'Adient Arendal (Malzia) WK.12'!$B:HC,IA$1,0),0)</f>
        <v>0</v>
      </c>
      <c r="IB47" s="55">
        <f>IFERROR(VLOOKUP($D47,'Adient Taizhou (China) WK.16'!$B:HF,IA$1,0),0)</f>
        <v>0</v>
      </c>
      <c r="IC47" s="60">
        <v>0</v>
      </c>
      <c r="ID47" s="128">
        <v>0</v>
      </c>
      <c r="IE47" s="32">
        <v>0</v>
      </c>
      <c r="IF47" s="106">
        <f t="shared" si="260"/>
        <v>300</v>
      </c>
      <c r="IG47" s="8"/>
      <c r="IH47" s="37">
        <f t="shared" si="455"/>
        <v>300</v>
      </c>
      <c r="II47" s="125">
        <f>IFERROR(VLOOKUP($D47,'Adient Assende (Belgium) WK.17'!$B:HJ,IJ$1,0),0)</f>
        <v>0</v>
      </c>
      <c r="IJ47" s="55">
        <f>IFERROR(VLOOKUP($D47,'Adient Arendal (Malzia) WK.12'!$B:HK,IJ$1,0),0)</f>
        <v>0</v>
      </c>
      <c r="IK47" s="55">
        <f>IFERROR(VLOOKUP($D47,'Adient Taizhou (China) WK.16'!$B:HN,IJ$1,0),0)</f>
        <v>0</v>
      </c>
      <c r="IL47" s="128">
        <v>0</v>
      </c>
      <c r="IM47" s="32">
        <v>0</v>
      </c>
      <c r="IN47" s="106">
        <f t="shared" si="456"/>
        <v>300</v>
      </c>
      <c r="IO47" s="8"/>
      <c r="IP47" s="37">
        <f t="shared" si="457"/>
        <v>300</v>
      </c>
      <c r="IQ47" s="125">
        <f>IFERROR(VLOOKUP($D47,'Adient Assende (Belgium) WK.17'!$B:HR,IR$1,0),0)</f>
        <v>0</v>
      </c>
      <c r="IR47" s="55">
        <f>IFERROR(VLOOKUP($D47,'Adient Arendal (Malzia) WK.12'!$B:HS,IR$1,0),0)</f>
        <v>0</v>
      </c>
      <c r="IS47" s="55">
        <f>IFERROR(VLOOKUP($D47,'Adient Taizhou (China) WK.16'!$B:HV,IR$1,0),0)</f>
        <v>0</v>
      </c>
      <c r="IT47" s="60">
        <v>280</v>
      </c>
      <c r="IU47" s="128">
        <v>0</v>
      </c>
      <c r="IV47" s="32">
        <v>0</v>
      </c>
      <c r="IW47" s="106">
        <f t="shared" si="261"/>
        <v>580</v>
      </c>
      <c r="IX47" s="8"/>
      <c r="IY47" s="37">
        <f t="shared" si="458"/>
        <v>580</v>
      </c>
      <c r="IZ47" s="125">
        <f>IFERROR(VLOOKUP($D47,'Adient Assende (Belgium) WK.17'!$B:HZ,JA$1,0),0)</f>
        <v>0</v>
      </c>
      <c r="JA47" s="55">
        <f>IFERROR(VLOOKUP($D47,'Adient Arendal (Malzia) WK.12'!$B:IA,JA$1,0),0)</f>
        <v>0</v>
      </c>
      <c r="JB47" s="55">
        <f>IFERROR(VLOOKUP($D47,'Adient Taizhou (China) WK.16'!$B:ID,JA$1,0),0)</f>
        <v>0</v>
      </c>
      <c r="JC47" s="128">
        <v>0</v>
      </c>
      <c r="JD47" s="32">
        <v>0</v>
      </c>
      <c r="JE47" s="106">
        <f t="shared" si="459"/>
        <v>580</v>
      </c>
      <c r="JF47" s="8"/>
      <c r="JG47" s="37">
        <f t="shared" si="460"/>
        <v>580</v>
      </c>
      <c r="JH47" s="125">
        <f>IFERROR(VLOOKUP($D47,'Adient Assende (Belgium) WK.17'!$B:IH,JI$1,0),0)</f>
        <v>0</v>
      </c>
      <c r="JI47" s="55">
        <f>IFERROR(VLOOKUP($D47,'Adient Arendal (Malzia) WK.12'!$B:II,JI$1,0),0)</f>
        <v>0</v>
      </c>
      <c r="JJ47" s="55">
        <f>IFERROR(VLOOKUP($D47,'Adient Taizhou (China) WK.16'!$B:IL,JI$1,0),0)</f>
        <v>0</v>
      </c>
      <c r="JK47" s="60">
        <v>500</v>
      </c>
      <c r="JL47" s="128">
        <v>0</v>
      </c>
      <c r="JM47" s="32">
        <v>0</v>
      </c>
      <c r="JN47" s="106">
        <f t="shared" si="262"/>
        <v>1080</v>
      </c>
      <c r="JO47" s="8"/>
      <c r="JP47" s="37">
        <f t="shared" si="461"/>
        <v>1080</v>
      </c>
      <c r="JQ47" s="125">
        <f>IFERROR(VLOOKUP($D47,'Adient Assende (Belgium) WK.17'!$B:IP,JR$1,0),0)</f>
        <v>0</v>
      </c>
      <c r="JR47" s="55">
        <f>IFERROR(VLOOKUP($D47,'Adient Arendal (Malzia) WK.12'!$B:IQ,JR$1,0),0)</f>
        <v>0</v>
      </c>
      <c r="JS47" s="55">
        <f>IFERROR(VLOOKUP($D47,'Adient Taizhou (China) WK.16'!$B:IT,JR$1,0),0)</f>
        <v>0</v>
      </c>
      <c r="JT47" s="128">
        <v>0</v>
      </c>
      <c r="JU47" s="32">
        <v>0</v>
      </c>
      <c r="JV47" s="106">
        <f t="shared" si="462"/>
        <v>1080</v>
      </c>
      <c r="JW47" s="8"/>
      <c r="JX47" s="37">
        <f t="shared" si="463"/>
        <v>1080</v>
      </c>
      <c r="JY47" s="154">
        <f>IFERROR(VLOOKUP($D47,'Adient Assende (Belgium) WK.17'!$B:IX,JZ$1,0),0)</f>
        <v>0</v>
      </c>
      <c r="JZ47" s="55">
        <f>IFERROR(VLOOKUP($D47,'Adient Arendal (Malzia) WK.12'!$B:IY,JZ$1,0),0)</f>
        <v>0</v>
      </c>
      <c r="KA47" s="55">
        <f>IFERROR(VLOOKUP($D47,'Adient Taizhou (China) WK.16'!$B:JB,JZ$1,0),0)</f>
        <v>0</v>
      </c>
      <c r="KB47" s="128">
        <v>160</v>
      </c>
      <c r="KC47" s="32">
        <v>0</v>
      </c>
      <c r="KD47" s="106">
        <f t="shared" si="263"/>
        <v>920</v>
      </c>
      <c r="KE47" s="8"/>
      <c r="KF47" s="37">
        <f t="shared" si="464"/>
        <v>920</v>
      </c>
      <c r="KG47" s="125">
        <f>IFERROR(VLOOKUP($D47,'Adient Assende (Belgium) WK.17'!$B:JF,KH$1,0),0)</f>
        <v>160</v>
      </c>
      <c r="KH47" s="55">
        <f>IFERROR(VLOOKUP($D47,'Adient Arendal (Malzia) WK.12'!$B:JG,KH$1,0),0)</f>
        <v>0</v>
      </c>
      <c r="KI47" s="55">
        <f>IFERROR(VLOOKUP($D47,'Adient Taizhou (China) WK.16'!$B:JJ,KH$1,0),0)</f>
        <v>0</v>
      </c>
      <c r="KJ47" s="60">
        <v>980</v>
      </c>
      <c r="KK47" s="128">
        <v>480</v>
      </c>
      <c r="KL47" s="32">
        <v>0</v>
      </c>
      <c r="KM47" s="106">
        <f t="shared" si="264"/>
        <v>1420</v>
      </c>
      <c r="KN47" s="8"/>
      <c r="KO47" s="37">
        <f t="shared" si="465"/>
        <v>1420</v>
      </c>
      <c r="KP47" s="141">
        <f>IFERROR(VLOOKUP($D47,'Adient Assende (Belgium) WK.17'!$B:JN,KQ$1,0),0)</f>
        <v>480</v>
      </c>
      <c r="KQ47" s="140">
        <f>IFERROR(VLOOKUP($D47,'Adient Arendal (Malzia) WK.12'!$B:JO,KQ$1,0),0)</f>
        <v>0</v>
      </c>
      <c r="KR47" s="140">
        <f>IFERROR(VLOOKUP($D47,'Adient Taizhou (China) WK.16'!$B:JR,KQ$1,0),0)</f>
        <v>0</v>
      </c>
      <c r="KS47" s="60">
        <v>700</v>
      </c>
      <c r="KT47" s="128">
        <v>320</v>
      </c>
      <c r="KU47" s="32">
        <v>0</v>
      </c>
      <c r="KV47" s="106">
        <f t="shared" si="265"/>
        <v>1800</v>
      </c>
      <c r="KX47" s="37">
        <f t="shared" si="466"/>
        <v>1800</v>
      </c>
      <c r="KY47" s="141">
        <f>IFERROR(VLOOKUP($D47,'Adient Assende (Belgium) WK.17'!$B:JV,KZ$1,0),0)</f>
        <v>320</v>
      </c>
      <c r="KZ47" s="140">
        <f>IFERROR(VLOOKUP($D47,'Adient Arendal (Malzia) WK.12'!$B:JW,KZ$1,0),0)</f>
        <v>0</v>
      </c>
      <c r="LA47" s="140">
        <f>IFERROR(VLOOKUP($D47,'Adient Taizhou (China) WK.16'!$B:JZ,KZ$1,0),0)</f>
        <v>0</v>
      </c>
      <c r="LB47" s="128">
        <v>0</v>
      </c>
      <c r="LC47" s="32">
        <v>0</v>
      </c>
      <c r="LD47" s="106">
        <f t="shared" si="467"/>
        <v>1800</v>
      </c>
      <c r="LF47" s="37">
        <f t="shared" si="468"/>
        <v>1800</v>
      </c>
      <c r="LG47" s="141">
        <f>IFERROR(VLOOKUP($D47,'Adient Assende (Belgium) WK.17'!$B:KD,LH$1,0),0)</f>
        <v>720</v>
      </c>
      <c r="LH47" s="140">
        <f>IFERROR(VLOOKUP($D47,'Adient Arendal (Malzia) WK.12'!$B:KE,LH$1,0),0)</f>
        <v>0</v>
      </c>
      <c r="LI47" s="140">
        <f>IFERROR(VLOOKUP($D47,'Adient Taizhou (China) WK.16'!$B:KH,LH$1,0),0)</f>
        <v>0</v>
      </c>
      <c r="LJ47" s="60">
        <v>280</v>
      </c>
      <c r="LK47" s="128">
        <v>0</v>
      </c>
      <c r="LL47" s="32">
        <v>0</v>
      </c>
      <c r="LM47" s="100">
        <f t="shared" si="267"/>
        <v>1360</v>
      </c>
      <c r="LO47" s="37">
        <f t="shared" si="469"/>
        <v>1360</v>
      </c>
      <c r="LP47" s="141">
        <f>IFERROR(VLOOKUP($D47,'Adient Assende (Belgium) WK.17'!$B:KL,LQ$1,0),0)</f>
        <v>400</v>
      </c>
      <c r="LQ47" s="140">
        <f>IFERROR(VLOOKUP($D47,'Adient Arendal (Malzia) WK.12'!$B:KM,LQ$1,0),0)</f>
        <v>0</v>
      </c>
      <c r="LR47" s="140">
        <f>IFERROR(VLOOKUP($D47,'Adient Taizhou (China) WK.16'!$B:KP,LQ$1,0),0)</f>
        <v>0</v>
      </c>
      <c r="LS47" s="128">
        <v>0</v>
      </c>
      <c r="LT47" s="32">
        <v>0</v>
      </c>
      <c r="LU47" s="100">
        <f t="shared" si="470"/>
        <v>960</v>
      </c>
      <c r="LW47" s="37">
        <f t="shared" si="471"/>
        <v>960</v>
      </c>
      <c r="LX47" s="141">
        <f>IFERROR(VLOOKUP($D47,'Adient Assende (Belgium) WK.17'!$B:KT,LY$1,0),0)</f>
        <v>960</v>
      </c>
      <c r="LY47" s="140">
        <f>IFERROR(VLOOKUP($D47,'Adient Arendal (Malzia) WK.12'!$B:KU,LY$1,0),0)</f>
        <v>0</v>
      </c>
      <c r="LZ47" s="140">
        <f>IFERROR(VLOOKUP($D47,'Adient Taizhou (China) WK.16'!$B:KX,LY$1,0),0)</f>
        <v>0</v>
      </c>
      <c r="MA47" s="128">
        <v>0</v>
      </c>
      <c r="MB47" s="32">
        <v>0</v>
      </c>
      <c r="MC47" s="100">
        <f t="shared" si="472"/>
        <v>0</v>
      </c>
      <c r="ME47" s="37">
        <f t="shared" si="473"/>
        <v>0</v>
      </c>
      <c r="MF47" s="154">
        <f>IFERROR(VLOOKUP($D47,'Adient Assende (Belgium) WK.17'!$B:LB,MG$1,0),0)</f>
        <v>0</v>
      </c>
      <c r="MG47" s="140">
        <f>IFERROR(VLOOKUP($D47,'Adient Arendal (Malzia) WK.12'!$B:LC,MG$1,0),0)</f>
        <v>0</v>
      </c>
      <c r="MH47" s="140">
        <f>IFERROR(VLOOKUP($D47,'Adient Taizhou (China) WK.16'!$B:LF,MG$1,0),0)</f>
        <v>0</v>
      </c>
      <c r="MI47" s="128">
        <v>0</v>
      </c>
      <c r="MJ47" s="32">
        <v>0</v>
      </c>
      <c r="MK47" s="100">
        <f t="shared" si="474"/>
        <v>0</v>
      </c>
      <c r="MM47" s="37">
        <f t="shared" si="475"/>
        <v>0</v>
      </c>
      <c r="MN47" s="141">
        <f>IFERROR(VLOOKUP($D47,'Adient Assende (Belgium) WK.17'!$B:LJ,MO$1,0),0)</f>
        <v>640</v>
      </c>
      <c r="MO47" s="140">
        <f>IFERROR(VLOOKUP($D47,'Adient Arendal (Malzia) WK.12'!$B:LK,MO$1,0),0)</f>
        <v>0</v>
      </c>
      <c r="MP47" s="140">
        <f>IFERROR(VLOOKUP($D47,'Adient Taizhou (China) WK.16'!$B:LN,MO$1,0),0)</f>
        <v>0</v>
      </c>
      <c r="MQ47" s="128">
        <v>0</v>
      </c>
      <c r="MR47" s="32">
        <v>0</v>
      </c>
      <c r="MS47" s="100">
        <f t="shared" si="476"/>
        <v>-640</v>
      </c>
      <c r="MU47" s="37">
        <f t="shared" si="477"/>
        <v>-640</v>
      </c>
      <c r="MV47" s="141">
        <f>IFERROR(VLOOKUP($D47,'Adient Assende (Belgium) WK.17'!$B:LR,MW$1,0),0)</f>
        <v>480</v>
      </c>
      <c r="MW47" s="140">
        <f>IFERROR(VLOOKUP($D47,'Adient Arendal (Malzia) WK.12'!$B:LS,MW$1,0),0)</f>
        <v>0</v>
      </c>
      <c r="MX47" s="140">
        <f>IFERROR(VLOOKUP($D47,'Adient Taizhou (China) WK.16'!$B:LV,MW$1,0),0)</f>
        <v>0</v>
      </c>
      <c r="MY47" s="128">
        <v>0</v>
      </c>
      <c r="MZ47" s="32">
        <v>0</v>
      </c>
      <c r="NA47" s="100">
        <f t="shared" si="478"/>
        <v>-1120</v>
      </c>
      <c r="NC47" s="37">
        <f t="shared" si="479"/>
        <v>-1120</v>
      </c>
      <c r="ND47" s="141">
        <f>IFERROR(VLOOKUP($D47,'Adient Assende (Belgium) WK.17'!$B:LZ,NE$1,0),0)</f>
        <v>160</v>
      </c>
      <c r="NE47" s="140">
        <f>IFERROR(VLOOKUP($D47,'Adient Arendal (Malzia) WK.12'!$B:MA,NE$1,0),0)</f>
        <v>0</v>
      </c>
      <c r="NF47" s="140">
        <f>IFERROR(VLOOKUP($D47,'Adient Taizhou (China) WK.16'!$B:MD,NE$1,0),0)</f>
        <v>0</v>
      </c>
      <c r="NG47" s="128">
        <v>0</v>
      </c>
      <c r="NH47" s="32">
        <v>0</v>
      </c>
      <c r="NI47" s="100">
        <f t="shared" si="480"/>
        <v>-1280</v>
      </c>
      <c r="NK47" s="37">
        <f t="shared" si="481"/>
        <v>-1280</v>
      </c>
      <c r="NL47" s="141">
        <f>IFERROR(VLOOKUP($D47,'Adient Assende (Belgium) WK.17'!$B:MH,NM$1,0),0)</f>
        <v>400</v>
      </c>
      <c r="NM47" s="140">
        <f>IFERROR(VLOOKUP($D47,'Adient Arendal (Malzia) WK.12'!$B:MI,NM$1,0),0)</f>
        <v>0</v>
      </c>
      <c r="NN47" s="140">
        <f>IFERROR(VLOOKUP($D47,'Adient Taizhou (China) WK.16'!$B:ML,NM$1,0),0)</f>
        <v>0</v>
      </c>
      <c r="NO47" s="128">
        <v>0</v>
      </c>
      <c r="NP47" s="32">
        <v>0</v>
      </c>
      <c r="NQ47" s="100">
        <f t="shared" si="482"/>
        <v>-1680</v>
      </c>
      <c r="NS47" s="37">
        <f t="shared" si="483"/>
        <v>-1680</v>
      </c>
      <c r="NT47" s="141">
        <f>IFERROR(VLOOKUP($D47,'Adient Assende (Belgium) WK.17'!$B:MP,NU$1,0),0)</f>
        <v>400</v>
      </c>
      <c r="NU47" s="140">
        <f>IFERROR(VLOOKUP($D47,'Adient Arendal (Malzia) WK.12'!$B:MQ,NU$1,0),0)</f>
        <v>0</v>
      </c>
      <c r="NV47" s="140">
        <f>IFERROR(VLOOKUP($D47,'Adient Taizhou (China) WK.16'!$B:MT,NU$1,0),0)</f>
        <v>0</v>
      </c>
      <c r="NW47" s="128">
        <v>0</v>
      </c>
      <c r="NX47" s="32">
        <v>0</v>
      </c>
      <c r="NY47" s="100">
        <f t="shared" si="484"/>
        <v>-2080</v>
      </c>
      <c r="OA47" s="37">
        <f t="shared" si="485"/>
        <v>-2080</v>
      </c>
      <c r="OB47" s="141">
        <f>IFERROR(VLOOKUP($D47,'Adient Assende (Belgium) WK.17'!$B:MX,OC$1,0),0)</f>
        <v>480</v>
      </c>
      <c r="OC47" s="140">
        <f>IFERROR(VLOOKUP($D47,'Adient Arendal (Malzia) WK.12'!$B:MY,OC$1,0),0)</f>
        <v>0</v>
      </c>
      <c r="OD47" s="140">
        <f>IFERROR(VLOOKUP($D47,'Adient Taizhou (China) WK.16'!$B:NB,OC$1,0),0)</f>
        <v>0</v>
      </c>
      <c r="OE47" s="128">
        <v>0</v>
      </c>
      <c r="OF47" s="32">
        <v>0</v>
      </c>
      <c r="OG47" s="100">
        <f t="shared" si="486"/>
        <v>-2560</v>
      </c>
      <c r="OI47" s="37">
        <f t="shared" si="487"/>
        <v>-2560</v>
      </c>
      <c r="OJ47" s="141">
        <f>IFERROR(VLOOKUP($D47,'Adient Assende (Belgium) WK.17'!$B:NF,OK$1,0),0)</f>
        <v>720</v>
      </c>
      <c r="OK47" s="140">
        <f>IFERROR(VLOOKUP($D47,'Adient Arendal (Malzia) WK.12'!$B:NG,OK$1,0),0)</f>
        <v>0</v>
      </c>
      <c r="OL47" s="140">
        <f>IFERROR(VLOOKUP($D47,'Adient Taizhou (China) WK.16'!$B:NJ,OK$1,0),0)</f>
        <v>0</v>
      </c>
      <c r="OM47" s="128">
        <v>0</v>
      </c>
      <c r="ON47" s="32">
        <v>0</v>
      </c>
      <c r="OO47" s="100">
        <f t="shared" si="488"/>
        <v>-3280</v>
      </c>
      <c r="OQ47" s="37">
        <f t="shared" si="489"/>
        <v>-3280</v>
      </c>
      <c r="OR47" s="141">
        <f>IFERROR(VLOOKUP($D47,'Adient Assende (Belgium) WK.17'!$B:NN,OS$1,0),0)</f>
        <v>0</v>
      </c>
      <c r="OS47" s="140">
        <f>IFERROR(VLOOKUP($D47,'Adient Arendal (Malzia) WK.12'!$B:NO,OS$1,0),0)</f>
        <v>0</v>
      </c>
      <c r="OT47" s="140">
        <f>IFERROR(VLOOKUP($D47,'Adient Taizhou (China) WK.16'!$B:NR,OS$1,0),0)</f>
        <v>0</v>
      </c>
      <c r="OU47" s="128">
        <v>0</v>
      </c>
      <c r="OV47" s="32">
        <v>0</v>
      </c>
      <c r="OW47" s="100">
        <f t="shared" si="490"/>
        <v>-3280</v>
      </c>
      <c r="OY47" s="37">
        <f t="shared" si="491"/>
        <v>-3280</v>
      </c>
      <c r="OZ47" s="141">
        <f>IFERROR(VLOOKUP($D47,'Adient Assende (Belgium) WK.17'!$B:NV,PA$1,0),0)</f>
        <v>0</v>
      </c>
      <c r="PA47" s="140">
        <f>IFERROR(VLOOKUP($D47,'Adient Arendal (Malzia) WK.12'!$B:NW,PA$1,0),0)</f>
        <v>0</v>
      </c>
      <c r="PB47" s="140">
        <f>IFERROR(VLOOKUP($D47,'Adient Taizhou (China) WK.16'!$B:NZ,PA$1,0),0)</f>
        <v>0</v>
      </c>
      <c r="PC47" s="128">
        <v>0</v>
      </c>
      <c r="PD47" s="32">
        <v>0</v>
      </c>
      <c r="PE47" s="100">
        <f t="shared" si="492"/>
        <v>-3280</v>
      </c>
      <c r="PG47" s="37">
        <f t="shared" si="493"/>
        <v>-3280</v>
      </c>
      <c r="PH47" s="141">
        <f>IFERROR(VLOOKUP($D47,'Adient Assende (Belgium) WK.17'!$B:OD,PI$1,0),0)</f>
        <v>0</v>
      </c>
      <c r="PI47" s="140">
        <f>IFERROR(VLOOKUP($D47,'Adient Arendal (Malzia) WK.12'!$B:OE,PI$1,0),0)</f>
        <v>0</v>
      </c>
      <c r="PJ47" s="140">
        <f>IFERROR(VLOOKUP($D47,'Adient Taizhou (China) WK.16'!$B:OH,PI$1,0),0)</f>
        <v>0</v>
      </c>
      <c r="PK47" s="128">
        <v>0</v>
      </c>
      <c r="PL47" s="32">
        <v>0</v>
      </c>
      <c r="PM47" s="100">
        <f t="shared" si="494"/>
        <v>-3280</v>
      </c>
      <c r="PO47" s="37">
        <f t="shared" si="495"/>
        <v>-3280</v>
      </c>
      <c r="PP47" s="141">
        <f>IFERROR(VLOOKUP($D47,'Adient Assende (Belgium) WK.17'!$B:OL,PQ$1,0),0)</f>
        <v>0</v>
      </c>
      <c r="PQ47" s="140">
        <f>IFERROR(VLOOKUP($D47,'Adient Arendal (Malzia) WK.12'!$B:OM,PQ$1,0),0)</f>
        <v>0</v>
      </c>
      <c r="PR47" s="140">
        <f>IFERROR(VLOOKUP($D47,'Adient Taizhou (China) WK.16'!$B:OP,PQ$1,0),0)</f>
        <v>0</v>
      </c>
      <c r="PS47" s="128">
        <v>0</v>
      </c>
      <c r="PT47" s="32">
        <v>0</v>
      </c>
      <c r="PU47" s="100">
        <f t="shared" si="496"/>
        <v>-3280</v>
      </c>
      <c r="PW47" s="37">
        <f t="shared" si="497"/>
        <v>-3280</v>
      </c>
      <c r="PX47" s="141">
        <f>IFERROR(VLOOKUP($D47,'Adient Assende (Belgium) WK.17'!$B:OT,PY$1,0),0)</f>
        <v>400</v>
      </c>
      <c r="PY47" s="140">
        <f>IFERROR(VLOOKUP($D47,'Adient Arendal (Malzia) WK.12'!$B:OU,PY$1,0),0)</f>
        <v>0</v>
      </c>
      <c r="PZ47" s="140">
        <f>IFERROR(VLOOKUP($D47,'Adient Taizhou (China) WK.16'!$B:OX,PY$1,0),0)</f>
        <v>0</v>
      </c>
      <c r="QA47" s="128">
        <v>0</v>
      </c>
      <c r="QB47" s="32">
        <v>0</v>
      </c>
      <c r="QC47" s="100">
        <f t="shared" si="498"/>
        <v>-3680</v>
      </c>
      <c r="QE47" s="37">
        <f t="shared" si="499"/>
        <v>-3680</v>
      </c>
      <c r="QF47" s="141">
        <f>IFERROR(VLOOKUP($D47,'Adient Assende (Belgium) WK.17'!$B:PB,QG$1,0),0)</f>
        <v>480</v>
      </c>
      <c r="QG47" s="140">
        <f>IFERROR(VLOOKUP($D47,'Adient Arendal (Malzia) WK.12'!$B:PC,QG$1,0),0)</f>
        <v>0</v>
      </c>
      <c r="QH47" s="140">
        <f>IFERROR(VLOOKUP($D47,'Adient Taizhou (China) WK.16'!$B:PF,QG$1,0),0)</f>
        <v>0</v>
      </c>
      <c r="QI47" s="128">
        <v>0</v>
      </c>
      <c r="QJ47" s="32">
        <v>0</v>
      </c>
      <c r="QK47" s="100">
        <f t="shared" si="500"/>
        <v>-4160</v>
      </c>
      <c r="QM47" s="37">
        <f t="shared" si="501"/>
        <v>-4160</v>
      </c>
      <c r="QN47" s="141">
        <f>IFERROR(VLOOKUP($D47,'Adient Assende (Belgium) WK.17'!$B:PJ,QO$1,0),0)</f>
        <v>400</v>
      </c>
      <c r="QO47" s="140">
        <f>IFERROR(VLOOKUP($D47,'Adient Arendal (Malzia) WK.12'!$B:PK,QO$1,0),0)</f>
        <v>0</v>
      </c>
      <c r="QP47" s="140">
        <f>IFERROR(VLOOKUP($D47,'Adient Taizhou (China) WK.16'!$B:PN,QO$1,0),0)</f>
        <v>0</v>
      </c>
      <c r="QQ47" s="128">
        <v>0</v>
      </c>
      <c r="QR47" s="32">
        <v>0</v>
      </c>
      <c r="QS47" s="100">
        <f t="shared" si="502"/>
        <v>-4560</v>
      </c>
      <c r="QU47" s="37">
        <f t="shared" si="503"/>
        <v>-4560</v>
      </c>
      <c r="QV47" s="141">
        <f>IFERROR(VLOOKUP($D47,'Adient Assende (Belgium) WK.17'!$B:PR,QW$1,0),0)</f>
        <v>420</v>
      </c>
      <c r="QW47" s="140">
        <f>IFERROR(VLOOKUP($D47,'Adient Arendal (Malzia) WK.12'!$B:PS,QW$1,0),0)</f>
        <v>0</v>
      </c>
      <c r="QX47" s="140">
        <f>IFERROR(VLOOKUP($D47,'Adient Taizhou (China) WK.16'!$B:PV,QW$1,0),0)</f>
        <v>0</v>
      </c>
      <c r="QY47" s="128">
        <v>0</v>
      </c>
      <c r="QZ47" s="32">
        <v>0</v>
      </c>
      <c r="RA47" s="100">
        <f t="shared" si="504"/>
        <v>-4980</v>
      </c>
      <c r="RC47" s="37">
        <f t="shared" si="505"/>
        <v>-4980</v>
      </c>
      <c r="RD47" s="141">
        <f>IFERROR(VLOOKUP($D47,'Adient Assende (Belgium) WK.17'!$B:PZ,RE$1,0),0)</f>
        <v>420</v>
      </c>
      <c r="RE47" s="140">
        <f>IFERROR(VLOOKUP($D47,'Adient Arendal (Malzia) WK.12'!$B:QA,RE$1,0),0)</f>
        <v>0</v>
      </c>
      <c r="RF47" s="140">
        <f>IFERROR(VLOOKUP($D47,'Adient Taizhou (China) WK.16'!$B:QD,RE$1,0),0)</f>
        <v>0</v>
      </c>
      <c r="RG47" s="128">
        <v>0</v>
      </c>
      <c r="RH47" s="32">
        <v>0</v>
      </c>
      <c r="RI47" s="100">
        <f t="shared" si="506"/>
        <v>-5400</v>
      </c>
      <c r="RK47" s="37">
        <f t="shared" si="507"/>
        <v>-5400</v>
      </c>
      <c r="RL47" s="141">
        <f>IFERROR(VLOOKUP($D47,'Adient Assende (Belgium) WK.17'!$B:QH,RM$1,0),0)</f>
        <v>420</v>
      </c>
      <c r="RM47" s="140">
        <f>IFERROR(VLOOKUP($D47,'Adient Arendal (Malzia) WK.12'!$B:QI,RM$1,0),0)</f>
        <v>0</v>
      </c>
      <c r="RN47" s="140">
        <f>IFERROR(VLOOKUP($D47,'Adient Taizhou (China) WK.16'!$B:QL,RM$1,0),0)</f>
        <v>0</v>
      </c>
      <c r="RO47" s="128">
        <v>0</v>
      </c>
      <c r="RP47" s="32">
        <v>0</v>
      </c>
      <c r="RQ47" s="100">
        <f t="shared" si="508"/>
        <v>-5820</v>
      </c>
      <c r="RS47" s="37">
        <f t="shared" si="509"/>
        <v>-5820</v>
      </c>
      <c r="RT47" s="141">
        <f>IFERROR(VLOOKUP($D47,'Adient Assende (Belgium) WK.17'!$B:QP,RU$1,0),0)</f>
        <v>420</v>
      </c>
      <c r="RU47" s="140">
        <f>IFERROR(VLOOKUP($D47,'Adient Arendal (Malzia) WK.12'!$B:QQ,RU$1,0),0)</f>
        <v>0</v>
      </c>
      <c r="RV47" s="140">
        <f>IFERROR(VLOOKUP($D47,'Adient Taizhou (China) WK.16'!$B:QT,RU$1,0),0)</f>
        <v>0</v>
      </c>
      <c r="RW47" s="128">
        <v>0</v>
      </c>
      <c r="RX47" s="32">
        <v>0</v>
      </c>
      <c r="RY47" s="100">
        <f t="shared" si="510"/>
        <v>-6240</v>
      </c>
      <c r="SA47" s="37">
        <f t="shared" si="511"/>
        <v>-6240</v>
      </c>
      <c r="SB47" s="141">
        <f>IFERROR(VLOOKUP($D47,'Adient Assende (Belgium) WK.17'!$B:QX,SC$1,0),0)</f>
        <v>280</v>
      </c>
      <c r="SC47" s="140">
        <f>IFERROR(VLOOKUP($D47,'Adient Arendal (Malzia) WK.12'!$B:QY,SC$1,0),0)</f>
        <v>0</v>
      </c>
      <c r="SD47" s="140">
        <f>IFERROR(VLOOKUP($D47,'Adient Taizhou (China) WK.16'!$B:RB,SC$1,0),0)</f>
        <v>0</v>
      </c>
      <c r="SE47" s="128">
        <v>0</v>
      </c>
      <c r="SF47" s="32">
        <v>0</v>
      </c>
      <c r="SG47" s="100">
        <f t="shared" si="512"/>
        <v>-6520</v>
      </c>
      <c r="SI47" s="37">
        <f t="shared" si="513"/>
        <v>-6520</v>
      </c>
      <c r="SJ47" s="141">
        <f>IFERROR(VLOOKUP($D47,'Adient Assende (Belgium) WK.17'!$B:RF,SK$1,0),0)</f>
        <v>280</v>
      </c>
      <c r="SK47" s="140">
        <f>IFERROR(VLOOKUP($D47,'Adient Arendal (Malzia) WK.12'!$B:RG,SK$1,0),0)</f>
        <v>0</v>
      </c>
      <c r="SL47" s="140">
        <f>IFERROR(VLOOKUP($D47,'Adient Taizhou (China) WK.16'!$B:RJ,SK$1,0),0)</f>
        <v>0</v>
      </c>
      <c r="SM47" s="128">
        <v>0</v>
      </c>
      <c r="SN47" s="32">
        <v>0</v>
      </c>
      <c r="SO47" s="100">
        <f t="shared" si="514"/>
        <v>-6800</v>
      </c>
      <c r="SQ47" s="37">
        <f t="shared" si="515"/>
        <v>-6800</v>
      </c>
      <c r="SR47" s="141">
        <f>IFERROR(VLOOKUP($D47,'Adient Assende (Belgium) WK.17'!$B:RN,SS$1,0),0)</f>
        <v>280</v>
      </c>
      <c r="SS47" s="140">
        <f>IFERROR(VLOOKUP($D47,'Adient Arendal (Malzia) WK.12'!$B:RO,SS$1,0),0)</f>
        <v>0</v>
      </c>
      <c r="ST47" s="140">
        <f>IFERROR(VLOOKUP($D47,'Adient Taizhou (China) WK.16'!$B:RR,SS$1,0),0)</f>
        <v>0</v>
      </c>
      <c r="SU47" s="128">
        <v>0</v>
      </c>
      <c r="SV47" s="32">
        <v>0</v>
      </c>
      <c r="SW47" s="100">
        <f t="shared" si="516"/>
        <v>-7080</v>
      </c>
      <c r="SY47" s="37">
        <f t="shared" si="517"/>
        <v>-7080</v>
      </c>
      <c r="SZ47" s="141">
        <f>IFERROR(VLOOKUP($D47,'Adient Assende (Belgium) WK.17'!$B:RV,TA$1,0),0)</f>
        <v>280</v>
      </c>
      <c r="TA47" s="140">
        <f>IFERROR(VLOOKUP($D47,'Adient Arendal (Malzia) WK.12'!$B:RW,TA$1,0),0)</f>
        <v>0</v>
      </c>
      <c r="TB47" s="140">
        <f>IFERROR(VLOOKUP($D47,'Adient Taizhou (China) WK.16'!$B:RZ,TA$1,0),0)</f>
        <v>0</v>
      </c>
      <c r="TC47" s="128">
        <v>0</v>
      </c>
      <c r="TD47" s="32">
        <v>0</v>
      </c>
      <c r="TE47" s="100">
        <f t="shared" si="518"/>
        <v>-7360</v>
      </c>
      <c r="TG47" s="37">
        <f t="shared" si="519"/>
        <v>-7360</v>
      </c>
      <c r="TH47" s="141">
        <f>IFERROR(VLOOKUP($D47,'Adient Assende (Belgium) WK.17'!$B:SD,TI$1,0),0)</f>
        <v>320</v>
      </c>
      <c r="TI47" s="140">
        <f>IFERROR(VLOOKUP($D47,'Adient Arendal (Malzia) WK.12'!$B:SE,TI$1,0),0)</f>
        <v>0</v>
      </c>
      <c r="TJ47" s="140">
        <f>IFERROR(VLOOKUP($D47,'Adient Taizhou (China) WK.16'!$B:SH,TI$1,0),0)</f>
        <v>0</v>
      </c>
      <c r="TK47" s="128">
        <v>0</v>
      </c>
      <c r="TL47" s="32">
        <v>0</v>
      </c>
      <c r="TM47" s="100">
        <f t="shared" si="520"/>
        <v>-7680</v>
      </c>
      <c r="TO47" s="37">
        <f t="shared" si="521"/>
        <v>-7680</v>
      </c>
      <c r="TP47" s="141">
        <f>IFERROR(VLOOKUP($D47,'Adient Assende (Belgium) WK.17'!$B:SL,TQ$1,0),0)</f>
        <v>320</v>
      </c>
      <c r="TQ47" s="140">
        <f>IFERROR(VLOOKUP($D47,'Adient Arendal (Malzia) WK.12'!$B:SM,TQ$1,0),0)</f>
        <v>0</v>
      </c>
      <c r="TR47" s="140">
        <f>IFERROR(VLOOKUP($D47,'Adient Taizhou (China) WK.16'!$B:SP,TQ$1,0),0)</f>
        <v>0</v>
      </c>
      <c r="TS47" s="128">
        <v>0</v>
      </c>
      <c r="TT47" s="32">
        <v>0</v>
      </c>
      <c r="TU47" s="100">
        <f t="shared" si="522"/>
        <v>-8000</v>
      </c>
      <c r="TW47" s="37">
        <f t="shared" si="523"/>
        <v>-8000</v>
      </c>
      <c r="TX47" s="141">
        <f>IFERROR(VLOOKUP($D47,'Adient Assende (Belgium) WK.17'!$B:ST,TY$1,0),0)</f>
        <v>320</v>
      </c>
      <c r="TY47" s="140">
        <f>IFERROR(VLOOKUP($D47,'Adient Arendal (Malzia) WK.12'!$B:SU,TY$1,0),0)</f>
        <v>0</v>
      </c>
      <c r="TZ47" s="140">
        <f>IFERROR(VLOOKUP($D47,'Adient Taizhou (China) WK.16'!$B:SX,TY$1,0),0)</f>
        <v>0</v>
      </c>
      <c r="UA47" s="128">
        <v>0</v>
      </c>
      <c r="UB47" s="32">
        <v>0</v>
      </c>
      <c r="UC47" s="100">
        <f t="shared" si="524"/>
        <v>-8320</v>
      </c>
      <c r="UE47" s="37">
        <f t="shared" si="525"/>
        <v>-8320</v>
      </c>
      <c r="UF47" s="141">
        <f>IFERROR(VLOOKUP($D47,'Adient Assende (Belgium) WK.17'!$B:TB,UG$1,0),0)</f>
        <v>320</v>
      </c>
      <c r="UG47" s="140">
        <f>IFERROR(VLOOKUP($D47,'Adient Arendal (Malzia) WK.12'!$B:TC,UG$1,0),0)</f>
        <v>0</v>
      </c>
      <c r="UH47" s="140">
        <f>IFERROR(VLOOKUP($D47,'Adient Taizhou (China) WK.16'!$B:TF,UG$1,0),0)</f>
        <v>0</v>
      </c>
      <c r="UI47" s="128">
        <v>0</v>
      </c>
      <c r="UJ47" s="32">
        <v>0</v>
      </c>
      <c r="UK47" s="100">
        <f t="shared" si="526"/>
        <v>-8640</v>
      </c>
      <c r="UM47" s="37">
        <f t="shared" si="527"/>
        <v>-8640</v>
      </c>
      <c r="UN47" s="141">
        <f>IFERROR(VLOOKUP($D47,'Adient Assende (Belgium) WK.17'!$B:TJ,UO$1,0),0)</f>
        <v>320</v>
      </c>
      <c r="UO47" s="140">
        <f>IFERROR(VLOOKUP($D47,'Adient Arendal (Malzia) WK.12'!$B:TK,UO$1,0),0)</f>
        <v>0</v>
      </c>
      <c r="UP47" s="140">
        <f>IFERROR(VLOOKUP($D47,'Adient Taizhou (China) WK.16'!$B:TN,UO$1,0),0)</f>
        <v>0</v>
      </c>
      <c r="UQ47" s="128">
        <v>0</v>
      </c>
      <c r="UR47" s="32">
        <v>0</v>
      </c>
      <c r="US47" s="100">
        <f t="shared" si="528"/>
        <v>-8960</v>
      </c>
      <c r="UU47" s="37">
        <f t="shared" si="529"/>
        <v>-8960</v>
      </c>
      <c r="UV47" s="141">
        <f>IFERROR(VLOOKUP($D47,'Adient Assende (Belgium) WK.17'!$B:TR,UW$1,0),0)</f>
        <v>320</v>
      </c>
      <c r="UW47" s="140">
        <f>IFERROR(VLOOKUP($D47,'Adient Arendal (Malzia) WK.12'!$B:TS,UW$1,0),0)</f>
        <v>0</v>
      </c>
      <c r="UX47" s="140">
        <f>IFERROR(VLOOKUP($D47,'Adient Taizhou (China) WK.16'!$B:TV,UW$1,0),0)</f>
        <v>0</v>
      </c>
      <c r="UY47" s="128">
        <v>0</v>
      </c>
      <c r="UZ47" s="32">
        <v>0</v>
      </c>
      <c r="VA47" s="100">
        <f t="shared" si="530"/>
        <v>-9280</v>
      </c>
      <c r="VC47" s="37">
        <f t="shared" si="531"/>
        <v>-9280</v>
      </c>
      <c r="VD47" s="141">
        <f>IFERROR(VLOOKUP($D47,'Adient Assende (Belgium) WK.17'!$B:TZ,VE$1,0),0)</f>
        <v>320</v>
      </c>
      <c r="VE47" s="140">
        <f>IFERROR(VLOOKUP($D47,'Adient Arendal (Malzia) WK.12'!$B:UA,VE$1,0),0)</f>
        <v>0</v>
      </c>
      <c r="VF47" s="140">
        <f>IFERROR(VLOOKUP($D47,'Adient Taizhou (China) WK.16'!$B:UD,VE$1,0),0)</f>
        <v>0</v>
      </c>
      <c r="VG47" s="128">
        <v>0</v>
      </c>
      <c r="VH47" s="32">
        <v>0</v>
      </c>
      <c r="VI47" s="100">
        <f t="shared" si="532"/>
        <v>-9600</v>
      </c>
      <c r="VK47" s="37">
        <f t="shared" si="533"/>
        <v>-9600</v>
      </c>
      <c r="VL47" s="141">
        <f>IFERROR(VLOOKUP($D47,'Adient Assende (Belgium) WK.17'!$B:UH,VM$1,0),0)</f>
        <v>0</v>
      </c>
      <c r="VM47" s="140">
        <f>IFERROR(VLOOKUP($D47,'Adient Arendal (Malzia) WK.12'!$B:UI,VM$1,0),0)</f>
        <v>0</v>
      </c>
      <c r="VN47" s="140">
        <f>IFERROR(VLOOKUP($D47,'Adient Taizhou (China) WK.16'!$B:UL,VM$1,0),0)</f>
        <v>0</v>
      </c>
      <c r="VO47" s="128">
        <v>0</v>
      </c>
      <c r="VP47" s="32">
        <v>0</v>
      </c>
      <c r="VQ47" s="100">
        <f t="shared" si="534"/>
        <v>-9600</v>
      </c>
    </row>
    <row r="48" spans="1:589" x14ac:dyDescent="0.25">
      <c r="A48" s="10" t="s">
        <v>18</v>
      </c>
      <c r="B48" s="11" t="s">
        <v>17</v>
      </c>
      <c r="C48" s="87">
        <v>32272084</v>
      </c>
      <c r="D48" s="81">
        <v>4264989</v>
      </c>
      <c r="E48" s="11">
        <v>20</v>
      </c>
      <c r="F48" s="12"/>
      <c r="H48" s="122">
        <v>580</v>
      </c>
      <c r="I48" s="125">
        <f>IFERROR(VLOOKUP($D48,'Adient Assende (Belgium) WK.17'!$B:C,J$1,0),0)</f>
        <v>0</v>
      </c>
      <c r="J48" s="55">
        <f>IFERROR(VLOOKUP($D48,'Adient Arendal (Malzia) WK.12'!$B:C,J$1,0),0)</f>
        <v>0</v>
      </c>
      <c r="K48" s="55">
        <f>IFERROR(VLOOKUP($D48,'Adient Taizhou (China) WK.16'!$B:C,J$1,0),0)</f>
        <v>0</v>
      </c>
      <c r="L48" s="128">
        <v>80</v>
      </c>
      <c r="M48" s="32">
        <v>0</v>
      </c>
      <c r="N48" s="106">
        <f t="shared" si="233"/>
        <v>500</v>
      </c>
      <c r="P48" s="37">
        <f t="shared" si="234"/>
        <v>500</v>
      </c>
      <c r="Q48" s="125">
        <f>IFERROR(VLOOKUP($D48,'Adient Assende (Belgium) WK.17'!$B:K,R$1,0),0)</f>
        <v>80</v>
      </c>
      <c r="R48" s="55">
        <f>IFERROR(VLOOKUP($D48,'Adient Arendal (Malzia) WK.12'!$B:K,R$1,0),0)</f>
        <v>0</v>
      </c>
      <c r="S48" s="55">
        <f>IFERROR(VLOOKUP($D48,'Adient Taizhou (China) WK.16'!$B:K,R$1,0),0)</f>
        <v>0</v>
      </c>
      <c r="T48" s="41">
        <v>160</v>
      </c>
      <c r="U48" s="32">
        <v>0</v>
      </c>
      <c r="V48" s="106">
        <f t="shared" si="235"/>
        <v>340</v>
      </c>
      <c r="X48" s="37">
        <f t="shared" si="236"/>
        <v>340</v>
      </c>
      <c r="Y48" s="125">
        <f>IFERROR(VLOOKUP($D48,'Adient Assende (Belgium) WK.17'!$B:S,Z$1,0),0)</f>
        <v>160</v>
      </c>
      <c r="Z48" s="55">
        <f>IFERROR(VLOOKUP($D48,'Adient Arendal (Malzia) WK.12'!$B:S,Z$1,0),0)</f>
        <v>0</v>
      </c>
      <c r="AA48" s="55">
        <f>IFERROR(VLOOKUP($D48,'Adient Taizhou (China) WK.16'!$B:S,Z$1,0),0)</f>
        <v>0</v>
      </c>
      <c r="AB48" s="41">
        <v>0</v>
      </c>
      <c r="AC48" s="32">
        <v>0</v>
      </c>
      <c r="AD48" s="106">
        <f t="shared" si="237"/>
        <v>340</v>
      </c>
      <c r="AF48" s="37">
        <f t="shared" si="238"/>
        <v>340</v>
      </c>
      <c r="AG48" s="125">
        <f>IFERROR(VLOOKUP($D48,'Adient Assende (Belgium) WK.17'!$B:AA,AH$1,0),0)</f>
        <v>0</v>
      </c>
      <c r="AH48" s="55">
        <f>IFERROR(VLOOKUP($D48,'Adient Arendal (Malzia) WK.12'!$B:AA,AH$1,0),0)</f>
        <v>0</v>
      </c>
      <c r="AI48" s="55">
        <f>IFERROR(VLOOKUP($D48,'Adient Taizhou (China) WK.16'!$B:AA,AH$1,0),0)</f>
        <v>0</v>
      </c>
      <c r="AJ48" s="41">
        <v>80</v>
      </c>
      <c r="AK48" s="32">
        <v>0</v>
      </c>
      <c r="AL48" s="106">
        <f t="shared" si="239"/>
        <v>260</v>
      </c>
      <c r="AN48" s="37">
        <f t="shared" si="432"/>
        <v>260</v>
      </c>
      <c r="AO48" s="125">
        <f>IFERROR(VLOOKUP($D48,'Adient Assende (Belgium) WK.17'!$B:AI,AP$1,0),0)</f>
        <v>80</v>
      </c>
      <c r="AP48" s="55">
        <f>IFERROR(VLOOKUP($D48,'Adient Arendal (Malzia) WK.12'!$B:AI,AP$1,0),0)</f>
        <v>0</v>
      </c>
      <c r="AQ48" s="55">
        <f>IFERROR(VLOOKUP($D48,'Adient Taizhou (China) WK.16'!$B:AI,AP$1,0),0)</f>
        <v>0</v>
      </c>
      <c r="AR48" s="60">
        <v>20</v>
      </c>
      <c r="AS48" s="41">
        <v>160</v>
      </c>
      <c r="AT48" s="32">
        <v>0</v>
      </c>
      <c r="AU48" s="106">
        <f t="shared" si="240"/>
        <v>120</v>
      </c>
      <c r="AW48" s="37">
        <f t="shared" si="433"/>
        <v>120</v>
      </c>
      <c r="AX48" s="125">
        <f>IFERROR(VLOOKUP($D48,'Adient Assende (Belgium) WK.17'!$B:AR,AY$1,0),0)</f>
        <v>160</v>
      </c>
      <c r="AY48" s="55">
        <f>IFERROR(VLOOKUP($D48,'Adient Arendal (Malzia) WK.12'!$B:AR,AY$1,0),0)</f>
        <v>0</v>
      </c>
      <c r="AZ48" s="55">
        <f>IFERROR(VLOOKUP($D48,'Adient Taizhou (China) WK.16'!$B:AU,AY$1,0),0)</f>
        <v>0</v>
      </c>
      <c r="BA48" s="41">
        <v>80</v>
      </c>
      <c r="BB48" s="32">
        <v>0</v>
      </c>
      <c r="BC48" s="106">
        <f t="shared" si="241"/>
        <v>40</v>
      </c>
      <c r="BE48" s="37">
        <f t="shared" si="434"/>
        <v>40</v>
      </c>
      <c r="BF48" s="125">
        <f>IFERROR(VLOOKUP($D48,'Adient Assende (Belgium) WK.17'!$B:AX,BG$1,0),0)</f>
        <v>80</v>
      </c>
      <c r="BG48" s="55">
        <f>IFERROR(VLOOKUP($D48,'Adient Arendal (Malzia) WK.12'!$B:AZ,BG$1,0),0)</f>
        <v>0</v>
      </c>
      <c r="BH48" s="55">
        <f>IFERROR(VLOOKUP($D48,'Adient Taizhou (China) WK.16'!$B:BB,BG$1,0),0)</f>
        <v>0</v>
      </c>
      <c r="BI48" s="60">
        <v>40</v>
      </c>
      <c r="BJ48" s="60">
        <v>0</v>
      </c>
      <c r="BK48" s="41">
        <v>0</v>
      </c>
      <c r="BL48" s="32">
        <v>0</v>
      </c>
      <c r="BM48" s="106">
        <f t="shared" si="242"/>
        <v>80</v>
      </c>
      <c r="BN48" s="8"/>
      <c r="BO48" s="37">
        <f t="shared" si="435"/>
        <v>80</v>
      </c>
      <c r="BP48" s="125">
        <f>IFERROR(VLOOKUP($D48,'Adient Assende (Belgium) WK.17'!$B:BH,BQ$1,0),0)</f>
        <v>0</v>
      </c>
      <c r="BQ48" s="55">
        <f>IFERROR(VLOOKUP($D48,'Adient Arendal (Malzia) WK.12'!$B:BI,BQ$1,0),0)</f>
        <v>0</v>
      </c>
      <c r="BR48" s="55">
        <f>IFERROR(VLOOKUP($D48,'Adient Taizhou (China) WK.16'!$B:BL,BQ$1,0),0)</f>
        <v>0</v>
      </c>
      <c r="BS48" s="60">
        <v>240</v>
      </c>
      <c r="BT48" s="60">
        <v>20</v>
      </c>
      <c r="BU48" s="60">
        <v>0</v>
      </c>
      <c r="BV48" s="41">
        <v>80</v>
      </c>
      <c r="BW48" s="32">
        <v>0</v>
      </c>
      <c r="BX48" s="106">
        <f t="shared" si="243"/>
        <v>260</v>
      </c>
      <c r="BY48" s="8"/>
      <c r="BZ48" s="37">
        <f t="shared" si="436"/>
        <v>260</v>
      </c>
      <c r="CA48" s="125">
        <f>IFERROR(VLOOKUP($D48,'Adient Assende (Belgium) WK.17'!$B:BS,CB$1,0),0)</f>
        <v>80</v>
      </c>
      <c r="CB48" s="55">
        <f>IFERROR(VLOOKUP($D48,'Adient Arendal (Malzia) WK.12'!$B:BT,CB$1,0),0)</f>
        <v>0</v>
      </c>
      <c r="CC48" s="55">
        <f>IFERROR(VLOOKUP($D48,'Adient Taizhou (China) WK.16'!$B:BW,CB$1,0),0)</f>
        <v>0</v>
      </c>
      <c r="CD48" s="60">
        <v>0</v>
      </c>
      <c r="CE48" s="60">
        <v>0</v>
      </c>
      <c r="CF48" s="41">
        <v>160</v>
      </c>
      <c r="CG48" s="32">
        <v>0</v>
      </c>
      <c r="CH48" s="106">
        <f t="shared" si="244"/>
        <v>100</v>
      </c>
      <c r="CI48" s="8"/>
      <c r="CJ48" s="37">
        <f t="shared" si="437"/>
        <v>100</v>
      </c>
      <c r="CK48" s="125">
        <f>IFERROR(VLOOKUP($D48,'Adient Assende (Belgium) WK.17'!$B:CC,CL$1,0),0)</f>
        <v>160</v>
      </c>
      <c r="CL48" s="55">
        <f>IFERROR(VLOOKUP($D48,'Adient Arendal (Malzia) WK.12'!$B:CD,CL$1,0),0)</f>
        <v>0</v>
      </c>
      <c r="CM48" s="55">
        <f>IFERROR(VLOOKUP($D48,'Adient Taizhou (China) WK.16'!$B:CG,CL$1,0),0)</f>
        <v>0</v>
      </c>
      <c r="CN48" s="60">
        <v>0</v>
      </c>
      <c r="CO48" s="149">
        <v>0</v>
      </c>
      <c r="CP48" s="32">
        <v>0</v>
      </c>
      <c r="CQ48" s="106">
        <f t="shared" si="245"/>
        <v>100</v>
      </c>
      <c r="CR48" s="8"/>
      <c r="CS48" s="122">
        <f t="shared" si="438"/>
        <v>100</v>
      </c>
      <c r="CT48" s="154">
        <f>IFERROR(VLOOKUP($D48,'Adient Assende (Belgium) WK.17'!$B:CL,CU$1,0),0)</f>
        <v>0</v>
      </c>
      <c r="CU48" s="55">
        <f>IFERROR(VLOOKUP($D48,'Adient Arendal (Malzia) WK.12'!$B:CM,CU$1,0),0)</f>
        <v>0</v>
      </c>
      <c r="CV48" s="55">
        <f>IFERROR(VLOOKUP($D48,'Adient Taizhou (China) WK.16'!$B:CP,CU$1,0),0)</f>
        <v>0</v>
      </c>
      <c r="CW48" s="60">
        <v>120</v>
      </c>
      <c r="CX48" s="60">
        <v>60</v>
      </c>
      <c r="CY48" s="128">
        <v>80</v>
      </c>
      <c r="CZ48" s="32">
        <v>0</v>
      </c>
      <c r="DA48" s="106">
        <f t="shared" si="246"/>
        <v>200</v>
      </c>
      <c r="DB48" s="8"/>
      <c r="DC48" s="37">
        <f t="shared" si="439"/>
        <v>200</v>
      </c>
      <c r="DD48" s="125">
        <f>IFERROR(VLOOKUP($D48,'Adient Assende (Belgium) WK.17'!$B:CS,DE$1,0),0)</f>
        <v>80</v>
      </c>
      <c r="DE48" s="55">
        <f>IFERROR(VLOOKUP($D48,'Adient Arendal (Malzia) WK.12'!$B:CU,DE$1,0),0)</f>
        <v>0</v>
      </c>
      <c r="DF48" s="55">
        <f>IFERROR(VLOOKUP($D48,'Adient Taizhou (China) WK.16'!$B:CX,DE$1,0),0)</f>
        <v>0</v>
      </c>
      <c r="DG48" s="60">
        <v>160</v>
      </c>
      <c r="DH48" s="128">
        <v>80</v>
      </c>
      <c r="DI48" s="32">
        <v>0</v>
      </c>
      <c r="DJ48" s="106">
        <f t="shared" si="247"/>
        <v>280</v>
      </c>
      <c r="DL48" s="37">
        <f t="shared" si="440"/>
        <v>280</v>
      </c>
      <c r="DM48" s="125">
        <f>IFERROR(VLOOKUP($D48,'Adient Assende (Belgium) WK.17'!$B:DB,DN$1,0),0)</f>
        <v>80</v>
      </c>
      <c r="DN48" s="55">
        <f>IFERROR(VLOOKUP($D48,'Adient Arendal (Malzia) WK.12'!$B:DC,DN$1,0),0)</f>
        <v>0</v>
      </c>
      <c r="DO48" s="55">
        <f>IFERROR(VLOOKUP($D48,'Adient Taizhou (China) WK.16'!$B:DF,DN$1,0),0)</f>
        <v>0</v>
      </c>
      <c r="DP48" s="128">
        <v>80</v>
      </c>
      <c r="DQ48" s="32">
        <v>0</v>
      </c>
      <c r="DR48" s="106">
        <f t="shared" si="441"/>
        <v>200</v>
      </c>
      <c r="DS48" s="8"/>
      <c r="DT48" s="37">
        <f t="shared" si="442"/>
        <v>200</v>
      </c>
      <c r="DU48" s="125">
        <f>IFERROR(VLOOKUP($D48,'Adient Assende (Belgium) WK.17'!$B:DJ,DV$1,0),0)</f>
        <v>80</v>
      </c>
      <c r="DV48" s="55">
        <f>IFERROR(VLOOKUP($D48,'Adient Arendal (Malzia) WK.12'!$B:DK,DV$1,0),0)</f>
        <v>0</v>
      </c>
      <c r="DW48" s="55">
        <f>IFERROR(VLOOKUP($D48,'Adient Taizhou (China) WK.16'!$B:DN,DV$1,0),0)</f>
        <v>0</v>
      </c>
      <c r="DX48" s="60">
        <v>200</v>
      </c>
      <c r="DY48" s="60">
        <v>0</v>
      </c>
      <c r="DZ48" s="128">
        <v>160</v>
      </c>
      <c r="EA48" s="32">
        <v>0</v>
      </c>
      <c r="EB48" s="106">
        <f t="shared" si="248"/>
        <v>240</v>
      </c>
      <c r="EC48" s="8"/>
      <c r="ED48" s="37">
        <f t="shared" si="443"/>
        <v>240</v>
      </c>
      <c r="EE48" s="125">
        <f>IFERROR(VLOOKUP($D48,'Adient Assende (Belgium) WK.17'!$B:DR,EF$1,0),0)</f>
        <v>160</v>
      </c>
      <c r="EF48" s="55">
        <f>IFERROR(VLOOKUP($D48,'Adient Arendal (Malzia) WK.12'!$B:DS,EF$1,0),0)</f>
        <v>0</v>
      </c>
      <c r="EG48" s="55">
        <f>IFERROR(VLOOKUP($D48,'Adient Taizhou (China) WK.16'!$B:DV,EF$1,0),0)</f>
        <v>0</v>
      </c>
      <c r="EH48" s="60">
        <v>0</v>
      </c>
      <c r="EI48" s="128">
        <v>80</v>
      </c>
      <c r="EJ48" s="32">
        <v>0</v>
      </c>
      <c r="EK48" s="106">
        <f t="shared" si="249"/>
        <v>160</v>
      </c>
      <c r="EM48" s="37">
        <f t="shared" si="444"/>
        <v>160</v>
      </c>
      <c r="EN48" s="125">
        <f>IFERROR(VLOOKUP($D48,'Adient Assende (Belgium) WK.17'!$B:DZ,EO$1,0),0)</f>
        <v>80</v>
      </c>
      <c r="EO48" s="55">
        <f>IFERROR(VLOOKUP($D48,'Adient Arendal (Malzia) WK.12'!$B:EA,EO$1,0),0)</f>
        <v>0</v>
      </c>
      <c r="EP48" s="55">
        <f>IFERROR(VLOOKUP($D48,'Adient Taizhou (China) WK.16'!$B:ED,EO$1,0),0)</f>
        <v>0</v>
      </c>
      <c r="EQ48" s="128">
        <v>80</v>
      </c>
      <c r="ER48" s="32">
        <v>0</v>
      </c>
      <c r="ES48" s="106">
        <f t="shared" si="250"/>
        <v>80</v>
      </c>
      <c r="EU48" s="37">
        <f t="shared" si="445"/>
        <v>80</v>
      </c>
      <c r="EV48" s="125">
        <f>IFERROR(VLOOKUP($D48,'Adient Assende (Belgium) WK.17'!$B:EH,EW$1,0),0)</f>
        <v>80</v>
      </c>
      <c r="EW48" s="55">
        <f>IFERROR(VLOOKUP($D48,'Adient Arendal (Malzia) WK.12'!$B:EI,EW$1,0),0)</f>
        <v>0</v>
      </c>
      <c r="EX48" s="55">
        <f>IFERROR(VLOOKUP($D48,'Adient Taizhou (China) WK.16'!$B:EL,EW$1,0),0)</f>
        <v>0</v>
      </c>
      <c r="EY48" s="128">
        <v>0</v>
      </c>
      <c r="EZ48" s="32">
        <v>0</v>
      </c>
      <c r="FA48" s="106">
        <f t="shared" si="251"/>
        <v>80</v>
      </c>
      <c r="FC48" s="37">
        <f t="shared" si="446"/>
        <v>80</v>
      </c>
      <c r="FD48" s="154">
        <f>IFERROR(VLOOKUP($D48,'Adient Assende (Belgium) WK.17'!$B:EP,FE$1,0),0)</f>
        <v>0</v>
      </c>
      <c r="FE48" s="154">
        <f>IFERROR(VLOOKUP($D48,'Adient Arendal (Malzia) WK.12'!$B:EQ,FE$1,0),0)</f>
        <v>0</v>
      </c>
      <c r="FF48" s="154">
        <f>IFERROR(VLOOKUP($D48,'Adient Taizhou (China) WK.16'!$B:ET,FE$1,0),0)</f>
        <v>0</v>
      </c>
      <c r="FG48" s="128">
        <v>0</v>
      </c>
      <c r="FH48" s="32">
        <v>0</v>
      </c>
      <c r="FI48" s="106">
        <f t="shared" si="252"/>
        <v>80</v>
      </c>
      <c r="FK48" s="37">
        <f t="shared" si="447"/>
        <v>80</v>
      </c>
      <c r="FL48" s="125">
        <f>IFERROR(VLOOKUP($D48,'Adient Assende (Belgium) WK.17'!$B:EX,FM$1,0),0)</f>
        <v>0</v>
      </c>
      <c r="FM48" s="55">
        <f>IFERROR(VLOOKUP($D48,'Adient Arendal (Malzia) WK.12'!$B:EY,FM$1,0),0)</f>
        <v>0</v>
      </c>
      <c r="FN48" s="55">
        <f>IFERROR(VLOOKUP($D48,'Adient Taizhou (China) WK.16'!$B:FB,FM$1,0),0)</f>
        <v>0</v>
      </c>
      <c r="FO48" s="128">
        <v>80</v>
      </c>
      <c r="FP48" s="32">
        <v>0</v>
      </c>
      <c r="FQ48" s="106">
        <f t="shared" si="253"/>
        <v>0</v>
      </c>
      <c r="FR48" s="8"/>
      <c r="FS48" s="37">
        <f t="shared" si="448"/>
        <v>0</v>
      </c>
      <c r="FT48" s="125">
        <f>IFERROR(VLOOKUP($D48,'Adient Assende (Belgium) WK.17'!$B:FF,FU$1,0),0)</f>
        <v>80</v>
      </c>
      <c r="FU48" s="55">
        <f>IFERROR(VLOOKUP($D48,'Adient Arendal (Malzia) WK.12'!$B:FG,FU$1,0),0)</f>
        <v>0</v>
      </c>
      <c r="FV48" s="55">
        <f>IFERROR(VLOOKUP($D48,'Adient Taizhou (China) WK.16'!$B:FJ,FU$1,0),0)</f>
        <v>0</v>
      </c>
      <c r="FW48" s="60">
        <v>120</v>
      </c>
      <c r="FX48" s="60">
        <v>60</v>
      </c>
      <c r="FY48" s="60">
        <v>300</v>
      </c>
      <c r="FZ48" s="60">
        <v>100</v>
      </c>
      <c r="GA48" s="60">
        <v>200</v>
      </c>
      <c r="GB48" s="128">
        <v>80</v>
      </c>
      <c r="GC48" s="32">
        <v>0</v>
      </c>
      <c r="GD48" s="106">
        <f t="shared" si="254"/>
        <v>700</v>
      </c>
      <c r="GF48" s="37">
        <f t="shared" si="449"/>
        <v>700</v>
      </c>
      <c r="GG48" s="125">
        <f>IFERROR(VLOOKUP($D48,'Adient Assende (Belgium) WK.17'!$B:FN,GH$1,0),0)</f>
        <v>80</v>
      </c>
      <c r="GH48" s="55">
        <f>IFERROR(VLOOKUP($D48,'Adient Arendal (Malzia) WK.12'!$B:FO,GH$1,0),0)</f>
        <v>0</v>
      </c>
      <c r="GI48" s="55">
        <f>IFERROR(VLOOKUP($D48,'Adient Taizhou (China) WK.16'!$B:FR,GH$1,0),0)</f>
        <v>0</v>
      </c>
      <c r="GJ48" s="60">
        <v>0</v>
      </c>
      <c r="GK48" s="128">
        <v>0</v>
      </c>
      <c r="GL48" s="32">
        <v>0</v>
      </c>
      <c r="GM48" s="106">
        <f t="shared" si="255"/>
        <v>700</v>
      </c>
      <c r="GO48" s="37">
        <f t="shared" si="450"/>
        <v>700</v>
      </c>
      <c r="GP48" s="125">
        <f>IFERROR(VLOOKUP($D48,'Adient Assende (Belgium) WK.17'!$B:FV,GQ$1,0),0)</f>
        <v>0</v>
      </c>
      <c r="GQ48" s="55">
        <f>IFERROR(VLOOKUP($D48,'Adient Arendal (Malzia) WK.12'!$B:FW,GQ$1,0),0)</f>
        <v>0</v>
      </c>
      <c r="GR48" s="55">
        <f>IFERROR(VLOOKUP($D48,'Adient Taizhou (China) WK.16'!$B:FZ,GQ$1,0),0)</f>
        <v>0</v>
      </c>
      <c r="GS48" s="60">
        <v>0</v>
      </c>
      <c r="GT48" s="128">
        <v>0</v>
      </c>
      <c r="GU48" s="32">
        <v>0</v>
      </c>
      <c r="GV48" s="106">
        <f t="shared" si="256"/>
        <v>700</v>
      </c>
      <c r="GW48" s="8"/>
      <c r="GX48" s="37">
        <f t="shared" si="451"/>
        <v>700</v>
      </c>
      <c r="GY48" s="125">
        <f>IFERROR(VLOOKUP($D48,'Adient Assende (Belgium) WK.17'!$B:GD,GZ$1,0),0)</f>
        <v>0</v>
      </c>
      <c r="GZ48" s="55">
        <f>IFERROR(VLOOKUP($D48,'Adient Arendal (Malzia) WK.12'!$B:GE,GZ$1,0),0)</f>
        <v>0</v>
      </c>
      <c r="HA48" s="55">
        <f>IFERROR(VLOOKUP($D48,'Adient Taizhou (China) WK.16'!$B:GH,GZ$1,0),0)</f>
        <v>0</v>
      </c>
      <c r="HB48" s="60">
        <v>0</v>
      </c>
      <c r="HC48" s="128">
        <v>160</v>
      </c>
      <c r="HD48" s="32">
        <v>0</v>
      </c>
      <c r="HE48" s="106">
        <f t="shared" si="257"/>
        <v>540</v>
      </c>
      <c r="HF48" s="8"/>
      <c r="HG48" s="37">
        <f t="shared" si="452"/>
        <v>540</v>
      </c>
      <c r="HH48" s="125">
        <f>IFERROR(VLOOKUP($D48,'Adient Assende (Belgium) WK.17'!$B:GL,HI$1,0),0)</f>
        <v>160</v>
      </c>
      <c r="HI48" s="55">
        <f>IFERROR(VLOOKUP($D48,'Adient Arendal (Malzia) WK.12'!$B:GM,HI$1,0),0)</f>
        <v>0</v>
      </c>
      <c r="HJ48" s="55">
        <f>IFERROR(VLOOKUP($D48,'Adient Taizhou (China) WK.16'!$B:GP,HI$1,0),0)</f>
        <v>0</v>
      </c>
      <c r="HK48" s="60">
        <v>0</v>
      </c>
      <c r="HL48" s="128">
        <v>0</v>
      </c>
      <c r="HM48" s="32">
        <v>0</v>
      </c>
      <c r="HN48" s="106">
        <f t="shared" si="258"/>
        <v>540</v>
      </c>
      <c r="HO48" s="8"/>
      <c r="HP48" s="37">
        <f t="shared" si="453"/>
        <v>540</v>
      </c>
      <c r="HQ48" s="125">
        <f>IFERROR(VLOOKUP($D48,'Adient Assende (Belgium) WK.17'!$B:GT,HR$1,0),0)</f>
        <v>0</v>
      </c>
      <c r="HR48" s="55">
        <f>IFERROR(VLOOKUP($D48,'Adient Arendal (Malzia) WK.12'!$B:GU,HR$1,0),0)</f>
        <v>0</v>
      </c>
      <c r="HS48" s="55">
        <f>IFERROR(VLOOKUP($D48,'Adient Taizhou (China) WK.16'!$B:GX,HR$1,0),0)</f>
        <v>0</v>
      </c>
      <c r="HT48" s="60">
        <v>0</v>
      </c>
      <c r="HU48" s="128">
        <v>80</v>
      </c>
      <c r="HV48" s="32">
        <v>0</v>
      </c>
      <c r="HW48" s="106">
        <f t="shared" si="259"/>
        <v>460</v>
      </c>
      <c r="HX48" s="8"/>
      <c r="HY48" s="37">
        <f t="shared" si="454"/>
        <v>460</v>
      </c>
      <c r="HZ48" s="125">
        <f>IFERROR(VLOOKUP($D48,'Adient Assende (Belgium) WK.17'!$B:HB,IA$1,0),0)</f>
        <v>80</v>
      </c>
      <c r="IA48" s="55">
        <f>IFERROR(VLOOKUP($D48,'Adient Arendal (Malzia) WK.12'!$B:HC,IA$1,0),0)</f>
        <v>0</v>
      </c>
      <c r="IB48" s="55">
        <f>IFERROR(VLOOKUP($D48,'Adient Taizhou (China) WK.16'!$B:HF,IA$1,0),0)</f>
        <v>0</v>
      </c>
      <c r="IC48" s="60">
        <v>200</v>
      </c>
      <c r="ID48" s="128">
        <v>80</v>
      </c>
      <c r="IE48" s="32">
        <v>0</v>
      </c>
      <c r="IF48" s="106">
        <f t="shared" si="260"/>
        <v>580</v>
      </c>
      <c r="IG48" s="8"/>
      <c r="IH48" s="37">
        <f t="shared" si="455"/>
        <v>580</v>
      </c>
      <c r="II48" s="125">
        <f>IFERROR(VLOOKUP($D48,'Adient Assende (Belgium) WK.17'!$B:HJ,IJ$1,0),0)</f>
        <v>80</v>
      </c>
      <c r="IJ48" s="55">
        <f>IFERROR(VLOOKUP($D48,'Adient Arendal (Malzia) WK.12'!$B:HK,IJ$1,0),0)</f>
        <v>0</v>
      </c>
      <c r="IK48" s="55">
        <f>IFERROR(VLOOKUP($D48,'Adient Taizhou (China) WK.16'!$B:HN,IJ$1,0),0)</f>
        <v>0</v>
      </c>
      <c r="IL48" s="128">
        <v>80</v>
      </c>
      <c r="IM48" s="32">
        <v>0</v>
      </c>
      <c r="IN48" s="106">
        <f t="shared" si="456"/>
        <v>500</v>
      </c>
      <c r="IO48" s="8"/>
      <c r="IP48" s="37">
        <f t="shared" si="457"/>
        <v>500</v>
      </c>
      <c r="IQ48" s="125">
        <f>IFERROR(VLOOKUP($D48,'Adient Assende (Belgium) WK.17'!$B:HR,IR$1,0),0)</f>
        <v>80</v>
      </c>
      <c r="IR48" s="55">
        <f>IFERROR(VLOOKUP($D48,'Adient Arendal (Malzia) WK.12'!$B:HS,IR$1,0),0)</f>
        <v>0</v>
      </c>
      <c r="IS48" s="55">
        <f>IFERROR(VLOOKUP($D48,'Adient Taizhou (China) WK.16'!$B:HV,IR$1,0),0)</f>
        <v>0</v>
      </c>
      <c r="IT48" s="60">
        <v>0</v>
      </c>
      <c r="IU48" s="128">
        <v>80</v>
      </c>
      <c r="IV48" s="32">
        <v>0</v>
      </c>
      <c r="IW48" s="106">
        <f t="shared" si="261"/>
        <v>420</v>
      </c>
      <c r="IX48" s="8"/>
      <c r="IY48" s="37">
        <f t="shared" si="458"/>
        <v>420</v>
      </c>
      <c r="IZ48" s="125">
        <f>IFERROR(VLOOKUP($D48,'Adient Assende (Belgium) WK.17'!$B:HZ,JA$1,0),0)</f>
        <v>80</v>
      </c>
      <c r="JA48" s="55">
        <f>IFERROR(VLOOKUP($D48,'Adient Arendal (Malzia) WK.12'!$B:IA,JA$1,0),0)</f>
        <v>0</v>
      </c>
      <c r="JB48" s="55">
        <f>IFERROR(VLOOKUP($D48,'Adient Taizhou (China) WK.16'!$B:ID,JA$1,0),0)</f>
        <v>0</v>
      </c>
      <c r="JC48" s="128">
        <v>80</v>
      </c>
      <c r="JD48" s="32">
        <v>0</v>
      </c>
      <c r="JE48" s="106">
        <f t="shared" si="459"/>
        <v>340</v>
      </c>
      <c r="JF48" s="8"/>
      <c r="JG48" s="37">
        <f t="shared" si="460"/>
        <v>340</v>
      </c>
      <c r="JH48" s="125">
        <f>IFERROR(VLOOKUP($D48,'Adient Assende (Belgium) WK.17'!$B:IH,JI$1,0),0)</f>
        <v>80</v>
      </c>
      <c r="JI48" s="55">
        <f>IFERROR(VLOOKUP($D48,'Adient Arendal (Malzia) WK.12'!$B:II,JI$1,0),0)</f>
        <v>0</v>
      </c>
      <c r="JJ48" s="55">
        <f>IFERROR(VLOOKUP($D48,'Adient Taizhou (China) WK.16'!$B:IL,JI$1,0),0)</f>
        <v>0</v>
      </c>
      <c r="JK48" s="60">
        <v>0</v>
      </c>
      <c r="JL48" s="128">
        <v>160</v>
      </c>
      <c r="JM48" s="32">
        <v>0</v>
      </c>
      <c r="JN48" s="106">
        <f t="shared" si="262"/>
        <v>180</v>
      </c>
      <c r="JO48" s="8"/>
      <c r="JP48" s="37">
        <f t="shared" si="461"/>
        <v>180</v>
      </c>
      <c r="JQ48" s="125">
        <f>IFERROR(VLOOKUP($D48,'Adient Assende (Belgium) WK.17'!$B:IP,JR$1,0),0)</f>
        <v>160</v>
      </c>
      <c r="JR48" s="55">
        <f>IFERROR(VLOOKUP($D48,'Adient Arendal (Malzia) WK.12'!$B:IQ,JR$1,0),0)</f>
        <v>0</v>
      </c>
      <c r="JS48" s="55">
        <f>IFERROR(VLOOKUP($D48,'Adient Taizhou (China) WK.16'!$B:IT,JR$1,0),0)</f>
        <v>0</v>
      </c>
      <c r="JT48" s="128">
        <v>0</v>
      </c>
      <c r="JU48" s="32">
        <v>0</v>
      </c>
      <c r="JV48" s="106">
        <f t="shared" si="462"/>
        <v>180</v>
      </c>
      <c r="JW48" s="8"/>
      <c r="JX48" s="37">
        <f t="shared" si="463"/>
        <v>180</v>
      </c>
      <c r="JY48" s="154">
        <f>IFERROR(VLOOKUP($D48,'Adient Assende (Belgium) WK.17'!$B:IX,JZ$1,0),0)</f>
        <v>0</v>
      </c>
      <c r="JZ48" s="55">
        <f>IFERROR(VLOOKUP($D48,'Adient Arendal (Malzia) WK.12'!$B:IY,JZ$1,0),0)</f>
        <v>0</v>
      </c>
      <c r="KA48" s="55">
        <f>IFERROR(VLOOKUP($D48,'Adient Taizhou (China) WK.16'!$B:JB,JZ$1,0),0)</f>
        <v>0</v>
      </c>
      <c r="KB48" s="128">
        <v>80</v>
      </c>
      <c r="KC48" s="32">
        <v>0</v>
      </c>
      <c r="KD48" s="106">
        <f t="shared" si="263"/>
        <v>100</v>
      </c>
      <c r="KE48" s="8"/>
      <c r="KF48" s="37">
        <f t="shared" si="464"/>
        <v>100</v>
      </c>
      <c r="KG48" s="125">
        <f>IFERROR(VLOOKUP($D48,'Adient Assende (Belgium) WK.17'!$B:JF,KH$1,0),0)</f>
        <v>80</v>
      </c>
      <c r="KH48" s="55">
        <f>IFERROR(VLOOKUP($D48,'Adient Arendal (Malzia) WK.12'!$B:JG,KH$1,0),0)</f>
        <v>0</v>
      </c>
      <c r="KI48" s="55">
        <f>IFERROR(VLOOKUP($D48,'Adient Taizhou (China) WK.16'!$B:JJ,KH$1,0),0)</f>
        <v>0</v>
      </c>
      <c r="KJ48" s="60">
        <v>0</v>
      </c>
      <c r="KK48" s="128">
        <v>0</v>
      </c>
      <c r="KL48" s="32">
        <v>0</v>
      </c>
      <c r="KM48" s="106">
        <f t="shared" si="264"/>
        <v>100</v>
      </c>
      <c r="KN48" s="8"/>
      <c r="KO48" s="37">
        <f t="shared" si="465"/>
        <v>100</v>
      </c>
      <c r="KP48" s="141">
        <f>IFERROR(VLOOKUP($D48,'Adient Assende (Belgium) WK.17'!$B:JN,KQ$1,0),0)</f>
        <v>0</v>
      </c>
      <c r="KQ48" s="140">
        <f>IFERROR(VLOOKUP($D48,'Adient Arendal (Malzia) WK.12'!$B:JO,KQ$1,0),0)</f>
        <v>0</v>
      </c>
      <c r="KR48" s="140">
        <f>IFERROR(VLOOKUP($D48,'Adient Taizhou (China) WK.16'!$B:JR,KQ$1,0),0)</f>
        <v>0</v>
      </c>
      <c r="KS48" s="60">
        <v>440</v>
      </c>
      <c r="KT48" s="128">
        <v>0</v>
      </c>
      <c r="KU48" s="32">
        <v>0</v>
      </c>
      <c r="KV48" s="106">
        <f t="shared" si="265"/>
        <v>540</v>
      </c>
      <c r="KX48" s="37">
        <f t="shared" si="466"/>
        <v>540</v>
      </c>
      <c r="KY48" s="141">
        <f>IFERROR(VLOOKUP($D48,'Adient Assende (Belgium) WK.17'!$B:JV,KZ$1,0),0)</f>
        <v>0</v>
      </c>
      <c r="KZ48" s="140">
        <f>IFERROR(VLOOKUP($D48,'Adient Arendal (Malzia) WK.12'!$B:JW,KZ$1,0),0)</f>
        <v>0</v>
      </c>
      <c r="LA48" s="140">
        <f>IFERROR(VLOOKUP($D48,'Adient Taizhou (China) WK.16'!$B:JZ,KZ$1,0),0)</f>
        <v>0</v>
      </c>
      <c r="LB48" s="128">
        <v>0</v>
      </c>
      <c r="LC48" s="32">
        <v>0</v>
      </c>
      <c r="LD48" s="106">
        <f t="shared" si="467"/>
        <v>540</v>
      </c>
      <c r="LF48" s="37">
        <f t="shared" si="468"/>
        <v>540</v>
      </c>
      <c r="LG48" s="141">
        <f>IFERROR(VLOOKUP($D48,'Adient Assende (Belgium) WK.17'!$B:KD,LH$1,0),0)</f>
        <v>80</v>
      </c>
      <c r="LH48" s="140">
        <f>IFERROR(VLOOKUP($D48,'Adient Arendal (Malzia) WK.12'!$B:KE,LH$1,0),0)</f>
        <v>0</v>
      </c>
      <c r="LI48" s="140">
        <f>IFERROR(VLOOKUP($D48,'Adient Taizhou (China) WK.16'!$B:KH,LH$1,0),0)</f>
        <v>0</v>
      </c>
      <c r="LJ48" s="60">
        <v>0</v>
      </c>
      <c r="LK48" s="128">
        <v>0</v>
      </c>
      <c r="LL48" s="32">
        <v>0</v>
      </c>
      <c r="LM48" s="100">
        <f t="shared" si="267"/>
        <v>460</v>
      </c>
      <c r="LO48" s="37">
        <f t="shared" si="469"/>
        <v>460</v>
      </c>
      <c r="LP48" s="141">
        <f>IFERROR(VLOOKUP($D48,'Adient Assende (Belgium) WK.17'!$B:KL,LQ$1,0),0)</f>
        <v>80</v>
      </c>
      <c r="LQ48" s="140">
        <f>IFERROR(VLOOKUP($D48,'Adient Arendal (Malzia) WK.12'!$B:KM,LQ$1,0),0)</f>
        <v>0</v>
      </c>
      <c r="LR48" s="140">
        <f>IFERROR(VLOOKUP($D48,'Adient Taizhou (China) WK.16'!$B:KP,LQ$1,0),0)</f>
        <v>0</v>
      </c>
      <c r="LS48" s="128">
        <v>0</v>
      </c>
      <c r="LT48" s="32">
        <v>0</v>
      </c>
      <c r="LU48" s="100">
        <f t="shared" si="470"/>
        <v>380</v>
      </c>
      <c r="LW48" s="37">
        <f t="shared" si="471"/>
        <v>380</v>
      </c>
      <c r="LX48" s="141">
        <f>IFERROR(VLOOKUP($D48,'Adient Assende (Belgium) WK.17'!$B:KT,LY$1,0),0)</f>
        <v>160</v>
      </c>
      <c r="LY48" s="140">
        <f>IFERROR(VLOOKUP($D48,'Adient Arendal (Malzia) WK.12'!$B:KU,LY$1,0),0)</f>
        <v>0</v>
      </c>
      <c r="LZ48" s="140">
        <f>IFERROR(VLOOKUP($D48,'Adient Taizhou (China) WK.16'!$B:KX,LY$1,0),0)</f>
        <v>0</v>
      </c>
      <c r="MA48" s="128">
        <v>0</v>
      </c>
      <c r="MB48" s="32">
        <v>0</v>
      </c>
      <c r="MC48" s="100">
        <f t="shared" si="472"/>
        <v>220</v>
      </c>
      <c r="ME48" s="37">
        <f t="shared" si="473"/>
        <v>220</v>
      </c>
      <c r="MF48" s="154">
        <f>IFERROR(VLOOKUP($D48,'Adient Assende (Belgium) WK.17'!$B:LB,MG$1,0),0)</f>
        <v>0</v>
      </c>
      <c r="MG48" s="140">
        <f>IFERROR(VLOOKUP($D48,'Adient Arendal (Malzia) WK.12'!$B:LC,MG$1,0),0)</f>
        <v>0</v>
      </c>
      <c r="MH48" s="140">
        <f>IFERROR(VLOOKUP($D48,'Adient Taizhou (China) WK.16'!$B:LF,MG$1,0),0)</f>
        <v>0</v>
      </c>
      <c r="MI48" s="128">
        <v>0</v>
      </c>
      <c r="MJ48" s="32">
        <v>0</v>
      </c>
      <c r="MK48" s="100">
        <f t="shared" si="474"/>
        <v>220</v>
      </c>
      <c r="MM48" s="37">
        <f t="shared" si="475"/>
        <v>220</v>
      </c>
      <c r="MN48" s="141">
        <f>IFERROR(VLOOKUP($D48,'Adient Assende (Belgium) WK.17'!$B:LJ,MO$1,0),0)</f>
        <v>80</v>
      </c>
      <c r="MO48" s="140">
        <f>IFERROR(VLOOKUP($D48,'Adient Arendal (Malzia) WK.12'!$B:LK,MO$1,0),0)</f>
        <v>0</v>
      </c>
      <c r="MP48" s="140">
        <f>IFERROR(VLOOKUP($D48,'Adient Taizhou (China) WK.16'!$B:LN,MO$1,0),0)</f>
        <v>0</v>
      </c>
      <c r="MQ48" s="128">
        <v>0</v>
      </c>
      <c r="MR48" s="32">
        <v>0</v>
      </c>
      <c r="MS48" s="100">
        <f t="shared" si="476"/>
        <v>140</v>
      </c>
      <c r="MU48" s="37">
        <f t="shared" si="477"/>
        <v>140</v>
      </c>
      <c r="MV48" s="141">
        <f>IFERROR(VLOOKUP($D48,'Adient Assende (Belgium) WK.17'!$B:LR,MW$1,0),0)</f>
        <v>160</v>
      </c>
      <c r="MW48" s="140">
        <f>IFERROR(VLOOKUP($D48,'Adient Arendal (Malzia) WK.12'!$B:LS,MW$1,0),0)</f>
        <v>0</v>
      </c>
      <c r="MX48" s="140">
        <f>IFERROR(VLOOKUP($D48,'Adient Taizhou (China) WK.16'!$B:LV,MW$1,0),0)</f>
        <v>0</v>
      </c>
      <c r="MY48" s="128">
        <v>0</v>
      </c>
      <c r="MZ48" s="32">
        <v>0</v>
      </c>
      <c r="NA48" s="100">
        <f t="shared" si="478"/>
        <v>-20</v>
      </c>
      <c r="NC48" s="37">
        <f t="shared" si="479"/>
        <v>-20</v>
      </c>
      <c r="ND48" s="141">
        <f>IFERROR(VLOOKUP($D48,'Adient Assende (Belgium) WK.17'!$B:LZ,NE$1,0),0)</f>
        <v>80</v>
      </c>
      <c r="NE48" s="140">
        <f>IFERROR(VLOOKUP($D48,'Adient Arendal (Malzia) WK.12'!$B:MA,NE$1,0),0)</f>
        <v>0</v>
      </c>
      <c r="NF48" s="140">
        <f>IFERROR(VLOOKUP($D48,'Adient Taizhou (China) WK.16'!$B:MD,NE$1,0),0)</f>
        <v>0</v>
      </c>
      <c r="NG48" s="128">
        <v>0</v>
      </c>
      <c r="NH48" s="32">
        <v>0</v>
      </c>
      <c r="NI48" s="100">
        <f t="shared" si="480"/>
        <v>-100</v>
      </c>
      <c r="NK48" s="37">
        <f t="shared" si="481"/>
        <v>-100</v>
      </c>
      <c r="NL48" s="141">
        <f>IFERROR(VLOOKUP($D48,'Adient Assende (Belgium) WK.17'!$B:MH,NM$1,0),0)</f>
        <v>160</v>
      </c>
      <c r="NM48" s="140">
        <f>IFERROR(VLOOKUP($D48,'Adient Arendal (Malzia) WK.12'!$B:MI,NM$1,0),0)</f>
        <v>0</v>
      </c>
      <c r="NN48" s="140">
        <f>IFERROR(VLOOKUP($D48,'Adient Taizhou (China) WK.16'!$B:ML,NM$1,0),0)</f>
        <v>0</v>
      </c>
      <c r="NO48" s="128">
        <v>0</v>
      </c>
      <c r="NP48" s="32">
        <v>0</v>
      </c>
      <c r="NQ48" s="100">
        <f t="shared" si="482"/>
        <v>-260</v>
      </c>
      <c r="NS48" s="37">
        <f t="shared" si="483"/>
        <v>-260</v>
      </c>
      <c r="NT48" s="141">
        <f>IFERROR(VLOOKUP($D48,'Adient Assende (Belgium) WK.17'!$B:MP,NU$1,0),0)</f>
        <v>80</v>
      </c>
      <c r="NU48" s="140">
        <f>IFERROR(VLOOKUP($D48,'Adient Arendal (Malzia) WK.12'!$B:MQ,NU$1,0),0)</f>
        <v>0</v>
      </c>
      <c r="NV48" s="140">
        <f>IFERROR(VLOOKUP($D48,'Adient Taizhou (China) WK.16'!$B:MT,NU$1,0),0)</f>
        <v>0</v>
      </c>
      <c r="NW48" s="128">
        <v>0</v>
      </c>
      <c r="NX48" s="32">
        <v>0</v>
      </c>
      <c r="NY48" s="100">
        <f t="shared" si="484"/>
        <v>-340</v>
      </c>
      <c r="OA48" s="37">
        <f t="shared" si="485"/>
        <v>-340</v>
      </c>
      <c r="OB48" s="141">
        <f>IFERROR(VLOOKUP($D48,'Adient Assende (Belgium) WK.17'!$B:MX,OC$1,0),0)</f>
        <v>160</v>
      </c>
      <c r="OC48" s="140">
        <f>IFERROR(VLOOKUP($D48,'Adient Arendal (Malzia) WK.12'!$B:MY,OC$1,0),0)</f>
        <v>0</v>
      </c>
      <c r="OD48" s="140">
        <f>IFERROR(VLOOKUP($D48,'Adient Taizhou (China) WK.16'!$B:NB,OC$1,0),0)</f>
        <v>0</v>
      </c>
      <c r="OE48" s="128">
        <v>0</v>
      </c>
      <c r="OF48" s="32">
        <v>0</v>
      </c>
      <c r="OG48" s="100">
        <f t="shared" si="486"/>
        <v>-500</v>
      </c>
      <c r="OI48" s="37">
        <f t="shared" si="487"/>
        <v>-500</v>
      </c>
      <c r="OJ48" s="141">
        <f>IFERROR(VLOOKUP($D48,'Adient Assende (Belgium) WK.17'!$B:NF,OK$1,0),0)</f>
        <v>240</v>
      </c>
      <c r="OK48" s="140">
        <f>IFERROR(VLOOKUP($D48,'Adient Arendal (Malzia) WK.12'!$B:NG,OK$1,0),0)</f>
        <v>0</v>
      </c>
      <c r="OL48" s="140">
        <f>IFERROR(VLOOKUP($D48,'Adient Taizhou (China) WK.16'!$B:NJ,OK$1,0),0)</f>
        <v>0</v>
      </c>
      <c r="OM48" s="128">
        <v>0</v>
      </c>
      <c r="ON48" s="32">
        <v>0</v>
      </c>
      <c r="OO48" s="100">
        <f t="shared" si="488"/>
        <v>-740</v>
      </c>
      <c r="OQ48" s="37">
        <f t="shared" si="489"/>
        <v>-740</v>
      </c>
      <c r="OR48" s="141">
        <f>IFERROR(VLOOKUP($D48,'Adient Assende (Belgium) WK.17'!$B:NN,OS$1,0),0)</f>
        <v>0</v>
      </c>
      <c r="OS48" s="140">
        <f>IFERROR(VLOOKUP($D48,'Adient Arendal (Malzia) WK.12'!$B:NO,OS$1,0),0)</f>
        <v>0</v>
      </c>
      <c r="OT48" s="140">
        <f>IFERROR(VLOOKUP($D48,'Adient Taizhou (China) WK.16'!$B:NR,OS$1,0),0)</f>
        <v>0</v>
      </c>
      <c r="OU48" s="128">
        <v>0</v>
      </c>
      <c r="OV48" s="32">
        <v>0</v>
      </c>
      <c r="OW48" s="100">
        <f t="shared" si="490"/>
        <v>-740</v>
      </c>
      <c r="OY48" s="37">
        <f t="shared" si="491"/>
        <v>-740</v>
      </c>
      <c r="OZ48" s="141">
        <f>IFERROR(VLOOKUP($D48,'Adient Assende (Belgium) WK.17'!$B:NV,PA$1,0),0)</f>
        <v>0</v>
      </c>
      <c r="PA48" s="140">
        <f>IFERROR(VLOOKUP($D48,'Adient Arendal (Malzia) WK.12'!$B:NW,PA$1,0),0)</f>
        <v>0</v>
      </c>
      <c r="PB48" s="140">
        <f>IFERROR(VLOOKUP($D48,'Adient Taizhou (China) WK.16'!$B:NZ,PA$1,0),0)</f>
        <v>0</v>
      </c>
      <c r="PC48" s="128">
        <v>0</v>
      </c>
      <c r="PD48" s="32">
        <v>0</v>
      </c>
      <c r="PE48" s="100">
        <f t="shared" si="492"/>
        <v>-740</v>
      </c>
      <c r="PG48" s="37">
        <f t="shared" si="493"/>
        <v>-740</v>
      </c>
      <c r="PH48" s="141">
        <f>IFERROR(VLOOKUP($D48,'Adient Assende (Belgium) WK.17'!$B:OD,PI$1,0),0)</f>
        <v>0</v>
      </c>
      <c r="PI48" s="140">
        <f>IFERROR(VLOOKUP($D48,'Adient Arendal (Malzia) WK.12'!$B:OE,PI$1,0),0)</f>
        <v>0</v>
      </c>
      <c r="PJ48" s="140">
        <f>IFERROR(VLOOKUP($D48,'Adient Taizhou (China) WK.16'!$B:OH,PI$1,0),0)</f>
        <v>0</v>
      </c>
      <c r="PK48" s="128">
        <v>0</v>
      </c>
      <c r="PL48" s="32">
        <v>0</v>
      </c>
      <c r="PM48" s="100">
        <f t="shared" si="494"/>
        <v>-740</v>
      </c>
      <c r="PO48" s="37">
        <f t="shared" si="495"/>
        <v>-740</v>
      </c>
      <c r="PP48" s="141">
        <f>IFERROR(VLOOKUP($D48,'Adient Assende (Belgium) WK.17'!$B:OL,PQ$1,0),0)</f>
        <v>0</v>
      </c>
      <c r="PQ48" s="140">
        <f>IFERROR(VLOOKUP($D48,'Adient Arendal (Malzia) WK.12'!$B:OM,PQ$1,0),0)</f>
        <v>0</v>
      </c>
      <c r="PR48" s="140">
        <f>IFERROR(VLOOKUP($D48,'Adient Taizhou (China) WK.16'!$B:OP,PQ$1,0),0)</f>
        <v>0</v>
      </c>
      <c r="PS48" s="128">
        <v>0</v>
      </c>
      <c r="PT48" s="32">
        <v>0</v>
      </c>
      <c r="PU48" s="100">
        <f t="shared" si="496"/>
        <v>-740</v>
      </c>
      <c r="PW48" s="37">
        <f t="shared" si="497"/>
        <v>-740</v>
      </c>
      <c r="PX48" s="141">
        <f>IFERROR(VLOOKUP($D48,'Adient Assende (Belgium) WK.17'!$B:OT,PY$1,0),0)</f>
        <v>80</v>
      </c>
      <c r="PY48" s="140">
        <f>IFERROR(VLOOKUP($D48,'Adient Arendal (Malzia) WK.12'!$B:OU,PY$1,0),0)</f>
        <v>0</v>
      </c>
      <c r="PZ48" s="140">
        <f>IFERROR(VLOOKUP($D48,'Adient Taizhou (China) WK.16'!$B:OX,PY$1,0),0)</f>
        <v>0</v>
      </c>
      <c r="QA48" s="128">
        <v>0</v>
      </c>
      <c r="QB48" s="32">
        <v>0</v>
      </c>
      <c r="QC48" s="100">
        <f t="shared" si="498"/>
        <v>-820</v>
      </c>
      <c r="QE48" s="37">
        <f t="shared" si="499"/>
        <v>-820</v>
      </c>
      <c r="QF48" s="141">
        <f>IFERROR(VLOOKUP($D48,'Adient Assende (Belgium) WK.17'!$B:PB,QG$1,0),0)</f>
        <v>160</v>
      </c>
      <c r="QG48" s="140">
        <f>IFERROR(VLOOKUP($D48,'Adient Arendal (Malzia) WK.12'!$B:PC,QG$1,0),0)</f>
        <v>0</v>
      </c>
      <c r="QH48" s="140">
        <f>IFERROR(VLOOKUP($D48,'Adient Taizhou (China) WK.16'!$B:PF,QG$1,0),0)</f>
        <v>0</v>
      </c>
      <c r="QI48" s="128">
        <v>0</v>
      </c>
      <c r="QJ48" s="32">
        <v>0</v>
      </c>
      <c r="QK48" s="100">
        <f t="shared" si="500"/>
        <v>-980</v>
      </c>
      <c r="QM48" s="37">
        <f t="shared" si="501"/>
        <v>-980</v>
      </c>
      <c r="QN48" s="141">
        <f>IFERROR(VLOOKUP($D48,'Adient Assende (Belgium) WK.17'!$B:PJ,QO$1,0),0)</f>
        <v>80</v>
      </c>
      <c r="QO48" s="140">
        <f>IFERROR(VLOOKUP($D48,'Adient Arendal (Malzia) WK.12'!$B:PK,QO$1,0),0)</f>
        <v>0</v>
      </c>
      <c r="QP48" s="140">
        <f>IFERROR(VLOOKUP($D48,'Adient Taizhou (China) WK.16'!$B:PN,QO$1,0),0)</f>
        <v>0</v>
      </c>
      <c r="QQ48" s="128">
        <v>0</v>
      </c>
      <c r="QR48" s="32">
        <v>0</v>
      </c>
      <c r="QS48" s="100">
        <f t="shared" si="502"/>
        <v>-1060</v>
      </c>
      <c r="QU48" s="37">
        <f t="shared" si="503"/>
        <v>-1060</v>
      </c>
      <c r="QV48" s="141">
        <f>IFERROR(VLOOKUP($D48,'Adient Assende (Belgium) WK.17'!$B:PR,QW$1,0),0)</f>
        <v>100</v>
      </c>
      <c r="QW48" s="140">
        <f>IFERROR(VLOOKUP($D48,'Adient Arendal (Malzia) WK.12'!$B:PS,QW$1,0),0)</f>
        <v>0</v>
      </c>
      <c r="QX48" s="140">
        <f>IFERROR(VLOOKUP($D48,'Adient Taizhou (China) WK.16'!$B:PV,QW$1,0),0)</f>
        <v>0</v>
      </c>
      <c r="QY48" s="128">
        <v>0</v>
      </c>
      <c r="QZ48" s="32">
        <v>0</v>
      </c>
      <c r="RA48" s="100">
        <f t="shared" si="504"/>
        <v>-1160</v>
      </c>
      <c r="RC48" s="37">
        <f t="shared" si="505"/>
        <v>-1160</v>
      </c>
      <c r="RD48" s="141">
        <f>IFERROR(VLOOKUP($D48,'Adient Assende (Belgium) WK.17'!$B:PZ,RE$1,0),0)</f>
        <v>100</v>
      </c>
      <c r="RE48" s="140">
        <f>IFERROR(VLOOKUP($D48,'Adient Arendal (Malzia) WK.12'!$B:QA,RE$1,0),0)</f>
        <v>0</v>
      </c>
      <c r="RF48" s="140">
        <f>IFERROR(VLOOKUP($D48,'Adient Taizhou (China) WK.16'!$B:QD,RE$1,0),0)</f>
        <v>0</v>
      </c>
      <c r="RG48" s="128">
        <v>0</v>
      </c>
      <c r="RH48" s="32">
        <v>0</v>
      </c>
      <c r="RI48" s="100">
        <f t="shared" si="506"/>
        <v>-1260</v>
      </c>
      <c r="RK48" s="37">
        <f t="shared" si="507"/>
        <v>-1260</v>
      </c>
      <c r="RL48" s="141">
        <f>IFERROR(VLOOKUP($D48,'Adient Assende (Belgium) WK.17'!$B:QH,RM$1,0),0)</f>
        <v>100</v>
      </c>
      <c r="RM48" s="140">
        <f>IFERROR(VLOOKUP($D48,'Adient Arendal (Malzia) WK.12'!$B:QI,RM$1,0),0)</f>
        <v>0</v>
      </c>
      <c r="RN48" s="140">
        <f>IFERROR(VLOOKUP($D48,'Adient Taizhou (China) WK.16'!$B:QL,RM$1,0),0)</f>
        <v>0</v>
      </c>
      <c r="RO48" s="128">
        <v>0</v>
      </c>
      <c r="RP48" s="32">
        <v>0</v>
      </c>
      <c r="RQ48" s="100">
        <f t="shared" si="508"/>
        <v>-1360</v>
      </c>
      <c r="RS48" s="37">
        <f t="shared" si="509"/>
        <v>-1360</v>
      </c>
      <c r="RT48" s="141">
        <f>IFERROR(VLOOKUP($D48,'Adient Assende (Belgium) WK.17'!$B:QP,RU$1,0),0)</f>
        <v>100</v>
      </c>
      <c r="RU48" s="140">
        <f>IFERROR(VLOOKUP($D48,'Adient Arendal (Malzia) WK.12'!$B:QQ,RU$1,0),0)</f>
        <v>0</v>
      </c>
      <c r="RV48" s="140">
        <f>IFERROR(VLOOKUP($D48,'Adient Taizhou (China) WK.16'!$B:QT,RU$1,0),0)</f>
        <v>0</v>
      </c>
      <c r="RW48" s="128">
        <v>0</v>
      </c>
      <c r="RX48" s="32">
        <v>0</v>
      </c>
      <c r="RY48" s="100">
        <f t="shared" si="510"/>
        <v>-1460</v>
      </c>
      <c r="SA48" s="37">
        <f t="shared" si="511"/>
        <v>-1460</v>
      </c>
      <c r="SB48" s="141">
        <f>IFERROR(VLOOKUP($D48,'Adient Assende (Belgium) WK.17'!$B:QX,SC$1,0),0)</f>
        <v>80</v>
      </c>
      <c r="SC48" s="140">
        <f>IFERROR(VLOOKUP($D48,'Adient Arendal (Malzia) WK.12'!$B:QY,SC$1,0),0)</f>
        <v>0</v>
      </c>
      <c r="SD48" s="140">
        <f>IFERROR(VLOOKUP($D48,'Adient Taizhou (China) WK.16'!$B:RB,SC$1,0),0)</f>
        <v>0</v>
      </c>
      <c r="SE48" s="128">
        <v>0</v>
      </c>
      <c r="SF48" s="32">
        <v>0</v>
      </c>
      <c r="SG48" s="100">
        <f t="shared" si="512"/>
        <v>-1540</v>
      </c>
      <c r="SI48" s="37">
        <f t="shared" si="513"/>
        <v>-1540</v>
      </c>
      <c r="SJ48" s="141">
        <f>IFERROR(VLOOKUP($D48,'Adient Assende (Belgium) WK.17'!$B:RF,SK$1,0),0)</f>
        <v>80</v>
      </c>
      <c r="SK48" s="140">
        <f>IFERROR(VLOOKUP($D48,'Adient Arendal (Malzia) WK.12'!$B:RG,SK$1,0),0)</f>
        <v>0</v>
      </c>
      <c r="SL48" s="140">
        <f>IFERROR(VLOOKUP($D48,'Adient Taizhou (China) WK.16'!$B:RJ,SK$1,0),0)</f>
        <v>0</v>
      </c>
      <c r="SM48" s="128">
        <v>0</v>
      </c>
      <c r="SN48" s="32">
        <v>0</v>
      </c>
      <c r="SO48" s="100">
        <f t="shared" si="514"/>
        <v>-1620</v>
      </c>
      <c r="SQ48" s="37">
        <f t="shared" si="515"/>
        <v>-1620</v>
      </c>
      <c r="SR48" s="141">
        <f>IFERROR(VLOOKUP($D48,'Adient Assende (Belgium) WK.17'!$B:RN,SS$1,0),0)</f>
        <v>80</v>
      </c>
      <c r="SS48" s="140">
        <f>IFERROR(VLOOKUP($D48,'Adient Arendal (Malzia) WK.12'!$B:RO,SS$1,0),0)</f>
        <v>0</v>
      </c>
      <c r="ST48" s="140">
        <f>IFERROR(VLOOKUP($D48,'Adient Taizhou (China) WK.16'!$B:RR,SS$1,0),0)</f>
        <v>0</v>
      </c>
      <c r="SU48" s="128">
        <v>0</v>
      </c>
      <c r="SV48" s="32">
        <v>0</v>
      </c>
      <c r="SW48" s="100">
        <f t="shared" si="516"/>
        <v>-1700</v>
      </c>
      <c r="SY48" s="37">
        <f t="shared" si="517"/>
        <v>-1700</v>
      </c>
      <c r="SZ48" s="141">
        <f>IFERROR(VLOOKUP($D48,'Adient Assende (Belgium) WK.17'!$B:RV,TA$1,0),0)</f>
        <v>80</v>
      </c>
      <c r="TA48" s="140">
        <f>IFERROR(VLOOKUP($D48,'Adient Arendal (Malzia) WK.12'!$B:RW,TA$1,0),0)</f>
        <v>0</v>
      </c>
      <c r="TB48" s="140">
        <f>IFERROR(VLOOKUP($D48,'Adient Taizhou (China) WK.16'!$B:RZ,TA$1,0),0)</f>
        <v>0</v>
      </c>
      <c r="TC48" s="128">
        <v>0</v>
      </c>
      <c r="TD48" s="32">
        <v>0</v>
      </c>
      <c r="TE48" s="100">
        <f t="shared" si="518"/>
        <v>-1780</v>
      </c>
      <c r="TG48" s="37">
        <f t="shared" si="519"/>
        <v>-1780</v>
      </c>
      <c r="TH48" s="141">
        <f>IFERROR(VLOOKUP($D48,'Adient Assende (Belgium) WK.17'!$B:SD,TI$1,0),0)</f>
        <v>0</v>
      </c>
      <c r="TI48" s="140">
        <f>IFERROR(VLOOKUP($D48,'Adient Arendal (Malzia) WK.12'!$B:SE,TI$1,0),0)</f>
        <v>0</v>
      </c>
      <c r="TJ48" s="140">
        <f>IFERROR(VLOOKUP($D48,'Adient Taizhou (China) WK.16'!$B:SH,TI$1,0),0)</f>
        <v>0</v>
      </c>
      <c r="TK48" s="128">
        <v>0</v>
      </c>
      <c r="TL48" s="32">
        <v>0</v>
      </c>
      <c r="TM48" s="100">
        <f t="shared" si="520"/>
        <v>-1780</v>
      </c>
      <c r="TO48" s="37">
        <f t="shared" si="521"/>
        <v>-1780</v>
      </c>
      <c r="TP48" s="141">
        <f>IFERROR(VLOOKUP($D48,'Adient Assende (Belgium) WK.17'!$B:SL,TQ$1,0),0)</f>
        <v>0</v>
      </c>
      <c r="TQ48" s="140">
        <f>IFERROR(VLOOKUP($D48,'Adient Arendal (Malzia) WK.12'!$B:SM,TQ$1,0),0)</f>
        <v>0</v>
      </c>
      <c r="TR48" s="140">
        <f>IFERROR(VLOOKUP($D48,'Adient Taizhou (China) WK.16'!$B:SP,TQ$1,0),0)</f>
        <v>0</v>
      </c>
      <c r="TS48" s="128">
        <v>0</v>
      </c>
      <c r="TT48" s="32">
        <v>0</v>
      </c>
      <c r="TU48" s="100">
        <f t="shared" si="522"/>
        <v>-1780</v>
      </c>
      <c r="TW48" s="37">
        <f t="shared" si="523"/>
        <v>-1780</v>
      </c>
      <c r="TX48" s="141">
        <f>IFERROR(VLOOKUP($D48,'Adient Assende (Belgium) WK.17'!$B:ST,TY$1,0),0)</f>
        <v>0</v>
      </c>
      <c r="TY48" s="140">
        <f>IFERROR(VLOOKUP($D48,'Adient Arendal (Malzia) WK.12'!$B:SU,TY$1,0),0)</f>
        <v>0</v>
      </c>
      <c r="TZ48" s="140">
        <f>IFERROR(VLOOKUP($D48,'Adient Taizhou (China) WK.16'!$B:SX,TY$1,0),0)</f>
        <v>0</v>
      </c>
      <c r="UA48" s="128">
        <v>0</v>
      </c>
      <c r="UB48" s="32">
        <v>0</v>
      </c>
      <c r="UC48" s="100">
        <f t="shared" si="524"/>
        <v>-1780</v>
      </c>
      <c r="UE48" s="37">
        <f t="shared" si="525"/>
        <v>-1780</v>
      </c>
      <c r="UF48" s="141">
        <f>IFERROR(VLOOKUP($D48,'Adient Assende (Belgium) WK.17'!$B:TB,UG$1,0),0)</f>
        <v>0</v>
      </c>
      <c r="UG48" s="140">
        <f>IFERROR(VLOOKUP($D48,'Adient Arendal (Malzia) WK.12'!$B:TC,UG$1,0),0)</f>
        <v>0</v>
      </c>
      <c r="UH48" s="140">
        <f>IFERROR(VLOOKUP($D48,'Adient Taizhou (China) WK.16'!$B:TF,UG$1,0),0)</f>
        <v>0</v>
      </c>
      <c r="UI48" s="128">
        <v>0</v>
      </c>
      <c r="UJ48" s="32">
        <v>0</v>
      </c>
      <c r="UK48" s="100">
        <f t="shared" si="526"/>
        <v>-1780</v>
      </c>
      <c r="UM48" s="37">
        <f t="shared" si="527"/>
        <v>-1780</v>
      </c>
      <c r="UN48" s="141">
        <f>IFERROR(VLOOKUP($D48,'Adient Assende (Belgium) WK.17'!$B:TJ,UO$1,0),0)</f>
        <v>0</v>
      </c>
      <c r="UO48" s="140">
        <f>IFERROR(VLOOKUP($D48,'Adient Arendal (Malzia) WK.12'!$B:TK,UO$1,0),0)</f>
        <v>0</v>
      </c>
      <c r="UP48" s="140">
        <f>IFERROR(VLOOKUP($D48,'Adient Taizhou (China) WK.16'!$B:TN,UO$1,0),0)</f>
        <v>0</v>
      </c>
      <c r="UQ48" s="128">
        <v>0</v>
      </c>
      <c r="UR48" s="32">
        <v>0</v>
      </c>
      <c r="US48" s="100">
        <f t="shared" si="528"/>
        <v>-1780</v>
      </c>
      <c r="UU48" s="37">
        <f t="shared" si="529"/>
        <v>-1780</v>
      </c>
      <c r="UV48" s="141">
        <f>IFERROR(VLOOKUP($D48,'Adient Assende (Belgium) WK.17'!$B:TR,UW$1,0),0)</f>
        <v>0</v>
      </c>
      <c r="UW48" s="140">
        <f>IFERROR(VLOOKUP($D48,'Adient Arendal (Malzia) WK.12'!$B:TS,UW$1,0),0)</f>
        <v>0</v>
      </c>
      <c r="UX48" s="140">
        <f>IFERROR(VLOOKUP($D48,'Adient Taizhou (China) WK.16'!$B:TV,UW$1,0),0)</f>
        <v>0</v>
      </c>
      <c r="UY48" s="128">
        <v>0</v>
      </c>
      <c r="UZ48" s="32">
        <v>0</v>
      </c>
      <c r="VA48" s="100">
        <f t="shared" si="530"/>
        <v>-1780</v>
      </c>
      <c r="VC48" s="37">
        <f t="shared" si="531"/>
        <v>-1780</v>
      </c>
      <c r="VD48" s="141">
        <f>IFERROR(VLOOKUP($D48,'Adient Assende (Belgium) WK.17'!$B:TZ,VE$1,0),0)</f>
        <v>0</v>
      </c>
      <c r="VE48" s="140">
        <f>IFERROR(VLOOKUP($D48,'Adient Arendal (Malzia) WK.12'!$B:UA,VE$1,0),0)</f>
        <v>0</v>
      </c>
      <c r="VF48" s="140">
        <f>IFERROR(VLOOKUP($D48,'Adient Taizhou (China) WK.16'!$B:UD,VE$1,0),0)</f>
        <v>0</v>
      </c>
      <c r="VG48" s="128">
        <v>0</v>
      </c>
      <c r="VH48" s="32">
        <v>0</v>
      </c>
      <c r="VI48" s="100">
        <f t="shared" si="532"/>
        <v>-1780</v>
      </c>
      <c r="VK48" s="37">
        <f t="shared" si="533"/>
        <v>-1780</v>
      </c>
      <c r="VL48" s="141">
        <f>IFERROR(VLOOKUP($D48,'Adient Assende (Belgium) WK.17'!$B:UH,VM$1,0),0)</f>
        <v>0</v>
      </c>
      <c r="VM48" s="140">
        <f>IFERROR(VLOOKUP($D48,'Adient Arendal (Malzia) WK.12'!$B:UI,VM$1,0),0)</f>
        <v>0</v>
      </c>
      <c r="VN48" s="140">
        <f>IFERROR(VLOOKUP($D48,'Adient Taizhou (China) WK.16'!$B:UL,VM$1,0),0)</f>
        <v>0</v>
      </c>
      <c r="VO48" s="128">
        <v>0</v>
      </c>
      <c r="VP48" s="32">
        <v>0</v>
      </c>
      <c r="VQ48" s="100">
        <f t="shared" si="534"/>
        <v>-1780</v>
      </c>
    </row>
    <row r="49" spans="1:589" x14ac:dyDescent="0.25">
      <c r="A49" s="10" t="s">
        <v>18</v>
      </c>
      <c r="B49" s="11" t="s">
        <v>17</v>
      </c>
      <c r="C49" s="87">
        <v>32272716</v>
      </c>
      <c r="D49" s="81">
        <v>4817124</v>
      </c>
      <c r="E49" s="11">
        <v>20</v>
      </c>
      <c r="F49" s="12"/>
      <c r="H49" s="122">
        <v>3960</v>
      </c>
      <c r="I49" s="125">
        <f>IFERROR(VLOOKUP($D49,'Adient Assende (Belgium) WK.17'!$B:C,J$1,0),0)</f>
        <v>1520</v>
      </c>
      <c r="J49" s="55">
        <f>IFERROR(VLOOKUP($D49,'Adient Arendal (Malzia) WK.12'!$B:C,J$1,0),0)</f>
        <v>0</v>
      </c>
      <c r="K49" s="55">
        <f>IFERROR(VLOOKUP($D49,'Adient Taizhou (China) WK.16'!$B:C,J$1,0),0)</f>
        <v>0</v>
      </c>
      <c r="L49" s="128">
        <v>320</v>
      </c>
      <c r="M49" s="32">
        <v>0</v>
      </c>
      <c r="N49" s="106">
        <f t="shared" si="233"/>
        <v>3640</v>
      </c>
      <c r="P49" s="37">
        <f t="shared" si="234"/>
        <v>3640</v>
      </c>
      <c r="Q49" s="125">
        <f>IFERROR(VLOOKUP($D49,'Adient Assende (Belgium) WK.17'!$B:K,R$1,0),0)</f>
        <v>320</v>
      </c>
      <c r="R49" s="55">
        <f>IFERROR(VLOOKUP($D49,'Adient Arendal (Malzia) WK.12'!$B:K,R$1,0),0)</f>
        <v>0</v>
      </c>
      <c r="S49" s="55">
        <f>IFERROR(VLOOKUP($D49,'Adient Taizhou (China) WK.16'!$B:K,R$1,0),0)</f>
        <v>0</v>
      </c>
      <c r="T49" s="41">
        <v>640</v>
      </c>
      <c r="U49" s="32">
        <v>0</v>
      </c>
      <c r="V49" s="106">
        <f t="shared" si="235"/>
        <v>3000</v>
      </c>
      <c r="X49" s="37">
        <f t="shared" si="236"/>
        <v>3000</v>
      </c>
      <c r="Y49" s="125">
        <f>IFERROR(VLOOKUP($D49,'Adient Assende (Belgium) WK.17'!$B:S,Z$1,0),0)</f>
        <v>640</v>
      </c>
      <c r="Z49" s="55">
        <f>IFERROR(VLOOKUP($D49,'Adient Arendal (Malzia) WK.12'!$B:S,Z$1,0),0)</f>
        <v>0</v>
      </c>
      <c r="AA49" s="55">
        <f>IFERROR(VLOOKUP($D49,'Adient Taizhou (China) WK.16'!$B:S,Z$1,0),0)</f>
        <v>0</v>
      </c>
      <c r="AB49" s="41">
        <v>400</v>
      </c>
      <c r="AC49" s="32">
        <v>0</v>
      </c>
      <c r="AD49" s="106">
        <f t="shared" si="237"/>
        <v>2600</v>
      </c>
      <c r="AF49" s="37">
        <f t="shared" si="238"/>
        <v>2600</v>
      </c>
      <c r="AG49" s="125">
        <f>IFERROR(VLOOKUP($D49,'Adient Assende (Belgium) WK.17'!$B:AA,AH$1,0),0)</f>
        <v>400</v>
      </c>
      <c r="AH49" s="55">
        <f>IFERROR(VLOOKUP($D49,'Adient Arendal (Malzia) WK.12'!$B:AA,AH$1,0),0)</f>
        <v>0</v>
      </c>
      <c r="AI49" s="55">
        <f>IFERROR(VLOOKUP($D49,'Adient Taizhou (China) WK.16'!$B:AA,AH$1,0),0)</f>
        <v>0</v>
      </c>
      <c r="AJ49" s="41">
        <v>480</v>
      </c>
      <c r="AK49" s="32">
        <v>0</v>
      </c>
      <c r="AL49" s="106">
        <f t="shared" si="239"/>
        <v>2120</v>
      </c>
      <c r="AN49" s="37">
        <f t="shared" si="432"/>
        <v>2120</v>
      </c>
      <c r="AO49" s="125">
        <f>IFERROR(VLOOKUP($D49,'Adient Assende (Belgium) WK.17'!$B:AI,AP$1,0),0)</f>
        <v>480</v>
      </c>
      <c r="AP49" s="55">
        <f>IFERROR(VLOOKUP($D49,'Adient Arendal (Malzia) WK.12'!$B:AI,AP$1,0),0)</f>
        <v>0</v>
      </c>
      <c r="AQ49" s="55">
        <f>IFERROR(VLOOKUP($D49,'Adient Taizhou (China) WK.16'!$B:AI,AP$1,0),0)</f>
        <v>0</v>
      </c>
      <c r="AR49" s="60">
        <v>0</v>
      </c>
      <c r="AS49" s="41">
        <v>560</v>
      </c>
      <c r="AT49" s="32">
        <v>0</v>
      </c>
      <c r="AU49" s="106">
        <f t="shared" si="240"/>
        <v>1560</v>
      </c>
      <c r="AW49" s="37">
        <f t="shared" si="433"/>
        <v>1560</v>
      </c>
      <c r="AX49" s="125">
        <f>IFERROR(VLOOKUP($D49,'Adient Assende (Belgium) WK.17'!$B:AR,AY$1,0),0)</f>
        <v>560</v>
      </c>
      <c r="AY49" s="55">
        <f>IFERROR(VLOOKUP($D49,'Adient Arendal (Malzia) WK.12'!$B:AR,AY$1,0),0)</f>
        <v>0</v>
      </c>
      <c r="AZ49" s="55">
        <f>IFERROR(VLOOKUP($D49,'Adient Taizhou (China) WK.16'!$B:AU,AY$1,0),0)</f>
        <v>0</v>
      </c>
      <c r="BA49" s="41">
        <v>560</v>
      </c>
      <c r="BB49" s="32">
        <v>0</v>
      </c>
      <c r="BC49" s="106">
        <f t="shared" si="241"/>
        <v>1000</v>
      </c>
      <c r="BE49" s="37">
        <f t="shared" si="434"/>
        <v>1000</v>
      </c>
      <c r="BF49" s="125">
        <f>IFERROR(VLOOKUP($D49,'Adient Assende (Belgium) WK.17'!$B:AX,BG$1,0),0)</f>
        <v>560</v>
      </c>
      <c r="BG49" s="55">
        <f>IFERROR(VLOOKUP($D49,'Adient Arendal (Malzia) WK.12'!$B:AZ,BG$1,0),0)</f>
        <v>0</v>
      </c>
      <c r="BH49" s="55">
        <f>IFERROR(VLOOKUP($D49,'Adient Taizhou (China) WK.16'!$B:BB,BG$1,0),0)</f>
        <v>0</v>
      </c>
      <c r="BI49" s="60">
        <v>160</v>
      </c>
      <c r="BJ49" s="60">
        <v>0</v>
      </c>
      <c r="BK49" s="41">
        <v>480</v>
      </c>
      <c r="BL49" s="32">
        <v>0</v>
      </c>
      <c r="BM49" s="106">
        <f t="shared" si="242"/>
        <v>680</v>
      </c>
      <c r="BN49" s="8"/>
      <c r="BO49" s="37">
        <f t="shared" si="435"/>
        <v>680</v>
      </c>
      <c r="BP49" s="125">
        <f>IFERROR(VLOOKUP($D49,'Adient Assende (Belgium) WK.17'!$B:BH,BQ$1,0),0)</f>
        <v>480</v>
      </c>
      <c r="BQ49" s="55">
        <f>IFERROR(VLOOKUP($D49,'Adient Arendal (Malzia) WK.12'!$B:BI,BQ$1,0),0)</f>
        <v>0</v>
      </c>
      <c r="BR49" s="55">
        <f>IFERROR(VLOOKUP($D49,'Adient Taizhou (China) WK.16'!$B:BL,BQ$1,0),0)</f>
        <v>0</v>
      </c>
      <c r="BS49" s="60">
        <v>700</v>
      </c>
      <c r="BT49" s="60">
        <v>420</v>
      </c>
      <c r="BU49" s="60">
        <v>0</v>
      </c>
      <c r="BV49" s="41">
        <v>640</v>
      </c>
      <c r="BW49" s="32">
        <v>0</v>
      </c>
      <c r="BX49" s="106">
        <f t="shared" si="243"/>
        <v>1160</v>
      </c>
      <c r="BY49" s="8"/>
      <c r="BZ49" s="37">
        <f t="shared" si="436"/>
        <v>1160</v>
      </c>
      <c r="CA49" s="125">
        <f>IFERROR(VLOOKUP($D49,'Adient Assende (Belgium) WK.17'!$B:BS,CB$1,0),0)</f>
        <v>640</v>
      </c>
      <c r="CB49" s="55">
        <f>IFERROR(VLOOKUP($D49,'Adient Arendal (Malzia) WK.12'!$B:BT,CB$1,0),0)</f>
        <v>0</v>
      </c>
      <c r="CC49" s="55">
        <f>IFERROR(VLOOKUP($D49,'Adient Taizhou (China) WK.16'!$B:BW,CB$1,0),0)</f>
        <v>0</v>
      </c>
      <c r="CD49" s="60">
        <v>0</v>
      </c>
      <c r="CE49" s="60">
        <v>0</v>
      </c>
      <c r="CF49" s="41">
        <v>1120</v>
      </c>
      <c r="CG49" s="32">
        <v>0</v>
      </c>
      <c r="CH49" s="106">
        <f t="shared" si="244"/>
        <v>40</v>
      </c>
      <c r="CI49" s="8"/>
      <c r="CJ49" s="37">
        <f t="shared" si="437"/>
        <v>40</v>
      </c>
      <c r="CK49" s="125">
        <f>IFERROR(VLOOKUP($D49,'Adient Assende (Belgium) WK.17'!$B:CC,CL$1,0),0)</f>
        <v>1120</v>
      </c>
      <c r="CL49" s="55">
        <f>IFERROR(VLOOKUP($D49,'Adient Arendal (Malzia) WK.12'!$B:CD,CL$1,0),0)</f>
        <v>0</v>
      </c>
      <c r="CM49" s="55">
        <f>IFERROR(VLOOKUP($D49,'Adient Taizhou (China) WK.16'!$B:CG,CL$1,0),0)</f>
        <v>0</v>
      </c>
      <c r="CN49" s="60">
        <v>1180</v>
      </c>
      <c r="CO49" s="149">
        <v>0</v>
      </c>
      <c r="CP49" s="32">
        <v>0</v>
      </c>
      <c r="CQ49" s="106">
        <f t="shared" si="245"/>
        <v>1220</v>
      </c>
      <c r="CR49" s="8"/>
      <c r="CS49" s="122">
        <f t="shared" si="438"/>
        <v>1220</v>
      </c>
      <c r="CT49" s="154">
        <f>IFERROR(VLOOKUP($D49,'Adient Assende (Belgium) WK.17'!$B:CL,CU$1,0),0)</f>
        <v>0</v>
      </c>
      <c r="CU49" s="55">
        <f>IFERROR(VLOOKUP($D49,'Adient Arendal (Malzia) WK.12'!$B:CM,CU$1,0),0)</f>
        <v>0</v>
      </c>
      <c r="CV49" s="55">
        <f>IFERROR(VLOOKUP($D49,'Adient Taizhou (China) WK.16'!$B:CP,CU$1,0),0)</f>
        <v>0</v>
      </c>
      <c r="CW49" s="60">
        <v>0</v>
      </c>
      <c r="CX49" s="60">
        <v>540</v>
      </c>
      <c r="CY49" s="128">
        <v>640</v>
      </c>
      <c r="CZ49" s="32">
        <v>0</v>
      </c>
      <c r="DA49" s="106">
        <f t="shared" si="246"/>
        <v>1120</v>
      </c>
      <c r="DB49" s="8"/>
      <c r="DC49" s="37">
        <f t="shared" si="439"/>
        <v>1120</v>
      </c>
      <c r="DD49" s="125">
        <f>IFERROR(VLOOKUP($D49,'Adient Assende (Belgium) WK.17'!$B:CS,DE$1,0),0)</f>
        <v>640</v>
      </c>
      <c r="DE49" s="55">
        <f>IFERROR(VLOOKUP($D49,'Adient Arendal (Malzia) WK.12'!$B:CU,DE$1,0),0)</f>
        <v>0</v>
      </c>
      <c r="DF49" s="55">
        <f>IFERROR(VLOOKUP($D49,'Adient Taizhou (China) WK.16'!$B:CX,DE$1,0),0)</f>
        <v>0</v>
      </c>
      <c r="DG49" s="60">
        <v>400</v>
      </c>
      <c r="DH49" s="128">
        <v>400</v>
      </c>
      <c r="DI49" s="32">
        <v>0</v>
      </c>
      <c r="DJ49" s="106">
        <f t="shared" si="247"/>
        <v>1120</v>
      </c>
      <c r="DL49" s="37">
        <f t="shared" si="440"/>
        <v>1120</v>
      </c>
      <c r="DM49" s="125">
        <f>IFERROR(VLOOKUP($D49,'Adient Assende (Belgium) WK.17'!$B:DB,DN$1,0),0)</f>
        <v>400</v>
      </c>
      <c r="DN49" s="55">
        <f>IFERROR(VLOOKUP($D49,'Adient Arendal (Malzia) WK.12'!$B:DC,DN$1,0),0)</f>
        <v>0</v>
      </c>
      <c r="DO49" s="55">
        <f>IFERROR(VLOOKUP($D49,'Adient Taizhou (China) WK.16'!$B:DF,DN$1,0),0)</f>
        <v>0</v>
      </c>
      <c r="DP49" s="128">
        <v>320</v>
      </c>
      <c r="DQ49" s="32">
        <v>0</v>
      </c>
      <c r="DR49" s="106">
        <f t="shared" si="441"/>
        <v>800</v>
      </c>
      <c r="DS49" s="8"/>
      <c r="DT49" s="37">
        <f t="shared" si="442"/>
        <v>800</v>
      </c>
      <c r="DU49" s="125">
        <f>IFERROR(VLOOKUP($D49,'Adient Assende (Belgium) WK.17'!$B:DJ,DV$1,0),0)</f>
        <v>320</v>
      </c>
      <c r="DV49" s="55">
        <f>IFERROR(VLOOKUP($D49,'Adient Arendal (Malzia) WK.12'!$B:DK,DV$1,0),0)</f>
        <v>0</v>
      </c>
      <c r="DW49" s="55">
        <f>IFERROR(VLOOKUP($D49,'Adient Taizhou (China) WK.16'!$B:DN,DV$1,0),0)</f>
        <v>0</v>
      </c>
      <c r="DX49" s="60">
        <v>1500</v>
      </c>
      <c r="DY49" s="60">
        <v>0</v>
      </c>
      <c r="DZ49" s="128">
        <v>240</v>
      </c>
      <c r="EA49" s="32">
        <v>0</v>
      </c>
      <c r="EB49" s="106">
        <f t="shared" si="248"/>
        <v>2060</v>
      </c>
      <c r="EC49" s="8"/>
      <c r="ED49" s="37">
        <f t="shared" si="443"/>
        <v>2060</v>
      </c>
      <c r="EE49" s="125">
        <f>IFERROR(VLOOKUP($D49,'Adient Assende (Belgium) WK.17'!$B:DR,EF$1,0),0)</f>
        <v>240</v>
      </c>
      <c r="EF49" s="55">
        <f>IFERROR(VLOOKUP($D49,'Adient Arendal (Malzia) WK.12'!$B:DS,EF$1,0),0)</f>
        <v>0</v>
      </c>
      <c r="EG49" s="55">
        <f>IFERROR(VLOOKUP($D49,'Adient Taizhou (China) WK.16'!$B:DV,EF$1,0),0)</f>
        <v>0</v>
      </c>
      <c r="EH49" s="60">
        <v>1200</v>
      </c>
      <c r="EI49" s="128">
        <v>800</v>
      </c>
      <c r="EJ49" s="32">
        <v>0</v>
      </c>
      <c r="EK49" s="106">
        <f t="shared" si="249"/>
        <v>2460</v>
      </c>
      <c r="EM49" s="37">
        <f t="shared" si="444"/>
        <v>2460</v>
      </c>
      <c r="EN49" s="125">
        <f>IFERROR(VLOOKUP($D49,'Adient Assende (Belgium) WK.17'!$B:DZ,EO$1,0),0)</f>
        <v>800</v>
      </c>
      <c r="EO49" s="55">
        <f>IFERROR(VLOOKUP($D49,'Adient Arendal (Malzia) WK.12'!$B:EA,EO$1,0),0)</f>
        <v>0</v>
      </c>
      <c r="EP49" s="55">
        <f>IFERROR(VLOOKUP($D49,'Adient Taizhou (China) WK.16'!$B:ED,EO$1,0),0)</f>
        <v>0</v>
      </c>
      <c r="EQ49" s="128">
        <v>1040</v>
      </c>
      <c r="ER49" s="32">
        <v>0</v>
      </c>
      <c r="ES49" s="106">
        <f t="shared" si="250"/>
        <v>1420</v>
      </c>
      <c r="EU49" s="37">
        <f t="shared" si="445"/>
        <v>1420</v>
      </c>
      <c r="EV49" s="125">
        <f>IFERROR(VLOOKUP($D49,'Adient Assende (Belgium) WK.17'!$B:EH,EW$1,0),0)</f>
        <v>1040</v>
      </c>
      <c r="EW49" s="55">
        <f>IFERROR(VLOOKUP($D49,'Adient Arendal (Malzia) WK.12'!$B:EI,EW$1,0),0)</f>
        <v>0</v>
      </c>
      <c r="EX49" s="55">
        <f>IFERROR(VLOOKUP($D49,'Adient Taizhou (China) WK.16'!$B:EL,EW$1,0),0)</f>
        <v>0</v>
      </c>
      <c r="EY49" s="128">
        <v>0</v>
      </c>
      <c r="EZ49" s="32">
        <v>0</v>
      </c>
      <c r="FA49" s="106">
        <f t="shared" si="251"/>
        <v>1420</v>
      </c>
      <c r="FC49" s="37">
        <f t="shared" si="446"/>
        <v>1420</v>
      </c>
      <c r="FD49" s="154">
        <f>IFERROR(VLOOKUP($D49,'Adient Assende (Belgium) WK.17'!$B:EP,FE$1,0),0)</f>
        <v>0</v>
      </c>
      <c r="FE49" s="154">
        <f>IFERROR(VLOOKUP($D49,'Adient Arendal (Malzia) WK.12'!$B:EQ,FE$1,0),0)</f>
        <v>0</v>
      </c>
      <c r="FF49" s="154">
        <f>IFERROR(VLOOKUP($D49,'Adient Taizhou (China) WK.16'!$B:ET,FE$1,0),0)</f>
        <v>0</v>
      </c>
      <c r="FG49" s="128">
        <v>0</v>
      </c>
      <c r="FH49" s="32">
        <v>0</v>
      </c>
      <c r="FI49" s="106">
        <f t="shared" si="252"/>
        <v>1420</v>
      </c>
      <c r="FK49" s="37">
        <f t="shared" si="447"/>
        <v>1420</v>
      </c>
      <c r="FL49" s="125">
        <f>IFERROR(VLOOKUP($D49,'Adient Assende (Belgium) WK.17'!$B:EX,FM$1,0),0)</f>
        <v>0</v>
      </c>
      <c r="FM49" s="55">
        <f>IFERROR(VLOOKUP($D49,'Adient Arendal (Malzia) WK.12'!$B:EY,FM$1,0),0)</f>
        <v>0</v>
      </c>
      <c r="FN49" s="55">
        <f>IFERROR(VLOOKUP($D49,'Adient Taizhou (China) WK.16'!$B:FB,FM$1,0),0)</f>
        <v>0</v>
      </c>
      <c r="FO49" s="128">
        <v>960</v>
      </c>
      <c r="FP49" s="32">
        <v>0</v>
      </c>
      <c r="FQ49" s="106">
        <f t="shared" si="253"/>
        <v>460</v>
      </c>
      <c r="FR49" s="8"/>
      <c r="FS49" s="37">
        <f t="shared" si="448"/>
        <v>460</v>
      </c>
      <c r="FT49" s="125">
        <f>IFERROR(VLOOKUP($D49,'Adient Assende (Belgium) WK.17'!$B:FF,FU$1,0),0)</f>
        <v>960</v>
      </c>
      <c r="FU49" s="55">
        <f>IFERROR(VLOOKUP($D49,'Adient Arendal (Malzia) WK.12'!$B:FG,FU$1,0),0)</f>
        <v>0</v>
      </c>
      <c r="FV49" s="55">
        <f>IFERROR(VLOOKUP($D49,'Adient Taizhou (China) WK.16'!$B:FJ,FU$1,0),0)</f>
        <v>0</v>
      </c>
      <c r="FW49" s="60">
        <v>1020</v>
      </c>
      <c r="FX49" s="60">
        <v>160</v>
      </c>
      <c r="FY49" s="60">
        <v>1020</v>
      </c>
      <c r="FZ49" s="60">
        <v>560</v>
      </c>
      <c r="GA49" s="60">
        <v>1420</v>
      </c>
      <c r="GB49" s="128">
        <v>800</v>
      </c>
      <c r="GC49" s="32">
        <v>0</v>
      </c>
      <c r="GD49" s="106">
        <f t="shared" si="254"/>
        <v>3840</v>
      </c>
      <c r="GF49" s="37">
        <f t="shared" si="449"/>
        <v>3840</v>
      </c>
      <c r="GG49" s="125">
        <f>IFERROR(VLOOKUP($D49,'Adient Assende (Belgium) WK.17'!$B:FN,GH$1,0),0)</f>
        <v>800</v>
      </c>
      <c r="GH49" s="55">
        <f>IFERROR(VLOOKUP($D49,'Adient Arendal (Malzia) WK.12'!$B:FO,GH$1,0),0)</f>
        <v>0</v>
      </c>
      <c r="GI49" s="55">
        <f>IFERROR(VLOOKUP($D49,'Adient Taizhou (China) WK.16'!$B:FR,GH$1,0),0)</f>
        <v>0</v>
      </c>
      <c r="GJ49" s="60">
        <v>860</v>
      </c>
      <c r="GK49" s="128">
        <v>960</v>
      </c>
      <c r="GL49" s="32">
        <v>0</v>
      </c>
      <c r="GM49" s="106">
        <f t="shared" si="255"/>
        <v>3740</v>
      </c>
      <c r="GO49" s="37">
        <f t="shared" si="450"/>
        <v>3740</v>
      </c>
      <c r="GP49" s="125">
        <f>IFERROR(VLOOKUP($D49,'Adient Assende (Belgium) WK.17'!$B:FV,GQ$1,0),0)</f>
        <v>960</v>
      </c>
      <c r="GQ49" s="55">
        <f>IFERROR(VLOOKUP($D49,'Adient Arendal (Malzia) WK.12'!$B:FW,GQ$1,0),0)</f>
        <v>0</v>
      </c>
      <c r="GR49" s="55">
        <f>IFERROR(VLOOKUP($D49,'Adient Taizhou (China) WK.16'!$B:FZ,GQ$1,0),0)</f>
        <v>0</v>
      </c>
      <c r="GS49" s="60">
        <v>1280</v>
      </c>
      <c r="GT49" s="128">
        <v>880</v>
      </c>
      <c r="GU49" s="32">
        <v>0</v>
      </c>
      <c r="GV49" s="106">
        <f t="shared" si="256"/>
        <v>4140</v>
      </c>
      <c r="GW49" s="8"/>
      <c r="GX49" s="37">
        <f t="shared" si="451"/>
        <v>4140</v>
      </c>
      <c r="GY49" s="125">
        <f>IFERROR(VLOOKUP($D49,'Adient Assende (Belgium) WK.17'!$B:GD,GZ$1,0),0)</f>
        <v>880</v>
      </c>
      <c r="GZ49" s="55">
        <f>IFERROR(VLOOKUP($D49,'Adient Arendal (Malzia) WK.12'!$B:GE,GZ$1,0),0)</f>
        <v>0</v>
      </c>
      <c r="HA49" s="55">
        <f>IFERROR(VLOOKUP($D49,'Adient Taizhou (China) WK.16'!$B:GH,GZ$1,0),0)</f>
        <v>0</v>
      </c>
      <c r="HB49" s="60">
        <v>0</v>
      </c>
      <c r="HC49" s="128">
        <v>880</v>
      </c>
      <c r="HD49" s="32">
        <v>0</v>
      </c>
      <c r="HE49" s="106">
        <f t="shared" si="257"/>
        <v>3260</v>
      </c>
      <c r="HF49" s="8"/>
      <c r="HG49" s="37">
        <f t="shared" si="452"/>
        <v>3260</v>
      </c>
      <c r="HH49" s="125">
        <f>IFERROR(VLOOKUP($D49,'Adient Assende (Belgium) WK.17'!$B:GL,HI$1,0),0)</f>
        <v>880</v>
      </c>
      <c r="HI49" s="55">
        <f>IFERROR(VLOOKUP($D49,'Adient Arendal (Malzia) WK.12'!$B:GM,HI$1,0),0)</f>
        <v>0</v>
      </c>
      <c r="HJ49" s="55">
        <f>IFERROR(VLOOKUP($D49,'Adient Taizhou (China) WK.16'!$B:GP,HI$1,0),0)</f>
        <v>0</v>
      </c>
      <c r="HK49" s="60">
        <v>0</v>
      </c>
      <c r="HL49" s="128">
        <v>880</v>
      </c>
      <c r="HM49" s="32">
        <v>0</v>
      </c>
      <c r="HN49" s="106">
        <f t="shared" si="258"/>
        <v>2380</v>
      </c>
      <c r="HO49" s="8"/>
      <c r="HP49" s="37">
        <f t="shared" si="453"/>
        <v>2380</v>
      </c>
      <c r="HQ49" s="125">
        <f>IFERROR(VLOOKUP($D49,'Adient Assende (Belgium) WK.17'!$B:GT,HR$1,0),0)</f>
        <v>880</v>
      </c>
      <c r="HR49" s="55">
        <f>IFERROR(VLOOKUP($D49,'Adient Arendal (Malzia) WK.12'!$B:GU,HR$1,0),0)</f>
        <v>0</v>
      </c>
      <c r="HS49" s="55">
        <f>IFERROR(VLOOKUP($D49,'Adient Taizhou (China) WK.16'!$B:GX,HR$1,0),0)</f>
        <v>0</v>
      </c>
      <c r="HT49" s="60">
        <v>620</v>
      </c>
      <c r="HU49" s="128">
        <v>880</v>
      </c>
      <c r="HV49" s="32">
        <v>0</v>
      </c>
      <c r="HW49" s="106">
        <f t="shared" si="259"/>
        <v>2120</v>
      </c>
      <c r="HX49" s="8"/>
      <c r="HY49" s="37">
        <f t="shared" si="454"/>
        <v>2120</v>
      </c>
      <c r="HZ49" s="125">
        <f>IFERROR(VLOOKUP($D49,'Adient Assende (Belgium) WK.17'!$B:HB,IA$1,0),0)</f>
        <v>880</v>
      </c>
      <c r="IA49" s="55">
        <f>IFERROR(VLOOKUP($D49,'Adient Arendal (Malzia) WK.12'!$B:HC,IA$1,0),0)</f>
        <v>0</v>
      </c>
      <c r="IB49" s="55">
        <f>IFERROR(VLOOKUP($D49,'Adient Taizhou (China) WK.16'!$B:HF,IA$1,0),0)</f>
        <v>0</v>
      </c>
      <c r="IC49" s="60">
        <v>0</v>
      </c>
      <c r="ID49" s="128">
        <v>480</v>
      </c>
      <c r="IE49" s="32">
        <v>0</v>
      </c>
      <c r="IF49" s="106">
        <f t="shared" si="260"/>
        <v>1640</v>
      </c>
      <c r="IG49" s="8"/>
      <c r="IH49" s="37">
        <f t="shared" si="455"/>
        <v>1640</v>
      </c>
      <c r="II49" s="125">
        <f>IFERROR(VLOOKUP($D49,'Adient Assende (Belgium) WK.17'!$B:HJ,IJ$1,0),0)</f>
        <v>480</v>
      </c>
      <c r="IJ49" s="55">
        <f>IFERROR(VLOOKUP($D49,'Adient Arendal (Malzia) WK.12'!$B:HK,IJ$1,0),0)</f>
        <v>0</v>
      </c>
      <c r="IK49" s="55">
        <f>IFERROR(VLOOKUP($D49,'Adient Taizhou (China) WK.16'!$B:HN,IJ$1,0),0)</f>
        <v>0</v>
      </c>
      <c r="IL49" s="128">
        <v>400</v>
      </c>
      <c r="IM49" s="32">
        <v>0</v>
      </c>
      <c r="IN49" s="106">
        <f t="shared" si="456"/>
        <v>1240</v>
      </c>
      <c r="IO49" s="8"/>
      <c r="IP49" s="37">
        <f t="shared" si="457"/>
        <v>1240</v>
      </c>
      <c r="IQ49" s="125">
        <f>IFERROR(VLOOKUP($D49,'Adient Assende (Belgium) WK.17'!$B:HR,IR$1,0),0)</f>
        <v>400</v>
      </c>
      <c r="IR49" s="55">
        <f>IFERROR(VLOOKUP($D49,'Adient Arendal (Malzia) WK.12'!$B:HS,IR$1,0),0)</f>
        <v>0</v>
      </c>
      <c r="IS49" s="55">
        <f>IFERROR(VLOOKUP($D49,'Adient Taizhou (China) WK.16'!$B:HV,IR$1,0),0)</f>
        <v>0</v>
      </c>
      <c r="IT49" s="60">
        <v>1940</v>
      </c>
      <c r="IU49" s="128">
        <v>320</v>
      </c>
      <c r="IV49" s="32">
        <v>0</v>
      </c>
      <c r="IW49" s="106">
        <f t="shared" si="261"/>
        <v>2860</v>
      </c>
      <c r="IX49" s="8"/>
      <c r="IY49" s="37">
        <f t="shared" si="458"/>
        <v>2860</v>
      </c>
      <c r="IZ49" s="125">
        <f>IFERROR(VLOOKUP($D49,'Adient Assende (Belgium) WK.17'!$B:HZ,JA$1,0),0)</f>
        <v>320</v>
      </c>
      <c r="JA49" s="55">
        <f>IFERROR(VLOOKUP($D49,'Adient Arendal (Malzia) WK.12'!$B:IA,JA$1,0),0)</f>
        <v>0</v>
      </c>
      <c r="JB49" s="55">
        <f>IFERROR(VLOOKUP($D49,'Adient Taizhou (China) WK.16'!$B:ID,JA$1,0),0)</f>
        <v>0</v>
      </c>
      <c r="JC49" s="128">
        <v>160</v>
      </c>
      <c r="JD49" s="32">
        <v>0</v>
      </c>
      <c r="JE49" s="106">
        <f t="shared" si="459"/>
        <v>2700</v>
      </c>
      <c r="JF49" s="8"/>
      <c r="JG49" s="37">
        <f t="shared" si="460"/>
        <v>2700</v>
      </c>
      <c r="JH49" s="125">
        <f>IFERROR(VLOOKUP($D49,'Adient Assende (Belgium) WK.17'!$B:IH,JI$1,0),0)</f>
        <v>160</v>
      </c>
      <c r="JI49" s="55">
        <f>IFERROR(VLOOKUP($D49,'Adient Arendal (Malzia) WK.12'!$B:II,JI$1,0),0)</f>
        <v>0</v>
      </c>
      <c r="JJ49" s="55">
        <f>IFERROR(VLOOKUP($D49,'Adient Taizhou (China) WK.16'!$B:IL,JI$1,0),0)</f>
        <v>0</v>
      </c>
      <c r="JK49" s="60">
        <v>1240</v>
      </c>
      <c r="JL49" s="128">
        <v>1040</v>
      </c>
      <c r="JM49" s="32">
        <v>0</v>
      </c>
      <c r="JN49" s="106">
        <f t="shared" si="262"/>
        <v>2900</v>
      </c>
      <c r="JO49" s="8"/>
      <c r="JP49" s="37">
        <f t="shared" si="461"/>
        <v>2900</v>
      </c>
      <c r="JQ49" s="125">
        <f>IFERROR(VLOOKUP($D49,'Adient Assende (Belgium) WK.17'!$B:IP,JR$1,0),0)</f>
        <v>1040</v>
      </c>
      <c r="JR49" s="55">
        <f>IFERROR(VLOOKUP($D49,'Adient Arendal (Malzia) WK.12'!$B:IQ,JR$1,0),0)</f>
        <v>0</v>
      </c>
      <c r="JS49" s="55">
        <f>IFERROR(VLOOKUP($D49,'Adient Taizhou (China) WK.16'!$B:IT,JR$1,0),0)</f>
        <v>0</v>
      </c>
      <c r="JT49" s="128">
        <v>0</v>
      </c>
      <c r="JU49" s="32">
        <v>0</v>
      </c>
      <c r="JV49" s="106">
        <f t="shared" si="462"/>
        <v>2900</v>
      </c>
      <c r="JW49" s="8"/>
      <c r="JX49" s="37">
        <f t="shared" si="463"/>
        <v>2900</v>
      </c>
      <c r="JY49" s="154">
        <f>IFERROR(VLOOKUP($D49,'Adient Assende (Belgium) WK.17'!$B:IX,JZ$1,0),0)</f>
        <v>0</v>
      </c>
      <c r="JZ49" s="55">
        <f>IFERROR(VLOOKUP($D49,'Adient Arendal (Malzia) WK.12'!$B:IY,JZ$1,0),0)</f>
        <v>0</v>
      </c>
      <c r="KA49" s="55">
        <f>IFERROR(VLOOKUP($D49,'Adient Taizhou (China) WK.16'!$B:JB,JZ$1,0),0)</f>
        <v>0</v>
      </c>
      <c r="KB49" s="128">
        <v>640</v>
      </c>
      <c r="KC49" s="32">
        <v>0</v>
      </c>
      <c r="KD49" s="106">
        <f t="shared" si="263"/>
        <v>2260</v>
      </c>
      <c r="KE49" s="8"/>
      <c r="KF49" s="37">
        <f t="shared" si="464"/>
        <v>2260</v>
      </c>
      <c r="KG49" s="125">
        <f>IFERROR(VLOOKUP($D49,'Adient Assende (Belgium) WK.17'!$B:JF,KH$1,0),0)</f>
        <v>640</v>
      </c>
      <c r="KH49" s="55">
        <f>IFERROR(VLOOKUP($D49,'Adient Arendal (Malzia) WK.12'!$B:JG,KH$1,0),0)</f>
        <v>0</v>
      </c>
      <c r="KI49" s="55">
        <f>IFERROR(VLOOKUP($D49,'Adient Taizhou (China) WK.16'!$B:JJ,KH$1,0),0)</f>
        <v>0</v>
      </c>
      <c r="KJ49" s="60">
        <v>920</v>
      </c>
      <c r="KK49" s="128">
        <v>1040</v>
      </c>
      <c r="KL49" s="32">
        <v>0</v>
      </c>
      <c r="KM49" s="106">
        <f t="shared" si="264"/>
        <v>2140</v>
      </c>
      <c r="KN49" s="8"/>
      <c r="KO49" s="37">
        <f t="shared" si="465"/>
        <v>2140</v>
      </c>
      <c r="KP49" s="141">
        <f>IFERROR(VLOOKUP($D49,'Adient Assende (Belgium) WK.17'!$B:JN,KQ$1,0),0)</f>
        <v>1040</v>
      </c>
      <c r="KQ49" s="140">
        <f>IFERROR(VLOOKUP($D49,'Adient Arendal (Malzia) WK.12'!$B:JO,KQ$1,0),0)</f>
        <v>0</v>
      </c>
      <c r="KR49" s="140">
        <f>IFERROR(VLOOKUP($D49,'Adient Taizhou (China) WK.16'!$B:JR,KQ$1,0),0)</f>
        <v>0</v>
      </c>
      <c r="KS49" s="60">
        <v>1020</v>
      </c>
      <c r="KT49" s="128">
        <v>560</v>
      </c>
      <c r="KU49" s="32">
        <v>0</v>
      </c>
      <c r="KV49" s="106">
        <f t="shared" si="265"/>
        <v>2600</v>
      </c>
      <c r="KX49" s="37">
        <f t="shared" si="466"/>
        <v>2600</v>
      </c>
      <c r="KY49" s="141">
        <f>IFERROR(VLOOKUP($D49,'Adient Assende (Belgium) WK.17'!$B:JV,KZ$1,0),0)</f>
        <v>560</v>
      </c>
      <c r="KZ49" s="140">
        <f>IFERROR(VLOOKUP($D49,'Adient Arendal (Malzia) WK.12'!$B:JW,KZ$1,0),0)</f>
        <v>0</v>
      </c>
      <c r="LA49" s="140">
        <f>IFERROR(VLOOKUP($D49,'Adient Taizhou (China) WK.16'!$B:JZ,KZ$1,0),0)</f>
        <v>0</v>
      </c>
      <c r="LB49" s="128">
        <v>0</v>
      </c>
      <c r="LC49" s="32">
        <v>0</v>
      </c>
      <c r="LD49" s="106">
        <f t="shared" si="467"/>
        <v>2600</v>
      </c>
      <c r="LF49" s="37">
        <f t="shared" si="468"/>
        <v>2600</v>
      </c>
      <c r="LG49" s="141">
        <f>IFERROR(VLOOKUP($D49,'Adient Assende (Belgium) WK.17'!$B:KD,LH$1,0),0)</f>
        <v>880</v>
      </c>
      <c r="LH49" s="140">
        <f>IFERROR(VLOOKUP($D49,'Adient Arendal (Malzia) WK.12'!$B:KE,LH$1,0),0)</f>
        <v>0</v>
      </c>
      <c r="LI49" s="140">
        <f>IFERROR(VLOOKUP($D49,'Adient Taizhou (China) WK.16'!$B:KH,LH$1,0),0)</f>
        <v>0</v>
      </c>
      <c r="LJ49" s="60">
        <v>300</v>
      </c>
      <c r="LK49" s="128">
        <v>0</v>
      </c>
      <c r="LL49" s="32">
        <v>0</v>
      </c>
      <c r="LM49" s="100">
        <f t="shared" si="267"/>
        <v>2020</v>
      </c>
      <c r="LO49" s="37">
        <f t="shared" si="469"/>
        <v>2020</v>
      </c>
      <c r="LP49" s="141">
        <f>IFERROR(VLOOKUP($D49,'Adient Assende (Belgium) WK.17'!$B:KL,LQ$1,0),0)</f>
        <v>400</v>
      </c>
      <c r="LQ49" s="140">
        <f>IFERROR(VLOOKUP($D49,'Adient Arendal (Malzia) WK.12'!$B:KM,LQ$1,0),0)</f>
        <v>0</v>
      </c>
      <c r="LR49" s="140">
        <f>IFERROR(VLOOKUP($D49,'Adient Taizhou (China) WK.16'!$B:KP,LQ$1,0),0)</f>
        <v>0</v>
      </c>
      <c r="LS49" s="128">
        <v>0</v>
      </c>
      <c r="LT49" s="32">
        <v>0</v>
      </c>
      <c r="LU49" s="100">
        <f t="shared" si="470"/>
        <v>1620</v>
      </c>
      <c r="LW49" s="37">
        <f t="shared" si="471"/>
        <v>1620</v>
      </c>
      <c r="LX49" s="141">
        <f>IFERROR(VLOOKUP($D49,'Adient Assende (Belgium) WK.17'!$B:KT,LY$1,0),0)</f>
        <v>1200</v>
      </c>
      <c r="LY49" s="140">
        <f>IFERROR(VLOOKUP($D49,'Adient Arendal (Malzia) WK.12'!$B:KU,LY$1,0),0)</f>
        <v>0</v>
      </c>
      <c r="LZ49" s="140">
        <f>IFERROR(VLOOKUP($D49,'Adient Taizhou (China) WK.16'!$B:KX,LY$1,0),0)</f>
        <v>0</v>
      </c>
      <c r="MA49" s="128">
        <v>0</v>
      </c>
      <c r="MB49" s="32">
        <v>0</v>
      </c>
      <c r="MC49" s="100">
        <f t="shared" si="472"/>
        <v>420</v>
      </c>
      <c r="ME49" s="37">
        <f t="shared" si="473"/>
        <v>420</v>
      </c>
      <c r="MF49" s="154">
        <f>IFERROR(VLOOKUP($D49,'Adient Assende (Belgium) WK.17'!$B:LB,MG$1,0),0)</f>
        <v>0</v>
      </c>
      <c r="MG49" s="140">
        <f>IFERROR(VLOOKUP($D49,'Adient Arendal (Malzia) WK.12'!$B:LC,MG$1,0),0)</f>
        <v>0</v>
      </c>
      <c r="MH49" s="140">
        <f>IFERROR(VLOOKUP($D49,'Adient Taizhou (China) WK.16'!$B:LF,MG$1,0),0)</f>
        <v>0</v>
      </c>
      <c r="MI49" s="128">
        <v>0</v>
      </c>
      <c r="MJ49" s="32">
        <v>0</v>
      </c>
      <c r="MK49" s="100">
        <f t="shared" si="474"/>
        <v>420</v>
      </c>
      <c r="MM49" s="37">
        <f t="shared" si="475"/>
        <v>420</v>
      </c>
      <c r="MN49" s="141">
        <f>IFERROR(VLOOKUP($D49,'Adient Assende (Belgium) WK.17'!$B:LJ,MO$1,0),0)</f>
        <v>720</v>
      </c>
      <c r="MO49" s="140">
        <f>IFERROR(VLOOKUP($D49,'Adient Arendal (Malzia) WK.12'!$B:LK,MO$1,0),0)</f>
        <v>0</v>
      </c>
      <c r="MP49" s="140">
        <f>IFERROR(VLOOKUP($D49,'Adient Taizhou (China) WK.16'!$B:LN,MO$1,0),0)</f>
        <v>0</v>
      </c>
      <c r="MQ49" s="128">
        <v>0</v>
      </c>
      <c r="MR49" s="32">
        <v>0</v>
      </c>
      <c r="MS49" s="100">
        <f t="shared" si="476"/>
        <v>-300</v>
      </c>
      <c r="MU49" s="37">
        <f t="shared" si="477"/>
        <v>-300</v>
      </c>
      <c r="MV49" s="141">
        <f>IFERROR(VLOOKUP($D49,'Adient Assende (Belgium) WK.17'!$B:LR,MW$1,0),0)</f>
        <v>640</v>
      </c>
      <c r="MW49" s="140">
        <f>IFERROR(VLOOKUP($D49,'Adient Arendal (Malzia) WK.12'!$B:LS,MW$1,0),0)</f>
        <v>0</v>
      </c>
      <c r="MX49" s="140">
        <f>IFERROR(VLOOKUP($D49,'Adient Taizhou (China) WK.16'!$B:LV,MW$1,0),0)</f>
        <v>0</v>
      </c>
      <c r="MY49" s="128">
        <v>0</v>
      </c>
      <c r="MZ49" s="32">
        <v>0</v>
      </c>
      <c r="NA49" s="100">
        <f t="shared" si="478"/>
        <v>-940</v>
      </c>
      <c r="NC49" s="37">
        <f t="shared" si="479"/>
        <v>-940</v>
      </c>
      <c r="ND49" s="141">
        <f>IFERROR(VLOOKUP($D49,'Adient Assende (Belgium) WK.17'!$B:LZ,NE$1,0),0)</f>
        <v>720</v>
      </c>
      <c r="NE49" s="140">
        <f>IFERROR(VLOOKUP($D49,'Adient Arendal (Malzia) WK.12'!$B:MA,NE$1,0),0)</f>
        <v>0</v>
      </c>
      <c r="NF49" s="140">
        <f>IFERROR(VLOOKUP($D49,'Adient Taizhou (China) WK.16'!$B:MD,NE$1,0),0)</f>
        <v>0</v>
      </c>
      <c r="NG49" s="128">
        <v>0</v>
      </c>
      <c r="NH49" s="32">
        <v>0</v>
      </c>
      <c r="NI49" s="100">
        <f t="shared" si="480"/>
        <v>-1660</v>
      </c>
      <c r="NK49" s="37">
        <f t="shared" si="481"/>
        <v>-1660</v>
      </c>
      <c r="NL49" s="141">
        <f>IFERROR(VLOOKUP($D49,'Adient Assende (Belgium) WK.17'!$B:MH,NM$1,0),0)</f>
        <v>880</v>
      </c>
      <c r="NM49" s="140">
        <f>IFERROR(VLOOKUP($D49,'Adient Arendal (Malzia) WK.12'!$B:MI,NM$1,0),0)</f>
        <v>0</v>
      </c>
      <c r="NN49" s="140">
        <f>IFERROR(VLOOKUP($D49,'Adient Taizhou (China) WK.16'!$B:ML,NM$1,0),0)</f>
        <v>0</v>
      </c>
      <c r="NO49" s="128">
        <v>0</v>
      </c>
      <c r="NP49" s="32">
        <v>0</v>
      </c>
      <c r="NQ49" s="100">
        <f t="shared" si="482"/>
        <v>-2540</v>
      </c>
      <c r="NS49" s="37">
        <f t="shared" si="483"/>
        <v>-2540</v>
      </c>
      <c r="NT49" s="141">
        <f>IFERROR(VLOOKUP($D49,'Adient Assende (Belgium) WK.17'!$B:MP,NU$1,0),0)</f>
        <v>1040</v>
      </c>
      <c r="NU49" s="140">
        <f>IFERROR(VLOOKUP($D49,'Adient Arendal (Malzia) WK.12'!$B:MQ,NU$1,0),0)</f>
        <v>0</v>
      </c>
      <c r="NV49" s="140">
        <f>IFERROR(VLOOKUP($D49,'Adient Taizhou (China) WK.16'!$B:MT,NU$1,0),0)</f>
        <v>0</v>
      </c>
      <c r="NW49" s="128">
        <v>0</v>
      </c>
      <c r="NX49" s="32">
        <v>0</v>
      </c>
      <c r="NY49" s="100">
        <f t="shared" si="484"/>
        <v>-3580</v>
      </c>
      <c r="OA49" s="37">
        <f t="shared" si="485"/>
        <v>-3580</v>
      </c>
      <c r="OB49" s="141">
        <f>IFERROR(VLOOKUP($D49,'Adient Assende (Belgium) WK.17'!$B:MX,OC$1,0),0)</f>
        <v>720</v>
      </c>
      <c r="OC49" s="140">
        <f>IFERROR(VLOOKUP($D49,'Adient Arendal (Malzia) WK.12'!$B:MY,OC$1,0),0)</f>
        <v>0</v>
      </c>
      <c r="OD49" s="140">
        <f>IFERROR(VLOOKUP($D49,'Adient Taizhou (China) WK.16'!$B:NB,OC$1,0),0)</f>
        <v>0</v>
      </c>
      <c r="OE49" s="128">
        <v>0</v>
      </c>
      <c r="OF49" s="32">
        <v>0</v>
      </c>
      <c r="OG49" s="100">
        <f t="shared" si="486"/>
        <v>-4300</v>
      </c>
      <c r="OI49" s="37">
        <f t="shared" si="487"/>
        <v>-4300</v>
      </c>
      <c r="OJ49" s="141">
        <f>IFERROR(VLOOKUP($D49,'Adient Assende (Belgium) WK.17'!$B:NF,OK$1,0),0)</f>
        <v>1120</v>
      </c>
      <c r="OK49" s="140">
        <f>IFERROR(VLOOKUP($D49,'Adient Arendal (Malzia) WK.12'!$B:NG,OK$1,0),0)</f>
        <v>0</v>
      </c>
      <c r="OL49" s="140">
        <f>IFERROR(VLOOKUP($D49,'Adient Taizhou (China) WK.16'!$B:NJ,OK$1,0),0)</f>
        <v>0</v>
      </c>
      <c r="OM49" s="128">
        <v>0</v>
      </c>
      <c r="ON49" s="32">
        <v>0</v>
      </c>
      <c r="OO49" s="100">
        <f t="shared" si="488"/>
        <v>-5420</v>
      </c>
      <c r="OQ49" s="37">
        <f t="shared" si="489"/>
        <v>-5420</v>
      </c>
      <c r="OR49" s="141">
        <f>IFERROR(VLOOKUP($D49,'Adient Assende (Belgium) WK.17'!$B:NN,OS$1,0),0)</f>
        <v>0</v>
      </c>
      <c r="OS49" s="140">
        <f>IFERROR(VLOOKUP($D49,'Adient Arendal (Malzia) WK.12'!$B:NO,OS$1,0),0)</f>
        <v>0</v>
      </c>
      <c r="OT49" s="140">
        <f>IFERROR(VLOOKUP($D49,'Adient Taizhou (China) WK.16'!$B:NR,OS$1,0),0)</f>
        <v>0</v>
      </c>
      <c r="OU49" s="128">
        <v>0</v>
      </c>
      <c r="OV49" s="32">
        <v>0</v>
      </c>
      <c r="OW49" s="100">
        <f t="shared" si="490"/>
        <v>-5420</v>
      </c>
      <c r="OY49" s="37">
        <f t="shared" si="491"/>
        <v>-5420</v>
      </c>
      <c r="OZ49" s="141">
        <f>IFERROR(VLOOKUP($D49,'Adient Assende (Belgium) WK.17'!$B:NV,PA$1,0),0)</f>
        <v>0</v>
      </c>
      <c r="PA49" s="140">
        <f>IFERROR(VLOOKUP($D49,'Adient Arendal (Malzia) WK.12'!$B:NW,PA$1,0),0)</f>
        <v>0</v>
      </c>
      <c r="PB49" s="140">
        <f>IFERROR(VLOOKUP($D49,'Adient Taizhou (China) WK.16'!$B:NZ,PA$1,0),0)</f>
        <v>0</v>
      </c>
      <c r="PC49" s="128">
        <v>0</v>
      </c>
      <c r="PD49" s="32">
        <v>0</v>
      </c>
      <c r="PE49" s="100">
        <f t="shared" si="492"/>
        <v>-5420</v>
      </c>
      <c r="PG49" s="37">
        <f t="shared" si="493"/>
        <v>-5420</v>
      </c>
      <c r="PH49" s="141">
        <f>IFERROR(VLOOKUP($D49,'Adient Assende (Belgium) WK.17'!$B:OD,PI$1,0),0)</f>
        <v>0</v>
      </c>
      <c r="PI49" s="140">
        <f>IFERROR(VLOOKUP($D49,'Adient Arendal (Malzia) WK.12'!$B:OE,PI$1,0),0)</f>
        <v>0</v>
      </c>
      <c r="PJ49" s="140">
        <f>IFERROR(VLOOKUP($D49,'Adient Taizhou (China) WK.16'!$B:OH,PI$1,0),0)</f>
        <v>0</v>
      </c>
      <c r="PK49" s="128">
        <v>0</v>
      </c>
      <c r="PL49" s="32">
        <v>0</v>
      </c>
      <c r="PM49" s="100">
        <f t="shared" si="494"/>
        <v>-5420</v>
      </c>
      <c r="PO49" s="37">
        <f t="shared" si="495"/>
        <v>-5420</v>
      </c>
      <c r="PP49" s="141">
        <f>IFERROR(VLOOKUP($D49,'Adient Assende (Belgium) WK.17'!$B:OL,PQ$1,0),0)</f>
        <v>0</v>
      </c>
      <c r="PQ49" s="140">
        <f>IFERROR(VLOOKUP($D49,'Adient Arendal (Malzia) WK.12'!$B:OM,PQ$1,0),0)</f>
        <v>0</v>
      </c>
      <c r="PR49" s="140">
        <f>IFERROR(VLOOKUP($D49,'Adient Taizhou (China) WK.16'!$B:OP,PQ$1,0),0)</f>
        <v>0</v>
      </c>
      <c r="PS49" s="128">
        <v>0</v>
      </c>
      <c r="PT49" s="32">
        <v>0</v>
      </c>
      <c r="PU49" s="100">
        <f t="shared" si="496"/>
        <v>-5420</v>
      </c>
      <c r="PW49" s="37">
        <f t="shared" si="497"/>
        <v>-5420</v>
      </c>
      <c r="PX49" s="141">
        <f>IFERROR(VLOOKUP($D49,'Adient Assende (Belgium) WK.17'!$B:OT,PY$1,0),0)</f>
        <v>560</v>
      </c>
      <c r="PY49" s="140">
        <f>IFERROR(VLOOKUP($D49,'Adient Arendal (Malzia) WK.12'!$B:OU,PY$1,0),0)</f>
        <v>0</v>
      </c>
      <c r="PZ49" s="140">
        <f>IFERROR(VLOOKUP($D49,'Adient Taizhou (China) WK.16'!$B:OX,PY$1,0),0)</f>
        <v>0</v>
      </c>
      <c r="QA49" s="128">
        <v>0</v>
      </c>
      <c r="QB49" s="32">
        <v>0</v>
      </c>
      <c r="QC49" s="100">
        <f t="shared" si="498"/>
        <v>-5980</v>
      </c>
      <c r="QE49" s="37">
        <f t="shared" si="499"/>
        <v>-5980</v>
      </c>
      <c r="QF49" s="141">
        <f>IFERROR(VLOOKUP($D49,'Adient Assende (Belgium) WK.17'!$B:PB,QG$1,0),0)</f>
        <v>480</v>
      </c>
      <c r="QG49" s="140">
        <f>IFERROR(VLOOKUP($D49,'Adient Arendal (Malzia) WK.12'!$B:PC,QG$1,0),0)</f>
        <v>0</v>
      </c>
      <c r="QH49" s="140">
        <f>IFERROR(VLOOKUP($D49,'Adient Taizhou (China) WK.16'!$B:PF,QG$1,0),0)</f>
        <v>0</v>
      </c>
      <c r="QI49" s="128">
        <v>0</v>
      </c>
      <c r="QJ49" s="32">
        <v>0</v>
      </c>
      <c r="QK49" s="100">
        <f t="shared" si="500"/>
        <v>-6460</v>
      </c>
      <c r="QM49" s="37">
        <f t="shared" si="501"/>
        <v>-6460</v>
      </c>
      <c r="QN49" s="141">
        <f>IFERROR(VLOOKUP($D49,'Adient Assende (Belgium) WK.17'!$B:PJ,QO$1,0),0)</f>
        <v>560</v>
      </c>
      <c r="QO49" s="140">
        <f>IFERROR(VLOOKUP($D49,'Adient Arendal (Malzia) WK.12'!$B:PK,QO$1,0),0)</f>
        <v>0</v>
      </c>
      <c r="QP49" s="140">
        <f>IFERROR(VLOOKUP($D49,'Adient Taizhou (China) WK.16'!$B:PN,QO$1,0),0)</f>
        <v>0</v>
      </c>
      <c r="QQ49" s="128">
        <v>0</v>
      </c>
      <c r="QR49" s="32">
        <v>0</v>
      </c>
      <c r="QS49" s="100">
        <f t="shared" si="502"/>
        <v>-7020</v>
      </c>
      <c r="QU49" s="37">
        <f t="shared" si="503"/>
        <v>-7020</v>
      </c>
      <c r="QV49" s="141">
        <f>IFERROR(VLOOKUP($D49,'Adient Assende (Belgium) WK.17'!$B:PR,QW$1,0),0)</f>
        <v>560</v>
      </c>
      <c r="QW49" s="140">
        <f>IFERROR(VLOOKUP($D49,'Adient Arendal (Malzia) WK.12'!$B:PS,QW$1,0),0)</f>
        <v>0</v>
      </c>
      <c r="QX49" s="140">
        <f>IFERROR(VLOOKUP($D49,'Adient Taizhou (China) WK.16'!$B:PV,QW$1,0),0)</f>
        <v>0</v>
      </c>
      <c r="QY49" s="128">
        <v>0</v>
      </c>
      <c r="QZ49" s="32">
        <v>0</v>
      </c>
      <c r="RA49" s="100">
        <f t="shared" si="504"/>
        <v>-7580</v>
      </c>
      <c r="RC49" s="37">
        <f t="shared" si="505"/>
        <v>-7580</v>
      </c>
      <c r="RD49" s="141">
        <f>IFERROR(VLOOKUP($D49,'Adient Assende (Belgium) WK.17'!$B:PZ,RE$1,0),0)</f>
        <v>560</v>
      </c>
      <c r="RE49" s="140">
        <f>IFERROR(VLOOKUP($D49,'Adient Arendal (Malzia) WK.12'!$B:QA,RE$1,0),0)</f>
        <v>0</v>
      </c>
      <c r="RF49" s="140">
        <f>IFERROR(VLOOKUP($D49,'Adient Taizhou (China) WK.16'!$B:QD,RE$1,0),0)</f>
        <v>0</v>
      </c>
      <c r="RG49" s="128">
        <v>0</v>
      </c>
      <c r="RH49" s="32">
        <v>0</v>
      </c>
      <c r="RI49" s="100">
        <f t="shared" si="506"/>
        <v>-8140</v>
      </c>
      <c r="RK49" s="37">
        <f t="shared" si="507"/>
        <v>-8140</v>
      </c>
      <c r="RL49" s="141">
        <f>IFERROR(VLOOKUP($D49,'Adient Assende (Belgium) WK.17'!$B:QH,RM$1,0),0)</f>
        <v>560</v>
      </c>
      <c r="RM49" s="140">
        <f>IFERROR(VLOOKUP($D49,'Adient Arendal (Malzia) WK.12'!$B:QI,RM$1,0),0)</f>
        <v>0</v>
      </c>
      <c r="RN49" s="140">
        <f>IFERROR(VLOOKUP($D49,'Adient Taizhou (China) WK.16'!$B:QL,RM$1,0),0)</f>
        <v>0</v>
      </c>
      <c r="RO49" s="128">
        <v>0</v>
      </c>
      <c r="RP49" s="32">
        <v>0</v>
      </c>
      <c r="RQ49" s="100">
        <f t="shared" si="508"/>
        <v>-8700</v>
      </c>
      <c r="RS49" s="37">
        <f t="shared" si="509"/>
        <v>-8700</v>
      </c>
      <c r="RT49" s="141">
        <f>IFERROR(VLOOKUP($D49,'Adient Assende (Belgium) WK.17'!$B:QP,RU$1,0),0)</f>
        <v>560</v>
      </c>
      <c r="RU49" s="140">
        <f>IFERROR(VLOOKUP($D49,'Adient Arendal (Malzia) WK.12'!$B:QQ,RU$1,0),0)</f>
        <v>0</v>
      </c>
      <c r="RV49" s="140">
        <f>IFERROR(VLOOKUP($D49,'Adient Taizhou (China) WK.16'!$B:QT,RU$1,0),0)</f>
        <v>0</v>
      </c>
      <c r="RW49" s="128">
        <v>0</v>
      </c>
      <c r="RX49" s="32">
        <v>0</v>
      </c>
      <c r="RY49" s="100">
        <f t="shared" si="510"/>
        <v>-9260</v>
      </c>
      <c r="SA49" s="37">
        <f t="shared" si="511"/>
        <v>-9260</v>
      </c>
      <c r="SB49" s="141">
        <f>IFERROR(VLOOKUP($D49,'Adient Assende (Belgium) WK.17'!$B:QX,SC$1,0),0)</f>
        <v>420</v>
      </c>
      <c r="SC49" s="140">
        <f>IFERROR(VLOOKUP($D49,'Adient Arendal (Malzia) WK.12'!$B:QY,SC$1,0),0)</f>
        <v>0</v>
      </c>
      <c r="SD49" s="140">
        <f>IFERROR(VLOOKUP($D49,'Adient Taizhou (China) WK.16'!$B:RB,SC$1,0),0)</f>
        <v>0</v>
      </c>
      <c r="SE49" s="128">
        <v>0</v>
      </c>
      <c r="SF49" s="32">
        <v>0</v>
      </c>
      <c r="SG49" s="100">
        <f t="shared" si="512"/>
        <v>-9680</v>
      </c>
      <c r="SI49" s="37">
        <f t="shared" si="513"/>
        <v>-9680</v>
      </c>
      <c r="SJ49" s="141">
        <f>IFERROR(VLOOKUP($D49,'Adient Assende (Belgium) WK.17'!$B:RF,SK$1,0),0)</f>
        <v>420</v>
      </c>
      <c r="SK49" s="140">
        <f>IFERROR(VLOOKUP($D49,'Adient Arendal (Malzia) WK.12'!$B:RG,SK$1,0),0)</f>
        <v>0</v>
      </c>
      <c r="SL49" s="140">
        <f>IFERROR(VLOOKUP($D49,'Adient Taizhou (China) WK.16'!$B:RJ,SK$1,0),0)</f>
        <v>0</v>
      </c>
      <c r="SM49" s="128">
        <v>0</v>
      </c>
      <c r="SN49" s="32">
        <v>0</v>
      </c>
      <c r="SO49" s="100">
        <f t="shared" si="514"/>
        <v>-10100</v>
      </c>
      <c r="SQ49" s="37">
        <f t="shared" si="515"/>
        <v>-10100</v>
      </c>
      <c r="SR49" s="141">
        <f>IFERROR(VLOOKUP($D49,'Adient Assende (Belgium) WK.17'!$B:RN,SS$1,0),0)</f>
        <v>420</v>
      </c>
      <c r="SS49" s="140">
        <f>IFERROR(VLOOKUP($D49,'Adient Arendal (Malzia) WK.12'!$B:RO,SS$1,0),0)</f>
        <v>0</v>
      </c>
      <c r="ST49" s="140">
        <f>IFERROR(VLOOKUP($D49,'Adient Taizhou (China) WK.16'!$B:RR,SS$1,0),0)</f>
        <v>0</v>
      </c>
      <c r="SU49" s="128">
        <v>0</v>
      </c>
      <c r="SV49" s="32">
        <v>0</v>
      </c>
      <c r="SW49" s="100">
        <f t="shared" si="516"/>
        <v>-10520</v>
      </c>
      <c r="SY49" s="37">
        <f t="shared" si="517"/>
        <v>-10520</v>
      </c>
      <c r="SZ49" s="141">
        <f>IFERROR(VLOOKUP($D49,'Adient Assende (Belgium) WK.17'!$B:RV,TA$1,0),0)</f>
        <v>420</v>
      </c>
      <c r="TA49" s="140">
        <f>IFERROR(VLOOKUP($D49,'Adient Arendal (Malzia) WK.12'!$B:RW,TA$1,0),0)</f>
        <v>0</v>
      </c>
      <c r="TB49" s="140">
        <f>IFERROR(VLOOKUP($D49,'Adient Taizhou (China) WK.16'!$B:RZ,TA$1,0),0)</f>
        <v>0</v>
      </c>
      <c r="TC49" s="128">
        <v>0</v>
      </c>
      <c r="TD49" s="32">
        <v>0</v>
      </c>
      <c r="TE49" s="100">
        <f t="shared" si="518"/>
        <v>-10940</v>
      </c>
      <c r="TG49" s="37">
        <f t="shared" si="519"/>
        <v>-10940</v>
      </c>
      <c r="TH49" s="141">
        <f>IFERROR(VLOOKUP($D49,'Adient Assende (Belgium) WK.17'!$B:SD,TI$1,0),0)</f>
        <v>530</v>
      </c>
      <c r="TI49" s="140">
        <f>IFERROR(VLOOKUP($D49,'Adient Arendal (Malzia) WK.12'!$B:SE,TI$1,0),0)</f>
        <v>0</v>
      </c>
      <c r="TJ49" s="140">
        <f>IFERROR(VLOOKUP($D49,'Adient Taizhou (China) WK.16'!$B:SH,TI$1,0),0)</f>
        <v>0</v>
      </c>
      <c r="TK49" s="128">
        <v>0</v>
      </c>
      <c r="TL49" s="32">
        <v>0</v>
      </c>
      <c r="TM49" s="100">
        <f t="shared" si="520"/>
        <v>-11470</v>
      </c>
      <c r="TO49" s="37">
        <f t="shared" si="521"/>
        <v>-11470</v>
      </c>
      <c r="TP49" s="141">
        <f>IFERROR(VLOOKUP($D49,'Adient Assende (Belgium) WK.17'!$B:SL,TQ$1,0),0)</f>
        <v>530</v>
      </c>
      <c r="TQ49" s="140">
        <f>IFERROR(VLOOKUP($D49,'Adient Arendal (Malzia) WK.12'!$B:SM,TQ$1,0),0)</f>
        <v>0</v>
      </c>
      <c r="TR49" s="140">
        <f>IFERROR(VLOOKUP($D49,'Adient Taizhou (China) WK.16'!$B:SP,TQ$1,0),0)</f>
        <v>0</v>
      </c>
      <c r="TS49" s="128">
        <v>0</v>
      </c>
      <c r="TT49" s="32">
        <v>0</v>
      </c>
      <c r="TU49" s="100">
        <f t="shared" si="522"/>
        <v>-12000</v>
      </c>
      <c r="TW49" s="37">
        <f t="shared" si="523"/>
        <v>-12000</v>
      </c>
      <c r="TX49" s="141">
        <f>IFERROR(VLOOKUP($D49,'Adient Assende (Belgium) WK.17'!$B:ST,TY$1,0),0)</f>
        <v>530</v>
      </c>
      <c r="TY49" s="140">
        <f>IFERROR(VLOOKUP($D49,'Adient Arendal (Malzia) WK.12'!$B:SU,TY$1,0),0)</f>
        <v>0</v>
      </c>
      <c r="TZ49" s="140">
        <f>IFERROR(VLOOKUP($D49,'Adient Taizhou (China) WK.16'!$B:SX,TY$1,0),0)</f>
        <v>0</v>
      </c>
      <c r="UA49" s="128">
        <v>0</v>
      </c>
      <c r="UB49" s="32">
        <v>0</v>
      </c>
      <c r="UC49" s="100">
        <f t="shared" si="524"/>
        <v>-12530</v>
      </c>
      <c r="UE49" s="37">
        <f t="shared" si="525"/>
        <v>-12530</v>
      </c>
      <c r="UF49" s="141">
        <f>IFERROR(VLOOKUP($D49,'Adient Assende (Belgium) WK.17'!$B:TB,UG$1,0),0)</f>
        <v>530</v>
      </c>
      <c r="UG49" s="140">
        <f>IFERROR(VLOOKUP($D49,'Adient Arendal (Malzia) WK.12'!$B:TC,UG$1,0),0)</f>
        <v>0</v>
      </c>
      <c r="UH49" s="140">
        <f>IFERROR(VLOOKUP($D49,'Adient Taizhou (China) WK.16'!$B:TF,UG$1,0),0)</f>
        <v>0</v>
      </c>
      <c r="UI49" s="128">
        <v>0</v>
      </c>
      <c r="UJ49" s="32">
        <v>0</v>
      </c>
      <c r="UK49" s="100">
        <f t="shared" si="526"/>
        <v>-13060</v>
      </c>
      <c r="UM49" s="37">
        <f t="shared" si="527"/>
        <v>-13060</v>
      </c>
      <c r="UN49" s="141">
        <f>IFERROR(VLOOKUP($D49,'Adient Assende (Belgium) WK.17'!$B:TJ,UO$1,0),0)</f>
        <v>520</v>
      </c>
      <c r="UO49" s="140">
        <f>IFERROR(VLOOKUP($D49,'Adient Arendal (Malzia) WK.12'!$B:TK,UO$1,0),0)</f>
        <v>0</v>
      </c>
      <c r="UP49" s="140">
        <f>IFERROR(VLOOKUP($D49,'Adient Taizhou (China) WK.16'!$B:TN,UO$1,0),0)</f>
        <v>0</v>
      </c>
      <c r="UQ49" s="128">
        <v>0</v>
      </c>
      <c r="UR49" s="32">
        <v>0</v>
      </c>
      <c r="US49" s="100">
        <f t="shared" si="528"/>
        <v>-13580</v>
      </c>
      <c r="UU49" s="37">
        <f t="shared" si="529"/>
        <v>-13580</v>
      </c>
      <c r="UV49" s="141">
        <f>IFERROR(VLOOKUP($D49,'Adient Assende (Belgium) WK.17'!$B:TR,UW$1,0),0)</f>
        <v>960</v>
      </c>
      <c r="UW49" s="140">
        <f>IFERROR(VLOOKUP($D49,'Adient Arendal (Malzia) WK.12'!$B:TS,UW$1,0),0)</f>
        <v>0</v>
      </c>
      <c r="UX49" s="140">
        <f>IFERROR(VLOOKUP($D49,'Adient Taizhou (China) WK.16'!$B:TV,UW$1,0),0)</f>
        <v>0</v>
      </c>
      <c r="UY49" s="128">
        <v>0</v>
      </c>
      <c r="UZ49" s="32">
        <v>0</v>
      </c>
      <c r="VA49" s="100">
        <f t="shared" si="530"/>
        <v>-14540</v>
      </c>
      <c r="VC49" s="37">
        <f t="shared" si="531"/>
        <v>-14540</v>
      </c>
      <c r="VD49" s="141">
        <f>IFERROR(VLOOKUP($D49,'Adient Assende (Belgium) WK.17'!$B:TZ,VE$1,0),0)</f>
        <v>960</v>
      </c>
      <c r="VE49" s="140">
        <f>IFERROR(VLOOKUP($D49,'Adient Arendal (Malzia) WK.12'!$B:UA,VE$1,0),0)</f>
        <v>0</v>
      </c>
      <c r="VF49" s="140">
        <f>IFERROR(VLOOKUP($D49,'Adient Taizhou (China) WK.16'!$B:UD,VE$1,0),0)</f>
        <v>0</v>
      </c>
      <c r="VG49" s="128">
        <v>0</v>
      </c>
      <c r="VH49" s="32">
        <v>0</v>
      </c>
      <c r="VI49" s="100">
        <f t="shared" si="532"/>
        <v>-15500</v>
      </c>
      <c r="VK49" s="37">
        <f t="shared" si="533"/>
        <v>-15500</v>
      </c>
      <c r="VL49" s="141">
        <f>IFERROR(VLOOKUP($D49,'Adient Assende (Belgium) WK.17'!$B:UH,VM$1,0),0)</f>
        <v>0</v>
      </c>
      <c r="VM49" s="140">
        <f>IFERROR(VLOOKUP($D49,'Adient Arendal (Malzia) WK.12'!$B:UI,VM$1,0),0)</f>
        <v>0</v>
      </c>
      <c r="VN49" s="140">
        <f>IFERROR(VLOOKUP($D49,'Adient Taizhou (China) WK.16'!$B:UL,VM$1,0),0)</f>
        <v>0</v>
      </c>
      <c r="VO49" s="128">
        <v>0</v>
      </c>
      <c r="VP49" s="32">
        <v>0</v>
      </c>
      <c r="VQ49" s="100">
        <f t="shared" si="534"/>
        <v>-15500</v>
      </c>
    </row>
    <row r="50" spans="1:589" x14ac:dyDescent="0.25">
      <c r="A50" s="10" t="s">
        <v>18</v>
      </c>
      <c r="B50" s="11" t="s">
        <v>17</v>
      </c>
      <c r="C50" s="87">
        <v>32272718</v>
      </c>
      <c r="D50" s="81">
        <v>4817129</v>
      </c>
      <c r="E50" s="11">
        <v>20</v>
      </c>
      <c r="F50" s="12"/>
      <c r="H50" s="122">
        <v>1320</v>
      </c>
      <c r="I50" s="125">
        <f>IFERROR(VLOOKUP($D50,'Adient Assende (Belgium) WK.17'!$B:C,J$1,0),0)</f>
        <v>0</v>
      </c>
      <c r="J50" s="55">
        <f>IFERROR(VLOOKUP($D50,'Adient Arendal (Malzia) WK.12'!$B:C,J$1,0),0)</f>
        <v>0</v>
      </c>
      <c r="K50" s="55">
        <f>IFERROR(VLOOKUP($D50,'Adient Taizhou (China) WK.16'!$B:C,J$1,0),0)</f>
        <v>0</v>
      </c>
      <c r="L50" s="128">
        <v>0</v>
      </c>
      <c r="M50" s="32">
        <v>0</v>
      </c>
      <c r="N50" s="106">
        <f t="shared" si="233"/>
        <v>1320</v>
      </c>
      <c r="P50" s="37">
        <f t="shared" si="234"/>
        <v>1320</v>
      </c>
      <c r="Q50" s="125">
        <f>IFERROR(VLOOKUP($D50,'Adient Assende (Belgium) WK.17'!$B:K,R$1,0),0)</f>
        <v>0</v>
      </c>
      <c r="R50" s="55">
        <f>IFERROR(VLOOKUP($D50,'Adient Arendal (Malzia) WK.12'!$B:K,R$1,0),0)</f>
        <v>0</v>
      </c>
      <c r="S50" s="55">
        <f>IFERROR(VLOOKUP($D50,'Adient Taizhou (China) WK.16'!$B:K,R$1,0),0)</f>
        <v>0</v>
      </c>
      <c r="T50" s="41">
        <v>320</v>
      </c>
      <c r="U50" s="32">
        <v>0</v>
      </c>
      <c r="V50" s="106">
        <f t="shared" si="235"/>
        <v>1000</v>
      </c>
      <c r="X50" s="37">
        <f t="shared" si="236"/>
        <v>1000</v>
      </c>
      <c r="Y50" s="125">
        <f>IFERROR(VLOOKUP($D50,'Adient Assende (Belgium) WK.17'!$B:S,Z$1,0),0)</f>
        <v>320</v>
      </c>
      <c r="Z50" s="55">
        <f>IFERROR(VLOOKUP($D50,'Adient Arendal (Malzia) WK.12'!$B:S,Z$1,0),0)</f>
        <v>0</v>
      </c>
      <c r="AA50" s="55">
        <f>IFERROR(VLOOKUP($D50,'Adient Taizhou (China) WK.16'!$B:S,Z$1,0),0)</f>
        <v>0</v>
      </c>
      <c r="AB50" s="41">
        <v>240</v>
      </c>
      <c r="AC50" s="32">
        <v>0</v>
      </c>
      <c r="AD50" s="106">
        <f t="shared" si="237"/>
        <v>760</v>
      </c>
      <c r="AF50" s="37">
        <f t="shared" si="238"/>
        <v>760</v>
      </c>
      <c r="AG50" s="125">
        <f>IFERROR(VLOOKUP($D50,'Adient Assende (Belgium) WK.17'!$B:AA,AH$1,0),0)</f>
        <v>240</v>
      </c>
      <c r="AH50" s="55">
        <f>IFERROR(VLOOKUP($D50,'Adient Arendal (Malzia) WK.12'!$B:AA,AH$1,0),0)</f>
        <v>0</v>
      </c>
      <c r="AI50" s="55">
        <f>IFERROR(VLOOKUP($D50,'Adient Taizhou (China) WK.16'!$B:AA,AH$1,0),0)</f>
        <v>0</v>
      </c>
      <c r="AJ50" s="41">
        <v>80</v>
      </c>
      <c r="AK50" s="32">
        <v>0</v>
      </c>
      <c r="AL50" s="106">
        <f t="shared" si="239"/>
        <v>680</v>
      </c>
      <c r="AN50" s="37">
        <f t="shared" si="432"/>
        <v>680</v>
      </c>
      <c r="AO50" s="125">
        <f>IFERROR(VLOOKUP($D50,'Adient Assende (Belgium) WK.17'!$B:AI,AP$1,0),0)</f>
        <v>80</v>
      </c>
      <c r="AP50" s="55">
        <f>IFERROR(VLOOKUP($D50,'Adient Arendal (Malzia) WK.12'!$B:AI,AP$1,0),0)</f>
        <v>0</v>
      </c>
      <c r="AQ50" s="55">
        <f>IFERROR(VLOOKUP($D50,'Adient Taizhou (China) WK.16'!$B:AI,AP$1,0),0)</f>
        <v>0</v>
      </c>
      <c r="AR50" s="60">
        <v>0</v>
      </c>
      <c r="AS50" s="41">
        <v>80</v>
      </c>
      <c r="AT50" s="32">
        <v>0</v>
      </c>
      <c r="AU50" s="106">
        <f t="shared" si="240"/>
        <v>600</v>
      </c>
      <c r="AW50" s="37">
        <f t="shared" si="433"/>
        <v>600</v>
      </c>
      <c r="AX50" s="125">
        <f>IFERROR(VLOOKUP($D50,'Adient Assende (Belgium) WK.17'!$B:AR,AY$1,0),0)</f>
        <v>80</v>
      </c>
      <c r="AY50" s="55">
        <f>IFERROR(VLOOKUP($D50,'Adient Arendal (Malzia) WK.12'!$B:AR,AY$1,0),0)</f>
        <v>0</v>
      </c>
      <c r="AZ50" s="55">
        <f>IFERROR(VLOOKUP($D50,'Adient Taizhou (China) WK.16'!$B:AU,AY$1,0),0)</f>
        <v>0</v>
      </c>
      <c r="BA50" s="41">
        <v>160</v>
      </c>
      <c r="BB50" s="32">
        <v>0</v>
      </c>
      <c r="BC50" s="106">
        <f t="shared" si="241"/>
        <v>440</v>
      </c>
      <c r="BE50" s="37">
        <f t="shared" si="434"/>
        <v>440</v>
      </c>
      <c r="BF50" s="125">
        <f>IFERROR(VLOOKUP($D50,'Adient Assende (Belgium) WK.17'!$B:AX,BG$1,0),0)</f>
        <v>160</v>
      </c>
      <c r="BG50" s="55">
        <f>IFERROR(VLOOKUP($D50,'Adient Arendal (Malzia) WK.12'!$B:AZ,BG$1,0),0)</f>
        <v>0</v>
      </c>
      <c r="BH50" s="55">
        <f>IFERROR(VLOOKUP($D50,'Adient Taizhou (China) WK.16'!$B:BB,BG$1,0),0)</f>
        <v>0</v>
      </c>
      <c r="BI50" s="60">
        <v>0</v>
      </c>
      <c r="BJ50" s="60">
        <v>0</v>
      </c>
      <c r="BK50" s="41">
        <v>80</v>
      </c>
      <c r="BL50" s="32">
        <v>0</v>
      </c>
      <c r="BM50" s="106">
        <f t="shared" si="242"/>
        <v>360</v>
      </c>
      <c r="BN50" s="8"/>
      <c r="BO50" s="37">
        <f t="shared" si="435"/>
        <v>360</v>
      </c>
      <c r="BP50" s="125">
        <f>IFERROR(VLOOKUP($D50,'Adient Assende (Belgium) WK.17'!$B:BH,BQ$1,0),0)</f>
        <v>80</v>
      </c>
      <c r="BQ50" s="55">
        <f>IFERROR(VLOOKUP($D50,'Adient Arendal (Malzia) WK.12'!$B:BI,BQ$1,0),0)</f>
        <v>0</v>
      </c>
      <c r="BR50" s="55">
        <f>IFERROR(VLOOKUP($D50,'Adient Taizhou (China) WK.16'!$B:BL,BQ$1,0),0)</f>
        <v>0</v>
      </c>
      <c r="BS50" s="60">
        <v>0</v>
      </c>
      <c r="BT50" s="60">
        <v>0</v>
      </c>
      <c r="BU50" s="60">
        <v>300</v>
      </c>
      <c r="BV50" s="41">
        <v>160</v>
      </c>
      <c r="BW50" s="32">
        <v>0</v>
      </c>
      <c r="BX50" s="106">
        <f t="shared" si="243"/>
        <v>500</v>
      </c>
      <c r="BY50" s="8"/>
      <c r="BZ50" s="37">
        <f t="shared" si="436"/>
        <v>500</v>
      </c>
      <c r="CA50" s="125">
        <f>IFERROR(VLOOKUP($D50,'Adient Assende (Belgium) WK.17'!$B:BS,CB$1,0),0)</f>
        <v>160</v>
      </c>
      <c r="CB50" s="55">
        <f>IFERROR(VLOOKUP($D50,'Adient Arendal (Malzia) WK.12'!$B:BT,CB$1,0),0)</f>
        <v>0</v>
      </c>
      <c r="CC50" s="55">
        <f>IFERROR(VLOOKUP($D50,'Adient Taizhou (China) WK.16'!$B:BW,CB$1,0),0)</f>
        <v>0</v>
      </c>
      <c r="CD50" s="60">
        <v>0</v>
      </c>
      <c r="CE50" s="60">
        <v>0</v>
      </c>
      <c r="CF50" s="41">
        <v>240</v>
      </c>
      <c r="CG50" s="32">
        <v>0</v>
      </c>
      <c r="CH50" s="106">
        <f t="shared" si="244"/>
        <v>260</v>
      </c>
      <c r="CI50" s="8"/>
      <c r="CJ50" s="37">
        <f t="shared" si="437"/>
        <v>260</v>
      </c>
      <c r="CK50" s="125">
        <f>IFERROR(VLOOKUP($D50,'Adient Assende (Belgium) WK.17'!$B:CC,CL$1,0),0)</f>
        <v>240</v>
      </c>
      <c r="CL50" s="55">
        <f>IFERROR(VLOOKUP($D50,'Adient Arendal (Malzia) WK.12'!$B:CD,CL$1,0),0)</f>
        <v>0</v>
      </c>
      <c r="CM50" s="55">
        <f>IFERROR(VLOOKUP($D50,'Adient Taizhou (China) WK.16'!$B:CG,CL$1,0),0)</f>
        <v>0</v>
      </c>
      <c r="CN50" s="60">
        <v>300</v>
      </c>
      <c r="CO50" s="149">
        <v>0</v>
      </c>
      <c r="CP50" s="32">
        <v>0</v>
      </c>
      <c r="CQ50" s="106">
        <f t="shared" si="245"/>
        <v>560</v>
      </c>
      <c r="CR50" s="8"/>
      <c r="CS50" s="122">
        <f t="shared" si="438"/>
        <v>560</v>
      </c>
      <c r="CT50" s="154">
        <f>IFERROR(VLOOKUP($D50,'Adient Assende (Belgium) WK.17'!$B:CL,CU$1,0),0)</f>
        <v>0</v>
      </c>
      <c r="CU50" s="55">
        <f>IFERROR(VLOOKUP($D50,'Adient Arendal (Malzia) WK.12'!$B:CM,CU$1,0),0)</f>
        <v>0</v>
      </c>
      <c r="CV50" s="55">
        <f>IFERROR(VLOOKUP($D50,'Adient Taizhou (China) WK.16'!$B:CP,CU$1,0),0)</f>
        <v>0</v>
      </c>
      <c r="CW50" s="60">
        <v>0</v>
      </c>
      <c r="CX50" s="60">
        <v>200</v>
      </c>
      <c r="CY50" s="128">
        <v>160</v>
      </c>
      <c r="CZ50" s="32">
        <v>0</v>
      </c>
      <c r="DA50" s="106">
        <f t="shared" si="246"/>
        <v>600</v>
      </c>
      <c r="DB50" s="8"/>
      <c r="DC50" s="37">
        <f t="shared" si="439"/>
        <v>600</v>
      </c>
      <c r="DD50" s="125">
        <f>IFERROR(VLOOKUP($D50,'Adient Assende (Belgium) WK.17'!$B:CS,DE$1,0),0)</f>
        <v>160</v>
      </c>
      <c r="DE50" s="55">
        <f>IFERROR(VLOOKUP($D50,'Adient Arendal (Malzia) WK.12'!$B:CU,DE$1,0),0)</f>
        <v>0</v>
      </c>
      <c r="DF50" s="55">
        <f>IFERROR(VLOOKUP($D50,'Adient Taizhou (China) WK.16'!$B:CX,DE$1,0),0)</f>
        <v>0</v>
      </c>
      <c r="DG50" s="60">
        <v>240</v>
      </c>
      <c r="DH50" s="128">
        <v>160</v>
      </c>
      <c r="DI50" s="32">
        <v>0</v>
      </c>
      <c r="DJ50" s="106">
        <f t="shared" si="247"/>
        <v>680</v>
      </c>
      <c r="DL50" s="37">
        <f t="shared" si="440"/>
        <v>680</v>
      </c>
      <c r="DM50" s="125">
        <f>IFERROR(VLOOKUP($D50,'Adient Assende (Belgium) WK.17'!$B:DB,DN$1,0),0)</f>
        <v>160</v>
      </c>
      <c r="DN50" s="55">
        <f>IFERROR(VLOOKUP($D50,'Adient Arendal (Malzia) WK.12'!$B:DC,DN$1,0),0)</f>
        <v>0</v>
      </c>
      <c r="DO50" s="55">
        <f>IFERROR(VLOOKUP($D50,'Adient Taizhou (China) WK.16'!$B:DF,DN$1,0),0)</f>
        <v>0</v>
      </c>
      <c r="DP50" s="128">
        <v>240</v>
      </c>
      <c r="DQ50" s="32">
        <v>0</v>
      </c>
      <c r="DR50" s="106">
        <f t="shared" si="441"/>
        <v>440</v>
      </c>
      <c r="DS50" s="8"/>
      <c r="DT50" s="37">
        <f t="shared" si="442"/>
        <v>440</v>
      </c>
      <c r="DU50" s="125">
        <f>IFERROR(VLOOKUP($D50,'Adient Assende (Belgium) WK.17'!$B:DJ,DV$1,0),0)</f>
        <v>240</v>
      </c>
      <c r="DV50" s="55">
        <f>IFERROR(VLOOKUP($D50,'Adient Arendal (Malzia) WK.12'!$B:DK,DV$1,0),0)</f>
        <v>0</v>
      </c>
      <c r="DW50" s="55">
        <f>IFERROR(VLOOKUP($D50,'Adient Taizhou (China) WK.16'!$B:DN,DV$1,0),0)</f>
        <v>0</v>
      </c>
      <c r="DX50" s="60">
        <v>500</v>
      </c>
      <c r="DY50" s="60">
        <v>0</v>
      </c>
      <c r="DZ50" s="128">
        <v>80</v>
      </c>
      <c r="EA50" s="32">
        <v>0</v>
      </c>
      <c r="EB50" s="106">
        <f t="shared" si="248"/>
        <v>860</v>
      </c>
      <c r="EC50" s="8"/>
      <c r="ED50" s="37">
        <f t="shared" si="443"/>
        <v>860</v>
      </c>
      <c r="EE50" s="125">
        <f>IFERROR(VLOOKUP($D50,'Adient Assende (Belgium) WK.17'!$B:DR,EF$1,0),0)</f>
        <v>80</v>
      </c>
      <c r="EF50" s="55">
        <f>IFERROR(VLOOKUP($D50,'Adient Arendal (Malzia) WK.12'!$B:DS,EF$1,0),0)</f>
        <v>0</v>
      </c>
      <c r="EG50" s="55">
        <f>IFERROR(VLOOKUP($D50,'Adient Taizhou (China) WK.16'!$B:DV,EF$1,0),0)</f>
        <v>0</v>
      </c>
      <c r="EH50" s="60">
        <v>100</v>
      </c>
      <c r="EI50" s="128">
        <v>80</v>
      </c>
      <c r="EJ50" s="32">
        <v>0</v>
      </c>
      <c r="EK50" s="106">
        <f t="shared" si="249"/>
        <v>880</v>
      </c>
      <c r="EM50" s="37">
        <f t="shared" si="444"/>
        <v>880</v>
      </c>
      <c r="EN50" s="125">
        <f>IFERROR(VLOOKUP($D50,'Adient Assende (Belgium) WK.17'!$B:DZ,EO$1,0),0)</f>
        <v>80</v>
      </c>
      <c r="EO50" s="55">
        <f>IFERROR(VLOOKUP($D50,'Adient Arendal (Malzia) WK.12'!$B:EA,EO$1,0),0)</f>
        <v>0</v>
      </c>
      <c r="EP50" s="55">
        <f>IFERROR(VLOOKUP($D50,'Adient Taizhou (China) WK.16'!$B:ED,EO$1,0),0)</f>
        <v>0</v>
      </c>
      <c r="EQ50" s="128">
        <v>240</v>
      </c>
      <c r="ER50" s="32">
        <v>0</v>
      </c>
      <c r="ES50" s="106">
        <f t="shared" si="250"/>
        <v>640</v>
      </c>
      <c r="EU50" s="37">
        <f t="shared" si="445"/>
        <v>640</v>
      </c>
      <c r="EV50" s="125">
        <f>IFERROR(VLOOKUP($D50,'Adient Assende (Belgium) WK.17'!$B:EH,EW$1,0),0)</f>
        <v>240</v>
      </c>
      <c r="EW50" s="55">
        <f>IFERROR(VLOOKUP($D50,'Adient Arendal (Malzia) WK.12'!$B:EI,EW$1,0),0)</f>
        <v>0</v>
      </c>
      <c r="EX50" s="55">
        <f>IFERROR(VLOOKUP($D50,'Adient Taizhou (China) WK.16'!$B:EL,EW$1,0),0)</f>
        <v>0</v>
      </c>
      <c r="EY50" s="128">
        <v>0</v>
      </c>
      <c r="EZ50" s="32">
        <v>0</v>
      </c>
      <c r="FA50" s="106">
        <f t="shared" si="251"/>
        <v>640</v>
      </c>
      <c r="FC50" s="37">
        <f t="shared" si="446"/>
        <v>640</v>
      </c>
      <c r="FD50" s="154">
        <f>IFERROR(VLOOKUP($D50,'Adient Assende (Belgium) WK.17'!$B:EP,FE$1,0),0)</f>
        <v>0</v>
      </c>
      <c r="FE50" s="154">
        <f>IFERROR(VLOOKUP($D50,'Adient Arendal (Malzia) WK.12'!$B:EQ,FE$1,0),0)</f>
        <v>0</v>
      </c>
      <c r="FF50" s="154">
        <f>IFERROR(VLOOKUP($D50,'Adient Taizhou (China) WK.16'!$B:ET,FE$1,0),0)</f>
        <v>0</v>
      </c>
      <c r="FG50" s="128">
        <v>0</v>
      </c>
      <c r="FH50" s="32">
        <v>0</v>
      </c>
      <c r="FI50" s="106">
        <f t="shared" si="252"/>
        <v>640</v>
      </c>
      <c r="FK50" s="37">
        <f t="shared" si="447"/>
        <v>640</v>
      </c>
      <c r="FL50" s="125">
        <f>IFERROR(VLOOKUP($D50,'Adient Assende (Belgium) WK.17'!$B:EX,FM$1,0),0)</f>
        <v>0</v>
      </c>
      <c r="FM50" s="55">
        <f>IFERROR(VLOOKUP($D50,'Adient Arendal (Malzia) WK.12'!$B:EY,FM$1,0),0)</f>
        <v>0</v>
      </c>
      <c r="FN50" s="55">
        <f>IFERROR(VLOOKUP($D50,'Adient Taizhou (China) WK.16'!$B:FB,FM$1,0),0)</f>
        <v>0</v>
      </c>
      <c r="FO50" s="128">
        <v>240</v>
      </c>
      <c r="FP50" s="32">
        <v>0</v>
      </c>
      <c r="FQ50" s="106">
        <f t="shared" si="253"/>
        <v>400</v>
      </c>
      <c r="FR50" s="8"/>
      <c r="FS50" s="37">
        <f t="shared" si="448"/>
        <v>400</v>
      </c>
      <c r="FT50" s="125">
        <f>IFERROR(VLOOKUP($D50,'Adient Assende (Belgium) WK.17'!$B:FF,FU$1,0),0)</f>
        <v>240</v>
      </c>
      <c r="FU50" s="55">
        <f>IFERROR(VLOOKUP($D50,'Adient Arendal (Malzia) WK.12'!$B:FG,FU$1,0),0)</f>
        <v>0</v>
      </c>
      <c r="FV50" s="55">
        <f>IFERROR(VLOOKUP($D50,'Adient Taizhou (China) WK.16'!$B:FJ,FU$1,0),0)</f>
        <v>0</v>
      </c>
      <c r="FW50" s="60">
        <v>0</v>
      </c>
      <c r="FX50" s="60">
        <v>120</v>
      </c>
      <c r="FY50" s="60">
        <v>140</v>
      </c>
      <c r="FZ50" s="60">
        <v>40</v>
      </c>
      <c r="GA50" s="60">
        <v>0</v>
      </c>
      <c r="GB50" s="128">
        <v>160</v>
      </c>
      <c r="GC50" s="32">
        <v>0</v>
      </c>
      <c r="GD50" s="106">
        <f t="shared" si="254"/>
        <v>540</v>
      </c>
      <c r="GF50" s="37">
        <f t="shared" si="449"/>
        <v>540</v>
      </c>
      <c r="GG50" s="125">
        <f>IFERROR(VLOOKUP($D50,'Adient Assende (Belgium) WK.17'!$B:FN,GH$1,0),0)</f>
        <v>160</v>
      </c>
      <c r="GH50" s="55">
        <f>IFERROR(VLOOKUP($D50,'Adient Arendal (Malzia) WK.12'!$B:FO,GH$1,0),0)</f>
        <v>0</v>
      </c>
      <c r="GI50" s="55">
        <f>IFERROR(VLOOKUP($D50,'Adient Taizhou (China) WK.16'!$B:FR,GH$1,0),0)</f>
        <v>0</v>
      </c>
      <c r="GJ50" s="60">
        <v>0</v>
      </c>
      <c r="GK50" s="128">
        <v>80</v>
      </c>
      <c r="GL50" s="32">
        <v>0</v>
      </c>
      <c r="GM50" s="106">
        <f t="shared" si="255"/>
        <v>460</v>
      </c>
      <c r="GO50" s="37">
        <f t="shared" si="450"/>
        <v>460</v>
      </c>
      <c r="GP50" s="125">
        <f>IFERROR(VLOOKUP($D50,'Adient Assende (Belgium) WK.17'!$B:FV,GQ$1,0),0)</f>
        <v>80</v>
      </c>
      <c r="GQ50" s="55">
        <f>IFERROR(VLOOKUP($D50,'Adient Arendal (Malzia) WK.12'!$B:FW,GQ$1,0),0)</f>
        <v>0</v>
      </c>
      <c r="GR50" s="55">
        <f>IFERROR(VLOOKUP($D50,'Adient Taizhou (China) WK.16'!$B:FZ,GQ$1,0),0)</f>
        <v>0</v>
      </c>
      <c r="GS50" s="60">
        <v>220</v>
      </c>
      <c r="GT50" s="128">
        <v>80</v>
      </c>
      <c r="GU50" s="32">
        <v>0</v>
      </c>
      <c r="GV50" s="106">
        <f t="shared" si="256"/>
        <v>600</v>
      </c>
      <c r="GW50" s="8"/>
      <c r="GX50" s="37">
        <f t="shared" si="451"/>
        <v>600</v>
      </c>
      <c r="GY50" s="125">
        <f>IFERROR(VLOOKUP($D50,'Adient Assende (Belgium) WK.17'!$B:GD,GZ$1,0),0)</f>
        <v>80</v>
      </c>
      <c r="GZ50" s="55">
        <f>IFERROR(VLOOKUP($D50,'Adient Arendal (Malzia) WK.12'!$B:GE,GZ$1,0),0)</f>
        <v>0</v>
      </c>
      <c r="HA50" s="55">
        <f>IFERROR(VLOOKUP($D50,'Adient Taizhou (China) WK.16'!$B:GH,GZ$1,0),0)</f>
        <v>0</v>
      </c>
      <c r="HB50" s="60">
        <v>0</v>
      </c>
      <c r="HC50" s="128">
        <v>80</v>
      </c>
      <c r="HD50" s="32">
        <v>0</v>
      </c>
      <c r="HE50" s="106">
        <f t="shared" si="257"/>
        <v>520</v>
      </c>
      <c r="HF50" s="8"/>
      <c r="HG50" s="37">
        <f t="shared" si="452"/>
        <v>520</v>
      </c>
      <c r="HH50" s="125">
        <f>IFERROR(VLOOKUP($D50,'Adient Assende (Belgium) WK.17'!$B:GL,HI$1,0),0)</f>
        <v>80</v>
      </c>
      <c r="HI50" s="55">
        <f>IFERROR(VLOOKUP($D50,'Adient Arendal (Malzia) WK.12'!$B:GM,HI$1,0),0)</f>
        <v>0</v>
      </c>
      <c r="HJ50" s="55">
        <f>IFERROR(VLOOKUP($D50,'Adient Taizhou (China) WK.16'!$B:GP,HI$1,0),0)</f>
        <v>0</v>
      </c>
      <c r="HK50" s="60">
        <v>0</v>
      </c>
      <c r="HL50" s="128">
        <v>0</v>
      </c>
      <c r="HM50" s="32">
        <v>0</v>
      </c>
      <c r="HN50" s="106">
        <f t="shared" si="258"/>
        <v>520</v>
      </c>
      <c r="HO50" s="8"/>
      <c r="HP50" s="37">
        <f t="shared" si="453"/>
        <v>520</v>
      </c>
      <c r="HQ50" s="125">
        <f>IFERROR(VLOOKUP($D50,'Adient Assende (Belgium) WK.17'!$B:GT,HR$1,0),0)</f>
        <v>0</v>
      </c>
      <c r="HR50" s="55">
        <f>IFERROR(VLOOKUP($D50,'Adient Arendal (Malzia) WK.12'!$B:GU,HR$1,0),0)</f>
        <v>0</v>
      </c>
      <c r="HS50" s="55">
        <f>IFERROR(VLOOKUP($D50,'Adient Taizhou (China) WK.16'!$B:GX,HR$1,0),0)</f>
        <v>0</v>
      </c>
      <c r="HT50" s="60">
        <v>0</v>
      </c>
      <c r="HU50" s="128">
        <v>160</v>
      </c>
      <c r="HV50" s="32">
        <v>0</v>
      </c>
      <c r="HW50" s="106">
        <f t="shared" si="259"/>
        <v>360</v>
      </c>
      <c r="HX50" s="8"/>
      <c r="HY50" s="37">
        <f t="shared" si="454"/>
        <v>360</v>
      </c>
      <c r="HZ50" s="125">
        <f>IFERROR(VLOOKUP($D50,'Adient Assende (Belgium) WK.17'!$B:HB,IA$1,0),0)</f>
        <v>160</v>
      </c>
      <c r="IA50" s="55">
        <f>IFERROR(VLOOKUP($D50,'Adient Arendal (Malzia) WK.12'!$B:HC,IA$1,0),0)</f>
        <v>0</v>
      </c>
      <c r="IB50" s="55">
        <f>IFERROR(VLOOKUP($D50,'Adient Taizhou (China) WK.16'!$B:HF,IA$1,0),0)</f>
        <v>0</v>
      </c>
      <c r="IC50" s="60">
        <v>380</v>
      </c>
      <c r="ID50" s="128">
        <v>160</v>
      </c>
      <c r="IE50" s="32">
        <v>0</v>
      </c>
      <c r="IF50" s="106">
        <f t="shared" si="260"/>
        <v>580</v>
      </c>
      <c r="IG50" s="8"/>
      <c r="IH50" s="37">
        <f t="shared" si="455"/>
        <v>580</v>
      </c>
      <c r="II50" s="125">
        <f>IFERROR(VLOOKUP($D50,'Adient Assende (Belgium) WK.17'!$B:HJ,IJ$1,0),0)</f>
        <v>160</v>
      </c>
      <c r="IJ50" s="55">
        <f>IFERROR(VLOOKUP($D50,'Adient Arendal (Malzia) WK.12'!$B:HK,IJ$1,0),0)</f>
        <v>0</v>
      </c>
      <c r="IK50" s="55">
        <f>IFERROR(VLOOKUP($D50,'Adient Taizhou (China) WK.16'!$B:HN,IJ$1,0),0)</f>
        <v>0</v>
      </c>
      <c r="IL50" s="128">
        <v>80</v>
      </c>
      <c r="IM50" s="32">
        <v>0</v>
      </c>
      <c r="IN50" s="106">
        <f t="shared" si="456"/>
        <v>500</v>
      </c>
      <c r="IO50" s="8"/>
      <c r="IP50" s="37">
        <f t="shared" si="457"/>
        <v>500</v>
      </c>
      <c r="IQ50" s="125">
        <f>IFERROR(VLOOKUP($D50,'Adient Assende (Belgium) WK.17'!$B:HR,IR$1,0),0)</f>
        <v>80</v>
      </c>
      <c r="IR50" s="55">
        <f>IFERROR(VLOOKUP($D50,'Adient Arendal (Malzia) WK.12'!$B:HS,IR$1,0),0)</f>
        <v>0</v>
      </c>
      <c r="IS50" s="55">
        <f>IFERROR(VLOOKUP($D50,'Adient Taizhou (China) WK.16'!$B:HV,IR$1,0),0)</f>
        <v>0</v>
      </c>
      <c r="IT50" s="60">
        <v>320</v>
      </c>
      <c r="IU50" s="128">
        <v>160</v>
      </c>
      <c r="IV50" s="32">
        <v>0</v>
      </c>
      <c r="IW50" s="106">
        <f t="shared" si="261"/>
        <v>660</v>
      </c>
      <c r="IX50" s="8"/>
      <c r="IY50" s="37">
        <f t="shared" si="458"/>
        <v>660</v>
      </c>
      <c r="IZ50" s="125">
        <f>IFERROR(VLOOKUP($D50,'Adient Assende (Belgium) WK.17'!$B:HZ,JA$1,0),0)</f>
        <v>160</v>
      </c>
      <c r="JA50" s="55">
        <f>IFERROR(VLOOKUP($D50,'Adient Arendal (Malzia) WK.12'!$B:IA,JA$1,0),0)</f>
        <v>0</v>
      </c>
      <c r="JB50" s="55">
        <f>IFERROR(VLOOKUP($D50,'Adient Taizhou (China) WK.16'!$B:ID,JA$1,0),0)</f>
        <v>0</v>
      </c>
      <c r="JC50" s="128">
        <v>80</v>
      </c>
      <c r="JD50" s="32">
        <v>0</v>
      </c>
      <c r="JE50" s="106">
        <f t="shared" si="459"/>
        <v>580</v>
      </c>
      <c r="JF50" s="8"/>
      <c r="JG50" s="37">
        <f t="shared" si="460"/>
        <v>580</v>
      </c>
      <c r="JH50" s="125">
        <f>IFERROR(VLOOKUP($D50,'Adient Assende (Belgium) WK.17'!$B:IH,JI$1,0),0)</f>
        <v>80</v>
      </c>
      <c r="JI50" s="55">
        <f>IFERROR(VLOOKUP($D50,'Adient Arendal (Malzia) WK.12'!$B:II,JI$1,0),0)</f>
        <v>0</v>
      </c>
      <c r="JJ50" s="55">
        <f>IFERROR(VLOOKUP($D50,'Adient Taizhou (China) WK.16'!$B:IL,JI$1,0),0)</f>
        <v>0</v>
      </c>
      <c r="JK50" s="60">
        <v>380</v>
      </c>
      <c r="JL50" s="128">
        <v>160</v>
      </c>
      <c r="JM50" s="32">
        <v>0</v>
      </c>
      <c r="JN50" s="106">
        <f t="shared" si="262"/>
        <v>800</v>
      </c>
      <c r="JO50" s="8"/>
      <c r="JP50" s="37">
        <f t="shared" si="461"/>
        <v>800</v>
      </c>
      <c r="JQ50" s="125">
        <f>IFERROR(VLOOKUP($D50,'Adient Assende (Belgium) WK.17'!$B:IP,JR$1,0),0)</f>
        <v>160</v>
      </c>
      <c r="JR50" s="55">
        <f>IFERROR(VLOOKUP($D50,'Adient Arendal (Malzia) WK.12'!$B:IQ,JR$1,0),0)</f>
        <v>0</v>
      </c>
      <c r="JS50" s="55">
        <f>IFERROR(VLOOKUP($D50,'Adient Taizhou (China) WK.16'!$B:IT,JR$1,0),0)</f>
        <v>0</v>
      </c>
      <c r="JT50" s="128">
        <v>0</v>
      </c>
      <c r="JU50" s="32">
        <v>0</v>
      </c>
      <c r="JV50" s="106">
        <f t="shared" si="462"/>
        <v>800</v>
      </c>
      <c r="JW50" s="8"/>
      <c r="JX50" s="37">
        <f t="shared" si="463"/>
        <v>800</v>
      </c>
      <c r="JY50" s="154">
        <f>IFERROR(VLOOKUP($D50,'Adient Assende (Belgium) WK.17'!$B:IX,JZ$1,0),0)</f>
        <v>0</v>
      </c>
      <c r="JZ50" s="55">
        <f>IFERROR(VLOOKUP($D50,'Adient Arendal (Malzia) WK.12'!$B:IY,JZ$1,0),0)</f>
        <v>0</v>
      </c>
      <c r="KA50" s="55">
        <f>IFERROR(VLOOKUP($D50,'Adient Taizhou (China) WK.16'!$B:JB,JZ$1,0),0)</f>
        <v>0</v>
      </c>
      <c r="KB50" s="128">
        <v>160</v>
      </c>
      <c r="KC50" s="32">
        <v>0</v>
      </c>
      <c r="KD50" s="106">
        <f t="shared" si="263"/>
        <v>640</v>
      </c>
      <c r="KE50" s="8"/>
      <c r="KF50" s="37">
        <f t="shared" si="464"/>
        <v>640</v>
      </c>
      <c r="KG50" s="125">
        <f>IFERROR(VLOOKUP($D50,'Adient Assende (Belgium) WK.17'!$B:JF,KH$1,0),0)</f>
        <v>160</v>
      </c>
      <c r="KH50" s="55">
        <f>IFERROR(VLOOKUP($D50,'Adient Arendal (Malzia) WK.12'!$B:JG,KH$1,0),0)</f>
        <v>0</v>
      </c>
      <c r="KI50" s="55">
        <f>IFERROR(VLOOKUP($D50,'Adient Taizhou (China) WK.16'!$B:JJ,KH$1,0),0)</f>
        <v>0</v>
      </c>
      <c r="KJ50" s="60">
        <v>0</v>
      </c>
      <c r="KK50" s="128">
        <v>160</v>
      </c>
      <c r="KL50" s="32">
        <v>0</v>
      </c>
      <c r="KM50" s="106">
        <f t="shared" si="264"/>
        <v>480</v>
      </c>
      <c r="KN50" s="8"/>
      <c r="KO50" s="37">
        <f t="shared" si="465"/>
        <v>480</v>
      </c>
      <c r="KP50" s="141">
        <f>IFERROR(VLOOKUP($D50,'Adient Assende (Belgium) WK.17'!$B:JN,KQ$1,0),0)</f>
        <v>160</v>
      </c>
      <c r="KQ50" s="140">
        <f>IFERROR(VLOOKUP($D50,'Adient Arendal (Malzia) WK.12'!$B:JO,KQ$1,0),0)</f>
        <v>0</v>
      </c>
      <c r="KR50" s="140">
        <f>IFERROR(VLOOKUP($D50,'Adient Taizhou (China) WK.16'!$B:JR,KQ$1,0),0)</f>
        <v>0</v>
      </c>
      <c r="KS50" s="60">
        <v>0</v>
      </c>
      <c r="KT50" s="128">
        <v>160</v>
      </c>
      <c r="KU50" s="32">
        <v>0</v>
      </c>
      <c r="KV50" s="106">
        <f t="shared" si="265"/>
        <v>320</v>
      </c>
      <c r="KX50" s="37">
        <f t="shared" si="466"/>
        <v>320</v>
      </c>
      <c r="KY50" s="141">
        <f>IFERROR(VLOOKUP($D50,'Adient Assende (Belgium) WK.17'!$B:JV,KZ$1,0),0)</f>
        <v>160</v>
      </c>
      <c r="KZ50" s="140">
        <f>IFERROR(VLOOKUP($D50,'Adient Arendal (Malzia) WK.12'!$B:JW,KZ$1,0),0)</f>
        <v>0</v>
      </c>
      <c r="LA50" s="140">
        <f>IFERROR(VLOOKUP($D50,'Adient Taizhou (China) WK.16'!$B:JZ,KZ$1,0),0)</f>
        <v>0</v>
      </c>
      <c r="LB50" s="128">
        <v>0</v>
      </c>
      <c r="LC50" s="32">
        <v>0</v>
      </c>
      <c r="LD50" s="106">
        <f t="shared" si="467"/>
        <v>320</v>
      </c>
      <c r="LF50" s="37">
        <f t="shared" si="468"/>
        <v>320</v>
      </c>
      <c r="LG50" s="141">
        <f>IFERROR(VLOOKUP($D50,'Adient Assende (Belgium) WK.17'!$B:KD,LH$1,0),0)</f>
        <v>80</v>
      </c>
      <c r="LH50" s="140">
        <f>IFERROR(VLOOKUP($D50,'Adient Arendal (Malzia) WK.12'!$B:KE,LH$1,0),0)</f>
        <v>0</v>
      </c>
      <c r="LI50" s="140">
        <f>IFERROR(VLOOKUP($D50,'Adient Taizhou (China) WK.16'!$B:KH,LH$1,0),0)</f>
        <v>0</v>
      </c>
      <c r="LJ50" s="60">
        <v>20</v>
      </c>
      <c r="LK50" s="128">
        <v>0</v>
      </c>
      <c r="LL50" s="32">
        <v>0</v>
      </c>
      <c r="LM50" s="100">
        <f t="shared" si="267"/>
        <v>260</v>
      </c>
      <c r="LO50" s="37">
        <f t="shared" si="469"/>
        <v>260</v>
      </c>
      <c r="LP50" s="141">
        <f>IFERROR(VLOOKUP($D50,'Adient Assende (Belgium) WK.17'!$B:KL,LQ$1,0),0)</f>
        <v>0</v>
      </c>
      <c r="LQ50" s="140">
        <f>IFERROR(VLOOKUP($D50,'Adient Arendal (Malzia) WK.12'!$B:KM,LQ$1,0),0)</f>
        <v>0</v>
      </c>
      <c r="LR50" s="140">
        <f>IFERROR(VLOOKUP($D50,'Adient Taizhou (China) WK.16'!$B:KP,LQ$1,0),0)</f>
        <v>0</v>
      </c>
      <c r="LS50" s="128">
        <v>0</v>
      </c>
      <c r="LT50" s="32">
        <v>0</v>
      </c>
      <c r="LU50" s="100">
        <f t="shared" si="470"/>
        <v>260</v>
      </c>
      <c r="LW50" s="37">
        <f t="shared" si="471"/>
        <v>260</v>
      </c>
      <c r="LX50" s="141">
        <f>IFERROR(VLOOKUP($D50,'Adient Assende (Belgium) WK.17'!$B:KT,LY$1,0),0)</f>
        <v>160</v>
      </c>
      <c r="LY50" s="140">
        <f>IFERROR(VLOOKUP($D50,'Adient Arendal (Malzia) WK.12'!$B:KU,LY$1,0),0)</f>
        <v>0</v>
      </c>
      <c r="LZ50" s="140">
        <f>IFERROR(VLOOKUP($D50,'Adient Taizhou (China) WK.16'!$B:KX,LY$1,0),0)</f>
        <v>0</v>
      </c>
      <c r="MA50" s="128">
        <v>0</v>
      </c>
      <c r="MB50" s="32">
        <v>0</v>
      </c>
      <c r="MC50" s="100">
        <f t="shared" si="472"/>
        <v>100</v>
      </c>
      <c r="ME50" s="37">
        <f t="shared" si="473"/>
        <v>100</v>
      </c>
      <c r="MF50" s="154">
        <f>IFERROR(VLOOKUP($D50,'Adient Assende (Belgium) WK.17'!$B:LB,MG$1,0),0)</f>
        <v>0</v>
      </c>
      <c r="MG50" s="140">
        <f>IFERROR(VLOOKUP($D50,'Adient Arendal (Malzia) WK.12'!$B:LC,MG$1,0),0)</f>
        <v>0</v>
      </c>
      <c r="MH50" s="140">
        <f>IFERROR(VLOOKUP($D50,'Adient Taizhou (China) WK.16'!$B:LF,MG$1,0),0)</f>
        <v>0</v>
      </c>
      <c r="MI50" s="128">
        <v>0</v>
      </c>
      <c r="MJ50" s="32">
        <v>0</v>
      </c>
      <c r="MK50" s="100">
        <f t="shared" si="474"/>
        <v>100</v>
      </c>
      <c r="MM50" s="37">
        <f t="shared" si="475"/>
        <v>100</v>
      </c>
      <c r="MN50" s="141">
        <f>IFERROR(VLOOKUP($D50,'Adient Assende (Belgium) WK.17'!$B:LJ,MO$1,0),0)</f>
        <v>160</v>
      </c>
      <c r="MO50" s="140">
        <f>IFERROR(VLOOKUP($D50,'Adient Arendal (Malzia) WK.12'!$B:LK,MO$1,0),0)</f>
        <v>0</v>
      </c>
      <c r="MP50" s="140">
        <f>IFERROR(VLOOKUP($D50,'Adient Taizhou (China) WK.16'!$B:LN,MO$1,0),0)</f>
        <v>0</v>
      </c>
      <c r="MQ50" s="128">
        <v>0</v>
      </c>
      <c r="MR50" s="32">
        <v>0</v>
      </c>
      <c r="MS50" s="100">
        <f t="shared" si="476"/>
        <v>-60</v>
      </c>
      <c r="MU50" s="37">
        <f t="shared" si="477"/>
        <v>-60</v>
      </c>
      <c r="MV50" s="141">
        <f>IFERROR(VLOOKUP($D50,'Adient Assende (Belgium) WK.17'!$B:LR,MW$1,0),0)</f>
        <v>80</v>
      </c>
      <c r="MW50" s="140">
        <f>IFERROR(VLOOKUP($D50,'Adient Arendal (Malzia) WK.12'!$B:LS,MW$1,0),0)</f>
        <v>0</v>
      </c>
      <c r="MX50" s="140">
        <f>IFERROR(VLOOKUP($D50,'Adient Taizhou (China) WK.16'!$B:LV,MW$1,0),0)</f>
        <v>0</v>
      </c>
      <c r="MY50" s="128">
        <v>0</v>
      </c>
      <c r="MZ50" s="32">
        <v>0</v>
      </c>
      <c r="NA50" s="100">
        <f t="shared" si="478"/>
        <v>-140</v>
      </c>
      <c r="NC50" s="37">
        <f t="shared" si="479"/>
        <v>-140</v>
      </c>
      <c r="ND50" s="141">
        <f>IFERROR(VLOOKUP($D50,'Adient Assende (Belgium) WK.17'!$B:LZ,NE$1,0),0)</f>
        <v>160</v>
      </c>
      <c r="NE50" s="140">
        <f>IFERROR(VLOOKUP($D50,'Adient Arendal (Malzia) WK.12'!$B:MA,NE$1,0),0)</f>
        <v>0</v>
      </c>
      <c r="NF50" s="140">
        <f>IFERROR(VLOOKUP($D50,'Adient Taizhou (China) WK.16'!$B:MD,NE$1,0),0)</f>
        <v>0</v>
      </c>
      <c r="NG50" s="128">
        <v>0</v>
      </c>
      <c r="NH50" s="32">
        <v>0</v>
      </c>
      <c r="NI50" s="100">
        <f t="shared" si="480"/>
        <v>-300</v>
      </c>
      <c r="NK50" s="37">
        <f t="shared" si="481"/>
        <v>-300</v>
      </c>
      <c r="NL50" s="141">
        <f>IFERROR(VLOOKUP($D50,'Adient Assende (Belgium) WK.17'!$B:MH,NM$1,0),0)</f>
        <v>160</v>
      </c>
      <c r="NM50" s="140">
        <f>IFERROR(VLOOKUP($D50,'Adient Arendal (Malzia) WK.12'!$B:MI,NM$1,0),0)</f>
        <v>0</v>
      </c>
      <c r="NN50" s="140">
        <f>IFERROR(VLOOKUP($D50,'Adient Taizhou (China) WK.16'!$B:ML,NM$1,0),0)</f>
        <v>0</v>
      </c>
      <c r="NO50" s="128">
        <v>0</v>
      </c>
      <c r="NP50" s="32">
        <v>0</v>
      </c>
      <c r="NQ50" s="100">
        <f t="shared" si="482"/>
        <v>-460</v>
      </c>
      <c r="NS50" s="37">
        <f t="shared" si="483"/>
        <v>-460</v>
      </c>
      <c r="NT50" s="141">
        <f>IFERROR(VLOOKUP($D50,'Adient Assende (Belgium) WK.17'!$B:MP,NU$1,0),0)</f>
        <v>80</v>
      </c>
      <c r="NU50" s="140">
        <f>IFERROR(VLOOKUP($D50,'Adient Arendal (Malzia) WK.12'!$B:MQ,NU$1,0),0)</f>
        <v>0</v>
      </c>
      <c r="NV50" s="140">
        <f>IFERROR(VLOOKUP($D50,'Adient Taizhou (China) WK.16'!$B:MT,NU$1,0),0)</f>
        <v>0</v>
      </c>
      <c r="NW50" s="128">
        <v>0</v>
      </c>
      <c r="NX50" s="32">
        <v>0</v>
      </c>
      <c r="NY50" s="100">
        <f t="shared" si="484"/>
        <v>-540</v>
      </c>
      <c r="OA50" s="37">
        <f t="shared" si="485"/>
        <v>-540</v>
      </c>
      <c r="OB50" s="141">
        <f>IFERROR(VLOOKUP($D50,'Adient Assende (Belgium) WK.17'!$B:MX,OC$1,0),0)</f>
        <v>160</v>
      </c>
      <c r="OC50" s="140">
        <f>IFERROR(VLOOKUP($D50,'Adient Arendal (Malzia) WK.12'!$B:MY,OC$1,0),0)</f>
        <v>0</v>
      </c>
      <c r="OD50" s="140">
        <f>IFERROR(VLOOKUP($D50,'Adient Taizhou (China) WK.16'!$B:NB,OC$1,0),0)</f>
        <v>0</v>
      </c>
      <c r="OE50" s="128">
        <v>0</v>
      </c>
      <c r="OF50" s="32">
        <v>0</v>
      </c>
      <c r="OG50" s="100">
        <f t="shared" si="486"/>
        <v>-700</v>
      </c>
      <c r="OI50" s="37">
        <f t="shared" si="487"/>
        <v>-700</v>
      </c>
      <c r="OJ50" s="141">
        <f>IFERROR(VLOOKUP($D50,'Adient Assende (Belgium) WK.17'!$B:NF,OK$1,0),0)</f>
        <v>240</v>
      </c>
      <c r="OK50" s="140">
        <f>IFERROR(VLOOKUP($D50,'Adient Arendal (Malzia) WK.12'!$B:NG,OK$1,0),0)</f>
        <v>0</v>
      </c>
      <c r="OL50" s="140">
        <f>IFERROR(VLOOKUP($D50,'Adient Taizhou (China) WK.16'!$B:NJ,OK$1,0),0)</f>
        <v>0</v>
      </c>
      <c r="OM50" s="128">
        <v>0</v>
      </c>
      <c r="ON50" s="32">
        <v>0</v>
      </c>
      <c r="OO50" s="100">
        <f t="shared" si="488"/>
        <v>-940</v>
      </c>
      <c r="OQ50" s="37">
        <f t="shared" si="489"/>
        <v>-940</v>
      </c>
      <c r="OR50" s="141">
        <f>IFERROR(VLOOKUP($D50,'Adient Assende (Belgium) WK.17'!$B:NN,OS$1,0),0)</f>
        <v>0</v>
      </c>
      <c r="OS50" s="140">
        <f>IFERROR(VLOOKUP($D50,'Adient Arendal (Malzia) WK.12'!$B:NO,OS$1,0),0)</f>
        <v>0</v>
      </c>
      <c r="OT50" s="140">
        <f>IFERROR(VLOOKUP($D50,'Adient Taizhou (China) WK.16'!$B:NR,OS$1,0),0)</f>
        <v>0</v>
      </c>
      <c r="OU50" s="128">
        <v>0</v>
      </c>
      <c r="OV50" s="32">
        <v>0</v>
      </c>
      <c r="OW50" s="100">
        <f t="shared" si="490"/>
        <v>-940</v>
      </c>
      <c r="OY50" s="37">
        <f t="shared" si="491"/>
        <v>-940</v>
      </c>
      <c r="OZ50" s="141">
        <f>IFERROR(VLOOKUP($D50,'Adient Assende (Belgium) WK.17'!$B:NV,PA$1,0),0)</f>
        <v>0</v>
      </c>
      <c r="PA50" s="140">
        <f>IFERROR(VLOOKUP($D50,'Adient Arendal (Malzia) WK.12'!$B:NW,PA$1,0),0)</f>
        <v>0</v>
      </c>
      <c r="PB50" s="140">
        <f>IFERROR(VLOOKUP($D50,'Adient Taizhou (China) WK.16'!$B:NZ,PA$1,0),0)</f>
        <v>0</v>
      </c>
      <c r="PC50" s="128">
        <v>0</v>
      </c>
      <c r="PD50" s="32">
        <v>0</v>
      </c>
      <c r="PE50" s="100">
        <f t="shared" si="492"/>
        <v>-940</v>
      </c>
      <c r="PG50" s="37">
        <f t="shared" si="493"/>
        <v>-940</v>
      </c>
      <c r="PH50" s="141">
        <f>IFERROR(VLOOKUP($D50,'Adient Assende (Belgium) WK.17'!$B:OD,PI$1,0),0)</f>
        <v>0</v>
      </c>
      <c r="PI50" s="140">
        <f>IFERROR(VLOOKUP($D50,'Adient Arendal (Malzia) WK.12'!$B:OE,PI$1,0),0)</f>
        <v>0</v>
      </c>
      <c r="PJ50" s="140">
        <f>IFERROR(VLOOKUP($D50,'Adient Taizhou (China) WK.16'!$B:OH,PI$1,0),0)</f>
        <v>0</v>
      </c>
      <c r="PK50" s="128">
        <v>0</v>
      </c>
      <c r="PL50" s="32">
        <v>0</v>
      </c>
      <c r="PM50" s="100">
        <f t="shared" si="494"/>
        <v>-940</v>
      </c>
      <c r="PO50" s="37">
        <f t="shared" si="495"/>
        <v>-940</v>
      </c>
      <c r="PP50" s="141">
        <f>IFERROR(VLOOKUP($D50,'Adient Assende (Belgium) WK.17'!$B:OL,PQ$1,0),0)</f>
        <v>0</v>
      </c>
      <c r="PQ50" s="140">
        <f>IFERROR(VLOOKUP($D50,'Adient Arendal (Malzia) WK.12'!$B:OM,PQ$1,0),0)</f>
        <v>0</v>
      </c>
      <c r="PR50" s="140">
        <f>IFERROR(VLOOKUP($D50,'Adient Taizhou (China) WK.16'!$B:OP,PQ$1,0),0)</f>
        <v>0</v>
      </c>
      <c r="PS50" s="128">
        <v>0</v>
      </c>
      <c r="PT50" s="32">
        <v>0</v>
      </c>
      <c r="PU50" s="100">
        <f t="shared" si="496"/>
        <v>-940</v>
      </c>
      <c r="PW50" s="37">
        <f t="shared" si="497"/>
        <v>-940</v>
      </c>
      <c r="PX50" s="141">
        <f>IFERROR(VLOOKUP($D50,'Adient Assende (Belgium) WK.17'!$B:OT,PY$1,0),0)</f>
        <v>80</v>
      </c>
      <c r="PY50" s="140">
        <f>IFERROR(VLOOKUP($D50,'Adient Arendal (Malzia) WK.12'!$B:OU,PY$1,0),0)</f>
        <v>0</v>
      </c>
      <c r="PZ50" s="140">
        <f>IFERROR(VLOOKUP($D50,'Adient Taizhou (China) WK.16'!$B:OX,PY$1,0),0)</f>
        <v>0</v>
      </c>
      <c r="QA50" s="128">
        <v>0</v>
      </c>
      <c r="QB50" s="32">
        <v>0</v>
      </c>
      <c r="QC50" s="100">
        <f t="shared" si="498"/>
        <v>-1020</v>
      </c>
      <c r="QE50" s="37">
        <f t="shared" si="499"/>
        <v>-1020</v>
      </c>
      <c r="QF50" s="141">
        <f>IFERROR(VLOOKUP($D50,'Adient Assende (Belgium) WK.17'!$B:PB,QG$1,0),0)</f>
        <v>160</v>
      </c>
      <c r="QG50" s="140">
        <f>IFERROR(VLOOKUP($D50,'Adient Arendal (Malzia) WK.12'!$B:PC,QG$1,0),0)</f>
        <v>0</v>
      </c>
      <c r="QH50" s="140">
        <f>IFERROR(VLOOKUP($D50,'Adient Taizhou (China) WK.16'!$B:PF,QG$1,0),0)</f>
        <v>0</v>
      </c>
      <c r="QI50" s="128">
        <v>0</v>
      </c>
      <c r="QJ50" s="32">
        <v>0</v>
      </c>
      <c r="QK50" s="100">
        <f t="shared" si="500"/>
        <v>-1180</v>
      </c>
      <c r="QM50" s="37">
        <f t="shared" si="501"/>
        <v>-1180</v>
      </c>
      <c r="QN50" s="141">
        <f>IFERROR(VLOOKUP($D50,'Adient Assende (Belgium) WK.17'!$B:PJ,QO$1,0),0)</f>
        <v>80</v>
      </c>
      <c r="QO50" s="140">
        <f>IFERROR(VLOOKUP($D50,'Adient Arendal (Malzia) WK.12'!$B:PK,QO$1,0),0)</f>
        <v>0</v>
      </c>
      <c r="QP50" s="140">
        <f>IFERROR(VLOOKUP($D50,'Adient Taizhou (China) WK.16'!$B:PN,QO$1,0),0)</f>
        <v>0</v>
      </c>
      <c r="QQ50" s="128">
        <v>0</v>
      </c>
      <c r="QR50" s="32">
        <v>0</v>
      </c>
      <c r="QS50" s="100">
        <f t="shared" si="502"/>
        <v>-1260</v>
      </c>
      <c r="QU50" s="37">
        <f t="shared" si="503"/>
        <v>-1260</v>
      </c>
      <c r="QV50" s="141">
        <f>IFERROR(VLOOKUP($D50,'Adient Assende (Belgium) WK.17'!$B:PR,QW$1,0),0)</f>
        <v>80</v>
      </c>
      <c r="QW50" s="140">
        <f>IFERROR(VLOOKUP($D50,'Adient Arendal (Malzia) WK.12'!$B:PS,QW$1,0),0)</f>
        <v>0</v>
      </c>
      <c r="QX50" s="140">
        <f>IFERROR(VLOOKUP($D50,'Adient Taizhou (China) WK.16'!$B:PV,QW$1,0),0)</f>
        <v>0</v>
      </c>
      <c r="QY50" s="128">
        <v>0</v>
      </c>
      <c r="QZ50" s="32">
        <v>0</v>
      </c>
      <c r="RA50" s="100">
        <f t="shared" si="504"/>
        <v>-1340</v>
      </c>
      <c r="RC50" s="37">
        <f t="shared" si="505"/>
        <v>-1340</v>
      </c>
      <c r="RD50" s="141">
        <f>IFERROR(VLOOKUP($D50,'Adient Assende (Belgium) WK.17'!$B:PZ,RE$1,0),0)</f>
        <v>80</v>
      </c>
      <c r="RE50" s="140">
        <f>IFERROR(VLOOKUP($D50,'Adient Arendal (Malzia) WK.12'!$B:QA,RE$1,0),0)</f>
        <v>0</v>
      </c>
      <c r="RF50" s="140">
        <f>IFERROR(VLOOKUP($D50,'Adient Taizhou (China) WK.16'!$B:QD,RE$1,0),0)</f>
        <v>0</v>
      </c>
      <c r="RG50" s="128">
        <v>0</v>
      </c>
      <c r="RH50" s="32">
        <v>0</v>
      </c>
      <c r="RI50" s="100">
        <f t="shared" si="506"/>
        <v>-1420</v>
      </c>
      <c r="RK50" s="37">
        <f t="shared" si="507"/>
        <v>-1420</v>
      </c>
      <c r="RL50" s="141">
        <f>IFERROR(VLOOKUP($D50,'Adient Assende (Belgium) WK.17'!$B:QH,RM$1,0),0)</f>
        <v>80</v>
      </c>
      <c r="RM50" s="140">
        <f>IFERROR(VLOOKUP($D50,'Adient Arendal (Malzia) WK.12'!$B:QI,RM$1,0),0)</f>
        <v>0</v>
      </c>
      <c r="RN50" s="140">
        <f>IFERROR(VLOOKUP($D50,'Adient Taizhou (China) WK.16'!$B:QL,RM$1,0),0)</f>
        <v>0</v>
      </c>
      <c r="RO50" s="128">
        <v>0</v>
      </c>
      <c r="RP50" s="32">
        <v>0</v>
      </c>
      <c r="RQ50" s="100">
        <f t="shared" si="508"/>
        <v>-1500</v>
      </c>
      <c r="RS50" s="37">
        <f t="shared" si="509"/>
        <v>-1500</v>
      </c>
      <c r="RT50" s="141">
        <f>IFERROR(VLOOKUP($D50,'Adient Assende (Belgium) WK.17'!$B:QP,RU$1,0),0)</f>
        <v>80</v>
      </c>
      <c r="RU50" s="140">
        <f>IFERROR(VLOOKUP($D50,'Adient Arendal (Malzia) WK.12'!$B:QQ,RU$1,0),0)</f>
        <v>0</v>
      </c>
      <c r="RV50" s="140">
        <f>IFERROR(VLOOKUP($D50,'Adient Taizhou (China) WK.16'!$B:QT,RU$1,0),0)</f>
        <v>0</v>
      </c>
      <c r="RW50" s="128">
        <v>0</v>
      </c>
      <c r="RX50" s="32">
        <v>0</v>
      </c>
      <c r="RY50" s="100">
        <f t="shared" si="510"/>
        <v>-1580</v>
      </c>
      <c r="SA50" s="37">
        <f t="shared" si="511"/>
        <v>-1580</v>
      </c>
      <c r="SB50" s="141">
        <f>IFERROR(VLOOKUP($D50,'Adient Assende (Belgium) WK.17'!$B:QX,SC$1,0),0)</f>
        <v>60</v>
      </c>
      <c r="SC50" s="140">
        <f>IFERROR(VLOOKUP($D50,'Adient Arendal (Malzia) WK.12'!$B:QY,SC$1,0),0)</f>
        <v>0</v>
      </c>
      <c r="SD50" s="140">
        <f>IFERROR(VLOOKUP($D50,'Adient Taizhou (China) WK.16'!$B:RB,SC$1,0),0)</f>
        <v>0</v>
      </c>
      <c r="SE50" s="128">
        <v>0</v>
      </c>
      <c r="SF50" s="32">
        <v>0</v>
      </c>
      <c r="SG50" s="100">
        <f t="shared" si="512"/>
        <v>-1640</v>
      </c>
      <c r="SI50" s="37">
        <f t="shared" si="513"/>
        <v>-1640</v>
      </c>
      <c r="SJ50" s="141">
        <f>IFERROR(VLOOKUP($D50,'Adient Assende (Belgium) WK.17'!$B:RF,SK$1,0),0)</f>
        <v>60</v>
      </c>
      <c r="SK50" s="140">
        <f>IFERROR(VLOOKUP($D50,'Adient Arendal (Malzia) WK.12'!$B:RG,SK$1,0),0)</f>
        <v>0</v>
      </c>
      <c r="SL50" s="140">
        <f>IFERROR(VLOOKUP($D50,'Adient Taizhou (China) WK.16'!$B:RJ,SK$1,0),0)</f>
        <v>0</v>
      </c>
      <c r="SM50" s="128">
        <v>0</v>
      </c>
      <c r="SN50" s="32">
        <v>0</v>
      </c>
      <c r="SO50" s="100">
        <f t="shared" si="514"/>
        <v>-1700</v>
      </c>
      <c r="SQ50" s="37">
        <f t="shared" si="515"/>
        <v>-1700</v>
      </c>
      <c r="SR50" s="141">
        <f>IFERROR(VLOOKUP($D50,'Adient Assende (Belgium) WK.17'!$B:RN,SS$1,0),0)</f>
        <v>60</v>
      </c>
      <c r="SS50" s="140">
        <f>IFERROR(VLOOKUP($D50,'Adient Arendal (Malzia) WK.12'!$B:RO,SS$1,0),0)</f>
        <v>0</v>
      </c>
      <c r="ST50" s="140">
        <f>IFERROR(VLOOKUP($D50,'Adient Taizhou (China) WK.16'!$B:RR,SS$1,0),0)</f>
        <v>0</v>
      </c>
      <c r="SU50" s="128">
        <v>0</v>
      </c>
      <c r="SV50" s="32">
        <v>0</v>
      </c>
      <c r="SW50" s="100">
        <f t="shared" si="516"/>
        <v>-1760</v>
      </c>
      <c r="SY50" s="37">
        <f t="shared" si="517"/>
        <v>-1760</v>
      </c>
      <c r="SZ50" s="141">
        <f>IFERROR(VLOOKUP($D50,'Adient Assende (Belgium) WK.17'!$B:RV,TA$1,0),0)</f>
        <v>60</v>
      </c>
      <c r="TA50" s="140">
        <f>IFERROR(VLOOKUP($D50,'Adient Arendal (Malzia) WK.12'!$B:RW,TA$1,0),0)</f>
        <v>0</v>
      </c>
      <c r="TB50" s="140">
        <f>IFERROR(VLOOKUP($D50,'Adient Taizhou (China) WK.16'!$B:RZ,TA$1,0),0)</f>
        <v>0</v>
      </c>
      <c r="TC50" s="128">
        <v>0</v>
      </c>
      <c r="TD50" s="32">
        <v>0</v>
      </c>
      <c r="TE50" s="100">
        <f t="shared" si="518"/>
        <v>-1820</v>
      </c>
      <c r="TG50" s="37">
        <f t="shared" si="519"/>
        <v>-1820</v>
      </c>
      <c r="TH50" s="141">
        <f>IFERROR(VLOOKUP($D50,'Adient Assende (Belgium) WK.17'!$B:SD,TI$1,0),0)</f>
        <v>80</v>
      </c>
      <c r="TI50" s="140">
        <f>IFERROR(VLOOKUP($D50,'Adient Arendal (Malzia) WK.12'!$B:SE,TI$1,0),0)</f>
        <v>0</v>
      </c>
      <c r="TJ50" s="140">
        <f>IFERROR(VLOOKUP($D50,'Adient Taizhou (China) WK.16'!$B:SH,TI$1,0),0)</f>
        <v>0</v>
      </c>
      <c r="TK50" s="128">
        <v>0</v>
      </c>
      <c r="TL50" s="32">
        <v>0</v>
      </c>
      <c r="TM50" s="100">
        <f t="shared" si="520"/>
        <v>-1900</v>
      </c>
      <c r="TO50" s="37">
        <f t="shared" si="521"/>
        <v>-1900</v>
      </c>
      <c r="TP50" s="141">
        <f>IFERROR(VLOOKUP($D50,'Adient Assende (Belgium) WK.17'!$B:SL,TQ$1,0),0)</f>
        <v>80</v>
      </c>
      <c r="TQ50" s="140">
        <f>IFERROR(VLOOKUP($D50,'Adient Arendal (Malzia) WK.12'!$B:SM,TQ$1,0),0)</f>
        <v>0</v>
      </c>
      <c r="TR50" s="140">
        <f>IFERROR(VLOOKUP($D50,'Adient Taizhou (China) WK.16'!$B:SP,TQ$1,0),0)</f>
        <v>0</v>
      </c>
      <c r="TS50" s="128">
        <v>0</v>
      </c>
      <c r="TT50" s="32">
        <v>0</v>
      </c>
      <c r="TU50" s="100">
        <f t="shared" si="522"/>
        <v>-1980</v>
      </c>
      <c r="TW50" s="37">
        <f t="shared" si="523"/>
        <v>-1980</v>
      </c>
      <c r="TX50" s="141">
        <f>IFERROR(VLOOKUP($D50,'Adient Assende (Belgium) WK.17'!$B:ST,TY$1,0),0)</f>
        <v>80</v>
      </c>
      <c r="TY50" s="140">
        <f>IFERROR(VLOOKUP($D50,'Adient Arendal (Malzia) WK.12'!$B:SU,TY$1,0),0)</f>
        <v>0</v>
      </c>
      <c r="TZ50" s="140">
        <f>IFERROR(VLOOKUP($D50,'Adient Taizhou (China) WK.16'!$B:SX,TY$1,0),0)</f>
        <v>0</v>
      </c>
      <c r="UA50" s="128">
        <v>0</v>
      </c>
      <c r="UB50" s="32">
        <v>0</v>
      </c>
      <c r="UC50" s="100">
        <f t="shared" si="524"/>
        <v>-2060</v>
      </c>
      <c r="UE50" s="37">
        <f t="shared" si="525"/>
        <v>-2060</v>
      </c>
      <c r="UF50" s="141">
        <f>IFERROR(VLOOKUP($D50,'Adient Assende (Belgium) WK.17'!$B:TB,UG$1,0),0)</f>
        <v>80</v>
      </c>
      <c r="UG50" s="140">
        <f>IFERROR(VLOOKUP($D50,'Adient Arendal (Malzia) WK.12'!$B:TC,UG$1,0),0)</f>
        <v>0</v>
      </c>
      <c r="UH50" s="140">
        <f>IFERROR(VLOOKUP($D50,'Adient Taizhou (China) WK.16'!$B:TF,UG$1,0),0)</f>
        <v>0</v>
      </c>
      <c r="UI50" s="128">
        <v>0</v>
      </c>
      <c r="UJ50" s="32">
        <v>0</v>
      </c>
      <c r="UK50" s="100">
        <f t="shared" si="526"/>
        <v>-2140</v>
      </c>
      <c r="UM50" s="37">
        <f t="shared" si="527"/>
        <v>-2140</v>
      </c>
      <c r="UN50" s="141">
        <f>IFERROR(VLOOKUP($D50,'Adient Assende (Belgium) WK.17'!$B:TJ,UO$1,0),0)</f>
        <v>80</v>
      </c>
      <c r="UO50" s="140">
        <f>IFERROR(VLOOKUP($D50,'Adient Arendal (Malzia) WK.12'!$B:TK,UO$1,0),0)</f>
        <v>0</v>
      </c>
      <c r="UP50" s="140">
        <f>IFERROR(VLOOKUP($D50,'Adient Taizhou (China) WK.16'!$B:TN,UO$1,0),0)</f>
        <v>0</v>
      </c>
      <c r="UQ50" s="128">
        <v>0</v>
      </c>
      <c r="UR50" s="32">
        <v>0</v>
      </c>
      <c r="US50" s="100">
        <f t="shared" si="528"/>
        <v>-2220</v>
      </c>
      <c r="UU50" s="37">
        <f t="shared" si="529"/>
        <v>-2220</v>
      </c>
      <c r="UV50" s="141">
        <f>IFERROR(VLOOKUP($D50,'Adient Assende (Belgium) WK.17'!$B:TR,UW$1,0),0)</f>
        <v>80</v>
      </c>
      <c r="UW50" s="140">
        <f>IFERROR(VLOOKUP($D50,'Adient Arendal (Malzia) WK.12'!$B:TS,UW$1,0),0)</f>
        <v>0</v>
      </c>
      <c r="UX50" s="140">
        <f>IFERROR(VLOOKUP($D50,'Adient Taizhou (China) WK.16'!$B:TV,UW$1,0),0)</f>
        <v>0</v>
      </c>
      <c r="UY50" s="128">
        <v>0</v>
      </c>
      <c r="UZ50" s="32">
        <v>0</v>
      </c>
      <c r="VA50" s="100">
        <f t="shared" si="530"/>
        <v>-2300</v>
      </c>
      <c r="VC50" s="37">
        <f t="shared" si="531"/>
        <v>-2300</v>
      </c>
      <c r="VD50" s="141">
        <f>IFERROR(VLOOKUP($D50,'Adient Assende (Belgium) WK.17'!$B:TZ,VE$1,0),0)</f>
        <v>80</v>
      </c>
      <c r="VE50" s="140">
        <f>IFERROR(VLOOKUP($D50,'Adient Arendal (Malzia) WK.12'!$B:UA,VE$1,0),0)</f>
        <v>0</v>
      </c>
      <c r="VF50" s="140">
        <f>IFERROR(VLOOKUP($D50,'Adient Taizhou (China) WK.16'!$B:UD,VE$1,0),0)</f>
        <v>0</v>
      </c>
      <c r="VG50" s="128">
        <v>0</v>
      </c>
      <c r="VH50" s="32">
        <v>0</v>
      </c>
      <c r="VI50" s="100">
        <f t="shared" si="532"/>
        <v>-2380</v>
      </c>
      <c r="VK50" s="37">
        <f t="shared" si="533"/>
        <v>-2380</v>
      </c>
      <c r="VL50" s="141">
        <f>IFERROR(VLOOKUP($D50,'Adient Assende (Belgium) WK.17'!$B:UH,VM$1,0),0)</f>
        <v>0</v>
      </c>
      <c r="VM50" s="140">
        <f>IFERROR(VLOOKUP($D50,'Adient Arendal (Malzia) WK.12'!$B:UI,VM$1,0),0)</f>
        <v>0</v>
      </c>
      <c r="VN50" s="140">
        <f>IFERROR(VLOOKUP($D50,'Adient Taizhou (China) WK.16'!$B:UL,VM$1,0),0)</f>
        <v>0</v>
      </c>
      <c r="VO50" s="128">
        <v>0</v>
      </c>
      <c r="VP50" s="32">
        <v>0</v>
      </c>
      <c r="VQ50" s="100">
        <f t="shared" si="534"/>
        <v>-2380</v>
      </c>
    </row>
    <row r="51" spans="1:589" x14ac:dyDescent="0.25">
      <c r="A51" s="10" t="s">
        <v>18</v>
      </c>
      <c r="B51" s="11" t="s">
        <v>17</v>
      </c>
      <c r="C51" s="87">
        <v>32272720</v>
      </c>
      <c r="D51" s="81">
        <v>4817131</v>
      </c>
      <c r="E51" s="11">
        <v>20</v>
      </c>
      <c r="F51" s="12"/>
      <c r="H51" s="122">
        <v>4900</v>
      </c>
      <c r="I51" s="125">
        <f>IFERROR(VLOOKUP($D51,'Adient Assende (Belgium) WK.17'!$B:C,J$1,0),0)</f>
        <v>240</v>
      </c>
      <c r="J51" s="55">
        <f>IFERROR(VLOOKUP($D51,'Adient Arendal (Malzia) WK.12'!$B:C,J$1,0),0)</f>
        <v>0</v>
      </c>
      <c r="K51" s="55">
        <f>IFERROR(VLOOKUP($D51,'Adient Taizhou (China) WK.16'!$B:C,J$1,0),0)</f>
        <v>0</v>
      </c>
      <c r="L51" s="128">
        <v>240</v>
      </c>
      <c r="M51" s="32">
        <v>0</v>
      </c>
      <c r="N51" s="106">
        <f t="shared" si="233"/>
        <v>4660</v>
      </c>
      <c r="P51" s="37">
        <f t="shared" si="234"/>
        <v>4660</v>
      </c>
      <c r="Q51" s="125">
        <f>IFERROR(VLOOKUP($D51,'Adient Assende (Belgium) WK.17'!$B:K,R$1,0),0)</f>
        <v>240</v>
      </c>
      <c r="R51" s="55">
        <f>IFERROR(VLOOKUP($D51,'Adient Arendal (Malzia) WK.12'!$B:K,R$1,0),0)</f>
        <v>0</v>
      </c>
      <c r="S51" s="55">
        <f>IFERROR(VLOOKUP($D51,'Adient Taizhou (China) WK.16'!$B:K,R$1,0),0)</f>
        <v>0</v>
      </c>
      <c r="T51" s="41">
        <v>720</v>
      </c>
      <c r="U51" s="32">
        <v>0</v>
      </c>
      <c r="V51" s="106">
        <f t="shared" si="235"/>
        <v>3940</v>
      </c>
      <c r="X51" s="37">
        <f t="shared" si="236"/>
        <v>3940</v>
      </c>
      <c r="Y51" s="125">
        <f>IFERROR(VLOOKUP($D51,'Adient Assende (Belgium) WK.17'!$B:S,Z$1,0),0)</f>
        <v>720</v>
      </c>
      <c r="Z51" s="55">
        <f>IFERROR(VLOOKUP($D51,'Adient Arendal (Malzia) WK.12'!$B:S,Z$1,0),0)</f>
        <v>0</v>
      </c>
      <c r="AA51" s="55">
        <f>IFERROR(VLOOKUP($D51,'Adient Taizhou (China) WK.16'!$B:S,Z$1,0),0)</f>
        <v>0</v>
      </c>
      <c r="AB51" s="41">
        <v>640</v>
      </c>
      <c r="AC51" s="32">
        <v>0</v>
      </c>
      <c r="AD51" s="106">
        <f t="shared" si="237"/>
        <v>3300</v>
      </c>
      <c r="AF51" s="37">
        <f t="shared" si="238"/>
        <v>3300</v>
      </c>
      <c r="AG51" s="125">
        <f>IFERROR(VLOOKUP($D51,'Adient Assende (Belgium) WK.17'!$B:AA,AH$1,0),0)</f>
        <v>640</v>
      </c>
      <c r="AH51" s="55">
        <f>IFERROR(VLOOKUP($D51,'Adient Arendal (Malzia) WK.12'!$B:AA,AH$1,0),0)</f>
        <v>0</v>
      </c>
      <c r="AI51" s="55">
        <f>IFERROR(VLOOKUP($D51,'Adient Taizhou (China) WK.16'!$B:AA,AH$1,0),0)</f>
        <v>0</v>
      </c>
      <c r="AJ51" s="41">
        <v>560</v>
      </c>
      <c r="AK51" s="32">
        <v>0</v>
      </c>
      <c r="AL51" s="106">
        <f t="shared" si="239"/>
        <v>2740</v>
      </c>
      <c r="AN51" s="37">
        <f t="shared" si="432"/>
        <v>2740</v>
      </c>
      <c r="AO51" s="125">
        <f>IFERROR(VLOOKUP($D51,'Adient Assende (Belgium) WK.17'!$B:AI,AP$1,0),0)</f>
        <v>560</v>
      </c>
      <c r="AP51" s="55">
        <f>IFERROR(VLOOKUP($D51,'Adient Arendal (Malzia) WK.12'!$B:AI,AP$1,0),0)</f>
        <v>0</v>
      </c>
      <c r="AQ51" s="55">
        <f>IFERROR(VLOOKUP($D51,'Adient Taizhou (China) WK.16'!$B:AI,AP$1,0),0)</f>
        <v>0</v>
      </c>
      <c r="AR51" s="60">
        <v>0</v>
      </c>
      <c r="AS51" s="41">
        <v>400</v>
      </c>
      <c r="AT51" s="32">
        <v>0</v>
      </c>
      <c r="AU51" s="106">
        <f t="shared" si="240"/>
        <v>2340</v>
      </c>
      <c r="AW51" s="37">
        <f t="shared" si="433"/>
        <v>2340</v>
      </c>
      <c r="AX51" s="125">
        <f>IFERROR(VLOOKUP($D51,'Adient Assende (Belgium) WK.17'!$B:AR,AY$1,0),0)</f>
        <v>400</v>
      </c>
      <c r="AY51" s="55">
        <f>IFERROR(VLOOKUP($D51,'Adient Arendal (Malzia) WK.12'!$B:AR,AY$1,0),0)</f>
        <v>0</v>
      </c>
      <c r="AZ51" s="55">
        <f>IFERROR(VLOOKUP($D51,'Adient Taizhou (China) WK.16'!$B:AU,AY$1,0),0)</f>
        <v>0</v>
      </c>
      <c r="BA51" s="41">
        <v>480</v>
      </c>
      <c r="BB51" s="32">
        <v>0</v>
      </c>
      <c r="BC51" s="106">
        <f t="shared" si="241"/>
        <v>1860</v>
      </c>
      <c r="BE51" s="37">
        <f t="shared" si="434"/>
        <v>1860</v>
      </c>
      <c r="BF51" s="125">
        <f>IFERROR(VLOOKUP($D51,'Adient Assende (Belgium) WK.17'!$B:AX,BG$1,0),0)</f>
        <v>480</v>
      </c>
      <c r="BG51" s="55">
        <f>IFERROR(VLOOKUP($D51,'Adient Arendal (Malzia) WK.12'!$B:AZ,BG$1,0),0)</f>
        <v>0</v>
      </c>
      <c r="BH51" s="55">
        <f>IFERROR(VLOOKUP($D51,'Adient Taizhou (China) WK.16'!$B:BB,BG$1,0),0)</f>
        <v>0</v>
      </c>
      <c r="BI51" s="60">
        <v>0</v>
      </c>
      <c r="BJ51" s="60">
        <v>0</v>
      </c>
      <c r="BK51" s="41">
        <v>400</v>
      </c>
      <c r="BL51" s="32">
        <v>0</v>
      </c>
      <c r="BM51" s="106">
        <f t="shared" si="242"/>
        <v>1460</v>
      </c>
      <c r="BN51" s="8"/>
      <c r="BO51" s="37">
        <f t="shared" si="435"/>
        <v>1460</v>
      </c>
      <c r="BP51" s="125">
        <f>IFERROR(VLOOKUP($D51,'Adient Assende (Belgium) WK.17'!$B:BH,BQ$1,0),0)</f>
        <v>400</v>
      </c>
      <c r="BQ51" s="55">
        <f>IFERROR(VLOOKUP($D51,'Adient Arendal (Malzia) WK.12'!$B:BI,BQ$1,0),0)</f>
        <v>0</v>
      </c>
      <c r="BR51" s="55">
        <f>IFERROR(VLOOKUP($D51,'Adient Taizhou (China) WK.16'!$B:BL,BQ$1,0),0)</f>
        <v>0</v>
      </c>
      <c r="BS51" s="60">
        <v>0</v>
      </c>
      <c r="BT51" s="60">
        <v>0</v>
      </c>
      <c r="BU51" s="60">
        <v>0</v>
      </c>
      <c r="BV51" s="41">
        <v>480</v>
      </c>
      <c r="BW51" s="32">
        <v>0</v>
      </c>
      <c r="BX51" s="106">
        <f t="shared" si="243"/>
        <v>980</v>
      </c>
      <c r="BY51" s="8"/>
      <c r="BZ51" s="37">
        <f t="shared" si="436"/>
        <v>980</v>
      </c>
      <c r="CA51" s="125">
        <f>IFERROR(VLOOKUP($D51,'Adient Assende (Belgium) WK.17'!$B:BS,CB$1,0),0)</f>
        <v>480</v>
      </c>
      <c r="CB51" s="55">
        <f>IFERROR(VLOOKUP($D51,'Adient Arendal (Malzia) WK.12'!$B:BT,CB$1,0),0)</f>
        <v>0</v>
      </c>
      <c r="CC51" s="55">
        <f>IFERROR(VLOOKUP($D51,'Adient Taizhou (China) WK.16'!$B:BW,CB$1,0),0)</f>
        <v>0</v>
      </c>
      <c r="CD51" s="60">
        <v>0</v>
      </c>
      <c r="CE51" s="60">
        <v>0</v>
      </c>
      <c r="CF51" s="41">
        <v>800</v>
      </c>
      <c r="CG51" s="32">
        <v>0</v>
      </c>
      <c r="CH51" s="106">
        <f t="shared" si="244"/>
        <v>180</v>
      </c>
      <c r="CI51" s="8"/>
      <c r="CJ51" s="37">
        <f t="shared" si="437"/>
        <v>180</v>
      </c>
      <c r="CK51" s="125">
        <f>IFERROR(VLOOKUP($D51,'Adient Assende (Belgium) WK.17'!$B:CC,CL$1,0),0)</f>
        <v>800</v>
      </c>
      <c r="CL51" s="55">
        <f>IFERROR(VLOOKUP($D51,'Adient Arendal (Malzia) WK.12'!$B:CD,CL$1,0),0)</f>
        <v>0</v>
      </c>
      <c r="CM51" s="55">
        <f>IFERROR(VLOOKUP($D51,'Adient Taizhou (China) WK.16'!$B:CG,CL$1,0),0)</f>
        <v>0</v>
      </c>
      <c r="CN51" s="60">
        <v>480</v>
      </c>
      <c r="CO51" s="149">
        <v>0</v>
      </c>
      <c r="CP51" s="32">
        <v>0</v>
      </c>
      <c r="CQ51" s="106">
        <f t="shared" si="245"/>
        <v>660</v>
      </c>
      <c r="CR51" s="8"/>
      <c r="CS51" s="122">
        <f t="shared" si="438"/>
        <v>660</v>
      </c>
      <c r="CT51" s="154">
        <f>IFERROR(VLOOKUP($D51,'Adient Assende (Belgium) WK.17'!$B:CL,CU$1,0),0)</f>
        <v>0</v>
      </c>
      <c r="CU51" s="55">
        <f>IFERROR(VLOOKUP($D51,'Adient Arendal (Malzia) WK.12'!$B:CM,CU$1,0),0)</f>
        <v>0</v>
      </c>
      <c r="CV51" s="55">
        <f>IFERROR(VLOOKUP($D51,'Adient Taizhou (China) WK.16'!$B:CP,CU$1,0),0)</f>
        <v>0</v>
      </c>
      <c r="CW51" s="60">
        <v>0</v>
      </c>
      <c r="CX51" s="60">
        <v>680</v>
      </c>
      <c r="CY51" s="128">
        <v>400</v>
      </c>
      <c r="CZ51" s="32">
        <v>0</v>
      </c>
      <c r="DA51" s="106">
        <f t="shared" si="246"/>
        <v>940</v>
      </c>
      <c r="DB51" s="8"/>
      <c r="DC51" s="37">
        <f t="shared" si="439"/>
        <v>940</v>
      </c>
      <c r="DD51" s="125">
        <f>IFERROR(VLOOKUP($D51,'Adient Assende (Belgium) WK.17'!$B:CS,DE$1,0),0)</f>
        <v>400</v>
      </c>
      <c r="DE51" s="55">
        <f>IFERROR(VLOOKUP($D51,'Adient Arendal (Malzia) WK.12'!$B:CU,DE$1,0),0)</f>
        <v>0</v>
      </c>
      <c r="DF51" s="55">
        <f>IFERROR(VLOOKUP($D51,'Adient Taizhou (China) WK.16'!$B:CX,DE$1,0),0)</f>
        <v>0</v>
      </c>
      <c r="DG51" s="60">
        <v>1100</v>
      </c>
      <c r="DH51" s="128">
        <v>320</v>
      </c>
      <c r="DI51" s="32">
        <v>0</v>
      </c>
      <c r="DJ51" s="106">
        <f t="shared" si="247"/>
        <v>1720</v>
      </c>
      <c r="DL51" s="37">
        <f t="shared" si="440"/>
        <v>1720</v>
      </c>
      <c r="DM51" s="125">
        <f>IFERROR(VLOOKUP($D51,'Adient Assende (Belgium) WK.17'!$B:DB,DN$1,0),0)</f>
        <v>320</v>
      </c>
      <c r="DN51" s="55">
        <f>IFERROR(VLOOKUP($D51,'Adient Arendal (Malzia) WK.12'!$B:DC,DN$1,0),0)</f>
        <v>0</v>
      </c>
      <c r="DO51" s="55">
        <f>IFERROR(VLOOKUP($D51,'Adient Taizhou (China) WK.16'!$B:DF,DN$1,0),0)</f>
        <v>0</v>
      </c>
      <c r="DP51" s="128">
        <v>400</v>
      </c>
      <c r="DQ51" s="32">
        <v>0</v>
      </c>
      <c r="DR51" s="106">
        <f t="shared" si="441"/>
        <v>1320</v>
      </c>
      <c r="DS51" s="8"/>
      <c r="DT51" s="37">
        <f t="shared" si="442"/>
        <v>1320</v>
      </c>
      <c r="DU51" s="125">
        <f>IFERROR(VLOOKUP($D51,'Adient Assende (Belgium) WK.17'!$B:DJ,DV$1,0),0)</f>
        <v>400</v>
      </c>
      <c r="DV51" s="55">
        <f>IFERROR(VLOOKUP($D51,'Adient Arendal (Malzia) WK.12'!$B:DK,DV$1,0),0)</f>
        <v>0</v>
      </c>
      <c r="DW51" s="55">
        <f>IFERROR(VLOOKUP($D51,'Adient Taizhou (China) WK.16'!$B:DN,DV$1,0),0)</f>
        <v>0</v>
      </c>
      <c r="DX51" s="60">
        <v>320</v>
      </c>
      <c r="DY51" s="60">
        <v>1380</v>
      </c>
      <c r="DZ51" s="128">
        <v>560</v>
      </c>
      <c r="EA51" s="32">
        <v>0</v>
      </c>
      <c r="EB51" s="106">
        <f t="shared" si="248"/>
        <v>2460</v>
      </c>
      <c r="EC51" s="8"/>
      <c r="ED51" s="37">
        <f t="shared" si="443"/>
        <v>2460</v>
      </c>
      <c r="EE51" s="125">
        <f>IFERROR(VLOOKUP($D51,'Adient Assende (Belgium) WK.17'!$B:DR,EF$1,0),0)</f>
        <v>560</v>
      </c>
      <c r="EF51" s="55">
        <f>IFERROR(VLOOKUP($D51,'Adient Arendal (Malzia) WK.12'!$B:DS,EF$1,0),0)</f>
        <v>0</v>
      </c>
      <c r="EG51" s="55">
        <f>IFERROR(VLOOKUP($D51,'Adient Taizhou (China) WK.16'!$B:DV,EF$1,0),0)</f>
        <v>0</v>
      </c>
      <c r="EH51" s="60">
        <v>0</v>
      </c>
      <c r="EI51" s="128">
        <v>560</v>
      </c>
      <c r="EJ51" s="32">
        <v>0</v>
      </c>
      <c r="EK51" s="106">
        <f t="shared" si="249"/>
        <v>1900</v>
      </c>
      <c r="EM51" s="37">
        <f t="shared" si="444"/>
        <v>1900</v>
      </c>
      <c r="EN51" s="125">
        <f>IFERROR(VLOOKUP($D51,'Adient Assende (Belgium) WK.17'!$B:DZ,EO$1,0),0)</f>
        <v>560</v>
      </c>
      <c r="EO51" s="55">
        <f>IFERROR(VLOOKUP($D51,'Adient Arendal (Malzia) WK.12'!$B:EA,EO$1,0),0)</f>
        <v>0</v>
      </c>
      <c r="EP51" s="55">
        <f>IFERROR(VLOOKUP($D51,'Adient Taizhou (China) WK.16'!$B:ED,EO$1,0),0)</f>
        <v>0</v>
      </c>
      <c r="EQ51" s="128">
        <v>560</v>
      </c>
      <c r="ER51" s="32">
        <v>0</v>
      </c>
      <c r="ES51" s="106">
        <f t="shared" si="250"/>
        <v>1340</v>
      </c>
      <c r="EU51" s="37">
        <f t="shared" si="445"/>
        <v>1340</v>
      </c>
      <c r="EV51" s="125">
        <f>IFERROR(VLOOKUP($D51,'Adient Assende (Belgium) WK.17'!$B:EH,EW$1,0),0)</f>
        <v>560</v>
      </c>
      <c r="EW51" s="55">
        <f>IFERROR(VLOOKUP($D51,'Adient Arendal (Malzia) WK.12'!$B:EI,EW$1,0),0)</f>
        <v>0</v>
      </c>
      <c r="EX51" s="55">
        <f>IFERROR(VLOOKUP($D51,'Adient Taizhou (China) WK.16'!$B:EL,EW$1,0),0)</f>
        <v>0</v>
      </c>
      <c r="EY51" s="128">
        <v>0</v>
      </c>
      <c r="EZ51" s="32">
        <v>0</v>
      </c>
      <c r="FA51" s="106">
        <f t="shared" si="251"/>
        <v>1340</v>
      </c>
      <c r="FC51" s="37">
        <f t="shared" si="446"/>
        <v>1340</v>
      </c>
      <c r="FD51" s="154">
        <f>IFERROR(VLOOKUP($D51,'Adient Assende (Belgium) WK.17'!$B:EP,FE$1,0),0)</f>
        <v>0</v>
      </c>
      <c r="FE51" s="154">
        <f>IFERROR(VLOOKUP($D51,'Adient Arendal (Malzia) WK.12'!$B:EQ,FE$1,0),0)</f>
        <v>0</v>
      </c>
      <c r="FF51" s="154">
        <f>IFERROR(VLOOKUP($D51,'Adient Taizhou (China) WK.16'!$B:ET,FE$1,0),0)</f>
        <v>0</v>
      </c>
      <c r="FG51" s="128">
        <v>0</v>
      </c>
      <c r="FH51" s="32">
        <v>0</v>
      </c>
      <c r="FI51" s="106">
        <f t="shared" si="252"/>
        <v>1340</v>
      </c>
      <c r="FK51" s="37">
        <f t="shared" si="447"/>
        <v>1340</v>
      </c>
      <c r="FL51" s="125">
        <f>IFERROR(VLOOKUP($D51,'Adient Assende (Belgium) WK.17'!$B:EX,FM$1,0),0)</f>
        <v>0</v>
      </c>
      <c r="FM51" s="55">
        <f>IFERROR(VLOOKUP($D51,'Adient Arendal (Malzia) WK.12'!$B:EY,FM$1,0),0)</f>
        <v>0</v>
      </c>
      <c r="FN51" s="55">
        <f>IFERROR(VLOOKUP($D51,'Adient Taizhou (China) WK.16'!$B:FB,FM$1,0),0)</f>
        <v>0</v>
      </c>
      <c r="FO51" s="128">
        <v>640</v>
      </c>
      <c r="FP51" s="32">
        <v>0</v>
      </c>
      <c r="FQ51" s="106">
        <f t="shared" si="253"/>
        <v>700</v>
      </c>
      <c r="FR51" s="8"/>
      <c r="FS51" s="37">
        <f t="shared" si="448"/>
        <v>700</v>
      </c>
      <c r="FT51" s="125">
        <f>IFERROR(VLOOKUP($D51,'Adient Assende (Belgium) WK.17'!$B:FF,FU$1,0),0)</f>
        <v>640</v>
      </c>
      <c r="FU51" s="55">
        <f>IFERROR(VLOOKUP($D51,'Adient Arendal (Malzia) WK.12'!$B:FG,FU$1,0),0)</f>
        <v>0</v>
      </c>
      <c r="FV51" s="55">
        <f>IFERROR(VLOOKUP($D51,'Adient Taizhou (China) WK.16'!$B:FJ,FU$1,0),0)</f>
        <v>0</v>
      </c>
      <c r="FW51" s="60">
        <v>500</v>
      </c>
      <c r="FX51" s="60">
        <v>0</v>
      </c>
      <c r="FY51" s="60">
        <v>1060</v>
      </c>
      <c r="FZ51" s="60">
        <v>100</v>
      </c>
      <c r="GA51" s="60">
        <v>680</v>
      </c>
      <c r="GB51" s="128">
        <v>640</v>
      </c>
      <c r="GC51" s="32">
        <v>0</v>
      </c>
      <c r="GD51" s="106">
        <f t="shared" si="254"/>
        <v>2400</v>
      </c>
      <c r="GF51" s="37">
        <f t="shared" si="449"/>
        <v>2400</v>
      </c>
      <c r="GG51" s="125">
        <f>IFERROR(VLOOKUP($D51,'Adient Assende (Belgium) WK.17'!$B:FN,GH$1,0),0)</f>
        <v>640</v>
      </c>
      <c r="GH51" s="55">
        <f>IFERROR(VLOOKUP($D51,'Adient Arendal (Malzia) WK.12'!$B:FO,GH$1,0),0)</f>
        <v>0</v>
      </c>
      <c r="GI51" s="55">
        <f>IFERROR(VLOOKUP($D51,'Adient Taizhou (China) WK.16'!$B:FR,GH$1,0),0)</f>
        <v>0</v>
      </c>
      <c r="GJ51" s="60">
        <v>660</v>
      </c>
      <c r="GK51" s="128">
        <v>560</v>
      </c>
      <c r="GL51" s="32">
        <v>0</v>
      </c>
      <c r="GM51" s="106">
        <f t="shared" si="255"/>
        <v>2500</v>
      </c>
      <c r="GO51" s="37">
        <f t="shared" si="450"/>
        <v>2500</v>
      </c>
      <c r="GP51" s="125">
        <f>IFERROR(VLOOKUP($D51,'Adient Assende (Belgium) WK.17'!$B:FV,GQ$1,0),0)</f>
        <v>560</v>
      </c>
      <c r="GQ51" s="55">
        <f>IFERROR(VLOOKUP($D51,'Adient Arendal (Malzia) WK.12'!$B:FW,GQ$1,0),0)</f>
        <v>0</v>
      </c>
      <c r="GR51" s="55">
        <f>IFERROR(VLOOKUP($D51,'Adient Taizhou (China) WK.16'!$B:FZ,GQ$1,0),0)</f>
        <v>0</v>
      </c>
      <c r="GS51" s="60">
        <v>100</v>
      </c>
      <c r="GT51" s="128">
        <v>640</v>
      </c>
      <c r="GU51" s="32">
        <v>0</v>
      </c>
      <c r="GV51" s="106">
        <f t="shared" si="256"/>
        <v>1960</v>
      </c>
      <c r="GW51" s="8"/>
      <c r="GX51" s="37">
        <f t="shared" si="451"/>
        <v>1960</v>
      </c>
      <c r="GY51" s="125">
        <f>IFERROR(VLOOKUP($D51,'Adient Assende (Belgium) WK.17'!$B:GD,GZ$1,0),0)</f>
        <v>640</v>
      </c>
      <c r="GZ51" s="55">
        <f>IFERROR(VLOOKUP($D51,'Adient Arendal (Malzia) WK.12'!$B:GE,GZ$1,0),0)</f>
        <v>0</v>
      </c>
      <c r="HA51" s="55">
        <f>IFERROR(VLOOKUP($D51,'Adient Taizhou (China) WK.16'!$B:GH,GZ$1,0),0)</f>
        <v>0</v>
      </c>
      <c r="HB51" s="60">
        <v>1420</v>
      </c>
      <c r="HC51" s="128">
        <v>560</v>
      </c>
      <c r="HD51" s="32">
        <v>0</v>
      </c>
      <c r="HE51" s="106">
        <f t="shared" si="257"/>
        <v>2820</v>
      </c>
      <c r="HF51" s="8"/>
      <c r="HG51" s="37">
        <f t="shared" si="452"/>
        <v>2820</v>
      </c>
      <c r="HH51" s="125">
        <f>IFERROR(VLOOKUP($D51,'Adient Assende (Belgium) WK.17'!$B:GL,HI$1,0),0)</f>
        <v>560</v>
      </c>
      <c r="HI51" s="55">
        <f>IFERROR(VLOOKUP($D51,'Adient Arendal (Malzia) WK.12'!$B:GM,HI$1,0),0)</f>
        <v>0</v>
      </c>
      <c r="HJ51" s="55">
        <f>IFERROR(VLOOKUP($D51,'Adient Taizhou (China) WK.16'!$B:GP,HI$1,0),0)</f>
        <v>0</v>
      </c>
      <c r="HK51" s="60">
        <v>460</v>
      </c>
      <c r="HL51" s="128">
        <v>480</v>
      </c>
      <c r="HM51" s="32">
        <v>0</v>
      </c>
      <c r="HN51" s="106">
        <f t="shared" si="258"/>
        <v>2800</v>
      </c>
      <c r="HO51" s="8"/>
      <c r="HP51" s="37">
        <f t="shared" si="453"/>
        <v>2800</v>
      </c>
      <c r="HQ51" s="125">
        <f>IFERROR(VLOOKUP($D51,'Adient Assende (Belgium) WK.17'!$B:GT,HR$1,0),0)</f>
        <v>480</v>
      </c>
      <c r="HR51" s="55">
        <f>IFERROR(VLOOKUP($D51,'Adient Arendal (Malzia) WK.12'!$B:GU,HR$1,0),0)</f>
        <v>0</v>
      </c>
      <c r="HS51" s="55">
        <f>IFERROR(VLOOKUP($D51,'Adient Taizhou (China) WK.16'!$B:GX,HR$1,0),0)</f>
        <v>0</v>
      </c>
      <c r="HT51" s="60">
        <v>1280</v>
      </c>
      <c r="HU51" s="128">
        <v>400</v>
      </c>
      <c r="HV51" s="32">
        <v>0</v>
      </c>
      <c r="HW51" s="106">
        <f t="shared" si="259"/>
        <v>3680</v>
      </c>
      <c r="HX51" s="8"/>
      <c r="HY51" s="37">
        <f t="shared" si="454"/>
        <v>3680</v>
      </c>
      <c r="HZ51" s="125">
        <f>IFERROR(VLOOKUP($D51,'Adient Assende (Belgium) WK.17'!$B:HB,IA$1,0),0)</f>
        <v>400</v>
      </c>
      <c r="IA51" s="55">
        <f>IFERROR(VLOOKUP($D51,'Adient Arendal (Malzia) WK.12'!$B:HC,IA$1,0),0)</f>
        <v>0</v>
      </c>
      <c r="IB51" s="55">
        <f>IFERROR(VLOOKUP($D51,'Adient Taizhou (China) WK.16'!$B:HF,IA$1,0),0)</f>
        <v>0</v>
      </c>
      <c r="IC51" s="60">
        <v>1140</v>
      </c>
      <c r="ID51" s="128">
        <v>720</v>
      </c>
      <c r="IE51" s="32">
        <v>0</v>
      </c>
      <c r="IF51" s="106">
        <f t="shared" si="260"/>
        <v>4100</v>
      </c>
      <c r="IG51" s="8"/>
      <c r="IH51" s="37">
        <f t="shared" si="455"/>
        <v>4100</v>
      </c>
      <c r="II51" s="125">
        <f>IFERROR(VLOOKUP($D51,'Adient Assende (Belgium) WK.17'!$B:HJ,IJ$1,0),0)</f>
        <v>720</v>
      </c>
      <c r="IJ51" s="55">
        <f>IFERROR(VLOOKUP($D51,'Adient Arendal (Malzia) WK.12'!$B:HK,IJ$1,0),0)</f>
        <v>0</v>
      </c>
      <c r="IK51" s="55">
        <f>IFERROR(VLOOKUP($D51,'Adient Taizhou (China) WK.16'!$B:HN,IJ$1,0),0)</f>
        <v>0</v>
      </c>
      <c r="IL51" s="128">
        <v>800</v>
      </c>
      <c r="IM51" s="32">
        <v>0</v>
      </c>
      <c r="IN51" s="106">
        <f t="shared" si="456"/>
        <v>3300</v>
      </c>
      <c r="IO51" s="8"/>
      <c r="IP51" s="37">
        <f t="shared" si="457"/>
        <v>3300</v>
      </c>
      <c r="IQ51" s="125">
        <f>IFERROR(VLOOKUP($D51,'Adient Assende (Belgium) WK.17'!$B:HR,IR$1,0),0)</f>
        <v>800</v>
      </c>
      <c r="IR51" s="55">
        <f>IFERROR(VLOOKUP($D51,'Adient Arendal (Malzia) WK.12'!$B:HS,IR$1,0),0)</f>
        <v>0</v>
      </c>
      <c r="IS51" s="55">
        <f>IFERROR(VLOOKUP($D51,'Adient Taizhou (China) WK.16'!$B:HV,IR$1,0),0)</f>
        <v>0</v>
      </c>
      <c r="IT51" s="60">
        <v>400</v>
      </c>
      <c r="IU51" s="128">
        <v>800</v>
      </c>
      <c r="IV51" s="32">
        <v>0</v>
      </c>
      <c r="IW51" s="106">
        <f t="shared" si="261"/>
        <v>2900</v>
      </c>
      <c r="IX51" s="8"/>
      <c r="IY51" s="37">
        <f t="shared" si="458"/>
        <v>2900</v>
      </c>
      <c r="IZ51" s="125">
        <f>IFERROR(VLOOKUP($D51,'Adient Assende (Belgium) WK.17'!$B:HZ,JA$1,0),0)</f>
        <v>800</v>
      </c>
      <c r="JA51" s="55">
        <f>IFERROR(VLOOKUP($D51,'Adient Arendal (Malzia) WK.12'!$B:IA,JA$1,0),0)</f>
        <v>0</v>
      </c>
      <c r="JB51" s="55">
        <f>IFERROR(VLOOKUP($D51,'Adient Taizhou (China) WK.16'!$B:ID,JA$1,0),0)</f>
        <v>0</v>
      </c>
      <c r="JC51" s="128">
        <v>400</v>
      </c>
      <c r="JD51" s="32">
        <v>0</v>
      </c>
      <c r="JE51" s="106">
        <f t="shared" si="459"/>
        <v>2500</v>
      </c>
      <c r="JF51" s="8"/>
      <c r="JG51" s="37">
        <f t="shared" si="460"/>
        <v>2500</v>
      </c>
      <c r="JH51" s="125">
        <f>IFERROR(VLOOKUP($D51,'Adient Assende (Belgium) WK.17'!$B:IH,JI$1,0),0)</f>
        <v>400</v>
      </c>
      <c r="JI51" s="55">
        <f>IFERROR(VLOOKUP($D51,'Adient Arendal (Malzia) WK.12'!$B:II,JI$1,0),0)</f>
        <v>0</v>
      </c>
      <c r="JJ51" s="55">
        <f>IFERROR(VLOOKUP($D51,'Adient Taizhou (China) WK.16'!$B:IL,JI$1,0),0)</f>
        <v>0</v>
      </c>
      <c r="JK51" s="60">
        <v>1080</v>
      </c>
      <c r="JL51" s="128">
        <v>1440</v>
      </c>
      <c r="JM51" s="32">
        <v>0</v>
      </c>
      <c r="JN51" s="106">
        <f t="shared" si="262"/>
        <v>2140</v>
      </c>
      <c r="JO51" s="8"/>
      <c r="JP51" s="37">
        <f t="shared" si="461"/>
        <v>2140</v>
      </c>
      <c r="JQ51" s="125">
        <f>IFERROR(VLOOKUP($D51,'Adient Assende (Belgium) WK.17'!$B:IP,JR$1,0),0)</f>
        <v>1440</v>
      </c>
      <c r="JR51" s="55">
        <f>IFERROR(VLOOKUP($D51,'Adient Arendal (Malzia) WK.12'!$B:IQ,JR$1,0),0)</f>
        <v>0</v>
      </c>
      <c r="JS51" s="55">
        <f>IFERROR(VLOOKUP($D51,'Adient Taizhou (China) WK.16'!$B:IT,JR$1,0),0)</f>
        <v>0</v>
      </c>
      <c r="JT51" s="128">
        <v>0</v>
      </c>
      <c r="JU51" s="32">
        <v>0</v>
      </c>
      <c r="JV51" s="106">
        <f t="shared" si="462"/>
        <v>2140</v>
      </c>
      <c r="JW51" s="8"/>
      <c r="JX51" s="37">
        <f t="shared" si="463"/>
        <v>2140</v>
      </c>
      <c r="JY51" s="154">
        <f>IFERROR(VLOOKUP($D51,'Adient Assende (Belgium) WK.17'!$B:IX,JZ$1,0),0)</f>
        <v>0</v>
      </c>
      <c r="JZ51" s="55">
        <f>IFERROR(VLOOKUP($D51,'Adient Arendal (Malzia) WK.12'!$B:IY,JZ$1,0),0)</f>
        <v>0</v>
      </c>
      <c r="KA51" s="55">
        <f>IFERROR(VLOOKUP($D51,'Adient Taizhou (China) WK.16'!$B:JB,JZ$1,0),0)</f>
        <v>0</v>
      </c>
      <c r="KB51" s="128">
        <v>560</v>
      </c>
      <c r="KC51" s="32">
        <v>0</v>
      </c>
      <c r="KD51" s="106">
        <f t="shared" si="263"/>
        <v>1580</v>
      </c>
      <c r="KE51" s="8"/>
      <c r="KF51" s="37">
        <f t="shared" si="464"/>
        <v>1580</v>
      </c>
      <c r="KG51" s="125">
        <f>IFERROR(VLOOKUP($D51,'Adient Assende (Belgium) WK.17'!$B:JF,KH$1,0),0)</f>
        <v>560</v>
      </c>
      <c r="KH51" s="55">
        <f>IFERROR(VLOOKUP($D51,'Adient Arendal (Malzia) WK.12'!$B:JG,KH$1,0),0)</f>
        <v>0</v>
      </c>
      <c r="KI51" s="55">
        <f>IFERROR(VLOOKUP($D51,'Adient Taizhou (China) WK.16'!$B:JJ,KH$1,0),0)</f>
        <v>0</v>
      </c>
      <c r="KJ51" s="60">
        <v>0</v>
      </c>
      <c r="KK51" s="128">
        <v>560</v>
      </c>
      <c r="KL51" s="32">
        <v>0</v>
      </c>
      <c r="KM51" s="106">
        <f t="shared" si="264"/>
        <v>1020</v>
      </c>
      <c r="KN51" s="8"/>
      <c r="KO51" s="37">
        <f t="shared" si="465"/>
        <v>1020</v>
      </c>
      <c r="KP51" s="141">
        <f>IFERROR(VLOOKUP($D51,'Adient Assende (Belgium) WK.17'!$B:JN,KQ$1,0),0)</f>
        <v>560</v>
      </c>
      <c r="KQ51" s="140">
        <f>IFERROR(VLOOKUP($D51,'Adient Arendal (Malzia) WK.12'!$B:JO,KQ$1,0),0)</f>
        <v>0</v>
      </c>
      <c r="KR51" s="140">
        <f>IFERROR(VLOOKUP($D51,'Adient Taizhou (China) WK.16'!$B:JR,KQ$1,0),0)</f>
        <v>0</v>
      </c>
      <c r="KS51" s="60">
        <v>440</v>
      </c>
      <c r="KT51" s="128">
        <v>240</v>
      </c>
      <c r="KU51" s="32">
        <v>0</v>
      </c>
      <c r="KV51" s="106">
        <f t="shared" si="265"/>
        <v>1220</v>
      </c>
      <c r="KX51" s="37">
        <f t="shared" si="466"/>
        <v>1220</v>
      </c>
      <c r="KY51" s="141">
        <f>IFERROR(VLOOKUP($D51,'Adient Assende (Belgium) WK.17'!$B:JV,KZ$1,0),0)</f>
        <v>240</v>
      </c>
      <c r="KZ51" s="140">
        <f>IFERROR(VLOOKUP($D51,'Adient Arendal (Malzia) WK.12'!$B:JW,KZ$1,0),0)</f>
        <v>0</v>
      </c>
      <c r="LA51" s="140">
        <f>IFERROR(VLOOKUP($D51,'Adient Taizhou (China) WK.16'!$B:JZ,KZ$1,0),0)</f>
        <v>0</v>
      </c>
      <c r="LB51" s="128">
        <v>0</v>
      </c>
      <c r="LC51" s="32">
        <v>0</v>
      </c>
      <c r="LD51" s="106">
        <f t="shared" si="467"/>
        <v>1220</v>
      </c>
      <c r="LF51" s="37">
        <f t="shared" si="468"/>
        <v>1220</v>
      </c>
      <c r="LG51" s="141">
        <f>IFERROR(VLOOKUP($D51,'Adient Assende (Belgium) WK.17'!$B:KD,LH$1,0),0)</f>
        <v>240</v>
      </c>
      <c r="LH51" s="140">
        <f>IFERROR(VLOOKUP($D51,'Adient Arendal (Malzia) WK.12'!$B:KE,LH$1,0),0)</f>
        <v>0</v>
      </c>
      <c r="LI51" s="140">
        <f>IFERROR(VLOOKUP($D51,'Adient Taizhou (China) WK.16'!$B:KH,LH$1,0),0)</f>
        <v>0</v>
      </c>
      <c r="LJ51" s="60">
        <v>220</v>
      </c>
      <c r="LK51" s="128">
        <v>0</v>
      </c>
      <c r="LL51" s="32">
        <v>0</v>
      </c>
      <c r="LM51" s="100">
        <f t="shared" si="267"/>
        <v>1200</v>
      </c>
      <c r="LO51" s="37">
        <f t="shared" si="469"/>
        <v>1200</v>
      </c>
      <c r="LP51" s="141">
        <f>IFERROR(VLOOKUP($D51,'Adient Assende (Belgium) WK.17'!$B:KL,LQ$1,0),0)</f>
        <v>160</v>
      </c>
      <c r="LQ51" s="140">
        <f>IFERROR(VLOOKUP($D51,'Adient Arendal (Malzia) WK.12'!$B:KM,LQ$1,0),0)</f>
        <v>0</v>
      </c>
      <c r="LR51" s="140">
        <f>IFERROR(VLOOKUP($D51,'Adient Taizhou (China) WK.16'!$B:KP,LQ$1,0),0)</f>
        <v>0</v>
      </c>
      <c r="LS51" s="128">
        <v>0</v>
      </c>
      <c r="LT51" s="32">
        <v>0</v>
      </c>
      <c r="LU51" s="100">
        <f t="shared" si="470"/>
        <v>1040</v>
      </c>
      <c r="LW51" s="37">
        <f t="shared" si="471"/>
        <v>1040</v>
      </c>
      <c r="LX51" s="141">
        <f>IFERROR(VLOOKUP($D51,'Adient Assende (Belgium) WK.17'!$B:KT,LY$1,0),0)</f>
        <v>640</v>
      </c>
      <c r="LY51" s="140">
        <f>IFERROR(VLOOKUP($D51,'Adient Arendal (Malzia) WK.12'!$B:KU,LY$1,0),0)</f>
        <v>0</v>
      </c>
      <c r="LZ51" s="140">
        <f>IFERROR(VLOOKUP($D51,'Adient Taizhou (China) WK.16'!$B:KX,LY$1,0),0)</f>
        <v>0</v>
      </c>
      <c r="MA51" s="128">
        <v>0</v>
      </c>
      <c r="MB51" s="32">
        <v>0</v>
      </c>
      <c r="MC51" s="100">
        <f t="shared" si="472"/>
        <v>400</v>
      </c>
      <c r="ME51" s="37">
        <f t="shared" si="473"/>
        <v>400</v>
      </c>
      <c r="MF51" s="154">
        <f>IFERROR(VLOOKUP($D51,'Adient Assende (Belgium) WK.17'!$B:LB,MG$1,0),0)</f>
        <v>0</v>
      </c>
      <c r="MG51" s="140">
        <f>IFERROR(VLOOKUP($D51,'Adient Arendal (Malzia) WK.12'!$B:LC,MG$1,0),0)</f>
        <v>0</v>
      </c>
      <c r="MH51" s="140">
        <f>IFERROR(VLOOKUP($D51,'Adient Taizhou (China) WK.16'!$B:LF,MG$1,0),0)</f>
        <v>0</v>
      </c>
      <c r="MI51" s="128">
        <v>0</v>
      </c>
      <c r="MJ51" s="32">
        <v>0</v>
      </c>
      <c r="MK51" s="100">
        <f t="shared" si="474"/>
        <v>400</v>
      </c>
      <c r="MM51" s="37">
        <f t="shared" si="475"/>
        <v>400</v>
      </c>
      <c r="MN51" s="141">
        <f>IFERROR(VLOOKUP($D51,'Adient Assende (Belgium) WK.17'!$B:LJ,MO$1,0),0)</f>
        <v>560</v>
      </c>
      <c r="MO51" s="140">
        <f>IFERROR(VLOOKUP($D51,'Adient Arendal (Malzia) WK.12'!$B:LK,MO$1,0),0)</f>
        <v>0</v>
      </c>
      <c r="MP51" s="140">
        <f>IFERROR(VLOOKUP($D51,'Adient Taizhou (China) WK.16'!$B:LN,MO$1,0),0)</f>
        <v>0</v>
      </c>
      <c r="MQ51" s="128">
        <v>0</v>
      </c>
      <c r="MR51" s="32">
        <v>0</v>
      </c>
      <c r="MS51" s="100">
        <f t="shared" si="476"/>
        <v>-160</v>
      </c>
      <c r="MU51" s="37">
        <f t="shared" si="477"/>
        <v>-160</v>
      </c>
      <c r="MV51" s="141">
        <f>IFERROR(VLOOKUP($D51,'Adient Assende (Belgium) WK.17'!$B:LR,MW$1,0),0)</f>
        <v>560</v>
      </c>
      <c r="MW51" s="140">
        <f>IFERROR(VLOOKUP($D51,'Adient Arendal (Malzia) WK.12'!$B:LS,MW$1,0),0)</f>
        <v>0</v>
      </c>
      <c r="MX51" s="140">
        <f>IFERROR(VLOOKUP($D51,'Adient Taizhou (China) WK.16'!$B:LV,MW$1,0),0)</f>
        <v>0</v>
      </c>
      <c r="MY51" s="128">
        <v>0</v>
      </c>
      <c r="MZ51" s="32">
        <v>0</v>
      </c>
      <c r="NA51" s="100">
        <f t="shared" si="478"/>
        <v>-720</v>
      </c>
      <c r="NC51" s="37">
        <f t="shared" si="479"/>
        <v>-720</v>
      </c>
      <c r="ND51" s="141">
        <f>IFERROR(VLOOKUP($D51,'Adient Assende (Belgium) WK.17'!$B:LZ,NE$1,0),0)</f>
        <v>720</v>
      </c>
      <c r="NE51" s="140">
        <f>IFERROR(VLOOKUP($D51,'Adient Arendal (Malzia) WK.12'!$B:MA,NE$1,0),0)</f>
        <v>0</v>
      </c>
      <c r="NF51" s="140">
        <f>IFERROR(VLOOKUP($D51,'Adient Taizhou (China) WK.16'!$B:MD,NE$1,0),0)</f>
        <v>0</v>
      </c>
      <c r="NG51" s="128">
        <v>0</v>
      </c>
      <c r="NH51" s="32">
        <v>0</v>
      </c>
      <c r="NI51" s="100">
        <f t="shared" si="480"/>
        <v>-1440</v>
      </c>
      <c r="NK51" s="37">
        <f t="shared" si="481"/>
        <v>-1440</v>
      </c>
      <c r="NL51" s="141">
        <f>IFERROR(VLOOKUP($D51,'Adient Assende (Belgium) WK.17'!$B:MH,NM$1,0),0)</f>
        <v>560</v>
      </c>
      <c r="NM51" s="140">
        <f>IFERROR(VLOOKUP($D51,'Adient Arendal (Malzia) WK.12'!$B:MI,NM$1,0),0)</f>
        <v>0</v>
      </c>
      <c r="NN51" s="140">
        <f>IFERROR(VLOOKUP($D51,'Adient Taizhou (China) WK.16'!$B:ML,NM$1,0),0)</f>
        <v>0</v>
      </c>
      <c r="NO51" s="128">
        <v>0</v>
      </c>
      <c r="NP51" s="32">
        <v>0</v>
      </c>
      <c r="NQ51" s="100">
        <f t="shared" si="482"/>
        <v>-2000</v>
      </c>
      <c r="NS51" s="37">
        <f t="shared" si="483"/>
        <v>-2000</v>
      </c>
      <c r="NT51" s="141">
        <f>IFERROR(VLOOKUP($D51,'Adient Assende (Belgium) WK.17'!$B:MP,NU$1,0),0)</f>
        <v>720</v>
      </c>
      <c r="NU51" s="140">
        <f>IFERROR(VLOOKUP($D51,'Adient Arendal (Malzia) WK.12'!$B:MQ,NU$1,0),0)</f>
        <v>0</v>
      </c>
      <c r="NV51" s="140">
        <f>IFERROR(VLOOKUP($D51,'Adient Taizhou (China) WK.16'!$B:MT,NU$1,0),0)</f>
        <v>0</v>
      </c>
      <c r="NW51" s="128">
        <v>0</v>
      </c>
      <c r="NX51" s="32">
        <v>0</v>
      </c>
      <c r="NY51" s="100">
        <f t="shared" si="484"/>
        <v>-2720</v>
      </c>
      <c r="OA51" s="37">
        <f t="shared" si="485"/>
        <v>-2720</v>
      </c>
      <c r="OB51" s="141">
        <f>IFERROR(VLOOKUP($D51,'Adient Assende (Belgium) WK.17'!$B:MX,OC$1,0),0)</f>
        <v>560</v>
      </c>
      <c r="OC51" s="140">
        <f>IFERROR(VLOOKUP($D51,'Adient Arendal (Malzia) WK.12'!$B:MY,OC$1,0),0)</f>
        <v>0</v>
      </c>
      <c r="OD51" s="140">
        <f>IFERROR(VLOOKUP($D51,'Adient Taizhou (China) WK.16'!$B:NB,OC$1,0),0)</f>
        <v>0</v>
      </c>
      <c r="OE51" s="128">
        <v>0</v>
      </c>
      <c r="OF51" s="32">
        <v>0</v>
      </c>
      <c r="OG51" s="100">
        <f t="shared" si="486"/>
        <v>-3280</v>
      </c>
      <c r="OI51" s="37">
        <f t="shared" si="487"/>
        <v>-3280</v>
      </c>
      <c r="OJ51" s="141">
        <f>IFERROR(VLOOKUP($D51,'Adient Assende (Belgium) WK.17'!$B:NF,OK$1,0),0)</f>
        <v>960</v>
      </c>
      <c r="OK51" s="140">
        <f>IFERROR(VLOOKUP($D51,'Adient Arendal (Malzia) WK.12'!$B:NG,OK$1,0),0)</f>
        <v>0</v>
      </c>
      <c r="OL51" s="140">
        <f>IFERROR(VLOOKUP($D51,'Adient Taizhou (China) WK.16'!$B:NJ,OK$1,0),0)</f>
        <v>0</v>
      </c>
      <c r="OM51" s="128">
        <v>0</v>
      </c>
      <c r="ON51" s="32">
        <v>0</v>
      </c>
      <c r="OO51" s="100">
        <f t="shared" si="488"/>
        <v>-4240</v>
      </c>
      <c r="OQ51" s="37">
        <f t="shared" si="489"/>
        <v>-4240</v>
      </c>
      <c r="OR51" s="141">
        <f>IFERROR(VLOOKUP($D51,'Adient Assende (Belgium) WK.17'!$B:NN,OS$1,0),0)</f>
        <v>0</v>
      </c>
      <c r="OS51" s="140">
        <f>IFERROR(VLOOKUP($D51,'Adient Arendal (Malzia) WK.12'!$B:NO,OS$1,0),0)</f>
        <v>0</v>
      </c>
      <c r="OT51" s="140">
        <f>IFERROR(VLOOKUP($D51,'Adient Taizhou (China) WK.16'!$B:NR,OS$1,0),0)</f>
        <v>0</v>
      </c>
      <c r="OU51" s="128">
        <v>0</v>
      </c>
      <c r="OV51" s="32">
        <v>0</v>
      </c>
      <c r="OW51" s="100">
        <f t="shared" si="490"/>
        <v>-4240</v>
      </c>
      <c r="OY51" s="37">
        <f t="shared" si="491"/>
        <v>-4240</v>
      </c>
      <c r="OZ51" s="141">
        <f>IFERROR(VLOOKUP($D51,'Adient Assende (Belgium) WK.17'!$B:NV,PA$1,0),0)</f>
        <v>0</v>
      </c>
      <c r="PA51" s="140">
        <f>IFERROR(VLOOKUP($D51,'Adient Arendal (Malzia) WK.12'!$B:NW,PA$1,0),0)</f>
        <v>0</v>
      </c>
      <c r="PB51" s="140">
        <f>IFERROR(VLOOKUP($D51,'Adient Taizhou (China) WK.16'!$B:NZ,PA$1,0),0)</f>
        <v>0</v>
      </c>
      <c r="PC51" s="128">
        <v>0</v>
      </c>
      <c r="PD51" s="32">
        <v>0</v>
      </c>
      <c r="PE51" s="100">
        <f t="shared" si="492"/>
        <v>-4240</v>
      </c>
      <c r="PG51" s="37">
        <f t="shared" si="493"/>
        <v>-4240</v>
      </c>
      <c r="PH51" s="141">
        <f>IFERROR(VLOOKUP($D51,'Adient Assende (Belgium) WK.17'!$B:OD,PI$1,0),0)</f>
        <v>0</v>
      </c>
      <c r="PI51" s="140">
        <f>IFERROR(VLOOKUP($D51,'Adient Arendal (Malzia) WK.12'!$B:OE,PI$1,0),0)</f>
        <v>0</v>
      </c>
      <c r="PJ51" s="140">
        <f>IFERROR(VLOOKUP($D51,'Adient Taizhou (China) WK.16'!$B:OH,PI$1,0),0)</f>
        <v>0</v>
      </c>
      <c r="PK51" s="128">
        <v>0</v>
      </c>
      <c r="PL51" s="32">
        <v>0</v>
      </c>
      <c r="PM51" s="100">
        <f t="shared" si="494"/>
        <v>-4240</v>
      </c>
      <c r="PO51" s="37">
        <f t="shared" si="495"/>
        <v>-4240</v>
      </c>
      <c r="PP51" s="141">
        <f>IFERROR(VLOOKUP($D51,'Adient Assende (Belgium) WK.17'!$B:OL,PQ$1,0),0)</f>
        <v>0</v>
      </c>
      <c r="PQ51" s="140">
        <f>IFERROR(VLOOKUP($D51,'Adient Arendal (Malzia) WK.12'!$B:OM,PQ$1,0),0)</f>
        <v>0</v>
      </c>
      <c r="PR51" s="140">
        <f>IFERROR(VLOOKUP($D51,'Adient Taizhou (China) WK.16'!$B:OP,PQ$1,0),0)</f>
        <v>0</v>
      </c>
      <c r="PS51" s="128">
        <v>0</v>
      </c>
      <c r="PT51" s="32">
        <v>0</v>
      </c>
      <c r="PU51" s="100">
        <f t="shared" si="496"/>
        <v>-4240</v>
      </c>
      <c r="PW51" s="37">
        <f t="shared" si="497"/>
        <v>-4240</v>
      </c>
      <c r="PX51" s="141">
        <f>IFERROR(VLOOKUP($D51,'Adient Assende (Belgium) WK.17'!$B:OT,PY$1,0),0)</f>
        <v>480</v>
      </c>
      <c r="PY51" s="140">
        <f>IFERROR(VLOOKUP($D51,'Adient Arendal (Malzia) WK.12'!$B:OU,PY$1,0),0)</f>
        <v>0</v>
      </c>
      <c r="PZ51" s="140">
        <f>IFERROR(VLOOKUP($D51,'Adient Taizhou (China) WK.16'!$B:OX,PY$1,0),0)</f>
        <v>0</v>
      </c>
      <c r="QA51" s="128">
        <v>0</v>
      </c>
      <c r="QB51" s="32">
        <v>0</v>
      </c>
      <c r="QC51" s="100">
        <f t="shared" si="498"/>
        <v>-4720</v>
      </c>
      <c r="QE51" s="37">
        <f t="shared" si="499"/>
        <v>-4720</v>
      </c>
      <c r="QF51" s="141">
        <f>IFERROR(VLOOKUP($D51,'Adient Assende (Belgium) WK.17'!$B:PB,QG$1,0),0)</f>
        <v>400</v>
      </c>
      <c r="QG51" s="140">
        <f>IFERROR(VLOOKUP($D51,'Adient Arendal (Malzia) WK.12'!$B:PC,QG$1,0),0)</f>
        <v>0</v>
      </c>
      <c r="QH51" s="140">
        <f>IFERROR(VLOOKUP($D51,'Adient Taizhou (China) WK.16'!$B:PF,QG$1,0),0)</f>
        <v>0</v>
      </c>
      <c r="QI51" s="128">
        <v>0</v>
      </c>
      <c r="QJ51" s="32">
        <v>0</v>
      </c>
      <c r="QK51" s="100">
        <f t="shared" si="500"/>
        <v>-5120</v>
      </c>
      <c r="QM51" s="37">
        <f t="shared" si="501"/>
        <v>-5120</v>
      </c>
      <c r="QN51" s="141">
        <f>IFERROR(VLOOKUP($D51,'Adient Assende (Belgium) WK.17'!$B:PJ,QO$1,0),0)</f>
        <v>480</v>
      </c>
      <c r="QO51" s="140">
        <f>IFERROR(VLOOKUP($D51,'Adient Arendal (Malzia) WK.12'!$B:PK,QO$1,0),0)</f>
        <v>0</v>
      </c>
      <c r="QP51" s="140">
        <f>IFERROR(VLOOKUP($D51,'Adient Taizhou (China) WK.16'!$B:PN,QO$1,0),0)</f>
        <v>0</v>
      </c>
      <c r="QQ51" s="128">
        <v>0</v>
      </c>
      <c r="QR51" s="32">
        <v>0</v>
      </c>
      <c r="QS51" s="100">
        <f t="shared" si="502"/>
        <v>-5600</v>
      </c>
      <c r="QU51" s="37">
        <f t="shared" si="503"/>
        <v>-5600</v>
      </c>
      <c r="QV51" s="141">
        <f>IFERROR(VLOOKUP($D51,'Adient Assende (Belgium) WK.17'!$B:PR,QW$1,0),0)</f>
        <v>540</v>
      </c>
      <c r="QW51" s="140">
        <f>IFERROR(VLOOKUP($D51,'Adient Arendal (Malzia) WK.12'!$B:PS,QW$1,0),0)</f>
        <v>0</v>
      </c>
      <c r="QX51" s="140">
        <f>IFERROR(VLOOKUP($D51,'Adient Taizhou (China) WK.16'!$B:PV,QW$1,0),0)</f>
        <v>0</v>
      </c>
      <c r="QY51" s="128">
        <v>0</v>
      </c>
      <c r="QZ51" s="32">
        <v>0</v>
      </c>
      <c r="RA51" s="100">
        <f t="shared" si="504"/>
        <v>-6140</v>
      </c>
      <c r="RC51" s="37">
        <f t="shared" si="505"/>
        <v>-6140</v>
      </c>
      <c r="RD51" s="141">
        <f>IFERROR(VLOOKUP($D51,'Adient Assende (Belgium) WK.17'!$B:PZ,RE$1,0),0)</f>
        <v>540</v>
      </c>
      <c r="RE51" s="140">
        <f>IFERROR(VLOOKUP($D51,'Adient Arendal (Malzia) WK.12'!$B:QA,RE$1,0),0)</f>
        <v>0</v>
      </c>
      <c r="RF51" s="140">
        <f>IFERROR(VLOOKUP($D51,'Adient Taizhou (China) WK.16'!$B:QD,RE$1,0),0)</f>
        <v>0</v>
      </c>
      <c r="RG51" s="128">
        <v>0</v>
      </c>
      <c r="RH51" s="32">
        <v>0</v>
      </c>
      <c r="RI51" s="100">
        <f t="shared" si="506"/>
        <v>-6680</v>
      </c>
      <c r="RK51" s="37">
        <f t="shared" si="507"/>
        <v>-6680</v>
      </c>
      <c r="RL51" s="141">
        <f>IFERROR(VLOOKUP($D51,'Adient Assende (Belgium) WK.17'!$B:QH,RM$1,0),0)</f>
        <v>540</v>
      </c>
      <c r="RM51" s="140">
        <f>IFERROR(VLOOKUP($D51,'Adient Arendal (Malzia) WK.12'!$B:QI,RM$1,0),0)</f>
        <v>0</v>
      </c>
      <c r="RN51" s="140">
        <f>IFERROR(VLOOKUP($D51,'Adient Taizhou (China) WK.16'!$B:QL,RM$1,0),0)</f>
        <v>0</v>
      </c>
      <c r="RO51" s="128">
        <v>0</v>
      </c>
      <c r="RP51" s="32">
        <v>0</v>
      </c>
      <c r="RQ51" s="100">
        <f t="shared" si="508"/>
        <v>-7220</v>
      </c>
      <c r="RS51" s="37">
        <f t="shared" si="509"/>
        <v>-7220</v>
      </c>
      <c r="RT51" s="141">
        <f>IFERROR(VLOOKUP($D51,'Adient Assende (Belgium) WK.17'!$B:QP,RU$1,0),0)</f>
        <v>540</v>
      </c>
      <c r="RU51" s="140">
        <f>IFERROR(VLOOKUP($D51,'Adient Arendal (Malzia) WK.12'!$B:QQ,RU$1,0),0)</f>
        <v>0</v>
      </c>
      <c r="RV51" s="140">
        <f>IFERROR(VLOOKUP($D51,'Adient Taizhou (China) WK.16'!$B:QT,RU$1,0),0)</f>
        <v>0</v>
      </c>
      <c r="RW51" s="128">
        <v>0</v>
      </c>
      <c r="RX51" s="32">
        <v>0</v>
      </c>
      <c r="RY51" s="100">
        <f t="shared" si="510"/>
        <v>-7760</v>
      </c>
      <c r="SA51" s="37">
        <f t="shared" si="511"/>
        <v>-7760</v>
      </c>
      <c r="SB51" s="141">
        <f>IFERROR(VLOOKUP($D51,'Adient Assende (Belgium) WK.17'!$B:QX,SC$1,0),0)</f>
        <v>460</v>
      </c>
      <c r="SC51" s="140">
        <f>IFERROR(VLOOKUP($D51,'Adient Arendal (Malzia) WK.12'!$B:QY,SC$1,0),0)</f>
        <v>0</v>
      </c>
      <c r="SD51" s="140">
        <f>IFERROR(VLOOKUP($D51,'Adient Taizhou (China) WK.16'!$B:RB,SC$1,0),0)</f>
        <v>0</v>
      </c>
      <c r="SE51" s="128">
        <v>0</v>
      </c>
      <c r="SF51" s="32">
        <v>0</v>
      </c>
      <c r="SG51" s="100">
        <f t="shared" si="512"/>
        <v>-8220</v>
      </c>
      <c r="SI51" s="37">
        <f t="shared" si="513"/>
        <v>-8220</v>
      </c>
      <c r="SJ51" s="141">
        <f>IFERROR(VLOOKUP($D51,'Adient Assende (Belgium) WK.17'!$B:RF,SK$1,0),0)</f>
        <v>460</v>
      </c>
      <c r="SK51" s="140">
        <f>IFERROR(VLOOKUP($D51,'Adient Arendal (Malzia) WK.12'!$B:RG,SK$1,0),0)</f>
        <v>0</v>
      </c>
      <c r="SL51" s="140">
        <f>IFERROR(VLOOKUP($D51,'Adient Taizhou (China) WK.16'!$B:RJ,SK$1,0),0)</f>
        <v>0</v>
      </c>
      <c r="SM51" s="128">
        <v>0</v>
      </c>
      <c r="SN51" s="32">
        <v>0</v>
      </c>
      <c r="SO51" s="100">
        <f t="shared" si="514"/>
        <v>-8680</v>
      </c>
      <c r="SQ51" s="37">
        <f t="shared" si="515"/>
        <v>-8680</v>
      </c>
      <c r="SR51" s="141">
        <f>IFERROR(VLOOKUP($D51,'Adient Assende (Belgium) WK.17'!$B:RN,SS$1,0),0)</f>
        <v>460</v>
      </c>
      <c r="SS51" s="140">
        <f>IFERROR(VLOOKUP($D51,'Adient Arendal (Malzia) WK.12'!$B:RO,SS$1,0),0)</f>
        <v>0</v>
      </c>
      <c r="ST51" s="140">
        <f>IFERROR(VLOOKUP($D51,'Adient Taizhou (China) WK.16'!$B:RR,SS$1,0),0)</f>
        <v>0</v>
      </c>
      <c r="SU51" s="128">
        <v>0</v>
      </c>
      <c r="SV51" s="32">
        <v>0</v>
      </c>
      <c r="SW51" s="100">
        <f t="shared" si="516"/>
        <v>-9140</v>
      </c>
      <c r="SY51" s="37">
        <f t="shared" si="517"/>
        <v>-9140</v>
      </c>
      <c r="SZ51" s="141">
        <f>IFERROR(VLOOKUP($D51,'Adient Assende (Belgium) WK.17'!$B:RV,TA$1,0),0)</f>
        <v>460</v>
      </c>
      <c r="TA51" s="140">
        <f>IFERROR(VLOOKUP($D51,'Adient Arendal (Malzia) WK.12'!$B:RW,TA$1,0),0)</f>
        <v>0</v>
      </c>
      <c r="TB51" s="140">
        <f>IFERROR(VLOOKUP($D51,'Adient Taizhou (China) WK.16'!$B:RZ,TA$1,0),0)</f>
        <v>0</v>
      </c>
      <c r="TC51" s="128">
        <v>0</v>
      </c>
      <c r="TD51" s="32">
        <v>0</v>
      </c>
      <c r="TE51" s="100">
        <f t="shared" si="518"/>
        <v>-9600</v>
      </c>
      <c r="TG51" s="37">
        <f t="shared" si="519"/>
        <v>-9600</v>
      </c>
      <c r="TH51" s="141">
        <f>IFERROR(VLOOKUP($D51,'Adient Assende (Belgium) WK.17'!$B:SD,TI$1,0),0)</f>
        <v>470</v>
      </c>
      <c r="TI51" s="140">
        <f>IFERROR(VLOOKUP($D51,'Adient Arendal (Malzia) WK.12'!$B:SE,TI$1,0),0)</f>
        <v>0</v>
      </c>
      <c r="TJ51" s="140">
        <f>IFERROR(VLOOKUP($D51,'Adient Taizhou (China) WK.16'!$B:SH,TI$1,0),0)</f>
        <v>0</v>
      </c>
      <c r="TK51" s="128">
        <v>0</v>
      </c>
      <c r="TL51" s="32">
        <v>0</v>
      </c>
      <c r="TM51" s="100">
        <f t="shared" si="520"/>
        <v>-10070</v>
      </c>
      <c r="TO51" s="37">
        <f t="shared" si="521"/>
        <v>-10070</v>
      </c>
      <c r="TP51" s="141">
        <f>IFERROR(VLOOKUP($D51,'Adient Assende (Belgium) WK.17'!$B:SL,TQ$1,0),0)</f>
        <v>470</v>
      </c>
      <c r="TQ51" s="140">
        <f>IFERROR(VLOOKUP($D51,'Adient Arendal (Malzia) WK.12'!$B:SM,TQ$1,0),0)</f>
        <v>0</v>
      </c>
      <c r="TR51" s="140">
        <f>IFERROR(VLOOKUP($D51,'Adient Taizhou (China) WK.16'!$B:SP,TQ$1,0),0)</f>
        <v>0</v>
      </c>
      <c r="TS51" s="128">
        <v>0</v>
      </c>
      <c r="TT51" s="32">
        <v>0</v>
      </c>
      <c r="TU51" s="100">
        <f t="shared" si="522"/>
        <v>-10540</v>
      </c>
      <c r="TW51" s="37">
        <f t="shared" si="523"/>
        <v>-10540</v>
      </c>
      <c r="TX51" s="141">
        <f>IFERROR(VLOOKUP($D51,'Adient Assende (Belgium) WK.17'!$B:ST,TY$1,0),0)</f>
        <v>470</v>
      </c>
      <c r="TY51" s="140">
        <f>IFERROR(VLOOKUP($D51,'Adient Arendal (Malzia) WK.12'!$B:SU,TY$1,0),0)</f>
        <v>0</v>
      </c>
      <c r="TZ51" s="140">
        <f>IFERROR(VLOOKUP($D51,'Adient Taizhou (China) WK.16'!$B:SX,TY$1,0),0)</f>
        <v>0</v>
      </c>
      <c r="UA51" s="128">
        <v>0</v>
      </c>
      <c r="UB51" s="32">
        <v>0</v>
      </c>
      <c r="UC51" s="100">
        <f t="shared" si="524"/>
        <v>-11010</v>
      </c>
      <c r="UE51" s="37">
        <f t="shared" si="525"/>
        <v>-11010</v>
      </c>
      <c r="UF51" s="141">
        <f>IFERROR(VLOOKUP($D51,'Adient Assende (Belgium) WK.17'!$B:TB,UG$1,0),0)</f>
        <v>470</v>
      </c>
      <c r="UG51" s="140">
        <f>IFERROR(VLOOKUP($D51,'Adient Arendal (Malzia) WK.12'!$B:TC,UG$1,0),0)</f>
        <v>0</v>
      </c>
      <c r="UH51" s="140">
        <f>IFERROR(VLOOKUP($D51,'Adient Taizhou (China) WK.16'!$B:TF,UG$1,0),0)</f>
        <v>0</v>
      </c>
      <c r="UI51" s="128">
        <v>0</v>
      </c>
      <c r="UJ51" s="32">
        <v>0</v>
      </c>
      <c r="UK51" s="100">
        <f t="shared" si="526"/>
        <v>-11480</v>
      </c>
      <c r="UM51" s="37">
        <f t="shared" si="527"/>
        <v>-11480</v>
      </c>
      <c r="UN51" s="141">
        <f>IFERROR(VLOOKUP($D51,'Adient Assende (Belgium) WK.17'!$B:TJ,UO$1,0),0)</f>
        <v>440</v>
      </c>
      <c r="UO51" s="140">
        <f>IFERROR(VLOOKUP($D51,'Adient Arendal (Malzia) WK.12'!$B:TK,UO$1,0),0)</f>
        <v>0</v>
      </c>
      <c r="UP51" s="140">
        <f>IFERROR(VLOOKUP($D51,'Adient Taizhou (China) WK.16'!$B:TN,UO$1,0),0)</f>
        <v>0</v>
      </c>
      <c r="UQ51" s="128">
        <v>0</v>
      </c>
      <c r="UR51" s="32">
        <v>0</v>
      </c>
      <c r="US51" s="100">
        <f t="shared" si="528"/>
        <v>-11920</v>
      </c>
      <c r="UU51" s="37">
        <f t="shared" si="529"/>
        <v>-11920</v>
      </c>
      <c r="UV51" s="141">
        <f>IFERROR(VLOOKUP($D51,'Adient Assende (Belgium) WK.17'!$B:TR,UW$1,0),0)</f>
        <v>480</v>
      </c>
      <c r="UW51" s="140">
        <f>IFERROR(VLOOKUP($D51,'Adient Arendal (Malzia) WK.12'!$B:TS,UW$1,0),0)</f>
        <v>0</v>
      </c>
      <c r="UX51" s="140">
        <f>IFERROR(VLOOKUP($D51,'Adient Taizhou (China) WK.16'!$B:TV,UW$1,0),0)</f>
        <v>0</v>
      </c>
      <c r="UY51" s="128">
        <v>0</v>
      </c>
      <c r="UZ51" s="32">
        <v>0</v>
      </c>
      <c r="VA51" s="100">
        <f t="shared" si="530"/>
        <v>-12400</v>
      </c>
      <c r="VC51" s="37">
        <f t="shared" si="531"/>
        <v>-12400</v>
      </c>
      <c r="VD51" s="141">
        <f>IFERROR(VLOOKUP($D51,'Adient Assende (Belgium) WK.17'!$B:TZ,VE$1,0),0)</f>
        <v>480</v>
      </c>
      <c r="VE51" s="140">
        <f>IFERROR(VLOOKUP($D51,'Adient Arendal (Malzia) WK.12'!$B:UA,VE$1,0),0)</f>
        <v>0</v>
      </c>
      <c r="VF51" s="140">
        <f>IFERROR(VLOOKUP($D51,'Adient Taizhou (China) WK.16'!$B:UD,VE$1,0),0)</f>
        <v>0</v>
      </c>
      <c r="VG51" s="128">
        <v>0</v>
      </c>
      <c r="VH51" s="32">
        <v>0</v>
      </c>
      <c r="VI51" s="100">
        <f t="shared" si="532"/>
        <v>-12880</v>
      </c>
      <c r="VK51" s="37">
        <f t="shared" si="533"/>
        <v>-12880</v>
      </c>
      <c r="VL51" s="141">
        <f>IFERROR(VLOOKUP($D51,'Adient Assende (Belgium) WK.17'!$B:UH,VM$1,0),0)</f>
        <v>0</v>
      </c>
      <c r="VM51" s="140">
        <f>IFERROR(VLOOKUP($D51,'Adient Arendal (Malzia) WK.12'!$B:UI,VM$1,0),0)</f>
        <v>0</v>
      </c>
      <c r="VN51" s="140">
        <f>IFERROR(VLOOKUP($D51,'Adient Taizhou (China) WK.16'!$B:UL,VM$1,0),0)</f>
        <v>0</v>
      </c>
      <c r="VO51" s="128">
        <v>0</v>
      </c>
      <c r="VP51" s="32">
        <v>0</v>
      </c>
      <c r="VQ51" s="100">
        <f t="shared" si="534"/>
        <v>-12880</v>
      </c>
    </row>
    <row r="52" spans="1:589" x14ac:dyDescent="0.25">
      <c r="A52" s="10" t="s">
        <v>18</v>
      </c>
      <c r="B52" s="11" t="s">
        <v>17</v>
      </c>
      <c r="C52" s="87">
        <v>32272722</v>
      </c>
      <c r="D52" s="81">
        <v>4817134</v>
      </c>
      <c r="E52" s="11">
        <v>20</v>
      </c>
      <c r="F52" s="12"/>
      <c r="H52" s="122">
        <v>9340</v>
      </c>
      <c r="I52" s="125">
        <f>IFERROR(VLOOKUP($D52,'Adient Assende (Belgium) WK.17'!$B:C,J$1,0),0)</f>
        <v>880</v>
      </c>
      <c r="J52" s="55">
        <f>IFERROR(VLOOKUP($D52,'Adient Arendal (Malzia) WK.12'!$B:C,J$1,0),0)</f>
        <v>0</v>
      </c>
      <c r="K52" s="55">
        <f>IFERROR(VLOOKUP($D52,'Adient Taizhou (China) WK.16'!$B:C,J$1,0),0)</f>
        <v>0</v>
      </c>
      <c r="L52" s="128">
        <v>1200</v>
      </c>
      <c r="M52" s="32">
        <v>0</v>
      </c>
      <c r="N52" s="106">
        <f t="shared" si="233"/>
        <v>8140</v>
      </c>
      <c r="P52" s="37">
        <f t="shared" si="234"/>
        <v>8140</v>
      </c>
      <c r="Q52" s="125">
        <f>IFERROR(VLOOKUP($D52,'Adient Assende (Belgium) WK.17'!$B:K,R$1,0),0)</f>
        <v>1200</v>
      </c>
      <c r="R52" s="55">
        <f>IFERROR(VLOOKUP($D52,'Adient Arendal (Malzia) WK.12'!$B:K,R$1,0),0)</f>
        <v>0</v>
      </c>
      <c r="S52" s="55">
        <f>IFERROR(VLOOKUP($D52,'Adient Taizhou (China) WK.16'!$B:K,R$1,0),0)</f>
        <v>0</v>
      </c>
      <c r="T52" s="41">
        <v>1440</v>
      </c>
      <c r="U52" s="32">
        <v>0</v>
      </c>
      <c r="V52" s="106">
        <f t="shared" si="235"/>
        <v>6700</v>
      </c>
      <c r="X52" s="37">
        <f t="shared" si="236"/>
        <v>6700</v>
      </c>
      <c r="Y52" s="125">
        <f>IFERROR(VLOOKUP($D52,'Adient Assende (Belgium) WK.17'!$B:S,Z$1,0),0)</f>
        <v>1440</v>
      </c>
      <c r="Z52" s="55">
        <f>IFERROR(VLOOKUP($D52,'Adient Arendal (Malzia) WK.12'!$B:S,Z$1,0),0)</f>
        <v>0</v>
      </c>
      <c r="AA52" s="55">
        <f>IFERROR(VLOOKUP($D52,'Adient Taizhou (China) WK.16'!$B:S,Z$1,0),0)</f>
        <v>0</v>
      </c>
      <c r="AB52" s="41">
        <v>1280</v>
      </c>
      <c r="AC52" s="32">
        <v>0</v>
      </c>
      <c r="AD52" s="106">
        <f t="shared" si="237"/>
        <v>5420</v>
      </c>
      <c r="AF52" s="37">
        <f t="shared" si="238"/>
        <v>5420</v>
      </c>
      <c r="AG52" s="125">
        <f>IFERROR(VLOOKUP($D52,'Adient Assende (Belgium) WK.17'!$B:AA,AH$1,0),0)</f>
        <v>1280</v>
      </c>
      <c r="AH52" s="55">
        <f>IFERROR(VLOOKUP($D52,'Adient Arendal (Malzia) WK.12'!$B:AA,AH$1,0),0)</f>
        <v>0</v>
      </c>
      <c r="AI52" s="55">
        <f>IFERROR(VLOOKUP($D52,'Adient Taizhou (China) WK.16'!$B:AA,AH$1,0),0)</f>
        <v>0</v>
      </c>
      <c r="AJ52" s="41">
        <v>1280</v>
      </c>
      <c r="AK52" s="32">
        <v>0</v>
      </c>
      <c r="AL52" s="106">
        <f t="shared" si="239"/>
        <v>4140</v>
      </c>
      <c r="AN52" s="37">
        <f t="shared" si="432"/>
        <v>4140</v>
      </c>
      <c r="AO52" s="125">
        <f>IFERROR(VLOOKUP($D52,'Adient Assende (Belgium) WK.17'!$B:AI,AP$1,0),0)</f>
        <v>1280</v>
      </c>
      <c r="AP52" s="55">
        <f>IFERROR(VLOOKUP($D52,'Adient Arendal (Malzia) WK.12'!$B:AI,AP$1,0),0)</f>
        <v>0</v>
      </c>
      <c r="AQ52" s="55">
        <f>IFERROR(VLOOKUP($D52,'Adient Taizhou (China) WK.16'!$B:AI,AP$1,0),0)</f>
        <v>0</v>
      </c>
      <c r="AR52" s="60">
        <v>300</v>
      </c>
      <c r="AS52" s="41">
        <v>1200</v>
      </c>
      <c r="AT52" s="32">
        <v>-2</v>
      </c>
      <c r="AU52" s="106">
        <f t="shared" si="240"/>
        <v>3238</v>
      </c>
      <c r="AW52" s="37">
        <f t="shared" si="433"/>
        <v>3238</v>
      </c>
      <c r="AX52" s="125">
        <f>IFERROR(VLOOKUP($D52,'Adient Assende (Belgium) WK.17'!$B:AR,AY$1,0),0)</f>
        <v>1200</v>
      </c>
      <c r="AY52" s="55">
        <f>IFERROR(VLOOKUP($D52,'Adient Arendal (Malzia) WK.12'!$B:AR,AY$1,0),0)</f>
        <v>0</v>
      </c>
      <c r="AZ52" s="55">
        <f>IFERROR(VLOOKUP($D52,'Adient Taizhou (China) WK.16'!$B:AU,AY$1,0),0)</f>
        <v>0</v>
      </c>
      <c r="BA52" s="41">
        <v>1120</v>
      </c>
      <c r="BB52" s="32">
        <v>0</v>
      </c>
      <c r="BC52" s="106">
        <f t="shared" si="241"/>
        <v>2118</v>
      </c>
      <c r="BE52" s="37">
        <f t="shared" si="434"/>
        <v>2118</v>
      </c>
      <c r="BF52" s="125">
        <f>IFERROR(VLOOKUP($D52,'Adient Assende (Belgium) WK.17'!$B:AX,BG$1,0),0)</f>
        <v>1120</v>
      </c>
      <c r="BG52" s="55">
        <f>IFERROR(VLOOKUP($D52,'Adient Arendal (Malzia) WK.12'!$B:AZ,BG$1,0),0)</f>
        <v>0</v>
      </c>
      <c r="BH52" s="55">
        <f>IFERROR(VLOOKUP($D52,'Adient Taizhou (China) WK.16'!$B:BB,BG$1,0),0)</f>
        <v>0</v>
      </c>
      <c r="BI52" s="60">
        <v>322</v>
      </c>
      <c r="BJ52" s="60">
        <v>0</v>
      </c>
      <c r="BK52" s="41">
        <v>960</v>
      </c>
      <c r="BL52" s="32">
        <v>0</v>
      </c>
      <c r="BM52" s="106">
        <f t="shared" si="242"/>
        <v>1480</v>
      </c>
      <c r="BN52" s="8"/>
      <c r="BO52" s="37">
        <f t="shared" si="435"/>
        <v>1480</v>
      </c>
      <c r="BP52" s="125">
        <f>IFERROR(VLOOKUP($D52,'Adient Assende (Belgium) WK.17'!$B:BH,BQ$1,0),0)</f>
        <v>960</v>
      </c>
      <c r="BQ52" s="55">
        <f>IFERROR(VLOOKUP($D52,'Adient Arendal (Malzia) WK.12'!$B:BI,BQ$1,0),0)</f>
        <v>0</v>
      </c>
      <c r="BR52" s="55">
        <f>IFERROR(VLOOKUP($D52,'Adient Taizhou (China) WK.16'!$B:BL,BQ$1,0),0)</f>
        <v>0</v>
      </c>
      <c r="BS52" s="60">
        <v>400</v>
      </c>
      <c r="BT52" s="60">
        <v>1080</v>
      </c>
      <c r="BU52" s="60">
        <v>0</v>
      </c>
      <c r="BV52" s="41">
        <v>1520</v>
      </c>
      <c r="BW52" s="32">
        <v>0</v>
      </c>
      <c r="BX52" s="106">
        <f t="shared" si="243"/>
        <v>1440</v>
      </c>
      <c r="BY52" s="8"/>
      <c r="BZ52" s="37">
        <f t="shared" si="436"/>
        <v>1440</v>
      </c>
      <c r="CA52" s="125">
        <f>IFERROR(VLOOKUP($D52,'Adient Assende (Belgium) WK.17'!$B:BS,CB$1,0),0)</f>
        <v>1520</v>
      </c>
      <c r="CB52" s="55">
        <f>IFERROR(VLOOKUP($D52,'Adient Arendal (Malzia) WK.12'!$B:BT,CB$1,0),0)</f>
        <v>0</v>
      </c>
      <c r="CC52" s="55">
        <f>IFERROR(VLOOKUP($D52,'Adient Taizhou (China) WK.16'!$B:BW,CB$1,0),0)</f>
        <v>0</v>
      </c>
      <c r="CD52" s="60">
        <v>0</v>
      </c>
      <c r="CE52" s="60">
        <v>240</v>
      </c>
      <c r="CF52" s="41">
        <v>1600</v>
      </c>
      <c r="CG52" s="32">
        <v>0</v>
      </c>
      <c r="CH52" s="106">
        <f t="shared" si="244"/>
        <v>80</v>
      </c>
      <c r="CI52" s="8"/>
      <c r="CJ52" s="37">
        <f t="shared" si="437"/>
        <v>80</v>
      </c>
      <c r="CK52" s="125">
        <f>IFERROR(VLOOKUP($D52,'Adient Assende (Belgium) WK.17'!$B:CC,CL$1,0),0)</f>
        <v>1600</v>
      </c>
      <c r="CL52" s="55">
        <f>IFERROR(VLOOKUP($D52,'Adient Arendal (Malzia) WK.12'!$B:CD,CL$1,0),0)</f>
        <v>0</v>
      </c>
      <c r="CM52" s="55">
        <f>IFERROR(VLOOKUP($D52,'Adient Taizhou (China) WK.16'!$B:CG,CL$1,0),0)</f>
        <v>0</v>
      </c>
      <c r="CN52" s="60">
        <v>1420</v>
      </c>
      <c r="CO52" s="149">
        <v>0</v>
      </c>
      <c r="CP52" s="32">
        <v>0</v>
      </c>
      <c r="CQ52" s="106">
        <f t="shared" si="245"/>
        <v>1500</v>
      </c>
      <c r="CR52" s="8"/>
      <c r="CS52" s="122">
        <f t="shared" si="438"/>
        <v>1500</v>
      </c>
      <c r="CT52" s="154">
        <f>IFERROR(VLOOKUP($D52,'Adient Assende (Belgium) WK.17'!$B:CL,CU$1,0),0)</f>
        <v>0</v>
      </c>
      <c r="CU52" s="55">
        <f>IFERROR(VLOOKUP($D52,'Adient Arendal (Malzia) WK.12'!$B:CM,CU$1,0),0)</f>
        <v>0</v>
      </c>
      <c r="CV52" s="55">
        <f>IFERROR(VLOOKUP($D52,'Adient Taizhou (China) WK.16'!$B:CP,CU$1,0),0)</f>
        <v>0</v>
      </c>
      <c r="CW52" s="60">
        <v>0</v>
      </c>
      <c r="CX52" s="60">
        <v>1280</v>
      </c>
      <c r="CY52" s="128">
        <v>1200</v>
      </c>
      <c r="CZ52" s="32">
        <v>0</v>
      </c>
      <c r="DA52" s="106">
        <f t="shared" si="246"/>
        <v>1580</v>
      </c>
      <c r="DB52" s="8"/>
      <c r="DC52" s="37">
        <f t="shared" si="439"/>
        <v>1580</v>
      </c>
      <c r="DD52" s="125">
        <f>IFERROR(VLOOKUP($D52,'Adient Assende (Belgium) WK.17'!$B:CS,DE$1,0),0)</f>
        <v>1200</v>
      </c>
      <c r="DE52" s="55">
        <f>IFERROR(VLOOKUP($D52,'Adient Arendal (Malzia) WK.12'!$B:CU,DE$1,0),0)</f>
        <v>0</v>
      </c>
      <c r="DF52" s="55">
        <f>IFERROR(VLOOKUP($D52,'Adient Taizhou (China) WK.16'!$B:CX,DE$1,0),0)</f>
        <v>0</v>
      </c>
      <c r="DG52" s="60">
        <v>3620</v>
      </c>
      <c r="DH52" s="128">
        <v>1280</v>
      </c>
      <c r="DI52" s="32">
        <v>0</v>
      </c>
      <c r="DJ52" s="106">
        <f t="shared" si="247"/>
        <v>3920</v>
      </c>
      <c r="DL52" s="37">
        <f t="shared" si="440"/>
        <v>3920</v>
      </c>
      <c r="DM52" s="125">
        <f>IFERROR(VLOOKUP($D52,'Adient Assende (Belgium) WK.17'!$B:DB,DN$1,0),0)</f>
        <v>1280</v>
      </c>
      <c r="DN52" s="55">
        <f>IFERROR(VLOOKUP($D52,'Adient Arendal (Malzia) WK.12'!$B:DC,DN$1,0),0)</f>
        <v>0</v>
      </c>
      <c r="DO52" s="55">
        <f>IFERROR(VLOOKUP($D52,'Adient Taizhou (China) WK.16'!$B:DF,DN$1,0),0)</f>
        <v>0</v>
      </c>
      <c r="DP52" s="128">
        <v>1600</v>
      </c>
      <c r="DQ52" s="32">
        <v>0</v>
      </c>
      <c r="DR52" s="106">
        <f t="shared" si="441"/>
        <v>2320</v>
      </c>
      <c r="DS52" s="8"/>
      <c r="DT52" s="37">
        <f t="shared" si="442"/>
        <v>2320</v>
      </c>
      <c r="DU52" s="125">
        <f>IFERROR(VLOOKUP($D52,'Adient Assende (Belgium) WK.17'!$B:DJ,DV$1,0),0)</f>
        <v>1600</v>
      </c>
      <c r="DV52" s="55">
        <f>IFERROR(VLOOKUP($D52,'Adient Arendal (Malzia) WK.12'!$B:DK,DV$1,0),0)</f>
        <v>0</v>
      </c>
      <c r="DW52" s="55">
        <f>IFERROR(VLOOKUP($D52,'Adient Taizhou (China) WK.16'!$B:DN,DV$1,0),0)</f>
        <v>0</v>
      </c>
      <c r="DX52" s="60">
        <v>560</v>
      </c>
      <c r="DY52" s="60">
        <v>1900</v>
      </c>
      <c r="DZ52" s="128">
        <v>1520</v>
      </c>
      <c r="EA52" s="32">
        <v>0</v>
      </c>
      <c r="EB52" s="106">
        <f t="shared" si="248"/>
        <v>3260</v>
      </c>
      <c r="EC52" s="8"/>
      <c r="ED52" s="37">
        <f t="shared" si="443"/>
        <v>3260</v>
      </c>
      <c r="EE52" s="125">
        <f>IFERROR(VLOOKUP($D52,'Adient Assende (Belgium) WK.17'!$B:DR,EF$1,0),0)</f>
        <v>1520</v>
      </c>
      <c r="EF52" s="55">
        <f>IFERROR(VLOOKUP($D52,'Adient Arendal (Malzia) WK.12'!$B:DS,EF$1,0),0)</f>
        <v>0</v>
      </c>
      <c r="EG52" s="55">
        <f>IFERROR(VLOOKUP($D52,'Adient Taizhou (China) WK.16'!$B:DV,EF$1,0),0)</f>
        <v>0</v>
      </c>
      <c r="EH52" s="60">
        <v>1160</v>
      </c>
      <c r="EI52" s="128">
        <v>1120</v>
      </c>
      <c r="EJ52" s="32">
        <v>0</v>
      </c>
      <c r="EK52" s="106">
        <f t="shared" si="249"/>
        <v>3300</v>
      </c>
      <c r="EM52" s="37">
        <f t="shared" si="444"/>
        <v>3300</v>
      </c>
      <c r="EN52" s="125">
        <f>IFERROR(VLOOKUP($D52,'Adient Assende (Belgium) WK.17'!$B:DZ,EO$1,0),0)</f>
        <v>1120</v>
      </c>
      <c r="EO52" s="55">
        <f>IFERROR(VLOOKUP($D52,'Adient Arendal (Malzia) WK.12'!$B:EA,EO$1,0),0)</f>
        <v>0</v>
      </c>
      <c r="EP52" s="55">
        <f>IFERROR(VLOOKUP($D52,'Adient Taizhou (China) WK.16'!$B:ED,EO$1,0),0)</f>
        <v>0</v>
      </c>
      <c r="EQ52" s="128">
        <v>1200</v>
      </c>
      <c r="ER52" s="32">
        <v>0</v>
      </c>
      <c r="ES52" s="106">
        <f t="shared" si="250"/>
        <v>2100</v>
      </c>
      <c r="EU52" s="37">
        <f t="shared" si="445"/>
        <v>2100</v>
      </c>
      <c r="EV52" s="125">
        <f>IFERROR(VLOOKUP($D52,'Adient Assende (Belgium) WK.17'!$B:EH,EW$1,0),0)</f>
        <v>1200</v>
      </c>
      <c r="EW52" s="55">
        <f>IFERROR(VLOOKUP($D52,'Adient Arendal (Malzia) WK.12'!$B:EI,EW$1,0),0)</f>
        <v>0</v>
      </c>
      <c r="EX52" s="55">
        <f>IFERROR(VLOOKUP($D52,'Adient Taizhou (China) WK.16'!$B:EL,EW$1,0),0)</f>
        <v>0</v>
      </c>
      <c r="EY52" s="128">
        <v>0</v>
      </c>
      <c r="EZ52" s="32">
        <v>0</v>
      </c>
      <c r="FA52" s="106">
        <f t="shared" si="251"/>
        <v>2100</v>
      </c>
      <c r="FC52" s="37">
        <f t="shared" si="446"/>
        <v>2100</v>
      </c>
      <c r="FD52" s="154">
        <f>IFERROR(VLOOKUP($D52,'Adient Assende (Belgium) WK.17'!$B:EP,FE$1,0),0)</f>
        <v>0</v>
      </c>
      <c r="FE52" s="154">
        <f>IFERROR(VLOOKUP($D52,'Adient Arendal (Malzia) WK.12'!$B:EQ,FE$1,0),0)</f>
        <v>0</v>
      </c>
      <c r="FF52" s="154">
        <f>IFERROR(VLOOKUP($D52,'Adient Taizhou (China) WK.16'!$B:ET,FE$1,0),0)</f>
        <v>0</v>
      </c>
      <c r="FG52" s="128">
        <v>0</v>
      </c>
      <c r="FH52" s="32">
        <v>0</v>
      </c>
      <c r="FI52" s="106">
        <f t="shared" si="252"/>
        <v>2100</v>
      </c>
      <c r="FK52" s="37">
        <f t="shared" si="447"/>
        <v>2100</v>
      </c>
      <c r="FL52" s="125">
        <f>IFERROR(VLOOKUP($D52,'Adient Assende (Belgium) WK.17'!$B:EX,FM$1,0),0)</f>
        <v>0</v>
      </c>
      <c r="FM52" s="55">
        <f>IFERROR(VLOOKUP($D52,'Adient Arendal (Malzia) WK.12'!$B:EY,FM$1,0),0)</f>
        <v>0</v>
      </c>
      <c r="FN52" s="55">
        <f>IFERROR(VLOOKUP($D52,'Adient Taizhou (China) WK.16'!$B:FB,FM$1,0),0)</f>
        <v>0</v>
      </c>
      <c r="FO52" s="128">
        <v>1040</v>
      </c>
      <c r="FP52" s="32">
        <v>0</v>
      </c>
      <c r="FQ52" s="106">
        <f t="shared" si="253"/>
        <v>1060</v>
      </c>
      <c r="FR52" s="8"/>
      <c r="FS52" s="37">
        <f t="shared" si="448"/>
        <v>1060</v>
      </c>
      <c r="FT52" s="125">
        <f>IFERROR(VLOOKUP($D52,'Adient Assende (Belgium) WK.17'!$B:FF,FU$1,0),0)</f>
        <v>1040</v>
      </c>
      <c r="FU52" s="55">
        <f>IFERROR(VLOOKUP($D52,'Adient Arendal (Malzia) WK.12'!$B:FG,FU$1,0),0)</f>
        <v>0</v>
      </c>
      <c r="FV52" s="55">
        <f>IFERROR(VLOOKUP($D52,'Adient Taizhou (China) WK.16'!$B:FJ,FU$1,0),0)</f>
        <v>0</v>
      </c>
      <c r="FW52" s="60">
        <v>360</v>
      </c>
      <c r="FX52" s="60">
        <v>40</v>
      </c>
      <c r="FY52" s="60">
        <v>1280</v>
      </c>
      <c r="FZ52" s="60">
        <v>800</v>
      </c>
      <c r="GA52" s="60">
        <v>2220</v>
      </c>
      <c r="GB52" s="128">
        <v>800</v>
      </c>
      <c r="GC52" s="32">
        <v>0</v>
      </c>
      <c r="GD52" s="106">
        <f t="shared" si="254"/>
        <v>4960</v>
      </c>
      <c r="GF52" s="37">
        <f t="shared" si="449"/>
        <v>4960</v>
      </c>
      <c r="GG52" s="125">
        <f>IFERROR(VLOOKUP($D52,'Adient Assende (Belgium) WK.17'!$B:FN,GH$1,0),0)</f>
        <v>800</v>
      </c>
      <c r="GH52" s="55">
        <f>IFERROR(VLOOKUP($D52,'Adient Arendal (Malzia) WK.12'!$B:FO,GH$1,0),0)</f>
        <v>0</v>
      </c>
      <c r="GI52" s="55">
        <f>IFERROR(VLOOKUP($D52,'Adient Taizhou (China) WK.16'!$B:FR,GH$1,0),0)</f>
        <v>0</v>
      </c>
      <c r="GJ52" s="60">
        <v>720</v>
      </c>
      <c r="GK52" s="128">
        <v>1040</v>
      </c>
      <c r="GL52" s="32">
        <v>0</v>
      </c>
      <c r="GM52" s="106">
        <f t="shared" si="255"/>
        <v>4640</v>
      </c>
      <c r="GO52" s="37">
        <f t="shared" si="450"/>
        <v>4640</v>
      </c>
      <c r="GP52" s="125">
        <f>IFERROR(VLOOKUP($D52,'Adient Assende (Belgium) WK.17'!$B:FV,GQ$1,0),0)</f>
        <v>1040</v>
      </c>
      <c r="GQ52" s="55">
        <f>IFERROR(VLOOKUP($D52,'Adient Arendal (Malzia) WK.12'!$B:FW,GQ$1,0),0)</f>
        <v>0</v>
      </c>
      <c r="GR52" s="55">
        <f>IFERROR(VLOOKUP($D52,'Adient Taizhou (China) WK.16'!$B:FZ,GQ$1,0),0)</f>
        <v>0</v>
      </c>
      <c r="GS52" s="60">
        <v>1800</v>
      </c>
      <c r="GT52" s="128">
        <v>1280</v>
      </c>
      <c r="GU52" s="32">
        <v>0</v>
      </c>
      <c r="GV52" s="106">
        <f t="shared" si="256"/>
        <v>5160</v>
      </c>
      <c r="GW52" s="8"/>
      <c r="GX52" s="37">
        <f t="shared" si="451"/>
        <v>5160</v>
      </c>
      <c r="GY52" s="125">
        <f>IFERROR(VLOOKUP($D52,'Adient Assende (Belgium) WK.17'!$B:GD,GZ$1,0),0)</f>
        <v>1280</v>
      </c>
      <c r="GZ52" s="55">
        <f>IFERROR(VLOOKUP($D52,'Adient Arendal (Malzia) WK.12'!$B:GE,GZ$1,0),0)</f>
        <v>0</v>
      </c>
      <c r="HA52" s="55">
        <f>IFERROR(VLOOKUP($D52,'Adient Taizhou (China) WK.16'!$B:GH,GZ$1,0),0)</f>
        <v>0</v>
      </c>
      <c r="HB52" s="60">
        <v>1160</v>
      </c>
      <c r="HC52" s="128">
        <v>1120</v>
      </c>
      <c r="HD52" s="32">
        <v>0</v>
      </c>
      <c r="HE52" s="106">
        <f t="shared" si="257"/>
        <v>5200</v>
      </c>
      <c r="HF52" s="8"/>
      <c r="HG52" s="37">
        <f t="shared" si="452"/>
        <v>5200</v>
      </c>
      <c r="HH52" s="125">
        <f>IFERROR(VLOOKUP($D52,'Adient Assende (Belgium) WK.17'!$B:GL,HI$1,0),0)</f>
        <v>1120</v>
      </c>
      <c r="HI52" s="55">
        <f>IFERROR(VLOOKUP($D52,'Adient Arendal (Malzia) WK.12'!$B:GM,HI$1,0),0)</f>
        <v>0</v>
      </c>
      <c r="HJ52" s="55">
        <f>IFERROR(VLOOKUP($D52,'Adient Taizhou (China) WK.16'!$B:GP,HI$1,0),0)</f>
        <v>0</v>
      </c>
      <c r="HK52" s="60">
        <v>1960</v>
      </c>
      <c r="HL52" s="128">
        <v>1120</v>
      </c>
      <c r="HM52" s="32">
        <v>0</v>
      </c>
      <c r="HN52" s="106">
        <f t="shared" si="258"/>
        <v>6040</v>
      </c>
      <c r="HO52" s="8"/>
      <c r="HP52" s="37">
        <f t="shared" si="453"/>
        <v>6040</v>
      </c>
      <c r="HQ52" s="125">
        <f>IFERROR(VLOOKUP($D52,'Adient Assende (Belgium) WK.17'!$B:GT,HR$1,0),0)</f>
        <v>1120</v>
      </c>
      <c r="HR52" s="55">
        <f>IFERROR(VLOOKUP($D52,'Adient Arendal (Malzia) WK.12'!$B:GU,HR$1,0),0)</f>
        <v>0</v>
      </c>
      <c r="HS52" s="55">
        <f>IFERROR(VLOOKUP($D52,'Adient Taizhou (China) WK.16'!$B:GX,HR$1,0),0)</f>
        <v>0</v>
      </c>
      <c r="HT52" s="60">
        <v>1300</v>
      </c>
      <c r="HU52" s="128">
        <v>1120</v>
      </c>
      <c r="HV52" s="32">
        <v>0</v>
      </c>
      <c r="HW52" s="106">
        <f t="shared" si="259"/>
        <v>6220</v>
      </c>
      <c r="HX52" s="8"/>
      <c r="HY52" s="37">
        <f t="shared" si="454"/>
        <v>6220</v>
      </c>
      <c r="HZ52" s="125">
        <f>IFERROR(VLOOKUP($D52,'Adient Assende (Belgium) WK.17'!$B:HB,IA$1,0),0)</f>
        <v>1120</v>
      </c>
      <c r="IA52" s="55">
        <f>IFERROR(VLOOKUP($D52,'Adient Arendal (Malzia) WK.12'!$B:HC,IA$1,0),0)</f>
        <v>0</v>
      </c>
      <c r="IB52" s="55">
        <f>IFERROR(VLOOKUP($D52,'Adient Taizhou (China) WK.16'!$B:HF,IA$1,0),0)</f>
        <v>0</v>
      </c>
      <c r="IC52" s="60">
        <v>1600</v>
      </c>
      <c r="ID52" s="128">
        <v>1360</v>
      </c>
      <c r="IE52" s="32">
        <v>0</v>
      </c>
      <c r="IF52" s="106">
        <f t="shared" si="260"/>
        <v>6460</v>
      </c>
      <c r="IG52" s="8"/>
      <c r="IH52" s="37">
        <f t="shared" si="455"/>
        <v>6460</v>
      </c>
      <c r="II52" s="125">
        <f>IFERROR(VLOOKUP($D52,'Adient Assende (Belgium) WK.17'!$B:HJ,IJ$1,0),0)</f>
        <v>1360</v>
      </c>
      <c r="IJ52" s="55">
        <f>IFERROR(VLOOKUP($D52,'Adient Arendal (Malzia) WK.12'!$B:HK,IJ$1,0),0)</f>
        <v>0</v>
      </c>
      <c r="IK52" s="55">
        <f>IFERROR(VLOOKUP($D52,'Adient Taizhou (China) WK.16'!$B:HN,IJ$1,0),0)</f>
        <v>0</v>
      </c>
      <c r="IL52" s="128">
        <v>1280</v>
      </c>
      <c r="IM52" s="32">
        <v>0</v>
      </c>
      <c r="IN52" s="106">
        <f t="shared" si="456"/>
        <v>5180</v>
      </c>
      <c r="IO52" s="8"/>
      <c r="IP52" s="37">
        <f t="shared" si="457"/>
        <v>5180</v>
      </c>
      <c r="IQ52" s="125">
        <f>IFERROR(VLOOKUP($D52,'Adient Assende (Belgium) WK.17'!$B:HR,IR$1,0),0)</f>
        <v>1280</v>
      </c>
      <c r="IR52" s="55">
        <f>IFERROR(VLOOKUP($D52,'Adient Arendal (Malzia) WK.12'!$B:HS,IR$1,0),0)</f>
        <v>0</v>
      </c>
      <c r="IS52" s="55">
        <f>IFERROR(VLOOKUP($D52,'Adient Taizhou (China) WK.16'!$B:HV,IR$1,0),0)</f>
        <v>0</v>
      </c>
      <c r="IT52" s="60">
        <v>840</v>
      </c>
      <c r="IU52" s="128">
        <v>1120</v>
      </c>
      <c r="IV52" s="32">
        <v>0</v>
      </c>
      <c r="IW52" s="106">
        <f t="shared" si="261"/>
        <v>4900</v>
      </c>
      <c r="IX52" s="8"/>
      <c r="IY52" s="37">
        <f t="shared" si="458"/>
        <v>4900</v>
      </c>
      <c r="IZ52" s="125">
        <f>IFERROR(VLOOKUP($D52,'Adient Assende (Belgium) WK.17'!$B:HZ,JA$1,0),0)</f>
        <v>1120</v>
      </c>
      <c r="JA52" s="55">
        <f>IFERROR(VLOOKUP($D52,'Adient Arendal (Malzia) WK.12'!$B:IA,JA$1,0),0)</f>
        <v>0</v>
      </c>
      <c r="JB52" s="55">
        <f>IFERROR(VLOOKUP($D52,'Adient Taizhou (China) WK.16'!$B:ID,JA$1,0),0)</f>
        <v>0</v>
      </c>
      <c r="JC52" s="128">
        <v>560</v>
      </c>
      <c r="JD52" s="32">
        <v>0</v>
      </c>
      <c r="JE52" s="106">
        <f t="shared" si="459"/>
        <v>4340</v>
      </c>
      <c r="JF52" s="8"/>
      <c r="JG52" s="37">
        <f t="shared" si="460"/>
        <v>4340</v>
      </c>
      <c r="JH52" s="125">
        <f>IFERROR(VLOOKUP($D52,'Adient Assende (Belgium) WK.17'!$B:IH,JI$1,0),0)</f>
        <v>560</v>
      </c>
      <c r="JI52" s="55">
        <f>IFERROR(VLOOKUP($D52,'Adient Arendal (Malzia) WK.12'!$B:II,JI$1,0),0)</f>
        <v>0</v>
      </c>
      <c r="JJ52" s="55">
        <f>IFERROR(VLOOKUP($D52,'Adient Taizhou (China) WK.16'!$B:IL,JI$1,0),0)</f>
        <v>0</v>
      </c>
      <c r="JK52" s="60">
        <v>2080</v>
      </c>
      <c r="JL52" s="128">
        <v>2400</v>
      </c>
      <c r="JM52" s="32">
        <v>0</v>
      </c>
      <c r="JN52" s="106">
        <f t="shared" si="262"/>
        <v>4020</v>
      </c>
      <c r="JO52" s="8"/>
      <c r="JP52" s="37">
        <f t="shared" si="461"/>
        <v>4020</v>
      </c>
      <c r="JQ52" s="125">
        <f>IFERROR(VLOOKUP($D52,'Adient Assende (Belgium) WK.17'!$B:IP,JR$1,0),0)</f>
        <v>2400</v>
      </c>
      <c r="JR52" s="55">
        <f>IFERROR(VLOOKUP($D52,'Adient Arendal (Malzia) WK.12'!$B:IQ,JR$1,0),0)</f>
        <v>0</v>
      </c>
      <c r="JS52" s="55">
        <f>IFERROR(VLOOKUP($D52,'Adient Taizhou (China) WK.16'!$B:IT,JR$1,0),0)</f>
        <v>0</v>
      </c>
      <c r="JT52" s="128">
        <v>0</v>
      </c>
      <c r="JU52" s="32">
        <v>0</v>
      </c>
      <c r="JV52" s="106">
        <f t="shared" si="462"/>
        <v>4020</v>
      </c>
      <c r="JW52" s="8"/>
      <c r="JX52" s="37">
        <f t="shared" si="463"/>
        <v>4020</v>
      </c>
      <c r="JY52" s="154">
        <f>IFERROR(VLOOKUP($D52,'Adient Assende (Belgium) WK.17'!$B:IX,JZ$1,0),0)</f>
        <v>0</v>
      </c>
      <c r="JZ52" s="55">
        <f>IFERROR(VLOOKUP($D52,'Adient Arendal (Malzia) WK.12'!$B:IY,JZ$1,0),0)</f>
        <v>0</v>
      </c>
      <c r="KA52" s="55">
        <f>IFERROR(VLOOKUP($D52,'Adient Taizhou (China) WK.16'!$B:JB,JZ$1,0),0)</f>
        <v>0</v>
      </c>
      <c r="KB52" s="128">
        <v>1120</v>
      </c>
      <c r="KC52" s="32">
        <v>0</v>
      </c>
      <c r="KD52" s="106">
        <f t="shared" si="263"/>
        <v>2900</v>
      </c>
      <c r="KE52" s="8"/>
      <c r="KF52" s="37">
        <f t="shared" si="464"/>
        <v>2900</v>
      </c>
      <c r="KG52" s="125">
        <f>IFERROR(VLOOKUP($D52,'Adient Assende (Belgium) WK.17'!$B:JF,KH$1,0),0)</f>
        <v>1120</v>
      </c>
      <c r="KH52" s="55">
        <f>IFERROR(VLOOKUP($D52,'Adient Arendal (Malzia) WK.12'!$B:JG,KH$1,0),0)</f>
        <v>0</v>
      </c>
      <c r="KI52" s="55">
        <f>IFERROR(VLOOKUP($D52,'Adient Taizhou (China) WK.16'!$B:JJ,KH$1,0),0)</f>
        <v>0</v>
      </c>
      <c r="KJ52" s="60">
        <v>2680</v>
      </c>
      <c r="KK52" s="128">
        <v>1040</v>
      </c>
      <c r="KL52" s="32">
        <v>0</v>
      </c>
      <c r="KM52" s="106">
        <f t="shared" si="264"/>
        <v>4540</v>
      </c>
      <c r="KN52" s="8"/>
      <c r="KO52" s="37">
        <f t="shared" si="465"/>
        <v>4540</v>
      </c>
      <c r="KP52" s="141">
        <f>IFERROR(VLOOKUP($D52,'Adient Assende (Belgium) WK.17'!$B:JN,KQ$1,0),0)</f>
        <v>1040</v>
      </c>
      <c r="KQ52" s="140">
        <f>IFERROR(VLOOKUP($D52,'Adient Arendal (Malzia) WK.12'!$B:JO,KQ$1,0),0)</f>
        <v>0</v>
      </c>
      <c r="KR52" s="140">
        <f>IFERROR(VLOOKUP($D52,'Adient Taizhou (China) WK.16'!$B:JR,KQ$1,0),0)</f>
        <v>0</v>
      </c>
      <c r="KS52" s="60">
        <v>640</v>
      </c>
      <c r="KT52" s="128">
        <v>880</v>
      </c>
      <c r="KU52" s="32">
        <v>0</v>
      </c>
      <c r="KV52" s="106">
        <f t="shared" si="265"/>
        <v>4300</v>
      </c>
      <c r="KX52" s="37">
        <f t="shared" si="466"/>
        <v>4300</v>
      </c>
      <c r="KY52" s="141">
        <f>IFERROR(VLOOKUP($D52,'Adient Assende (Belgium) WK.17'!$B:JV,KZ$1,0),0)</f>
        <v>880</v>
      </c>
      <c r="KZ52" s="140">
        <f>IFERROR(VLOOKUP($D52,'Adient Arendal (Malzia) WK.12'!$B:JW,KZ$1,0),0)</f>
        <v>0</v>
      </c>
      <c r="LA52" s="140">
        <f>IFERROR(VLOOKUP($D52,'Adient Taizhou (China) WK.16'!$B:JZ,KZ$1,0),0)</f>
        <v>0</v>
      </c>
      <c r="LB52" s="128">
        <v>0</v>
      </c>
      <c r="LC52" s="32">
        <v>0</v>
      </c>
      <c r="LD52" s="106">
        <f t="shared" si="467"/>
        <v>4300</v>
      </c>
      <c r="LF52" s="37">
        <f t="shared" si="468"/>
        <v>4300</v>
      </c>
      <c r="LG52" s="141">
        <f>IFERROR(VLOOKUP($D52,'Adient Assende (Belgium) WK.17'!$B:KD,LH$1,0),0)</f>
        <v>1440</v>
      </c>
      <c r="LH52" s="140">
        <f>IFERROR(VLOOKUP($D52,'Adient Arendal (Malzia) WK.12'!$B:KE,LH$1,0),0)</f>
        <v>0</v>
      </c>
      <c r="LI52" s="140">
        <f>IFERROR(VLOOKUP($D52,'Adient Taizhou (China) WK.16'!$B:KH,LH$1,0),0)</f>
        <v>0</v>
      </c>
      <c r="LJ52" s="60">
        <v>1120</v>
      </c>
      <c r="LK52" s="128">
        <v>0</v>
      </c>
      <c r="LL52" s="32">
        <v>0</v>
      </c>
      <c r="LM52" s="100">
        <f t="shared" si="267"/>
        <v>3980</v>
      </c>
      <c r="LO52" s="37">
        <f t="shared" si="469"/>
        <v>3980</v>
      </c>
      <c r="LP52" s="141">
        <f>IFERROR(VLOOKUP($D52,'Adient Assende (Belgium) WK.17'!$B:KL,LQ$1,0),0)</f>
        <v>880</v>
      </c>
      <c r="LQ52" s="140">
        <f>IFERROR(VLOOKUP($D52,'Adient Arendal (Malzia) WK.12'!$B:KM,LQ$1,0),0)</f>
        <v>0</v>
      </c>
      <c r="LR52" s="140">
        <f>IFERROR(VLOOKUP($D52,'Adient Taizhou (China) WK.16'!$B:KP,LQ$1,0),0)</f>
        <v>0</v>
      </c>
      <c r="LS52" s="128">
        <v>0</v>
      </c>
      <c r="LT52" s="32">
        <v>0</v>
      </c>
      <c r="LU52" s="100">
        <f t="shared" si="470"/>
        <v>3100</v>
      </c>
      <c r="LW52" s="37">
        <f t="shared" si="471"/>
        <v>3100</v>
      </c>
      <c r="LX52" s="141">
        <f>IFERROR(VLOOKUP($D52,'Adient Assende (Belgium) WK.17'!$B:KT,LY$1,0),0)</f>
        <v>2560</v>
      </c>
      <c r="LY52" s="140">
        <f>IFERROR(VLOOKUP($D52,'Adient Arendal (Malzia) WK.12'!$B:KU,LY$1,0),0)</f>
        <v>0</v>
      </c>
      <c r="LZ52" s="140">
        <f>IFERROR(VLOOKUP($D52,'Adient Taizhou (China) WK.16'!$B:KX,LY$1,0),0)</f>
        <v>0</v>
      </c>
      <c r="MA52" s="128">
        <v>0</v>
      </c>
      <c r="MB52" s="32">
        <v>0</v>
      </c>
      <c r="MC52" s="100">
        <f t="shared" si="472"/>
        <v>540</v>
      </c>
      <c r="ME52" s="37">
        <f t="shared" si="473"/>
        <v>540</v>
      </c>
      <c r="MF52" s="154">
        <f>IFERROR(VLOOKUP($D52,'Adient Assende (Belgium) WK.17'!$B:LB,MG$1,0),0)</f>
        <v>0</v>
      </c>
      <c r="MG52" s="140">
        <f>IFERROR(VLOOKUP($D52,'Adient Arendal (Malzia) WK.12'!$B:LC,MG$1,0),0)</f>
        <v>0</v>
      </c>
      <c r="MH52" s="140">
        <f>IFERROR(VLOOKUP($D52,'Adient Taizhou (China) WK.16'!$B:LF,MG$1,0),0)</f>
        <v>0</v>
      </c>
      <c r="MI52" s="128">
        <v>0</v>
      </c>
      <c r="MJ52" s="32">
        <v>0</v>
      </c>
      <c r="MK52" s="100">
        <f t="shared" si="474"/>
        <v>540</v>
      </c>
      <c r="MM52" s="37">
        <f t="shared" si="475"/>
        <v>540</v>
      </c>
      <c r="MN52" s="141">
        <f>IFERROR(VLOOKUP($D52,'Adient Assende (Belgium) WK.17'!$B:LJ,MO$1,0),0)</f>
        <v>1280</v>
      </c>
      <c r="MO52" s="140">
        <f>IFERROR(VLOOKUP($D52,'Adient Arendal (Malzia) WK.12'!$B:LK,MO$1,0),0)</f>
        <v>0</v>
      </c>
      <c r="MP52" s="140">
        <f>IFERROR(VLOOKUP($D52,'Adient Taizhou (China) WK.16'!$B:LN,MO$1,0),0)</f>
        <v>0</v>
      </c>
      <c r="MQ52" s="128">
        <v>0</v>
      </c>
      <c r="MR52" s="32">
        <v>0</v>
      </c>
      <c r="MS52" s="100">
        <f t="shared" si="476"/>
        <v>-740</v>
      </c>
      <c r="MU52" s="37">
        <f t="shared" si="477"/>
        <v>-740</v>
      </c>
      <c r="MV52" s="141">
        <f>IFERROR(VLOOKUP($D52,'Adient Assende (Belgium) WK.17'!$B:LR,MW$1,0),0)</f>
        <v>1520</v>
      </c>
      <c r="MW52" s="140">
        <f>IFERROR(VLOOKUP($D52,'Adient Arendal (Malzia) WK.12'!$B:LS,MW$1,0),0)</f>
        <v>0</v>
      </c>
      <c r="MX52" s="140">
        <f>IFERROR(VLOOKUP($D52,'Adient Taizhou (China) WK.16'!$B:LV,MW$1,0),0)</f>
        <v>0</v>
      </c>
      <c r="MY52" s="128">
        <v>0</v>
      </c>
      <c r="MZ52" s="32">
        <v>0</v>
      </c>
      <c r="NA52" s="100">
        <f t="shared" si="478"/>
        <v>-2260</v>
      </c>
      <c r="NC52" s="37">
        <f t="shared" si="479"/>
        <v>-2260</v>
      </c>
      <c r="ND52" s="141">
        <f>IFERROR(VLOOKUP($D52,'Adient Assende (Belgium) WK.17'!$B:LZ,NE$1,0),0)</f>
        <v>1440</v>
      </c>
      <c r="NE52" s="140">
        <f>IFERROR(VLOOKUP($D52,'Adient Arendal (Malzia) WK.12'!$B:MA,NE$1,0),0)</f>
        <v>0</v>
      </c>
      <c r="NF52" s="140">
        <f>IFERROR(VLOOKUP($D52,'Adient Taizhou (China) WK.16'!$B:MD,NE$1,0),0)</f>
        <v>0</v>
      </c>
      <c r="NG52" s="128">
        <v>0</v>
      </c>
      <c r="NH52" s="32">
        <v>0</v>
      </c>
      <c r="NI52" s="100">
        <f t="shared" si="480"/>
        <v>-3700</v>
      </c>
      <c r="NK52" s="37">
        <f t="shared" si="481"/>
        <v>-3700</v>
      </c>
      <c r="NL52" s="141">
        <f>IFERROR(VLOOKUP($D52,'Adient Assende (Belgium) WK.17'!$B:MH,NM$1,0),0)</f>
        <v>960</v>
      </c>
      <c r="NM52" s="140">
        <f>IFERROR(VLOOKUP($D52,'Adient Arendal (Malzia) WK.12'!$B:MI,NM$1,0),0)</f>
        <v>0</v>
      </c>
      <c r="NN52" s="140">
        <f>IFERROR(VLOOKUP($D52,'Adient Taizhou (China) WK.16'!$B:ML,NM$1,0),0)</f>
        <v>0</v>
      </c>
      <c r="NO52" s="128">
        <v>0</v>
      </c>
      <c r="NP52" s="32">
        <v>0</v>
      </c>
      <c r="NQ52" s="100">
        <f t="shared" si="482"/>
        <v>-4660</v>
      </c>
      <c r="NS52" s="37">
        <f t="shared" si="483"/>
        <v>-4660</v>
      </c>
      <c r="NT52" s="141">
        <f>IFERROR(VLOOKUP($D52,'Adient Assende (Belgium) WK.17'!$B:MP,NU$1,0),0)</f>
        <v>1120</v>
      </c>
      <c r="NU52" s="140">
        <f>IFERROR(VLOOKUP($D52,'Adient Arendal (Malzia) WK.12'!$B:MQ,NU$1,0),0)</f>
        <v>0</v>
      </c>
      <c r="NV52" s="140">
        <f>IFERROR(VLOOKUP($D52,'Adient Taizhou (China) WK.16'!$B:MT,NU$1,0),0)</f>
        <v>0</v>
      </c>
      <c r="NW52" s="128">
        <v>0</v>
      </c>
      <c r="NX52" s="32">
        <v>0</v>
      </c>
      <c r="NY52" s="100">
        <f t="shared" si="484"/>
        <v>-5780</v>
      </c>
      <c r="OA52" s="37">
        <f t="shared" si="485"/>
        <v>-5780</v>
      </c>
      <c r="OB52" s="141">
        <f>IFERROR(VLOOKUP($D52,'Adient Assende (Belgium) WK.17'!$B:MX,OC$1,0),0)</f>
        <v>960</v>
      </c>
      <c r="OC52" s="140">
        <f>IFERROR(VLOOKUP($D52,'Adient Arendal (Malzia) WK.12'!$B:MY,OC$1,0),0)</f>
        <v>0</v>
      </c>
      <c r="OD52" s="140">
        <f>IFERROR(VLOOKUP($D52,'Adient Taizhou (China) WK.16'!$B:NB,OC$1,0),0)</f>
        <v>0</v>
      </c>
      <c r="OE52" s="128">
        <v>0</v>
      </c>
      <c r="OF52" s="32">
        <v>0</v>
      </c>
      <c r="OG52" s="100">
        <f t="shared" si="486"/>
        <v>-6740</v>
      </c>
      <c r="OI52" s="37">
        <f t="shared" si="487"/>
        <v>-6740</v>
      </c>
      <c r="OJ52" s="141">
        <f>IFERROR(VLOOKUP($D52,'Adient Assende (Belgium) WK.17'!$B:NF,OK$1,0),0)</f>
        <v>1840</v>
      </c>
      <c r="OK52" s="140">
        <f>IFERROR(VLOOKUP($D52,'Adient Arendal (Malzia) WK.12'!$B:NG,OK$1,0),0)</f>
        <v>0</v>
      </c>
      <c r="OL52" s="140">
        <f>IFERROR(VLOOKUP($D52,'Adient Taizhou (China) WK.16'!$B:NJ,OK$1,0),0)</f>
        <v>0</v>
      </c>
      <c r="OM52" s="128">
        <v>0</v>
      </c>
      <c r="ON52" s="32">
        <v>0</v>
      </c>
      <c r="OO52" s="100">
        <f t="shared" si="488"/>
        <v>-8580</v>
      </c>
      <c r="OQ52" s="37">
        <f t="shared" si="489"/>
        <v>-8580</v>
      </c>
      <c r="OR52" s="141">
        <f>IFERROR(VLOOKUP($D52,'Adient Assende (Belgium) WK.17'!$B:NN,OS$1,0),0)</f>
        <v>0</v>
      </c>
      <c r="OS52" s="140">
        <f>IFERROR(VLOOKUP($D52,'Adient Arendal (Malzia) WK.12'!$B:NO,OS$1,0),0)</f>
        <v>0</v>
      </c>
      <c r="OT52" s="140">
        <f>IFERROR(VLOOKUP($D52,'Adient Taizhou (China) WK.16'!$B:NR,OS$1,0),0)</f>
        <v>0</v>
      </c>
      <c r="OU52" s="128">
        <v>0</v>
      </c>
      <c r="OV52" s="32">
        <v>0</v>
      </c>
      <c r="OW52" s="100">
        <f t="shared" si="490"/>
        <v>-8580</v>
      </c>
      <c r="OY52" s="37">
        <f t="shared" si="491"/>
        <v>-8580</v>
      </c>
      <c r="OZ52" s="141">
        <f>IFERROR(VLOOKUP($D52,'Adient Assende (Belgium) WK.17'!$B:NV,PA$1,0),0)</f>
        <v>0</v>
      </c>
      <c r="PA52" s="140">
        <f>IFERROR(VLOOKUP($D52,'Adient Arendal (Malzia) WK.12'!$B:NW,PA$1,0),0)</f>
        <v>0</v>
      </c>
      <c r="PB52" s="140">
        <f>IFERROR(VLOOKUP($D52,'Adient Taizhou (China) WK.16'!$B:NZ,PA$1,0),0)</f>
        <v>0</v>
      </c>
      <c r="PC52" s="128">
        <v>0</v>
      </c>
      <c r="PD52" s="32">
        <v>0</v>
      </c>
      <c r="PE52" s="100">
        <f t="shared" si="492"/>
        <v>-8580</v>
      </c>
      <c r="PG52" s="37">
        <f t="shared" si="493"/>
        <v>-8580</v>
      </c>
      <c r="PH52" s="141">
        <f>IFERROR(VLOOKUP($D52,'Adient Assende (Belgium) WK.17'!$B:OD,PI$1,0),0)</f>
        <v>0</v>
      </c>
      <c r="PI52" s="140">
        <f>IFERROR(VLOOKUP($D52,'Adient Arendal (Malzia) WK.12'!$B:OE,PI$1,0),0)</f>
        <v>0</v>
      </c>
      <c r="PJ52" s="140">
        <f>IFERROR(VLOOKUP($D52,'Adient Taizhou (China) WK.16'!$B:OH,PI$1,0),0)</f>
        <v>0</v>
      </c>
      <c r="PK52" s="128">
        <v>0</v>
      </c>
      <c r="PL52" s="32">
        <v>0</v>
      </c>
      <c r="PM52" s="100">
        <f t="shared" si="494"/>
        <v>-8580</v>
      </c>
      <c r="PO52" s="37">
        <f t="shared" si="495"/>
        <v>-8580</v>
      </c>
      <c r="PP52" s="141">
        <f>IFERROR(VLOOKUP($D52,'Adient Assende (Belgium) WK.17'!$B:OL,PQ$1,0),0)</f>
        <v>0</v>
      </c>
      <c r="PQ52" s="140">
        <f>IFERROR(VLOOKUP($D52,'Adient Arendal (Malzia) WK.12'!$B:OM,PQ$1,0),0)</f>
        <v>0</v>
      </c>
      <c r="PR52" s="140">
        <f>IFERROR(VLOOKUP($D52,'Adient Taizhou (China) WK.16'!$B:OP,PQ$1,0),0)</f>
        <v>0</v>
      </c>
      <c r="PS52" s="128">
        <v>0</v>
      </c>
      <c r="PT52" s="32">
        <v>0</v>
      </c>
      <c r="PU52" s="100">
        <f t="shared" si="496"/>
        <v>-8580</v>
      </c>
      <c r="PW52" s="37">
        <f t="shared" si="497"/>
        <v>-8580</v>
      </c>
      <c r="PX52" s="141">
        <f>IFERROR(VLOOKUP($D52,'Adient Assende (Belgium) WK.17'!$B:OT,PY$1,0),0)</f>
        <v>1040</v>
      </c>
      <c r="PY52" s="140">
        <f>IFERROR(VLOOKUP($D52,'Adient Arendal (Malzia) WK.12'!$B:OU,PY$1,0),0)</f>
        <v>0</v>
      </c>
      <c r="PZ52" s="140">
        <f>IFERROR(VLOOKUP($D52,'Adient Taizhou (China) WK.16'!$B:OX,PY$1,0),0)</f>
        <v>0</v>
      </c>
      <c r="QA52" s="128">
        <v>0</v>
      </c>
      <c r="QB52" s="32">
        <v>0</v>
      </c>
      <c r="QC52" s="100">
        <f t="shared" si="498"/>
        <v>-9620</v>
      </c>
      <c r="QE52" s="37">
        <f t="shared" si="499"/>
        <v>-9620</v>
      </c>
      <c r="QF52" s="141">
        <f>IFERROR(VLOOKUP($D52,'Adient Assende (Belgium) WK.17'!$B:PB,QG$1,0),0)</f>
        <v>1120</v>
      </c>
      <c r="QG52" s="140">
        <f>IFERROR(VLOOKUP($D52,'Adient Arendal (Malzia) WK.12'!$B:PC,QG$1,0),0)</f>
        <v>0</v>
      </c>
      <c r="QH52" s="140">
        <f>IFERROR(VLOOKUP($D52,'Adient Taizhou (China) WK.16'!$B:PF,QG$1,0),0)</f>
        <v>0</v>
      </c>
      <c r="QI52" s="128">
        <v>0</v>
      </c>
      <c r="QJ52" s="32">
        <v>0</v>
      </c>
      <c r="QK52" s="100">
        <f t="shared" si="500"/>
        <v>-10740</v>
      </c>
      <c r="QM52" s="37">
        <f t="shared" si="501"/>
        <v>-10740</v>
      </c>
      <c r="QN52" s="141">
        <f>IFERROR(VLOOKUP($D52,'Adient Assende (Belgium) WK.17'!$B:PJ,QO$1,0),0)</f>
        <v>1120</v>
      </c>
      <c r="QO52" s="140">
        <f>IFERROR(VLOOKUP($D52,'Adient Arendal (Malzia) WK.12'!$B:PK,QO$1,0),0)</f>
        <v>0</v>
      </c>
      <c r="QP52" s="140">
        <f>IFERROR(VLOOKUP($D52,'Adient Taizhou (China) WK.16'!$B:PN,QO$1,0),0)</f>
        <v>0</v>
      </c>
      <c r="QQ52" s="128">
        <v>0</v>
      </c>
      <c r="QR52" s="32">
        <v>0</v>
      </c>
      <c r="QS52" s="100">
        <f t="shared" si="502"/>
        <v>-11860</v>
      </c>
      <c r="QU52" s="37">
        <f t="shared" si="503"/>
        <v>-11860</v>
      </c>
      <c r="QV52" s="141">
        <f>IFERROR(VLOOKUP($D52,'Adient Assende (Belgium) WK.17'!$B:PR,QW$1,0),0)</f>
        <v>1100</v>
      </c>
      <c r="QW52" s="140">
        <f>IFERROR(VLOOKUP($D52,'Adient Arendal (Malzia) WK.12'!$B:PS,QW$1,0),0)</f>
        <v>0</v>
      </c>
      <c r="QX52" s="140">
        <f>IFERROR(VLOOKUP($D52,'Adient Taizhou (China) WK.16'!$B:PV,QW$1,0),0)</f>
        <v>0</v>
      </c>
      <c r="QY52" s="128">
        <v>0</v>
      </c>
      <c r="QZ52" s="32">
        <v>0</v>
      </c>
      <c r="RA52" s="100">
        <f t="shared" si="504"/>
        <v>-12960</v>
      </c>
      <c r="RC52" s="37">
        <f t="shared" si="505"/>
        <v>-12960</v>
      </c>
      <c r="RD52" s="141">
        <f>IFERROR(VLOOKUP($D52,'Adient Assende (Belgium) WK.17'!$B:PZ,RE$1,0),0)</f>
        <v>1100</v>
      </c>
      <c r="RE52" s="140">
        <f>IFERROR(VLOOKUP($D52,'Adient Arendal (Malzia) WK.12'!$B:QA,RE$1,0),0)</f>
        <v>0</v>
      </c>
      <c r="RF52" s="140">
        <f>IFERROR(VLOOKUP($D52,'Adient Taizhou (China) WK.16'!$B:QD,RE$1,0),0)</f>
        <v>0</v>
      </c>
      <c r="RG52" s="128">
        <v>0</v>
      </c>
      <c r="RH52" s="32">
        <v>0</v>
      </c>
      <c r="RI52" s="100">
        <f t="shared" si="506"/>
        <v>-14060</v>
      </c>
      <c r="RK52" s="37">
        <f t="shared" si="507"/>
        <v>-14060</v>
      </c>
      <c r="RL52" s="141">
        <f>IFERROR(VLOOKUP($D52,'Adient Assende (Belgium) WK.17'!$B:QH,RM$1,0),0)</f>
        <v>1100</v>
      </c>
      <c r="RM52" s="140">
        <f>IFERROR(VLOOKUP($D52,'Adient Arendal (Malzia) WK.12'!$B:QI,RM$1,0),0)</f>
        <v>0</v>
      </c>
      <c r="RN52" s="140">
        <f>IFERROR(VLOOKUP($D52,'Adient Taizhou (China) WK.16'!$B:QL,RM$1,0),0)</f>
        <v>0</v>
      </c>
      <c r="RO52" s="128">
        <v>0</v>
      </c>
      <c r="RP52" s="32">
        <v>0</v>
      </c>
      <c r="RQ52" s="100">
        <f t="shared" si="508"/>
        <v>-15160</v>
      </c>
      <c r="RS52" s="37">
        <f t="shared" si="509"/>
        <v>-15160</v>
      </c>
      <c r="RT52" s="141">
        <f>IFERROR(VLOOKUP($D52,'Adient Assende (Belgium) WK.17'!$B:QP,RU$1,0),0)</f>
        <v>1100</v>
      </c>
      <c r="RU52" s="140">
        <f>IFERROR(VLOOKUP($D52,'Adient Arendal (Malzia) WK.12'!$B:QQ,RU$1,0),0)</f>
        <v>0</v>
      </c>
      <c r="RV52" s="140">
        <f>IFERROR(VLOOKUP($D52,'Adient Taizhou (China) WK.16'!$B:QT,RU$1,0),0)</f>
        <v>0</v>
      </c>
      <c r="RW52" s="128">
        <v>0</v>
      </c>
      <c r="RX52" s="32">
        <v>0</v>
      </c>
      <c r="RY52" s="100">
        <f t="shared" si="510"/>
        <v>-16260</v>
      </c>
      <c r="SA52" s="37">
        <f t="shared" si="511"/>
        <v>-16260</v>
      </c>
      <c r="SB52" s="141">
        <f>IFERROR(VLOOKUP($D52,'Adient Assende (Belgium) WK.17'!$B:QX,SC$1,0),0)</f>
        <v>820</v>
      </c>
      <c r="SC52" s="140">
        <f>IFERROR(VLOOKUP($D52,'Adient Arendal (Malzia) WK.12'!$B:QY,SC$1,0),0)</f>
        <v>0</v>
      </c>
      <c r="SD52" s="140">
        <f>IFERROR(VLOOKUP($D52,'Adient Taizhou (China) WK.16'!$B:RB,SC$1,0),0)</f>
        <v>0</v>
      </c>
      <c r="SE52" s="128">
        <v>0</v>
      </c>
      <c r="SF52" s="32">
        <v>0</v>
      </c>
      <c r="SG52" s="100">
        <f t="shared" si="512"/>
        <v>-17080</v>
      </c>
      <c r="SI52" s="37">
        <f t="shared" si="513"/>
        <v>-17080</v>
      </c>
      <c r="SJ52" s="141">
        <f>IFERROR(VLOOKUP($D52,'Adient Assende (Belgium) WK.17'!$B:RF,SK$1,0),0)</f>
        <v>820</v>
      </c>
      <c r="SK52" s="140">
        <f>IFERROR(VLOOKUP($D52,'Adient Arendal (Malzia) WK.12'!$B:RG,SK$1,0),0)</f>
        <v>0</v>
      </c>
      <c r="SL52" s="140">
        <f>IFERROR(VLOOKUP($D52,'Adient Taizhou (China) WK.16'!$B:RJ,SK$1,0),0)</f>
        <v>0</v>
      </c>
      <c r="SM52" s="128">
        <v>0</v>
      </c>
      <c r="SN52" s="32">
        <v>0</v>
      </c>
      <c r="SO52" s="100">
        <f t="shared" si="514"/>
        <v>-17900</v>
      </c>
      <c r="SQ52" s="37">
        <f t="shared" si="515"/>
        <v>-17900</v>
      </c>
      <c r="SR52" s="141">
        <f>IFERROR(VLOOKUP($D52,'Adient Assende (Belgium) WK.17'!$B:RN,SS$1,0),0)</f>
        <v>820</v>
      </c>
      <c r="SS52" s="140">
        <f>IFERROR(VLOOKUP($D52,'Adient Arendal (Malzia) WK.12'!$B:RO,SS$1,0),0)</f>
        <v>0</v>
      </c>
      <c r="ST52" s="140">
        <f>IFERROR(VLOOKUP($D52,'Adient Taizhou (China) WK.16'!$B:RR,SS$1,0),0)</f>
        <v>0</v>
      </c>
      <c r="SU52" s="128">
        <v>0</v>
      </c>
      <c r="SV52" s="32">
        <v>0</v>
      </c>
      <c r="SW52" s="100">
        <f t="shared" si="516"/>
        <v>-18720</v>
      </c>
      <c r="SY52" s="37">
        <f t="shared" si="517"/>
        <v>-18720</v>
      </c>
      <c r="SZ52" s="141">
        <f>IFERROR(VLOOKUP($D52,'Adient Assende (Belgium) WK.17'!$B:RV,TA$1,0),0)</f>
        <v>820</v>
      </c>
      <c r="TA52" s="140">
        <f>IFERROR(VLOOKUP($D52,'Adient Arendal (Malzia) WK.12'!$B:RW,TA$1,0),0)</f>
        <v>0</v>
      </c>
      <c r="TB52" s="140">
        <f>IFERROR(VLOOKUP($D52,'Adient Taizhou (China) WK.16'!$B:RZ,TA$1,0),0)</f>
        <v>0</v>
      </c>
      <c r="TC52" s="128">
        <v>0</v>
      </c>
      <c r="TD52" s="32">
        <v>0</v>
      </c>
      <c r="TE52" s="100">
        <f t="shared" si="518"/>
        <v>-19540</v>
      </c>
      <c r="TG52" s="37">
        <f t="shared" si="519"/>
        <v>-19540</v>
      </c>
      <c r="TH52" s="141">
        <f>IFERROR(VLOOKUP($D52,'Adient Assende (Belgium) WK.17'!$B:SD,TI$1,0),0)</f>
        <v>960</v>
      </c>
      <c r="TI52" s="140">
        <f>IFERROR(VLOOKUP($D52,'Adient Arendal (Malzia) WK.12'!$B:SE,TI$1,0),0)</f>
        <v>0</v>
      </c>
      <c r="TJ52" s="140">
        <f>IFERROR(VLOOKUP($D52,'Adient Taizhou (China) WK.16'!$B:SH,TI$1,0),0)</f>
        <v>0</v>
      </c>
      <c r="TK52" s="128">
        <v>0</v>
      </c>
      <c r="TL52" s="32">
        <v>0</v>
      </c>
      <c r="TM52" s="100">
        <f t="shared" si="520"/>
        <v>-20500</v>
      </c>
      <c r="TO52" s="37">
        <f t="shared" si="521"/>
        <v>-20500</v>
      </c>
      <c r="TP52" s="141">
        <f>IFERROR(VLOOKUP($D52,'Adient Assende (Belgium) WK.17'!$B:SL,TQ$1,0),0)</f>
        <v>960</v>
      </c>
      <c r="TQ52" s="140">
        <f>IFERROR(VLOOKUP($D52,'Adient Arendal (Malzia) WK.12'!$B:SM,TQ$1,0),0)</f>
        <v>0</v>
      </c>
      <c r="TR52" s="140">
        <f>IFERROR(VLOOKUP($D52,'Adient Taizhou (China) WK.16'!$B:SP,TQ$1,0),0)</f>
        <v>0</v>
      </c>
      <c r="TS52" s="128">
        <v>0</v>
      </c>
      <c r="TT52" s="32">
        <v>0</v>
      </c>
      <c r="TU52" s="100">
        <f t="shared" si="522"/>
        <v>-21460</v>
      </c>
      <c r="TW52" s="37">
        <f t="shared" si="523"/>
        <v>-21460</v>
      </c>
      <c r="TX52" s="141">
        <f>IFERROR(VLOOKUP($D52,'Adient Assende (Belgium) WK.17'!$B:ST,TY$1,0),0)</f>
        <v>960</v>
      </c>
      <c r="TY52" s="140">
        <f>IFERROR(VLOOKUP($D52,'Adient Arendal (Malzia) WK.12'!$B:SU,TY$1,0),0)</f>
        <v>0</v>
      </c>
      <c r="TZ52" s="140">
        <f>IFERROR(VLOOKUP($D52,'Adient Taizhou (China) WK.16'!$B:SX,TY$1,0),0)</f>
        <v>0</v>
      </c>
      <c r="UA52" s="128">
        <v>0</v>
      </c>
      <c r="UB52" s="32">
        <v>0</v>
      </c>
      <c r="UC52" s="100">
        <f t="shared" si="524"/>
        <v>-22420</v>
      </c>
      <c r="UE52" s="37">
        <f t="shared" si="525"/>
        <v>-22420</v>
      </c>
      <c r="UF52" s="141">
        <f>IFERROR(VLOOKUP($D52,'Adient Assende (Belgium) WK.17'!$B:TB,UG$1,0),0)</f>
        <v>960</v>
      </c>
      <c r="UG52" s="140">
        <f>IFERROR(VLOOKUP($D52,'Adient Arendal (Malzia) WK.12'!$B:TC,UG$1,0),0)</f>
        <v>0</v>
      </c>
      <c r="UH52" s="140">
        <f>IFERROR(VLOOKUP($D52,'Adient Taizhou (China) WK.16'!$B:TF,UG$1,0),0)</f>
        <v>0</v>
      </c>
      <c r="UI52" s="128">
        <v>0</v>
      </c>
      <c r="UJ52" s="32">
        <v>0</v>
      </c>
      <c r="UK52" s="100">
        <f t="shared" si="526"/>
        <v>-23380</v>
      </c>
      <c r="UM52" s="37">
        <f t="shared" si="527"/>
        <v>-23380</v>
      </c>
      <c r="UN52" s="141">
        <f>IFERROR(VLOOKUP($D52,'Adient Assende (Belgium) WK.17'!$B:TJ,UO$1,0),0)</f>
        <v>960</v>
      </c>
      <c r="UO52" s="140">
        <f>IFERROR(VLOOKUP($D52,'Adient Arendal (Malzia) WK.12'!$B:TK,UO$1,0),0)</f>
        <v>0</v>
      </c>
      <c r="UP52" s="140">
        <f>IFERROR(VLOOKUP($D52,'Adient Taizhou (China) WK.16'!$B:TN,UO$1,0),0)</f>
        <v>0</v>
      </c>
      <c r="UQ52" s="128">
        <v>0</v>
      </c>
      <c r="UR52" s="32">
        <v>0</v>
      </c>
      <c r="US52" s="100">
        <f t="shared" si="528"/>
        <v>-24340</v>
      </c>
      <c r="UU52" s="37">
        <f t="shared" si="529"/>
        <v>-24340</v>
      </c>
      <c r="UV52" s="141">
        <f>IFERROR(VLOOKUP($D52,'Adient Assende (Belgium) WK.17'!$B:TR,UW$1,0),0)</f>
        <v>920</v>
      </c>
      <c r="UW52" s="140">
        <f>IFERROR(VLOOKUP($D52,'Adient Arendal (Malzia) WK.12'!$B:TS,UW$1,0),0)</f>
        <v>0</v>
      </c>
      <c r="UX52" s="140">
        <f>IFERROR(VLOOKUP($D52,'Adient Taizhou (China) WK.16'!$B:TV,UW$1,0),0)</f>
        <v>0</v>
      </c>
      <c r="UY52" s="128">
        <v>0</v>
      </c>
      <c r="UZ52" s="32">
        <v>0</v>
      </c>
      <c r="VA52" s="100">
        <f t="shared" si="530"/>
        <v>-25260</v>
      </c>
      <c r="VC52" s="37">
        <f t="shared" si="531"/>
        <v>-25260</v>
      </c>
      <c r="VD52" s="141">
        <f>IFERROR(VLOOKUP($D52,'Adient Assende (Belgium) WK.17'!$B:TZ,VE$1,0),0)</f>
        <v>920</v>
      </c>
      <c r="VE52" s="140">
        <f>IFERROR(VLOOKUP($D52,'Adient Arendal (Malzia) WK.12'!$B:UA,VE$1,0),0)</f>
        <v>0</v>
      </c>
      <c r="VF52" s="140">
        <f>IFERROR(VLOOKUP($D52,'Adient Taizhou (China) WK.16'!$B:UD,VE$1,0),0)</f>
        <v>0</v>
      </c>
      <c r="VG52" s="128">
        <v>0</v>
      </c>
      <c r="VH52" s="32">
        <v>0</v>
      </c>
      <c r="VI52" s="100">
        <f t="shared" si="532"/>
        <v>-26180</v>
      </c>
      <c r="VK52" s="37">
        <f t="shared" si="533"/>
        <v>-26180</v>
      </c>
      <c r="VL52" s="141">
        <f>IFERROR(VLOOKUP($D52,'Adient Assende (Belgium) WK.17'!$B:UH,VM$1,0),0)</f>
        <v>0</v>
      </c>
      <c r="VM52" s="140">
        <f>IFERROR(VLOOKUP($D52,'Adient Arendal (Malzia) WK.12'!$B:UI,VM$1,0),0)</f>
        <v>0</v>
      </c>
      <c r="VN52" s="140">
        <f>IFERROR(VLOOKUP($D52,'Adient Taizhou (China) WK.16'!$B:UL,VM$1,0),0)</f>
        <v>0</v>
      </c>
      <c r="VO52" s="128">
        <v>0</v>
      </c>
      <c r="VP52" s="32">
        <v>0</v>
      </c>
      <c r="VQ52" s="100">
        <f t="shared" si="534"/>
        <v>-26180</v>
      </c>
    </row>
    <row r="53" spans="1:589" x14ac:dyDescent="0.25">
      <c r="A53" s="10" t="s">
        <v>18</v>
      </c>
      <c r="B53" s="11" t="s">
        <v>17</v>
      </c>
      <c r="C53" s="87">
        <v>32272723</v>
      </c>
      <c r="D53" s="81">
        <v>4817136</v>
      </c>
      <c r="E53" s="11">
        <v>20</v>
      </c>
      <c r="F53" s="12"/>
      <c r="H53" s="122">
        <v>660</v>
      </c>
      <c r="I53" s="125">
        <f>IFERROR(VLOOKUP($D53,'Adient Assende (Belgium) WK.17'!$B:C,J$1,0),0)</f>
        <v>0</v>
      </c>
      <c r="J53" s="55">
        <f>IFERROR(VLOOKUP($D53,'Adient Arendal (Malzia) WK.12'!$B:C,J$1,0),0)</f>
        <v>0</v>
      </c>
      <c r="K53" s="55">
        <f>IFERROR(VLOOKUP($D53,'Adient Taizhou (China) WK.16'!$B:C,J$1,0),0)</f>
        <v>0</v>
      </c>
      <c r="L53" s="128">
        <v>0</v>
      </c>
      <c r="M53" s="32">
        <v>0</v>
      </c>
      <c r="N53" s="106">
        <f t="shared" si="233"/>
        <v>660</v>
      </c>
      <c r="P53" s="37">
        <f t="shared" si="234"/>
        <v>660</v>
      </c>
      <c r="Q53" s="125">
        <f>IFERROR(VLOOKUP($D53,'Adient Assende (Belgium) WK.17'!$B:K,R$1,0),0)</f>
        <v>0</v>
      </c>
      <c r="R53" s="55">
        <f>IFERROR(VLOOKUP($D53,'Adient Arendal (Malzia) WK.12'!$B:K,R$1,0),0)</f>
        <v>0</v>
      </c>
      <c r="S53" s="55">
        <f>IFERROR(VLOOKUP($D53,'Adient Taizhou (China) WK.16'!$B:K,R$1,0),0)</f>
        <v>0</v>
      </c>
      <c r="T53" s="41">
        <v>80</v>
      </c>
      <c r="U53" s="32">
        <v>0</v>
      </c>
      <c r="V53" s="106">
        <f t="shared" si="235"/>
        <v>580</v>
      </c>
      <c r="X53" s="37">
        <f t="shared" si="236"/>
        <v>580</v>
      </c>
      <c r="Y53" s="125">
        <f>IFERROR(VLOOKUP($D53,'Adient Assende (Belgium) WK.17'!$B:S,Z$1,0),0)</f>
        <v>80</v>
      </c>
      <c r="Z53" s="55">
        <f>IFERROR(VLOOKUP($D53,'Adient Arendal (Malzia) WK.12'!$B:S,Z$1,0),0)</f>
        <v>0</v>
      </c>
      <c r="AA53" s="55">
        <f>IFERROR(VLOOKUP($D53,'Adient Taizhou (China) WK.16'!$B:S,Z$1,0),0)</f>
        <v>0</v>
      </c>
      <c r="AB53" s="41">
        <v>0</v>
      </c>
      <c r="AC53" s="32">
        <v>0</v>
      </c>
      <c r="AD53" s="106">
        <f t="shared" si="237"/>
        <v>580</v>
      </c>
      <c r="AF53" s="37">
        <f t="shared" si="238"/>
        <v>580</v>
      </c>
      <c r="AG53" s="125">
        <f>IFERROR(VLOOKUP($D53,'Adient Assende (Belgium) WK.17'!$B:AA,AH$1,0),0)</f>
        <v>0</v>
      </c>
      <c r="AH53" s="55">
        <f>IFERROR(VLOOKUP($D53,'Adient Arendal (Malzia) WK.12'!$B:AA,AH$1,0),0)</f>
        <v>0</v>
      </c>
      <c r="AI53" s="55">
        <f>IFERROR(VLOOKUP($D53,'Adient Taizhou (China) WK.16'!$B:AA,AH$1,0),0)</f>
        <v>0</v>
      </c>
      <c r="AJ53" s="41">
        <v>80</v>
      </c>
      <c r="AK53" s="32">
        <v>0</v>
      </c>
      <c r="AL53" s="106">
        <f t="shared" si="239"/>
        <v>500</v>
      </c>
      <c r="AN53" s="37">
        <f t="shared" si="432"/>
        <v>500</v>
      </c>
      <c r="AO53" s="125">
        <f>IFERROR(VLOOKUP($D53,'Adient Assende (Belgium) WK.17'!$B:AI,AP$1,0),0)</f>
        <v>80</v>
      </c>
      <c r="AP53" s="55">
        <f>IFERROR(VLOOKUP($D53,'Adient Arendal (Malzia) WK.12'!$B:AI,AP$1,0),0)</f>
        <v>0</v>
      </c>
      <c r="AQ53" s="55">
        <f>IFERROR(VLOOKUP($D53,'Adient Taizhou (China) WK.16'!$B:AI,AP$1,0),0)</f>
        <v>0</v>
      </c>
      <c r="AR53" s="60">
        <v>0</v>
      </c>
      <c r="AS53" s="41">
        <v>0</v>
      </c>
      <c r="AT53" s="32">
        <v>0</v>
      </c>
      <c r="AU53" s="106">
        <f t="shared" si="240"/>
        <v>500</v>
      </c>
      <c r="AW53" s="37">
        <f t="shared" si="433"/>
        <v>500</v>
      </c>
      <c r="AX53" s="125">
        <f>IFERROR(VLOOKUP($D53,'Adient Assende (Belgium) WK.17'!$B:AR,AY$1,0),0)</f>
        <v>0</v>
      </c>
      <c r="AY53" s="55">
        <f>IFERROR(VLOOKUP($D53,'Adient Arendal (Malzia) WK.12'!$B:AR,AY$1,0),0)</f>
        <v>0</v>
      </c>
      <c r="AZ53" s="55">
        <f>IFERROR(VLOOKUP($D53,'Adient Taizhou (China) WK.16'!$B:AU,AY$1,0),0)</f>
        <v>0</v>
      </c>
      <c r="BA53" s="41">
        <v>0</v>
      </c>
      <c r="BB53" s="32">
        <v>0</v>
      </c>
      <c r="BC53" s="106">
        <f t="shared" si="241"/>
        <v>500</v>
      </c>
      <c r="BE53" s="37">
        <f t="shared" si="434"/>
        <v>500</v>
      </c>
      <c r="BF53" s="125">
        <f>IFERROR(VLOOKUP($D53,'Adient Assende (Belgium) WK.17'!$B:AX,BG$1,0),0)</f>
        <v>0</v>
      </c>
      <c r="BG53" s="55">
        <f>IFERROR(VLOOKUP($D53,'Adient Arendal (Malzia) WK.12'!$B:AZ,BG$1,0),0)</f>
        <v>0</v>
      </c>
      <c r="BH53" s="55">
        <f>IFERROR(VLOOKUP($D53,'Adient Taizhou (China) WK.16'!$B:BB,BG$1,0),0)</f>
        <v>0</v>
      </c>
      <c r="BI53" s="60">
        <v>0</v>
      </c>
      <c r="BJ53" s="60">
        <v>0</v>
      </c>
      <c r="BK53" s="41">
        <v>0</v>
      </c>
      <c r="BL53" s="32">
        <v>0</v>
      </c>
      <c r="BM53" s="106">
        <f t="shared" si="242"/>
        <v>500</v>
      </c>
      <c r="BN53" s="8"/>
      <c r="BO53" s="37">
        <f t="shared" si="435"/>
        <v>500</v>
      </c>
      <c r="BP53" s="125">
        <f>IFERROR(VLOOKUP($D53,'Adient Assende (Belgium) WK.17'!$B:BH,BQ$1,0),0)</f>
        <v>0</v>
      </c>
      <c r="BQ53" s="55">
        <f>IFERROR(VLOOKUP($D53,'Adient Arendal (Malzia) WK.12'!$B:BI,BQ$1,0),0)</f>
        <v>0</v>
      </c>
      <c r="BR53" s="55">
        <f>IFERROR(VLOOKUP($D53,'Adient Taizhou (China) WK.16'!$B:BL,BQ$1,0),0)</f>
        <v>0</v>
      </c>
      <c r="BS53" s="60">
        <v>0</v>
      </c>
      <c r="BT53" s="60">
        <v>0</v>
      </c>
      <c r="BU53" s="60">
        <v>0</v>
      </c>
      <c r="BV53" s="41">
        <v>0</v>
      </c>
      <c r="BW53" s="32">
        <v>0</v>
      </c>
      <c r="BX53" s="106">
        <f t="shared" si="243"/>
        <v>500</v>
      </c>
      <c r="BY53" s="8"/>
      <c r="BZ53" s="37">
        <f t="shared" si="436"/>
        <v>500</v>
      </c>
      <c r="CA53" s="125">
        <f>IFERROR(VLOOKUP($D53,'Adient Assende (Belgium) WK.17'!$B:BS,CB$1,0),0)</f>
        <v>0</v>
      </c>
      <c r="CB53" s="55">
        <f>IFERROR(VLOOKUP($D53,'Adient Arendal (Malzia) WK.12'!$B:BT,CB$1,0),0)</f>
        <v>0</v>
      </c>
      <c r="CC53" s="55">
        <f>IFERROR(VLOOKUP($D53,'Adient Taizhou (China) WK.16'!$B:BW,CB$1,0),0)</f>
        <v>0</v>
      </c>
      <c r="CD53" s="60">
        <v>0</v>
      </c>
      <c r="CE53" s="60">
        <v>0</v>
      </c>
      <c r="CF53" s="41">
        <v>0</v>
      </c>
      <c r="CG53" s="32">
        <v>0</v>
      </c>
      <c r="CH53" s="106">
        <f t="shared" si="244"/>
        <v>500</v>
      </c>
      <c r="CI53" s="8"/>
      <c r="CJ53" s="37">
        <f t="shared" si="437"/>
        <v>500</v>
      </c>
      <c r="CK53" s="125">
        <f>IFERROR(VLOOKUP($D53,'Adient Assende (Belgium) WK.17'!$B:CC,CL$1,0),0)</f>
        <v>0</v>
      </c>
      <c r="CL53" s="55">
        <f>IFERROR(VLOOKUP($D53,'Adient Arendal (Malzia) WK.12'!$B:CD,CL$1,0),0)</f>
        <v>0</v>
      </c>
      <c r="CM53" s="55">
        <f>IFERROR(VLOOKUP($D53,'Adient Taizhou (China) WK.16'!$B:CG,CL$1,0),0)</f>
        <v>0</v>
      </c>
      <c r="CN53" s="60">
        <v>0</v>
      </c>
      <c r="CO53" s="149">
        <v>0</v>
      </c>
      <c r="CP53" s="32">
        <v>0</v>
      </c>
      <c r="CQ53" s="106">
        <f t="shared" si="245"/>
        <v>500</v>
      </c>
      <c r="CR53" s="8"/>
      <c r="CS53" s="122">
        <f t="shared" si="438"/>
        <v>500</v>
      </c>
      <c r="CT53" s="154">
        <f>IFERROR(VLOOKUP($D53,'Adient Assende (Belgium) WK.17'!$B:CL,CU$1,0),0)</f>
        <v>0</v>
      </c>
      <c r="CU53" s="55">
        <f>IFERROR(VLOOKUP($D53,'Adient Arendal (Malzia) WK.12'!$B:CM,CU$1,0),0)</f>
        <v>0</v>
      </c>
      <c r="CV53" s="55">
        <f>IFERROR(VLOOKUP($D53,'Adient Taizhou (China) WK.16'!$B:CP,CU$1,0),0)</f>
        <v>0</v>
      </c>
      <c r="CW53" s="60">
        <v>0</v>
      </c>
      <c r="CX53" s="60">
        <v>0</v>
      </c>
      <c r="CY53" s="128">
        <v>0</v>
      </c>
      <c r="CZ53" s="32">
        <v>0</v>
      </c>
      <c r="DA53" s="106">
        <f t="shared" si="246"/>
        <v>500</v>
      </c>
      <c r="DB53" s="8"/>
      <c r="DC53" s="37">
        <f t="shared" si="439"/>
        <v>500</v>
      </c>
      <c r="DD53" s="125">
        <f>IFERROR(VLOOKUP($D53,'Adient Assende (Belgium) WK.17'!$B:CS,DE$1,0),0)</f>
        <v>0</v>
      </c>
      <c r="DE53" s="55">
        <f>IFERROR(VLOOKUP($D53,'Adient Arendal (Malzia) WK.12'!$B:CU,DE$1,0),0)</f>
        <v>0</v>
      </c>
      <c r="DF53" s="55">
        <f>IFERROR(VLOOKUP($D53,'Adient Taizhou (China) WK.16'!$B:CX,DE$1,0),0)</f>
        <v>0</v>
      </c>
      <c r="DG53" s="60">
        <v>0</v>
      </c>
      <c r="DH53" s="128">
        <v>80</v>
      </c>
      <c r="DI53" s="32">
        <v>0</v>
      </c>
      <c r="DJ53" s="106">
        <f t="shared" si="247"/>
        <v>420</v>
      </c>
      <c r="DL53" s="37">
        <f t="shared" si="440"/>
        <v>420</v>
      </c>
      <c r="DM53" s="125">
        <f>IFERROR(VLOOKUP($D53,'Adient Assende (Belgium) WK.17'!$B:DB,DN$1,0),0)</f>
        <v>80</v>
      </c>
      <c r="DN53" s="55">
        <f>IFERROR(VLOOKUP($D53,'Adient Arendal (Malzia) WK.12'!$B:DC,DN$1,0),0)</f>
        <v>0</v>
      </c>
      <c r="DO53" s="55">
        <f>IFERROR(VLOOKUP($D53,'Adient Taizhou (China) WK.16'!$B:DF,DN$1,0),0)</f>
        <v>0</v>
      </c>
      <c r="DP53" s="128">
        <v>0</v>
      </c>
      <c r="DQ53" s="32">
        <v>0</v>
      </c>
      <c r="DR53" s="106">
        <f t="shared" si="441"/>
        <v>420</v>
      </c>
      <c r="DS53" s="8"/>
      <c r="DT53" s="37">
        <f t="shared" si="442"/>
        <v>420</v>
      </c>
      <c r="DU53" s="125">
        <f>IFERROR(VLOOKUP($D53,'Adient Assende (Belgium) WK.17'!$B:DJ,DV$1,0),0)</f>
        <v>0</v>
      </c>
      <c r="DV53" s="55">
        <f>IFERROR(VLOOKUP($D53,'Adient Arendal (Malzia) WK.12'!$B:DK,DV$1,0),0)</f>
        <v>0</v>
      </c>
      <c r="DW53" s="55">
        <f>IFERROR(VLOOKUP($D53,'Adient Taizhou (China) WK.16'!$B:DN,DV$1,0),0)</f>
        <v>0</v>
      </c>
      <c r="DX53" s="60">
        <v>0</v>
      </c>
      <c r="DY53" s="60">
        <v>0</v>
      </c>
      <c r="DZ53" s="128">
        <v>0</v>
      </c>
      <c r="EA53" s="32">
        <v>0</v>
      </c>
      <c r="EB53" s="106">
        <f t="shared" si="248"/>
        <v>420</v>
      </c>
      <c r="EC53" s="8"/>
      <c r="ED53" s="37">
        <f t="shared" si="443"/>
        <v>420</v>
      </c>
      <c r="EE53" s="125">
        <f>IFERROR(VLOOKUP($D53,'Adient Assende (Belgium) WK.17'!$B:DR,EF$1,0),0)</f>
        <v>0</v>
      </c>
      <c r="EF53" s="55">
        <f>IFERROR(VLOOKUP($D53,'Adient Arendal (Malzia) WK.12'!$B:DS,EF$1,0),0)</f>
        <v>0</v>
      </c>
      <c r="EG53" s="55">
        <f>IFERROR(VLOOKUP($D53,'Adient Taizhou (China) WK.16'!$B:DV,EF$1,0),0)</f>
        <v>0</v>
      </c>
      <c r="EH53" s="60">
        <v>0</v>
      </c>
      <c r="EI53" s="128">
        <v>0</v>
      </c>
      <c r="EJ53" s="32">
        <v>0</v>
      </c>
      <c r="EK53" s="106">
        <f t="shared" si="249"/>
        <v>420</v>
      </c>
      <c r="EM53" s="37">
        <f t="shared" si="444"/>
        <v>420</v>
      </c>
      <c r="EN53" s="125">
        <f>IFERROR(VLOOKUP($D53,'Adient Assende (Belgium) WK.17'!$B:DZ,EO$1,0),0)</f>
        <v>0</v>
      </c>
      <c r="EO53" s="55">
        <f>IFERROR(VLOOKUP($D53,'Adient Arendal (Malzia) WK.12'!$B:EA,EO$1,0),0)</f>
        <v>0</v>
      </c>
      <c r="EP53" s="55">
        <f>IFERROR(VLOOKUP($D53,'Adient Taizhou (China) WK.16'!$B:ED,EO$1,0),0)</f>
        <v>0</v>
      </c>
      <c r="EQ53" s="128">
        <v>0</v>
      </c>
      <c r="ER53" s="32">
        <v>0</v>
      </c>
      <c r="ES53" s="106">
        <f t="shared" si="250"/>
        <v>420</v>
      </c>
      <c r="EU53" s="37">
        <f t="shared" si="445"/>
        <v>420</v>
      </c>
      <c r="EV53" s="125">
        <f>IFERROR(VLOOKUP($D53,'Adient Assende (Belgium) WK.17'!$B:EH,EW$1,0),0)</f>
        <v>0</v>
      </c>
      <c r="EW53" s="55">
        <f>IFERROR(VLOOKUP($D53,'Adient Arendal (Malzia) WK.12'!$B:EI,EW$1,0),0)</f>
        <v>0</v>
      </c>
      <c r="EX53" s="55">
        <f>IFERROR(VLOOKUP($D53,'Adient Taizhou (China) WK.16'!$B:EL,EW$1,0),0)</f>
        <v>0</v>
      </c>
      <c r="EY53" s="128">
        <v>0</v>
      </c>
      <c r="EZ53" s="32">
        <v>0</v>
      </c>
      <c r="FA53" s="106">
        <f t="shared" si="251"/>
        <v>420</v>
      </c>
      <c r="FC53" s="37">
        <f t="shared" si="446"/>
        <v>420</v>
      </c>
      <c r="FD53" s="154">
        <f>IFERROR(VLOOKUP($D53,'Adient Assende (Belgium) WK.17'!$B:EP,FE$1,0),0)</f>
        <v>0</v>
      </c>
      <c r="FE53" s="154">
        <f>IFERROR(VLOOKUP($D53,'Adient Arendal (Malzia) WK.12'!$B:EQ,FE$1,0),0)</f>
        <v>0</v>
      </c>
      <c r="FF53" s="154">
        <f>IFERROR(VLOOKUP($D53,'Adient Taizhou (China) WK.16'!$B:ET,FE$1,0),0)</f>
        <v>0</v>
      </c>
      <c r="FG53" s="128">
        <v>0</v>
      </c>
      <c r="FH53" s="32">
        <v>0</v>
      </c>
      <c r="FI53" s="106">
        <f t="shared" si="252"/>
        <v>420</v>
      </c>
      <c r="FK53" s="37">
        <f t="shared" si="447"/>
        <v>420</v>
      </c>
      <c r="FL53" s="125">
        <f>IFERROR(VLOOKUP($D53,'Adient Assende (Belgium) WK.17'!$B:EX,FM$1,0),0)</f>
        <v>0</v>
      </c>
      <c r="FM53" s="55">
        <f>IFERROR(VLOOKUP($D53,'Adient Arendal (Malzia) WK.12'!$B:EY,FM$1,0),0)</f>
        <v>0</v>
      </c>
      <c r="FN53" s="55">
        <f>IFERROR(VLOOKUP($D53,'Adient Taizhou (China) WK.16'!$B:FB,FM$1,0),0)</f>
        <v>0</v>
      </c>
      <c r="FO53" s="128">
        <v>0</v>
      </c>
      <c r="FP53" s="32">
        <v>0</v>
      </c>
      <c r="FQ53" s="106">
        <f t="shared" si="253"/>
        <v>420</v>
      </c>
      <c r="FR53" s="8"/>
      <c r="FS53" s="37">
        <f t="shared" si="448"/>
        <v>420</v>
      </c>
      <c r="FT53" s="125">
        <f>IFERROR(VLOOKUP($D53,'Adient Assende (Belgium) WK.17'!$B:FF,FU$1,0),0)</f>
        <v>0</v>
      </c>
      <c r="FU53" s="55">
        <f>IFERROR(VLOOKUP($D53,'Adient Arendal (Malzia) WK.12'!$B:FG,FU$1,0),0)</f>
        <v>0</v>
      </c>
      <c r="FV53" s="55">
        <f>IFERROR(VLOOKUP($D53,'Adient Taizhou (China) WK.16'!$B:FJ,FU$1,0),0)</f>
        <v>0</v>
      </c>
      <c r="FW53" s="60">
        <v>0</v>
      </c>
      <c r="FX53" s="60">
        <v>0</v>
      </c>
      <c r="FY53" s="60">
        <v>0</v>
      </c>
      <c r="FZ53" s="60">
        <v>0</v>
      </c>
      <c r="GA53" s="60">
        <v>0</v>
      </c>
      <c r="GB53" s="128">
        <v>0</v>
      </c>
      <c r="GC53" s="32">
        <v>0</v>
      </c>
      <c r="GD53" s="106">
        <f t="shared" si="254"/>
        <v>420</v>
      </c>
      <c r="GF53" s="37">
        <f t="shared" si="449"/>
        <v>420</v>
      </c>
      <c r="GG53" s="125">
        <f>IFERROR(VLOOKUP($D53,'Adient Assende (Belgium) WK.17'!$B:FN,GH$1,0),0)</f>
        <v>0</v>
      </c>
      <c r="GH53" s="55">
        <f>IFERROR(VLOOKUP($D53,'Adient Arendal (Malzia) WK.12'!$B:FO,GH$1,0),0)</f>
        <v>0</v>
      </c>
      <c r="GI53" s="55">
        <f>IFERROR(VLOOKUP($D53,'Adient Taizhou (China) WK.16'!$B:FR,GH$1,0),0)</f>
        <v>0</v>
      </c>
      <c r="GJ53" s="60">
        <v>0</v>
      </c>
      <c r="GK53" s="128">
        <v>0</v>
      </c>
      <c r="GL53" s="32">
        <v>0</v>
      </c>
      <c r="GM53" s="106">
        <f t="shared" si="255"/>
        <v>420</v>
      </c>
      <c r="GO53" s="37">
        <f t="shared" si="450"/>
        <v>420</v>
      </c>
      <c r="GP53" s="125">
        <f>IFERROR(VLOOKUP($D53,'Adient Assende (Belgium) WK.17'!$B:FV,GQ$1,0),0)</f>
        <v>0</v>
      </c>
      <c r="GQ53" s="55">
        <f>IFERROR(VLOOKUP($D53,'Adient Arendal (Malzia) WK.12'!$B:FW,GQ$1,0),0)</f>
        <v>0</v>
      </c>
      <c r="GR53" s="55">
        <f>IFERROR(VLOOKUP($D53,'Adient Taizhou (China) WK.16'!$B:FZ,GQ$1,0),0)</f>
        <v>0</v>
      </c>
      <c r="GS53" s="60">
        <v>0</v>
      </c>
      <c r="GT53" s="128">
        <v>0</v>
      </c>
      <c r="GU53" s="32">
        <v>0</v>
      </c>
      <c r="GV53" s="106">
        <f t="shared" si="256"/>
        <v>420</v>
      </c>
      <c r="GW53" s="8"/>
      <c r="GX53" s="37">
        <f t="shared" si="451"/>
        <v>420</v>
      </c>
      <c r="GY53" s="125">
        <f>IFERROR(VLOOKUP($D53,'Adient Assende (Belgium) WK.17'!$B:GD,GZ$1,0),0)</f>
        <v>0</v>
      </c>
      <c r="GZ53" s="55">
        <f>IFERROR(VLOOKUP($D53,'Adient Arendal (Malzia) WK.12'!$B:GE,GZ$1,0),0)</f>
        <v>0</v>
      </c>
      <c r="HA53" s="55">
        <f>IFERROR(VLOOKUP($D53,'Adient Taizhou (China) WK.16'!$B:GH,GZ$1,0),0)</f>
        <v>0</v>
      </c>
      <c r="HB53" s="60">
        <v>0</v>
      </c>
      <c r="HC53" s="128">
        <v>0</v>
      </c>
      <c r="HD53" s="32">
        <v>0</v>
      </c>
      <c r="HE53" s="106">
        <f t="shared" si="257"/>
        <v>420</v>
      </c>
      <c r="HF53" s="8"/>
      <c r="HG53" s="37">
        <f t="shared" si="452"/>
        <v>420</v>
      </c>
      <c r="HH53" s="125">
        <f>IFERROR(VLOOKUP($D53,'Adient Assende (Belgium) WK.17'!$B:GL,HI$1,0),0)</f>
        <v>0</v>
      </c>
      <c r="HI53" s="55">
        <f>IFERROR(VLOOKUP($D53,'Adient Arendal (Malzia) WK.12'!$B:GM,HI$1,0),0)</f>
        <v>0</v>
      </c>
      <c r="HJ53" s="55">
        <f>IFERROR(VLOOKUP($D53,'Adient Taizhou (China) WK.16'!$B:GP,HI$1,0),0)</f>
        <v>0</v>
      </c>
      <c r="HK53" s="60">
        <v>0</v>
      </c>
      <c r="HL53" s="128">
        <v>0</v>
      </c>
      <c r="HM53" s="32">
        <v>0</v>
      </c>
      <c r="HN53" s="106">
        <f t="shared" si="258"/>
        <v>420</v>
      </c>
      <c r="HO53" s="8"/>
      <c r="HP53" s="37">
        <f t="shared" si="453"/>
        <v>420</v>
      </c>
      <c r="HQ53" s="125">
        <f>IFERROR(VLOOKUP($D53,'Adient Assende (Belgium) WK.17'!$B:GT,HR$1,0),0)</f>
        <v>0</v>
      </c>
      <c r="HR53" s="55">
        <f>IFERROR(VLOOKUP($D53,'Adient Arendal (Malzia) WK.12'!$B:GU,HR$1,0),0)</f>
        <v>0</v>
      </c>
      <c r="HS53" s="55">
        <f>IFERROR(VLOOKUP($D53,'Adient Taizhou (China) WK.16'!$B:GX,HR$1,0),0)</f>
        <v>0</v>
      </c>
      <c r="HT53" s="60">
        <v>0</v>
      </c>
      <c r="HU53" s="128">
        <v>0</v>
      </c>
      <c r="HV53" s="32">
        <v>0</v>
      </c>
      <c r="HW53" s="106">
        <f t="shared" si="259"/>
        <v>420</v>
      </c>
      <c r="HX53" s="8"/>
      <c r="HY53" s="37">
        <f t="shared" si="454"/>
        <v>420</v>
      </c>
      <c r="HZ53" s="125">
        <f>IFERROR(VLOOKUP($D53,'Adient Assende (Belgium) WK.17'!$B:HB,IA$1,0),0)</f>
        <v>0</v>
      </c>
      <c r="IA53" s="55">
        <f>IFERROR(VLOOKUP($D53,'Adient Arendal (Malzia) WK.12'!$B:HC,IA$1,0),0)</f>
        <v>0</v>
      </c>
      <c r="IB53" s="55">
        <f>IFERROR(VLOOKUP($D53,'Adient Taizhou (China) WK.16'!$B:HF,IA$1,0),0)</f>
        <v>0</v>
      </c>
      <c r="IC53" s="60">
        <v>0</v>
      </c>
      <c r="ID53" s="128">
        <v>0</v>
      </c>
      <c r="IE53" s="32">
        <v>0</v>
      </c>
      <c r="IF53" s="106">
        <f t="shared" si="260"/>
        <v>420</v>
      </c>
      <c r="IG53" s="8"/>
      <c r="IH53" s="37">
        <f t="shared" si="455"/>
        <v>420</v>
      </c>
      <c r="II53" s="125">
        <f>IFERROR(VLOOKUP($D53,'Adient Assende (Belgium) WK.17'!$B:HJ,IJ$1,0),0)</f>
        <v>0</v>
      </c>
      <c r="IJ53" s="55">
        <f>IFERROR(VLOOKUP($D53,'Adient Arendal (Malzia) WK.12'!$B:HK,IJ$1,0),0)</f>
        <v>0</v>
      </c>
      <c r="IK53" s="55">
        <f>IFERROR(VLOOKUP($D53,'Adient Taizhou (China) WK.16'!$B:HN,IJ$1,0),0)</f>
        <v>0</v>
      </c>
      <c r="IL53" s="128">
        <v>0</v>
      </c>
      <c r="IM53" s="32">
        <v>0</v>
      </c>
      <c r="IN53" s="106">
        <f t="shared" si="456"/>
        <v>420</v>
      </c>
      <c r="IO53" s="8"/>
      <c r="IP53" s="37">
        <f t="shared" si="457"/>
        <v>420</v>
      </c>
      <c r="IQ53" s="125">
        <f>IFERROR(VLOOKUP($D53,'Adient Assende (Belgium) WK.17'!$B:HR,IR$1,0),0)</f>
        <v>0</v>
      </c>
      <c r="IR53" s="55">
        <f>IFERROR(VLOOKUP($D53,'Adient Arendal (Malzia) WK.12'!$B:HS,IR$1,0),0)</f>
        <v>0</v>
      </c>
      <c r="IS53" s="55">
        <f>IFERROR(VLOOKUP($D53,'Adient Taizhou (China) WK.16'!$B:HV,IR$1,0),0)</f>
        <v>0</v>
      </c>
      <c r="IT53" s="60">
        <v>0</v>
      </c>
      <c r="IU53" s="128">
        <v>80</v>
      </c>
      <c r="IV53" s="32">
        <v>0</v>
      </c>
      <c r="IW53" s="106">
        <f t="shared" si="261"/>
        <v>340</v>
      </c>
      <c r="IX53" s="8"/>
      <c r="IY53" s="37">
        <f t="shared" si="458"/>
        <v>340</v>
      </c>
      <c r="IZ53" s="125">
        <f>IFERROR(VLOOKUP($D53,'Adient Assende (Belgium) WK.17'!$B:HZ,JA$1,0),0)</f>
        <v>80</v>
      </c>
      <c r="JA53" s="55">
        <f>IFERROR(VLOOKUP($D53,'Adient Arendal (Malzia) WK.12'!$B:IA,JA$1,0),0)</f>
        <v>0</v>
      </c>
      <c r="JB53" s="55">
        <f>IFERROR(VLOOKUP($D53,'Adient Taizhou (China) WK.16'!$B:ID,JA$1,0),0)</f>
        <v>0</v>
      </c>
      <c r="JC53" s="128">
        <v>0</v>
      </c>
      <c r="JD53" s="32">
        <v>0</v>
      </c>
      <c r="JE53" s="106">
        <f t="shared" si="459"/>
        <v>340</v>
      </c>
      <c r="JF53" s="8"/>
      <c r="JG53" s="37">
        <f t="shared" si="460"/>
        <v>340</v>
      </c>
      <c r="JH53" s="125">
        <f>IFERROR(VLOOKUP($D53,'Adient Assende (Belgium) WK.17'!$B:IH,JI$1,0),0)</f>
        <v>0</v>
      </c>
      <c r="JI53" s="55">
        <f>IFERROR(VLOOKUP($D53,'Adient Arendal (Malzia) WK.12'!$B:II,JI$1,0),0)</f>
        <v>0</v>
      </c>
      <c r="JJ53" s="55">
        <f>IFERROR(VLOOKUP($D53,'Adient Taizhou (China) WK.16'!$B:IL,JI$1,0),0)</f>
        <v>0</v>
      </c>
      <c r="JK53" s="60">
        <v>0</v>
      </c>
      <c r="JL53" s="128">
        <v>0</v>
      </c>
      <c r="JM53" s="32">
        <v>0</v>
      </c>
      <c r="JN53" s="106">
        <f t="shared" si="262"/>
        <v>340</v>
      </c>
      <c r="JO53" s="8"/>
      <c r="JP53" s="37">
        <f t="shared" si="461"/>
        <v>340</v>
      </c>
      <c r="JQ53" s="125">
        <f>IFERROR(VLOOKUP($D53,'Adient Assende (Belgium) WK.17'!$B:IP,JR$1,0),0)</f>
        <v>0</v>
      </c>
      <c r="JR53" s="55">
        <f>IFERROR(VLOOKUP($D53,'Adient Arendal (Malzia) WK.12'!$B:IQ,JR$1,0),0)</f>
        <v>0</v>
      </c>
      <c r="JS53" s="55">
        <f>IFERROR(VLOOKUP($D53,'Adient Taizhou (China) WK.16'!$B:IT,JR$1,0),0)</f>
        <v>0</v>
      </c>
      <c r="JT53" s="128">
        <v>0</v>
      </c>
      <c r="JU53" s="32">
        <v>0</v>
      </c>
      <c r="JV53" s="106">
        <f t="shared" si="462"/>
        <v>340</v>
      </c>
      <c r="JW53" s="8"/>
      <c r="JX53" s="37">
        <f t="shared" si="463"/>
        <v>340</v>
      </c>
      <c r="JY53" s="154">
        <f>IFERROR(VLOOKUP($D53,'Adient Assende (Belgium) WK.17'!$B:IX,JZ$1,0),0)</f>
        <v>0</v>
      </c>
      <c r="JZ53" s="55">
        <f>IFERROR(VLOOKUP($D53,'Adient Arendal (Malzia) WK.12'!$B:IY,JZ$1,0),0)</f>
        <v>0</v>
      </c>
      <c r="KA53" s="55">
        <f>IFERROR(VLOOKUP($D53,'Adient Taizhou (China) WK.16'!$B:JB,JZ$1,0),0)</f>
        <v>0</v>
      </c>
      <c r="KB53" s="128">
        <v>0</v>
      </c>
      <c r="KC53" s="32">
        <v>0</v>
      </c>
      <c r="KD53" s="106">
        <f t="shared" si="263"/>
        <v>340</v>
      </c>
      <c r="KE53" s="8"/>
      <c r="KF53" s="37">
        <f t="shared" si="464"/>
        <v>340</v>
      </c>
      <c r="KG53" s="125">
        <f>IFERROR(VLOOKUP($D53,'Adient Assende (Belgium) WK.17'!$B:JF,KH$1,0),0)</f>
        <v>0</v>
      </c>
      <c r="KH53" s="55">
        <f>IFERROR(VLOOKUP($D53,'Adient Arendal (Malzia) WK.12'!$B:JG,KH$1,0),0)</f>
        <v>0</v>
      </c>
      <c r="KI53" s="55">
        <f>IFERROR(VLOOKUP($D53,'Adient Taizhou (China) WK.16'!$B:JJ,KH$1,0),0)</f>
        <v>0</v>
      </c>
      <c r="KJ53" s="60">
        <v>0</v>
      </c>
      <c r="KK53" s="128">
        <v>0</v>
      </c>
      <c r="KL53" s="32">
        <v>0</v>
      </c>
      <c r="KM53" s="106">
        <f t="shared" si="264"/>
        <v>340</v>
      </c>
      <c r="KN53" s="8"/>
      <c r="KO53" s="37">
        <f t="shared" si="465"/>
        <v>340</v>
      </c>
      <c r="KP53" s="141">
        <f>IFERROR(VLOOKUP($D53,'Adient Assende (Belgium) WK.17'!$B:JN,KQ$1,0),0)</f>
        <v>0</v>
      </c>
      <c r="KQ53" s="140">
        <f>IFERROR(VLOOKUP($D53,'Adient Arendal (Malzia) WK.12'!$B:JO,KQ$1,0),0)</f>
        <v>0</v>
      </c>
      <c r="KR53" s="140">
        <f>IFERROR(VLOOKUP($D53,'Adient Taizhou (China) WK.16'!$B:JR,KQ$1,0),0)</f>
        <v>0</v>
      </c>
      <c r="KS53" s="60">
        <v>0</v>
      </c>
      <c r="KT53" s="128">
        <v>0</v>
      </c>
      <c r="KU53" s="32">
        <v>0</v>
      </c>
      <c r="KV53" s="106">
        <f t="shared" si="265"/>
        <v>340</v>
      </c>
      <c r="KX53" s="37">
        <f t="shared" si="466"/>
        <v>340</v>
      </c>
      <c r="KY53" s="141">
        <f>IFERROR(VLOOKUP($D53,'Adient Assende (Belgium) WK.17'!$B:JV,KZ$1,0),0)</f>
        <v>0</v>
      </c>
      <c r="KZ53" s="140">
        <f>IFERROR(VLOOKUP($D53,'Adient Arendal (Malzia) WK.12'!$B:JW,KZ$1,0),0)</f>
        <v>0</v>
      </c>
      <c r="LA53" s="140">
        <f>IFERROR(VLOOKUP($D53,'Adient Taizhou (China) WK.16'!$B:JZ,KZ$1,0),0)</f>
        <v>0</v>
      </c>
      <c r="LB53" s="128">
        <v>0</v>
      </c>
      <c r="LC53" s="32">
        <v>0</v>
      </c>
      <c r="LD53" s="106">
        <f t="shared" si="467"/>
        <v>340</v>
      </c>
      <c r="LF53" s="37">
        <f t="shared" si="468"/>
        <v>340</v>
      </c>
      <c r="LG53" s="141">
        <f>IFERROR(VLOOKUP($D53,'Adient Assende (Belgium) WK.17'!$B:KD,LH$1,0),0)</f>
        <v>0</v>
      </c>
      <c r="LH53" s="140">
        <f>IFERROR(VLOOKUP($D53,'Adient Arendal (Malzia) WK.12'!$B:KE,LH$1,0),0)</f>
        <v>0</v>
      </c>
      <c r="LI53" s="140">
        <f>IFERROR(VLOOKUP($D53,'Adient Taizhou (China) WK.16'!$B:KH,LH$1,0),0)</f>
        <v>0</v>
      </c>
      <c r="LJ53" s="60">
        <v>0</v>
      </c>
      <c r="LK53" s="128">
        <v>0</v>
      </c>
      <c r="LL53" s="32">
        <v>0</v>
      </c>
      <c r="LM53" s="100">
        <f t="shared" si="267"/>
        <v>340</v>
      </c>
      <c r="LO53" s="37">
        <f t="shared" si="469"/>
        <v>340</v>
      </c>
      <c r="LP53" s="141">
        <f>IFERROR(VLOOKUP($D53,'Adient Assende (Belgium) WK.17'!$B:KL,LQ$1,0),0)</f>
        <v>0</v>
      </c>
      <c r="LQ53" s="140">
        <f>IFERROR(VLOOKUP($D53,'Adient Arendal (Malzia) WK.12'!$B:KM,LQ$1,0),0)</f>
        <v>0</v>
      </c>
      <c r="LR53" s="140">
        <f>IFERROR(VLOOKUP($D53,'Adient Taizhou (China) WK.16'!$B:KP,LQ$1,0),0)</f>
        <v>0</v>
      </c>
      <c r="LS53" s="128">
        <v>0</v>
      </c>
      <c r="LT53" s="32">
        <v>0</v>
      </c>
      <c r="LU53" s="100">
        <f t="shared" si="470"/>
        <v>340</v>
      </c>
      <c r="LW53" s="37">
        <f t="shared" si="471"/>
        <v>340</v>
      </c>
      <c r="LX53" s="141">
        <f>IFERROR(VLOOKUP($D53,'Adient Assende (Belgium) WK.17'!$B:KT,LY$1,0),0)</f>
        <v>80</v>
      </c>
      <c r="LY53" s="140">
        <f>IFERROR(VLOOKUP($D53,'Adient Arendal (Malzia) WK.12'!$B:KU,LY$1,0),0)</f>
        <v>0</v>
      </c>
      <c r="LZ53" s="140">
        <f>IFERROR(VLOOKUP($D53,'Adient Taizhou (China) WK.16'!$B:KX,LY$1,0),0)</f>
        <v>0</v>
      </c>
      <c r="MA53" s="128">
        <v>0</v>
      </c>
      <c r="MB53" s="32">
        <v>0</v>
      </c>
      <c r="MC53" s="100">
        <f t="shared" si="472"/>
        <v>260</v>
      </c>
      <c r="ME53" s="37">
        <f t="shared" si="473"/>
        <v>260</v>
      </c>
      <c r="MF53" s="154">
        <f>IFERROR(VLOOKUP($D53,'Adient Assende (Belgium) WK.17'!$B:LB,MG$1,0),0)</f>
        <v>0</v>
      </c>
      <c r="MG53" s="140">
        <f>IFERROR(VLOOKUP($D53,'Adient Arendal (Malzia) WK.12'!$B:LC,MG$1,0),0)</f>
        <v>0</v>
      </c>
      <c r="MH53" s="140">
        <f>IFERROR(VLOOKUP($D53,'Adient Taizhou (China) WK.16'!$B:LF,MG$1,0),0)</f>
        <v>0</v>
      </c>
      <c r="MI53" s="128">
        <v>0</v>
      </c>
      <c r="MJ53" s="32">
        <v>0</v>
      </c>
      <c r="MK53" s="100">
        <f t="shared" si="474"/>
        <v>260</v>
      </c>
      <c r="MM53" s="37">
        <f t="shared" si="475"/>
        <v>260</v>
      </c>
      <c r="MN53" s="141">
        <f>IFERROR(VLOOKUP($D53,'Adient Assende (Belgium) WK.17'!$B:LJ,MO$1,0),0)</f>
        <v>0</v>
      </c>
      <c r="MO53" s="140">
        <f>IFERROR(VLOOKUP($D53,'Adient Arendal (Malzia) WK.12'!$B:LK,MO$1,0),0)</f>
        <v>0</v>
      </c>
      <c r="MP53" s="140">
        <f>IFERROR(VLOOKUP($D53,'Adient Taizhou (China) WK.16'!$B:LN,MO$1,0),0)</f>
        <v>0</v>
      </c>
      <c r="MQ53" s="128">
        <v>0</v>
      </c>
      <c r="MR53" s="32">
        <v>0</v>
      </c>
      <c r="MS53" s="100">
        <f t="shared" si="476"/>
        <v>260</v>
      </c>
      <c r="MU53" s="37">
        <f t="shared" si="477"/>
        <v>260</v>
      </c>
      <c r="MV53" s="141">
        <f>IFERROR(VLOOKUP($D53,'Adient Assende (Belgium) WK.17'!$B:LR,MW$1,0),0)</f>
        <v>0</v>
      </c>
      <c r="MW53" s="140">
        <f>IFERROR(VLOOKUP($D53,'Adient Arendal (Malzia) WK.12'!$B:LS,MW$1,0),0)</f>
        <v>0</v>
      </c>
      <c r="MX53" s="140">
        <f>IFERROR(VLOOKUP($D53,'Adient Taizhou (China) WK.16'!$B:LV,MW$1,0),0)</f>
        <v>0</v>
      </c>
      <c r="MY53" s="128">
        <v>0</v>
      </c>
      <c r="MZ53" s="32">
        <v>0</v>
      </c>
      <c r="NA53" s="100">
        <f t="shared" si="478"/>
        <v>260</v>
      </c>
      <c r="NC53" s="37">
        <f t="shared" si="479"/>
        <v>260</v>
      </c>
      <c r="ND53" s="141">
        <f>IFERROR(VLOOKUP($D53,'Adient Assende (Belgium) WK.17'!$B:LZ,NE$1,0),0)</f>
        <v>80</v>
      </c>
      <c r="NE53" s="140">
        <f>IFERROR(VLOOKUP($D53,'Adient Arendal (Malzia) WK.12'!$B:MA,NE$1,0),0)</f>
        <v>0</v>
      </c>
      <c r="NF53" s="140">
        <f>IFERROR(VLOOKUP($D53,'Adient Taizhou (China) WK.16'!$B:MD,NE$1,0),0)</f>
        <v>0</v>
      </c>
      <c r="NG53" s="128">
        <v>0</v>
      </c>
      <c r="NH53" s="32">
        <v>0</v>
      </c>
      <c r="NI53" s="100">
        <f t="shared" si="480"/>
        <v>180</v>
      </c>
      <c r="NK53" s="37">
        <f t="shared" si="481"/>
        <v>180</v>
      </c>
      <c r="NL53" s="141">
        <f>IFERROR(VLOOKUP($D53,'Adient Assende (Belgium) WK.17'!$B:MH,NM$1,0),0)</f>
        <v>0</v>
      </c>
      <c r="NM53" s="140">
        <f>IFERROR(VLOOKUP($D53,'Adient Arendal (Malzia) WK.12'!$B:MI,NM$1,0),0)</f>
        <v>0</v>
      </c>
      <c r="NN53" s="140">
        <f>IFERROR(VLOOKUP($D53,'Adient Taizhou (China) WK.16'!$B:ML,NM$1,0),0)</f>
        <v>0</v>
      </c>
      <c r="NO53" s="128">
        <v>0</v>
      </c>
      <c r="NP53" s="32">
        <v>0</v>
      </c>
      <c r="NQ53" s="100">
        <f t="shared" si="482"/>
        <v>180</v>
      </c>
      <c r="NS53" s="37">
        <f t="shared" si="483"/>
        <v>180</v>
      </c>
      <c r="NT53" s="141">
        <f>IFERROR(VLOOKUP($D53,'Adient Assende (Belgium) WK.17'!$B:MP,NU$1,0),0)</f>
        <v>0</v>
      </c>
      <c r="NU53" s="140">
        <f>IFERROR(VLOOKUP($D53,'Adient Arendal (Malzia) WK.12'!$B:MQ,NU$1,0),0)</f>
        <v>0</v>
      </c>
      <c r="NV53" s="140">
        <f>IFERROR(VLOOKUP($D53,'Adient Taizhou (China) WK.16'!$B:MT,NU$1,0),0)</f>
        <v>0</v>
      </c>
      <c r="NW53" s="128">
        <v>0</v>
      </c>
      <c r="NX53" s="32">
        <v>0</v>
      </c>
      <c r="NY53" s="100">
        <f t="shared" si="484"/>
        <v>180</v>
      </c>
      <c r="OA53" s="37">
        <f t="shared" si="485"/>
        <v>180</v>
      </c>
      <c r="OB53" s="141">
        <f>IFERROR(VLOOKUP($D53,'Adient Assende (Belgium) WK.17'!$B:MX,OC$1,0),0)</f>
        <v>80</v>
      </c>
      <c r="OC53" s="140">
        <f>IFERROR(VLOOKUP($D53,'Adient Arendal (Malzia) WK.12'!$B:MY,OC$1,0),0)</f>
        <v>0</v>
      </c>
      <c r="OD53" s="140">
        <f>IFERROR(VLOOKUP($D53,'Adient Taizhou (China) WK.16'!$B:NB,OC$1,0),0)</f>
        <v>0</v>
      </c>
      <c r="OE53" s="128">
        <v>0</v>
      </c>
      <c r="OF53" s="32">
        <v>0</v>
      </c>
      <c r="OG53" s="100">
        <f t="shared" si="486"/>
        <v>100</v>
      </c>
      <c r="OI53" s="37">
        <f t="shared" si="487"/>
        <v>100</v>
      </c>
      <c r="OJ53" s="141">
        <f>IFERROR(VLOOKUP($D53,'Adient Assende (Belgium) WK.17'!$B:NF,OK$1,0),0)</f>
        <v>0</v>
      </c>
      <c r="OK53" s="140">
        <f>IFERROR(VLOOKUP($D53,'Adient Arendal (Malzia) WK.12'!$B:NG,OK$1,0),0)</f>
        <v>0</v>
      </c>
      <c r="OL53" s="140">
        <f>IFERROR(VLOOKUP($D53,'Adient Taizhou (China) WK.16'!$B:NJ,OK$1,0),0)</f>
        <v>0</v>
      </c>
      <c r="OM53" s="128">
        <v>0</v>
      </c>
      <c r="ON53" s="32">
        <v>0</v>
      </c>
      <c r="OO53" s="100">
        <f t="shared" si="488"/>
        <v>100</v>
      </c>
      <c r="OQ53" s="37">
        <f t="shared" si="489"/>
        <v>100</v>
      </c>
      <c r="OR53" s="141">
        <f>IFERROR(VLOOKUP($D53,'Adient Assende (Belgium) WK.17'!$B:NN,OS$1,0),0)</f>
        <v>0</v>
      </c>
      <c r="OS53" s="140">
        <f>IFERROR(VLOOKUP($D53,'Adient Arendal (Malzia) WK.12'!$B:NO,OS$1,0),0)</f>
        <v>0</v>
      </c>
      <c r="OT53" s="140">
        <f>IFERROR(VLOOKUP($D53,'Adient Taizhou (China) WK.16'!$B:NR,OS$1,0),0)</f>
        <v>0</v>
      </c>
      <c r="OU53" s="128">
        <v>0</v>
      </c>
      <c r="OV53" s="32">
        <v>0</v>
      </c>
      <c r="OW53" s="100">
        <f t="shared" si="490"/>
        <v>100</v>
      </c>
      <c r="OY53" s="37">
        <f t="shared" si="491"/>
        <v>100</v>
      </c>
      <c r="OZ53" s="141">
        <f>IFERROR(VLOOKUP($D53,'Adient Assende (Belgium) WK.17'!$B:NV,PA$1,0),0)</f>
        <v>0</v>
      </c>
      <c r="PA53" s="140">
        <f>IFERROR(VLOOKUP($D53,'Adient Arendal (Malzia) WK.12'!$B:NW,PA$1,0),0)</f>
        <v>0</v>
      </c>
      <c r="PB53" s="140">
        <f>IFERROR(VLOOKUP($D53,'Adient Taizhou (China) WK.16'!$B:NZ,PA$1,0),0)</f>
        <v>0</v>
      </c>
      <c r="PC53" s="128">
        <v>0</v>
      </c>
      <c r="PD53" s="32">
        <v>0</v>
      </c>
      <c r="PE53" s="100">
        <f t="shared" si="492"/>
        <v>100</v>
      </c>
      <c r="PG53" s="37">
        <f t="shared" si="493"/>
        <v>100</v>
      </c>
      <c r="PH53" s="141">
        <f>IFERROR(VLOOKUP($D53,'Adient Assende (Belgium) WK.17'!$B:OD,PI$1,0),0)</f>
        <v>0</v>
      </c>
      <c r="PI53" s="140">
        <f>IFERROR(VLOOKUP($D53,'Adient Arendal (Malzia) WK.12'!$B:OE,PI$1,0),0)</f>
        <v>0</v>
      </c>
      <c r="PJ53" s="140">
        <f>IFERROR(VLOOKUP($D53,'Adient Taizhou (China) WK.16'!$B:OH,PI$1,0),0)</f>
        <v>0</v>
      </c>
      <c r="PK53" s="128">
        <v>0</v>
      </c>
      <c r="PL53" s="32">
        <v>0</v>
      </c>
      <c r="PM53" s="100">
        <f t="shared" si="494"/>
        <v>100</v>
      </c>
      <c r="PO53" s="37">
        <f t="shared" si="495"/>
        <v>100</v>
      </c>
      <c r="PP53" s="141">
        <f>IFERROR(VLOOKUP($D53,'Adient Assende (Belgium) WK.17'!$B:OL,PQ$1,0),0)</f>
        <v>0</v>
      </c>
      <c r="PQ53" s="140">
        <f>IFERROR(VLOOKUP($D53,'Adient Arendal (Malzia) WK.12'!$B:OM,PQ$1,0),0)</f>
        <v>0</v>
      </c>
      <c r="PR53" s="140">
        <f>IFERROR(VLOOKUP($D53,'Adient Taizhou (China) WK.16'!$B:OP,PQ$1,0),0)</f>
        <v>0</v>
      </c>
      <c r="PS53" s="128">
        <v>0</v>
      </c>
      <c r="PT53" s="32">
        <v>0</v>
      </c>
      <c r="PU53" s="100">
        <f t="shared" si="496"/>
        <v>100</v>
      </c>
      <c r="PW53" s="37">
        <f t="shared" si="497"/>
        <v>100</v>
      </c>
      <c r="PX53" s="141">
        <f>IFERROR(VLOOKUP($D53,'Adient Assende (Belgium) WK.17'!$B:OT,PY$1,0),0)</f>
        <v>80</v>
      </c>
      <c r="PY53" s="140">
        <f>IFERROR(VLOOKUP($D53,'Adient Arendal (Malzia) WK.12'!$B:OU,PY$1,0),0)</f>
        <v>0</v>
      </c>
      <c r="PZ53" s="140">
        <f>IFERROR(VLOOKUP($D53,'Adient Taizhou (China) WK.16'!$B:OX,PY$1,0),0)</f>
        <v>0</v>
      </c>
      <c r="QA53" s="128">
        <v>0</v>
      </c>
      <c r="QB53" s="32">
        <v>0</v>
      </c>
      <c r="QC53" s="100">
        <f t="shared" si="498"/>
        <v>20</v>
      </c>
      <c r="QE53" s="37">
        <f t="shared" si="499"/>
        <v>20</v>
      </c>
      <c r="QF53" s="141">
        <f>IFERROR(VLOOKUP($D53,'Adient Assende (Belgium) WK.17'!$B:PB,QG$1,0),0)</f>
        <v>0</v>
      </c>
      <c r="QG53" s="140">
        <f>IFERROR(VLOOKUP($D53,'Adient Arendal (Malzia) WK.12'!$B:PC,QG$1,0),0)</f>
        <v>0</v>
      </c>
      <c r="QH53" s="140">
        <f>IFERROR(VLOOKUP($D53,'Adient Taizhou (China) WK.16'!$B:PF,QG$1,0),0)</f>
        <v>0</v>
      </c>
      <c r="QI53" s="128">
        <v>0</v>
      </c>
      <c r="QJ53" s="32">
        <v>0</v>
      </c>
      <c r="QK53" s="100">
        <f t="shared" si="500"/>
        <v>20</v>
      </c>
      <c r="QM53" s="37">
        <f t="shared" si="501"/>
        <v>20</v>
      </c>
      <c r="QN53" s="141">
        <f>IFERROR(VLOOKUP($D53,'Adient Assende (Belgium) WK.17'!$B:PJ,QO$1,0),0)</f>
        <v>0</v>
      </c>
      <c r="QO53" s="140">
        <f>IFERROR(VLOOKUP($D53,'Adient Arendal (Malzia) WK.12'!$B:PK,QO$1,0),0)</f>
        <v>0</v>
      </c>
      <c r="QP53" s="140">
        <f>IFERROR(VLOOKUP($D53,'Adient Taizhou (China) WK.16'!$B:PN,QO$1,0),0)</f>
        <v>0</v>
      </c>
      <c r="QQ53" s="128">
        <v>0</v>
      </c>
      <c r="QR53" s="32">
        <v>0</v>
      </c>
      <c r="QS53" s="100">
        <f t="shared" si="502"/>
        <v>20</v>
      </c>
      <c r="QU53" s="37">
        <f t="shared" si="503"/>
        <v>20</v>
      </c>
      <c r="QV53" s="141">
        <f>IFERROR(VLOOKUP($D53,'Adient Assende (Belgium) WK.17'!$B:PR,QW$1,0),0)</f>
        <v>20</v>
      </c>
      <c r="QW53" s="140">
        <f>IFERROR(VLOOKUP($D53,'Adient Arendal (Malzia) WK.12'!$B:PS,QW$1,0),0)</f>
        <v>0</v>
      </c>
      <c r="QX53" s="140">
        <f>IFERROR(VLOOKUP($D53,'Adient Taizhou (China) WK.16'!$B:PV,QW$1,0),0)</f>
        <v>0</v>
      </c>
      <c r="QY53" s="128">
        <v>0</v>
      </c>
      <c r="QZ53" s="32">
        <v>0</v>
      </c>
      <c r="RA53" s="100">
        <f t="shared" si="504"/>
        <v>0</v>
      </c>
      <c r="RC53" s="37">
        <f t="shared" si="505"/>
        <v>0</v>
      </c>
      <c r="RD53" s="141">
        <f>IFERROR(VLOOKUP($D53,'Adient Assende (Belgium) WK.17'!$B:PZ,RE$1,0),0)</f>
        <v>20</v>
      </c>
      <c r="RE53" s="140">
        <f>IFERROR(VLOOKUP($D53,'Adient Arendal (Malzia) WK.12'!$B:QA,RE$1,0),0)</f>
        <v>0</v>
      </c>
      <c r="RF53" s="140">
        <f>IFERROR(VLOOKUP($D53,'Adient Taizhou (China) WK.16'!$B:QD,RE$1,0),0)</f>
        <v>0</v>
      </c>
      <c r="RG53" s="128">
        <v>0</v>
      </c>
      <c r="RH53" s="32">
        <v>0</v>
      </c>
      <c r="RI53" s="100">
        <f t="shared" si="506"/>
        <v>-20</v>
      </c>
      <c r="RK53" s="37">
        <f t="shared" si="507"/>
        <v>-20</v>
      </c>
      <c r="RL53" s="141">
        <f>IFERROR(VLOOKUP($D53,'Adient Assende (Belgium) WK.17'!$B:QH,RM$1,0),0)</f>
        <v>20</v>
      </c>
      <c r="RM53" s="140">
        <f>IFERROR(VLOOKUP($D53,'Adient Arendal (Malzia) WK.12'!$B:QI,RM$1,0),0)</f>
        <v>0</v>
      </c>
      <c r="RN53" s="140">
        <f>IFERROR(VLOOKUP($D53,'Adient Taizhou (China) WK.16'!$B:QL,RM$1,0),0)</f>
        <v>0</v>
      </c>
      <c r="RO53" s="128">
        <v>0</v>
      </c>
      <c r="RP53" s="32">
        <v>0</v>
      </c>
      <c r="RQ53" s="100">
        <f t="shared" si="508"/>
        <v>-40</v>
      </c>
      <c r="RS53" s="37">
        <f t="shared" si="509"/>
        <v>-40</v>
      </c>
      <c r="RT53" s="141">
        <f>IFERROR(VLOOKUP($D53,'Adient Assende (Belgium) WK.17'!$B:QP,RU$1,0),0)</f>
        <v>20</v>
      </c>
      <c r="RU53" s="140">
        <f>IFERROR(VLOOKUP($D53,'Adient Arendal (Malzia) WK.12'!$B:QQ,RU$1,0),0)</f>
        <v>0</v>
      </c>
      <c r="RV53" s="140">
        <f>IFERROR(VLOOKUP($D53,'Adient Taizhou (China) WK.16'!$B:QT,RU$1,0),0)</f>
        <v>0</v>
      </c>
      <c r="RW53" s="128">
        <v>0</v>
      </c>
      <c r="RX53" s="32">
        <v>0</v>
      </c>
      <c r="RY53" s="100">
        <f t="shared" si="510"/>
        <v>-60</v>
      </c>
      <c r="SA53" s="37">
        <f t="shared" si="511"/>
        <v>-60</v>
      </c>
      <c r="SB53" s="141">
        <f>IFERROR(VLOOKUP($D53,'Adient Assende (Belgium) WK.17'!$B:QX,SC$1,0),0)</f>
        <v>60</v>
      </c>
      <c r="SC53" s="140">
        <f>IFERROR(VLOOKUP($D53,'Adient Arendal (Malzia) WK.12'!$B:QY,SC$1,0),0)</f>
        <v>0</v>
      </c>
      <c r="SD53" s="140">
        <f>IFERROR(VLOOKUP($D53,'Adient Taizhou (China) WK.16'!$B:RB,SC$1,0),0)</f>
        <v>0</v>
      </c>
      <c r="SE53" s="128">
        <v>0</v>
      </c>
      <c r="SF53" s="32">
        <v>0</v>
      </c>
      <c r="SG53" s="100">
        <f t="shared" si="512"/>
        <v>-120</v>
      </c>
      <c r="SI53" s="37">
        <f t="shared" si="513"/>
        <v>-120</v>
      </c>
      <c r="SJ53" s="141">
        <f>IFERROR(VLOOKUP($D53,'Adient Assende (Belgium) WK.17'!$B:RF,SK$1,0),0)</f>
        <v>60</v>
      </c>
      <c r="SK53" s="140">
        <f>IFERROR(VLOOKUP($D53,'Adient Arendal (Malzia) WK.12'!$B:RG,SK$1,0),0)</f>
        <v>0</v>
      </c>
      <c r="SL53" s="140">
        <f>IFERROR(VLOOKUP($D53,'Adient Taizhou (China) WK.16'!$B:RJ,SK$1,0),0)</f>
        <v>0</v>
      </c>
      <c r="SM53" s="128">
        <v>0</v>
      </c>
      <c r="SN53" s="32">
        <v>0</v>
      </c>
      <c r="SO53" s="100">
        <f t="shared" si="514"/>
        <v>-180</v>
      </c>
      <c r="SQ53" s="37">
        <f t="shared" si="515"/>
        <v>-180</v>
      </c>
      <c r="SR53" s="141">
        <f>IFERROR(VLOOKUP($D53,'Adient Assende (Belgium) WK.17'!$B:RN,SS$1,0),0)</f>
        <v>60</v>
      </c>
      <c r="SS53" s="140">
        <f>IFERROR(VLOOKUP($D53,'Adient Arendal (Malzia) WK.12'!$B:RO,SS$1,0),0)</f>
        <v>0</v>
      </c>
      <c r="ST53" s="140">
        <f>IFERROR(VLOOKUP($D53,'Adient Taizhou (China) WK.16'!$B:RR,SS$1,0),0)</f>
        <v>0</v>
      </c>
      <c r="SU53" s="128">
        <v>0</v>
      </c>
      <c r="SV53" s="32">
        <v>0</v>
      </c>
      <c r="SW53" s="100">
        <f t="shared" si="516"/>
        <v>-240</v>
      </c>
      <c r="SY53" s="37">
        <f t="shared" si="517"/>
        <v>-240</v>
      </c>
      <c r="SZ53" s="141">
        <f>IFERROR(VLOOKUP($D53,'Adient Assende (Belgium) WK.17'!$B:RV,TA$1,0),0)</f>
        <v>60</v>
      </c>
      <c r="TA53" s="140">
        <f>IFERROR(VLOOKUP($D53,'Adient Arendal (Malzia) WK.12'!$B:RW,TA$1,0),0)</f>
        <v>0</v>
      </c>
      <c r="TB53" s="140">
        <f>IFERROR(VLOOKUP($D53,'Adient Taizhou (China) WK.16'!$B:RZ,TA$1,0),0)</f>
        <v>0</v>
      </c>
      <c r="TC53" s="128">
        <v>0</v>
      </c>
      <c r="TD53" s="32">
        <v>0</v>
      </c>
      <c r="TE53" s="100">
        <f t="shared" si="518"/>
        <v>-300</v>
      </c>
      <c r="TG53" s="37">
        <f t="shared" si="519"/>
        <v>-300</v>
      </c>
      <c r="TH53" s="141">
        <f>IFERROR(VLOOKUP($D53,'Adient Assende (Belgium) WK.17'!$B:SD,TI$1,0),0)</f>
        <v>390</v>
      </c>
      <c r="TI53" s="140">
        <f>IFERROR(VLOOKUP($D53,'Adient Arendal (Malzia) WK.12'!$B:SE,TI$1,0),0)</f>
        <v>0</v>
      </c>
      <c r="TJ53" s="140">
        <f>IFERROR(VLOOKUP($D53,'Adient Taizhou (China) WK.16'!$B:SH,TI$1,0),0)</f>
        <v>0</v>
      </c>
      <c r="TK53" s="128">
        <v>0</v>
      </c>
      <c r="TL53" s="32">
        <v>0</v>
      </c>
      <c r="TM53" s="100">
        <f t="shared" si="520"/>
        <v>-690</v>
      </c>
      <c r="TO53" s="37">
        <f t="shared" si="521"/>
        <v>-690</v>
      </c>
      <c r="TP53" s="141">
        <f>IFERROR(VLOOKUP($D53,'Adient Assende (Belgium) WK.17'!$B:SL,TQ$1,0),0)</f>
        <v>390</v>
      </c>
      <c r="TQ53" s="140">
        <f>IFERROR(VLOOKUP($D53,'Adient Arendal (Malzia) WK.12'!$B:SM,TQ$1,0),0)</f>
        <v>0</v>
      </c>
      <c r="TR53" s="140">
        <f>IFERROR(VLOOKUP($D53,'Adient Taizhou (China) WK.16'!$B:SP,TQ$1,0),0)</f>
        <v>0</v>
      </c>
      <c r="TS53" s="128">
        <v>0</v>
      </c>
      <c r="TT53" s="32">
        <v>0</v>
      </c>
      <c r="TU53" s="100">
        <f t="shared" si="522"/>
        <v>-1080</v>
      </c>
      <c r="TW53" s="37">
        <f t="shared" si="523"/>
        <v>-1080</v>
      </c>
      <c r="TX53" s="141">
        <f>IFERROR(VLOOKUP($D53,'Adient Assende (Belgium) WK.17'!$B:ST,TY$1,0),0)</f>
        <v>390</v>
      </c>
      <c r="TY53" s="140">
        <f>IFERROR(VLOOKUP($D53,'Adient Arendal (Malzia) WK.12'!$B:SU,TY$1,0),0)</f>
        <v>0</v>
      </c>
      <c r="TZ53" s="140">
        <f>IFERROR(VLOOKUP($D53,'Adient Taizhou (China) WK.16'!$B:SX,TY$1,0),0)</f>
        <v>0</v>
      </c>
      <c r="UA53" s="128">
        <v>0</v>
      </c>
      <c r="UB53" s="32">
        <v>0</v>
      </c>
      <c r="UC53" s="100">
        <f t="shared" si="524"/>
        <v>-1470</v>
      </c>
      <c r="UE53" s="37">
        <f t="shared" si="525"/>
        <v>-1470</v>
      </c>
      <c r="UF53" s="141">
        <f>IFERROR(VLOOKUP($D53,'Adient Assende (Belgium) WK.17'!$B:TB,UG$1,0),0)</f>
        <v>390</v>
      </c>
      <c r="UG53" s="140">
        <f>IFERROR(VLOOKUP($D53,'Adient Arendal (Malzia) WK.12'!$B:TC,UG$1,0),0)</f>
        <v>0</v>
      </c>
      <c r="UH53" s="140">
        <f>IFERROR(VLOOKUP($D53,'Adient Taizhou (China) WK.16'!$B:TF,UG$1,0),0)</f>
        <v>0</v>
      </c>
      <c r="UI53" s="128">
        <v>0</v>
      </c>
      <c r="UJ53" s="32">
        <v>0</v>
      </c>
      <c r="UK53" s="100">
        <f t="shared" si="526"/>
        <v>-1860</v>
      </c>
      <c r="UM53" s="37">
        <f t="shared" si="527"/>
        <v>-1860</v>
      </c>
      <c r="UN53" s="141">
        <f>IFERROR(VLOOKUP($D53,'Adient Assende (Belgium) WK.17'!$B:TJ,UO$1,0),0)</f>
        <v>360</v>
      </c>
      <c r="UO53" s="140">
        <f>IFERROR(VLOOKUP($D53,'Adient Arendal (Malzia) WK.12'!$B:TK,UO$1,0),0)</f>
        <v>0</v>
      </c>
      <c r="UP53" s="140">
        <f>IFERROR(VLOOKUP($D53,'Adient Taizhou (China) WK.16'!$B:TN,UO$1,0),0)</f>
        <v>0</v>
      </c>
      <c r="UQ53" s="128">
        <v>0</v>
      </c>
      <c r="UR53" s="32">
        <v>0</v>
      </c>
      <c r="US53" s="100">
        <f t="shared" si="528"/>
        <v>-2220</v>
      </c>
      <c r="UU53" s="37">
        <f t="shared" si="529"/>
        <v>-2220</v>
      </c>
      <c r="UV53" s="141">
        <f>IFERROR(VLOOKUP($D53,'Adient Assende (Belgium) WK.17'!$B:TR,UW$1,0),0)</f>
        <v>320</v>
      </c>
      <c r="UW53" s="140">
        <f>IFERROR(VLOOKUP($D53,'Adient Arendal (Malzia) WK.12'!$B:TS,UW$1,0),0)</f>
        <v>0</v>
      </c>
      <c r="UX53" s="140">
        <f>IFERROR(VLOOKUP($D53,'Adient Taizhou (China) WK.16'!$B:TV,UW$1,0),0)</f>
        <v>0</v>
      </c>
      <c r="UY53" s="128">
        <v>0</v>
      </c>
      <c r="UZ53" s="32">
        <v>0</v>
      </c>
      <c r="VA53" s="100">
        <f t="shared" si="530"/>
        <v>-2540</v>
      </c>
      <c r="VC53" s="37">
        <f t="shared" si="531"/>
        <v>-2540</v>
      </c>
      <c r="VD53" s="141">
        <f>IFERROR(VLOOKUP($D53,'Adient Assende (Belgium) WK.17'!$B:TZ,VE$1,0),0)</f>
        <v>320</v>
      </c>
      <c r="VE53" s="140">
        <f>IFERROR(VLOOKUP($D53,'Adient Arendal (Malzia) WK.12'!$B:UA,VE$1,0),0)</f>
        <v>0</v>
      </c>
      <c r="VF53" s="140">
        <f>IFERROR(VLOOKUP($D53,'Adient Taizhou (China) WK.16'!$B:UD,VE$1,0),0)</f>
        <v>0</v>
      </c>
      <c r="VG53" s="128">
        <v>0</v>
      </c>
      <c r="VH53" s="32">
        <v>0</v>
      </c>
      <c r="VI53" s="100">
        <f t="shared" si="532"/>
        <v>-2860</v>
      </c>
      <c r="VK53" s="37">
        <f t="shared" si="533"/>
        <v>-2860</v>
      </c>
      <c r="VL53" s="141">
        <f>IFERROR(VLOOKUP($D53,'Adient Assende (Belgium) WK.17'!$B:UH,VM$1,0),0)</f>
        <v>0</v>
      </c>
      <c r="VM53" s="140">
        <f>IFERROR(VLOOKUP($D53,'Adient Arendal (Malzia) WK.12'!$B:UI,VM$1,0),0)</f>
        <v>0</v>
      </c>
      <c r="VN53" s="140">
        <f>IFERROR(VLOOKUP($D53,'Adient Taizhou (China) WK.16'!$B:UL,VM$1,0),0)</f>
        <v>0</v>
      </c>
      <c r="VO53" s="128">
        <v>0</v>
      </c>
      <c r="VP53" s="32">
        <v>0</v>
      </c>
      <c r="VQ53" s="100">
        <f t="shared" si="534"/>
        <v>-2860</v>
      </c>
    </row>
    <row r="54" spans="1:589" x14ac:dyDescent="0.25">
      <c r="A54" s="10" t="s">
        <v>18</v>
      </c>
      <c r="B54" s="11" t="s">
        <v>17</v>
      </c>
      <c r="C54" s="87">
        <v>32272825</v>
      </c>
      <c r="D54" s="81">
        <v>4755146</v>
      </c>
      <c r="E54" s="11">
        <v>20</v>
      </c>
      <c r="F54" s="12"/>
      <c r="H54" s="122">
        <v>480</v>
      </c>
      <c r="I54" s="125">
        <f>IFERROR(VLOOKUP($D54,'Adient Assende (Belgium) WK.17'!$B:C,J$1,0),0)</f>
        <v>0</v>
      </c>
      <c r="J54" s="55">
        <f>IFERROR(VLOOKUP($D54,'Adient Arendal (Malzia) WK.12'!$B:C,J$1,0),0)</f>
        <v>0</v>
      </c>
      <c r="K54" s="55">
        <f>IFERROR(VLOOKUP($D54,'Adient Taizhou (China) WK.16'!$B:C,J$1,0),0)</f>
        <v>0</v>
      </c>
      <c r="L54" s="128">
        <v>0</v>
      </c>
      <c r="M54" s="32">
        <v>0</v>
      </c>
      <c r="N54" s="106">
        <f t="shared" si="233"/>
        <v>480</v>
      </c>
      <c r="P54" s="37">
        <f t="shared" si="234"/>
        <v>480</v>
      </c>
      <c r="Q54" s="125">
        <f>IFERROR(VLOOKUP($D54,'Adient Assende (Belgium) WK.17'!$B:K,R$1,0),0)</f>
        <v>0</v>
      </c>
      <c r="R54" s="55">
        <f>IFERROR(VLOOKUP($D54,'Adient Arendal (Malzia) WK.12'!$B:K,R$1,0),0)</f>
        <v>0</v>
      </c>
      <c r="S54" s="55">
        <f>IFERROR(VLOOKUP($D54,'Adient Taizhou (China) WK.16'!$B:K,R$1,0),0)</f>
        <v>0</v>
      </c>
      <c r="T54" s="41">
        <v>80</v>
      </c>
      <c r="U54" s="32">
        <v>0</v>
      </c>
      <c r="V54" s="106">
        <f t="shared" si="235"/>
        <v>400</v>
      </c>
      <c r="X54" s="37">
        <f t="shared" si="236"/>
        <v>400</v>
      </c>
      <c r="Y54" s="125">
        <f>IFERROR(VLOOKUP($D54,'Adient Assende (Belgium) WK.17'!$B:S,Z$1,0),0)</f>
        <v>80</v>
      </c>
      <c r="Z54" s="55">
        <f>IFERROR(VLOOKUP($D54,'Adient Arendal (Malzia) WK.12'!$B:S,Z$1,0),0)</f>
        <v>0</v>
      </c>
      <c r="AA54" s="55">
        <f>IFERROR(VLOOKUP($D54,'Adient Taizhou (China) WK.16'!$B:S,Z$1,0),0)</f>
        <v>0</v>
      </c>
      <c r="AB54" s="41">
        <v>0</v>
      </c>
      <c r="AC54" s="32">
        <v>0</v>
      </c>
      <c r="AD54" s="106">
        <f t="shared" si="237"/>
        <v>400</v>
      </c>
      <c r="AF54" s="37">
        <f t="shared" si="238"/>
        <v>400</v>
      </c>
      <c r="AG54" s="125">
        <f>IFERROR(VLOOKUP($D54,'Adient Assende (Belgium) WK.17'!$B:AA,AH$1,0),0)</f>
        <v>0</v>
      </c>
      <c r="AH54" s="55">
        <f>IFERROR(VLOOKUP($D54,'Adient Arendal (Malzia) WK.12'!$B:AA,AH$1,0),0)</f>
        <v>0</v>
      </c>
      <c r="AI54" s="55">
        <f>IFERROR(VLOOKUP($D54,'Adient Taizhou (China) WK.16'!$B:AA,AH$1,0),0)</f>
        <v>0</v>
      </c>
      <c r="AJ54" s="41">
        <v>0</v>
      </c>
      <c r="AK54" s="32">
        <v>0</v>
      </c>
      <c r="AL54" s="106">
        <f t="shared" si="239"/>
        <v>400</v>
      </c>
      <c r="AN54" s="37">
        <f t="shared" si="432"/>
        <v>400</v>
      </c>
      <c r="AO54" s="125">
        <f>IFERROR(VLOOKUP($D54,'Adient Assende (Belgium) WK.17'!$B:AI,AP$1,0),0)</f>
        <v>0</v>
      </c>
      <c r="AP54" s="55">
        <f>IFERROR(VLOOKUP($D54,'Adient Arendal (Malzia) WK.12'!$B:AI,AP$1,0),0)</f>
        <v>0</v>
      </c>
      <c r="AQ54" s="55">
        <f>IFERROR(VLOOKUP($D54,'Adient Taizhou (China) WK.16'!$B:AI,AP$1,0),0)</f>
        <v>0</v>
      </c>
      <c r="AR54" s="60">
        <v>0</v>
      </c>
      <c r="AS54" s="41">
        <v>80</v>
      </c>
      <c r="AT54" s="32">
        <v>0</v>
      </c>
      <c r="AU54" s="106">
        <f t="shared" si="240"/>
        <v>320</v>
      </c>
      <c r="AW54" s="37">
        <f t="shared" si="433"/>
        <v>320</v>
      </c>
      <c r="AX54" s="125">
        <f>IFERROR(VLOOKUP($D54,'Adient Assende (Belgium) WK.17'!$B:AR,AY$1,0),0)</f>
        <v>80</v>
      </c>
      <c r="AY54" s="55">
        <f>IFERROR(VLOOKUP($D54,'Adient Arendal (Malzia) WK.12'!$B:AR,AY$1,0),0)</f>
        <v>0</v>
      </c>
      <c r="AZ54" s="55">
        <f>IFERROR(VLOOKUP($D54,'Adient Taizhou (China) WK.16'!$B:AU,AY$1,0),0)</f>
        <v>0</v>
      </c>
      <c r="BA54" s="41">
        <v>0</v>
      </c>
      <c r="BB54" s="32">
        <v>0</v>
      </c>
      <c r="BC54" s="106">
        <f t="shared" si="241"/>
        <v>320</v>
      </c>
      <c r="BE54" s="37">
        <f t="shared" si="434"/>
        <v>320</v>
      </c>
      <c r="BF54" s="125">
        <f>IFERROR(VLOOKUP($D54,'Adient Assende (Belgium) WK.17'!$B:AX,BG$1,0),0)</f>
        <v>0</v>
      </c>
      <c r="BG54" s="55">
        <f>IFERROR(VLOOKUP($D54,'Adient Arendal (Malzia) WK.12'!$B:AZ,BG$1,0),0)</f>
        <v>0</v>
      </c>
      <c r="BH54" s="55">
        <f>IFERROR(VLOOKUP($D54,'Adient Taizhou (China) WK.16'!$B:BB,BG$1,0),0)</f>
        <v>0</v>
      </c>
      <c r="BI54" s="60">
        <v>0</v>
      </c>
      <c r="BJ54" s="60">
        <v>0</v>
      </c>
      <c r="BK54" s="41">
        <v>80</v>
      </c>
      <c r="BL54" s="32">
        <v>0</v>
      </c>
      <c r="BM54" s="106">
        <f t="shared" si="242"/>
        <v>240</v>
      </c>
      <c r="BN54" s="8"/>
      <c r="BO54" s="37">
        <f t="shared" si="435"/>
        <v>240</v>
      </c>
      <c r="BP54" s="125">
        <f>IFERROR(VLOOKUP($D54,'Adient Assende (Belgium) WK.17'!$B:BH,BQ$1,0),0)</f>
        <v>80</v>
      </c>
      <c r="BQ54" s="55">
        <f>IFERROR(VLOOKUP($D54,'Adient Arendal (Malzia) WK.12'!$B:BI,BQ$1,0),0)</f>
        <v>0</v>
      </c>
      <c r="BR54" s="55">
        <f>IFERROR(VLOOKUP($D54,'Adient Taizhou (China) WK.16'!$B:BL,BQ$1,0),0)</f>
        <v>0</v>
      </c>
      <c r="BS54" s="60">
        <v>0</v>
      </c>
      <c r="BT54" s="60">
        <v>0</v>
      </c>
      <c r="BU54" s="60">
        <v>0</v>
      </c>
      <c r="BV54" s="41">
        <v>80</v>
      </c>
      <c r="BW54" s="32">
        <v>0</v>
      </c>
      <c r="BX54" s="106">
        <f t="shared" si="243"/>
        <v>160</v>
      </c>
      <c r="BY54" s="8"/>
      <c r="BZ54" s="37">
        <f t="shared" si="436"/>
        <v>160</v>
      </c>
      <c r="CA54" s="125">
        <f>IFERROR(VLOOKUP($D54,'Adient Assende (Belgium) WK.17'!$B:BS,CB$1,0),0)</f>
        <v>80</v>
      </c>
      <c r="CB54" s="55">
        <f>IFERROR(VLOOKUP($D54,'Adient Arendal (Malzia) WK.12'!$B:BT,CB$1,0),0)</f>
        <v>0</v>
      </c>
      <c r="CC54" s="55">
        <f>IFERROR(VLOOKUP($D54,'Adient Taizhou (China) WK.16'!$B:BW,CB$1,0),0)</f>
        <v>0</v>
      </c>
      <c r="CD54" s="60">
        <v>0</v>
      </c>
      <c r="CE54" s="60">
        <v>0</v>
      </c>
      <c r="CF54" s="41">
        <v>80</v>
      </c>
      <c r="CG54" s="32">
        <v>0</v>
      </c>
      <c r="CH54" s="106">
        <f t="shared" si="244"/>
        <v>80</v>
      </c>
      <c r="CI54" s="8"/>
      <c r="CJ54" s="37">
        <f t="shared" si="437"/>
        <v>80</v>
      </c>
      <c r="CK54" s="125">
        <f>IFERROR(VLOOKUP($D54,'Adient Assende (Belgium) WK.17'!$B:CC,CL$1,0),0)</f>
        <v>80</v>
      </c>
      <c r="CL54" s="55">
        <f>IFERROR(VLOOKUP($D54,'Adient Arendal (Malzia) WK.12'!$B:CD,CL$1,0),0)</f>
        <v>0</v>
      </c>
      <c r="CM54" s="55">
        <f>IFERROR(VLOOKUP($D54,'Adient Taizhou (China) WK.16'!$B:CG,CL$1,0),0)</f>
        <v>0</v>
      </c>
      <c r="CN54" s="60">
        <v>180</v>
      </c>
      <c r="CO54" s="149">
        <v>0</v>
      </c>
      <c r="CP54" s="32">
        <v>0</v>
      </c>
      <c r="CQ54" s="106">
        <f t="shared" si="245"/>
        <v>260</v>
      </c>
      <c r="CR54" s="8"/>
      <c r="CS54" s="122">
        <f t="shared" si="438"/>
        <v>260</v>
      </c>
      <c r="CT54" s="154">
        <f>IFERROR(VLOOKUP($D54,'Adient Assende (Belgium) WK.17'!$B:CL,CU$1,0),0)</f>
        <v>0</v>
      </c>
      <c r="CU54" s="55">
        <f>IFERROR(VLOOKUP($D54,'Adient Arendal (Malzia) WK.12'!$B:CM,CU$1,0),0)</f>
        <v>0</v>
      </c>
      <c r="CV54" s="55">
        <f>IFERROR(VLOOKUP($D54,'Adient Taizhou (China) WK.16'!$B:CP,CU$1,0),0)</f>
        <v>0</v>
      </c>
      <c r="CW54" s="60">
        <v>0</v>
      </c>
      <c r="CX54" s="60">
        <v>0</v>
      </c>
      <c r="CY54" s="128">
        <v>80</v>
      </c>
      <c r="CZ54" s="32">
        <v>0</v>
      </c>
      <c r="DA54" s="106">
        <f t="shared" si="246"/>
        <v>180</v>
      </c>
      <c r="DB54" s="8"/>
      <c r="DC54" s="37">
        <f t="shared" si="439"/>
        <v>180</v>
      </c>
      <c r="DD54" s="125">
        <f>IFERROR(VLOOKUP($D54,'Adient Assende (Belgium) WK.17'!$B:CS,DE$1,0),0)</f>
        <v>80</v>
      </c>
      <c r="DE54" s="55">
        <f>IFERROR(VLOOKUP($D54,'Adient Arendal (Malzia) WK.12'!$B:CU,DE$1,0),0)</f>
        <v>0</v>
      </c>
      <c r="DF54" s="55">
        <f>IFERROR(VLOOKUP($D54,'Adient Taizhou (China) WK.16'!$B:CX,DE$1,0),0)</f>
        <v>0</v>
      </c>
      <c r="DG54" s="60">
        <v>0</v>
      </c>
      <c r="DH54" s="128">
        <v>80</v>
      </c>
      <c r="DI54" s="32">
        <v>0</v>
      </c>
      <c r="DJ54" s="106">
        <f t="shared" si="247"/>
        <v>100</v>
      </c>
      <c r="DL54" s="37">
        <f t="shared" si="440"/>
        <v>100</v>
      </c>
      <c r="DM54" s="125">
        <f>IFERROR(VLOOKUP($D54,'Adient Assende (Belgium) WK.17'!$B:DB,DN$1,0),0)</f>
        <v>80</v>
      </c>
      <c r="DN54" s="55">
        <f>IFERROR(VLOOKUP($D54,'Adient Arendal (Malzia) WK.12'!$B:DC,DN$1,0),0)</f>
        <v>0</v>
      </c>
      <c r="DO54" s="55">
        <f>IFERROR(VLOOKUP($D54,'Adient Taizhou (China) WK.16'!$B:DF,DN$1,0),0)</f>
        <v>0</v>
      </c>
      <c r="DP54" s="128">
        <v>80</v>
      </c>
      <c r="DQ54" s="32">
        <v>0</v>
      </c>
      <c r="DR54" s="106">
        <f t="shared" si="441"/>
        <v>20</v>
      </c>
      <c r="DS54" s="8"/>
      <c r="DT54" s="37">
        <f t="shared" si="442"/>
        <v>20</v>
      </c>
      <c r="DU54" s="125">
        <f>IFERROR(VLOOKUP($D54,'Adient Assende (Belgium) WK.17'!$B:DJ,DV$1,0),0)</f>
        <v>80</v>
      </c>
      <c r="DV54" s="55">
        <f>IFERROR(VLOOKUP($D54,'Adient Arendal (Malzia) WK.12'!$B:DK,DV$1,0),0)</f>
        <v>0</v>
      </c>
      <c r="DW54" s="55">
        <f>IFERROR(VLOOKUP($D54,'Adient Taizhou (China) WK.16'!$B:DN,DV$1,0),0)</f>
        <v>0</v>
      </c>
      <c r="DX54" s="60">
        <v>1180</v>
      </c>
      <c r="DY54" s="60">
        <v>0</v>
      </c>
      <c r="DZ54" s="128">
        <v>0</v>
      </c>
      <c r="EA54" s="32">
        <v>0</v>
      </c>
      <c r="EB54" s="106">
        <f t="shared" si="248"/>
        <v>1200</v>
      </c>
      <c r="EC54" s="8"/>
      <c r="ED54" s="37">
        <f t="shared" si="443"/>
        <v>1200</v>
      </c>
      <c r="EE54" s="125">
        <f>IFERROR(VLOOKUP($D54,'Adient Assende (Belgium) WK.17'!$B:DR,EF$1,0),0)</f>
        <v>0</v>
      </c>
      <c r="EF54" s="55">
        <f>IFERROR(VLOOKUP($D54,'Adient Arendal (Malzia) WK.12'!$B:DS,EF$1,0),0)</f>
        <v>0</v>
      </c>
      <c r="EG54" s="55">
        <f>IFERROR(VLOOKUP($D54,'Adient Taizhou (China) WK.16'!$B:DV,EF$1,0),0)</f>
        <v>0</v>
      </c>
      <c r="EH54" s="60">
        <v>80</v>
      </c>
      <c r="EI54" s="128">
        <v>240</v>
      </c>
      <c r="EJ54" s="32">
        <v>0</v>
      </c>
      <c r="EK54" s="106">
        <f t="shared" si="249"/>
        <v>1040</v>
      </c>
      <c r="EM54" s="37">
        <f t="shared" si="444"/>
        <v>1040</v>
      </c>
      <c r="EN54" s="125">
        <f>IFERROR(VLOOKUP($D54,'Adient Assende (Belgium) WK.17'!$B:DZ,EO$1,0),0)</f>
        <v>240</v>
      </c>
      <c r="EO54" s="55">
        <f>IFERROR(VLOOKUP($D54,'Adient Arendal (Malzia) WK.12'!$B:EA,EO$1,0),0)</f>
        <v>0</v>
      </c>
      <c r="EP54" s="55">
        <f>IFERROR(VLOOKUP($D54,'Adient Taizhou (China) WK.16'!$B:ED,EO$1,0),0)</f>
        <v>0</v>
      </c>
      <c r="EQ54" s="128">
        <v>160</v>
      </c>
      <c r="ER54" s="32">
        <v>0</v>
      </c>
      <c r="ES54" s="106">
        <f t="shared" si="250"/>
        <v>880</v>
      </c>
      <c r="EU54" s="37">
        <f t="shared" si="445"/>
        <v>880</v>
      </c>
      <c r="EV54" s="125">
        <f>IFERROR(VLOOKUP($D54,'Adient Assende (Belgium) WK.17'!$B:EH,EW$1,0),0)</f>
        <v>160</v>
      </c>
      <c r="EW54" s="55">
        <f>IFERROR(VLOOKUP($D54,'Adient Arendal (Malzia) WK.12'!$B:EI,EW$1,0),0)</f>
        <v>0</v>
      </c>
      <c r="EX54" s="55">
        <f>IFERROR(VLOOKUP($D54,'Adient Taizhou (China) WK.16'!$B:EL,EW$1,0),0)</f>
        <v>0</v>
      </c>
      <c r="EY54" s="128">
        <v>0</v>
      </c>
      <c r="EZ54" s="32">
        <v>0</v>
      </c>
      <c r="FA54" s="106">
        <f t="shared" si="251"/>
        <v>880</v>
      </c>
      <c r="FC54" s="37">
        <f t="shared" si="446"/>
        <v>880</v>
      </c>
      <c r="FD54" s="154">
        <f>IFERROR(VLOOKUP($D54,'Adient Assende (Belgium) WK.17'!$B:EP,FE$1,0),0)</f>
        <v>0</v>
      </c>
      <c r="FE54" s="154">
        <f>IFERROR(VLOOKUP($D54,'Adient Arendal (Malzia) WK.12'!$B:EQ,FE$1,0),0)</f>
        <v>0</v>
      </c>
      <c r="FF54" s="154">
        <f>IFERROR(VLOOKUP($D54,'Adient Taizhou (China) WK.16'!$B:ET,FE$1,0),0)</f>
        <v>0</v>
      </c>
      <c r="FG54" s="128">
        <v>0</v>
      </c>
      <c r="FH54" s="32">
        <v>0</v>
      </c>
      <c r="FI54" s="106">
        <f t="shared" si="252"/>
        <v>880</v>
      </c>
      <c r="FK54" s="37">
        <f t="shared" si="447"/>
        <v>880</v>
      </c>
      <c r="FL54" s="125">
        <f>IFERROR(VLOOKUP($D54,'Adient Assende (Belgium) WK.17'!$B:EX,FM$1,0),0)</f>
        <v>0</v>
      </c>
      <c r="FM54" s="55">
        <f>IFERROR(VLOOKUP($D54,'Adient Arendal (Malzia) WK.12'!$B:EY,FM$1,0),0)</f>
        <v>0</v>
      </c>
      <c r="FN54" s="55">
        <f>IFERROR(VLOOKUP($D54,'Adient Taizhou (China) WK.16'!$B:FB,FM$1,0),0)</f>
        <v>0</v>
      </c>
      <c r="FO54" s="128">
        <v>240</v>
      </c>
      <c r="FP54" s="32">
        <v>0</v>
      </c>
      <c r="FQ54" s="106">
        <f t="shared" si="253"/>
        <v>640</v>
      </c>
      <c r="FR54" s="8"/>
      <c r="FS54" s="37">
        <f t="shared" si="448"/>
        <v>640</v>
      </c>
      <c r="FT54" s="125">
        <f>IFERROR(VLOOKUP($D54,'Adient Assende (Belgium) WK.17'!$B:FF,FU$1,0),0)</f>
        <v>240</v>
      </c>
      <c r="FU54" s="55">
        <f>IFERROR(VLOOKUP($D54,'Adient Arendal (Malzia) WK.12'!$B:FG,FU$1,0),0)</f>
        <v>0</v>
      </c>
      <c r="FV54" s="55">
        <f>IFERROR(VLOOKUP($D54,'Adient Taizhou (China) WK.16'!$B:FJ,FU$1,0),0)</f>
        <v>0</v>
      </c>
      <c r="FW54" s="60">
        <v>0</v>
      </c>
      <c r="FX54" s="60">
        <v>0</v>
      </c>
      <c r="FY54" s="60">
        <v>0</v>
      </c>
      <c r="FZ54" s="60">
        <v>360</v>
      </c>
      <c r="GA54" s="60">
        <v>260</v>
      </c>
      <c r="GB54" s="128">
        <v>240</v>
      </c>
      <c r="GC54" s="32">
        <v>0</v>
      </c>
      <c r="GD54" s="106">
        <f t="shared" si="254"/>
        <v>1020</v>
      </c>
      <c r="GF54" s="37">
        <f t="shared" si="449"/>
        <v>1020</v>
      </c>
      <c r="GG54" s="125">
        <f>IFERROR(VLOOKUP($D54,'Adient Assende (Belgium) WK.17'!$B:FN,GH$1,0),0)</f>
        <v>240</v>
      </c>
      <c r="GH54" s="55">
        <f>IFERROR(VLOOKUP($D54,'Adient Arendal (Malzia) WK.12'!$B:FO,GH$1,0),0)</f>
        <v>0</v>
      </c>
      <c r="GI54" s="55">
        <f>IFERROR(VLOOKUP($D54,'Adient Taizhou (China) WK.16'!$B:FR,GH$1,0),0)</f>
        <v>0</v>
      </c>
      <c r="GJ54" s="60">
        <v>260</v>
      </c>
      <c r="GK54" s="128">
        <v>160</v>
      </c>
      <c r="GL54" s="32">
        <v>0</v>
      </c>
      <c r="GM54" s="106">
        <f t="shared" si="255"/>
        <v>1120</v>
      </c>
      <c r="GO54" s="37">
        <f t="shared" si="450"/>
        <v>1120</v>
      </c>
      <c r="GP54" s="125">
        <f>IFERROR(VLOOKUP($D54,'Adient Assende (Belgium) WK.17'!$B:FV,GQ$1,0),0)</f>
        <v>160</v>
      </c>
      <c r="GQ54" s="55">
        <f>IFERROR(VLOOKUP($D54,'Adient Arendal (Malzia) WK.12'!$B:FW,GQ$1,0),0)</f>
        <v>0</v>
      </c>
      <c r="GR54" s="55">
        <f>IFERROR(VLOOKUP($D54,'Adient Taizhou (China) WK.16'!$B:FZ,GQ$1,0),0)</f>
        <v>0</v>
      </c>
      <c r="GS54" s="60">
        <v>0</v>
      </c>
      <c r="GT54" s="128">
        <v>240</v>
      </c>
      <c r="GU54" s="32">
        <v>0</v>
      </c>
      <c r="GV54" s="106">
        <f t="shared" si="256"/>
        <v>880</v>
      </c>
      <c r="GW54" s="8"/>
      <c r="GX54" s="37">
        <f t="shared" si="451"/>
        <v>880</v>
      </c>
      <c r="GY54" s="125">
        <f>IFERROR(VLOOKUP($D54,'Adient Assende (Belgium) WK.17'!$B:GD,GZ$1,0),0)</f>
        <v>240</v>
      </c>
      <c r="GZ54" s="55">
        <f>IFERROR(VLOOKUP($D54,'Adient Arendal (Malzia) WK.12'!$B:GE,GZ$1,0),0)</f>
        <v>0</v>
      </c>
      <c r="HA54" s="55">
        <f>IFERROR(VLOOKUP($D54,'Adient Taizhou (China) WK.16'!$B:GH,GZ$1,0),0)</f>
        <v>0</v>
      </c>
      <c r="HB54" s="60">
        <v>0</v>
      </c>
      <c r="HC54" s="128">
        <v>160</v>
      </c>
      <c r="HD54" s="32">
        <v>0</v>
      </c>
      <c r="HE54" s="106">
        <f t="shared" si="257"/>
        <v>720</v>
      </c>
      <c r="HF54" s="8"/>
      <c r="HG54" s="37">
        <f t="shared" si="452"/>
        <v>720</v>
      </c>
      <c r="HH54" s="125">
        <f>IFERROR(VLOOKUP($D54,'Adient Assende (Belgium) WK.17'!$B:GL,HI$1,0),0)</f>
        <v>160</v>
      </c>
      <c r="HI54" s="55">
        <f>IFERROR(VLOOKUP($D54,'Adient Arendal (Malzia) WK.12'!$B:GM,HI$1,0),0)</f>
        <v>0</v>
      </c>
      <c r="HJ54" s="55">
        <f>IFERROR(VLOOKUP($D54,'Adient Taizhou (China) WK.16'!$B:GP,HI$1,0),0)</f>
        <v>0</v>
      </c>
      <c r="HK54" s="60">
        <v>0</v>
      </c>
      <c r="HL54" s="128">
        <v>240</v>
      </c>
      <c r="HM54" s="32">
        <v>0</v>
      </c>
      <c r="HN54" s="106">
        <f t="shared" si="258"/>
        <v>480</v>
      </c>
      <c r="HO54" s="8"/>
      <c r="HP54" s="37">
        <f t="shared" si="453"/>
        <v>480</v>
      </c>
      <c r="HQ54" s="125">
        <f>IFERROR(VLOOKUP($D54,'Adient Assende (Belgium) WK.17'!$B:GT,HR$1,0),0)</f>
        <v>240</v>
      </c>
      <c r="HR54" s="55">
        <f>IFERROR(VLOOKUP($D54,'Adient Arendal (Malzia) WK.12'!$B:GU,HR$1,0),0)</f>
        <v>0</v>
      </c>
      <c r="HS54" s="55">
        <f>IFERROR(VLOOKUP($D54,'Adient Taizhou (China) WK.16'!$B:GX,HR$1,0),0)</f>
        <v>0</v>
      </c>
      <c r="HT54" s="60">
        <v>0</v>
      </c>
      <c r="HU54" s="128">
        <v>0</v>
      </c>
      <c r="HV54" s="32">
        <v>0</v>
      </c>
      <c r="HW54" s="106">
        <f t="shared" si="259"/>
        <v>480</v>
      </c>
      <c r="HX54" s="8"/>
      <c r="HY54" s="37">
        <f t="shared" si="454"/>
        <v>480</v>
      </c>
      <c r="HZ54" s="125">
        <f>IFERROR(VLOOKUP($D54,'Adient Assende (Belgium) WK.17'!$B:HB,IA$1,0),0)</f>
        <v>0</v>
      </c>
      <c r="IA54" s="55">
        <f>IFERROR(VLOOKUP($D54,'Adient Arendal (Malzia) WK.12'!$B:HC,IA$1,0),0)</f>
        <v>0</v>
      </c>
      <c r="IB54" s="55">
        <f>IFERROR(VLOOKUP($D54,'Adient Taizhou (China) WK.16'!$B:HF,IA$1,0),0)</f>
        <v>0</v>
      </c>
      <c r="IC54" s="60">
        <v>0</v>
      </c>
      <c r="ID54" s="128">
        <v>80</v>
      </c>
      <c r="IE54" s="32">
        <v>0</v>
      </c>
      <c r="IF54" s="106">
        <f t="shared" si="260"/>
        <v>400</v>
      </c>
      <c r="IG54" s="8"/>
      <c r="IH54" s="37">
        <f t="shared" si="455"/>
        <v>400</v>
      </c>
      <c r="II54" s="125">
        <f>IFERROR(VLOOKUP($D54,'Adient Assende (Belgium) WK.17'!$B:HJ,IJ$1,0),0)</f>
        <v>80</v>
      </c>
      <c r="IJ54" s="55">
        <f>IFERROR(VLOOKUP($D54,'Adient Arendal (Malzia) WK.12'!$B:HK,IJ$1,0),0)</f>
        <v>0</v>
      </c>
      <c r="IK54" s="55">
        <f>IFERROR(VLOOKUP($D54,'Adient Taizhou (China) WK.16'!$B:HN,IJ$1,0),0)</f>
        <v>0</v>
      </c>
      <c r="IL54" s="128">
        <v>0</v>
      </c>
      <c r="IM54" s="32">
        <v>0</v>
      </c>
      <c r="IN54" s="106">
        <f t="shared" si="456"/>
        <v>400</v>
      </c>
      <c r="IO54" s="8"/>
      <c r="IP54" s="37">
        <f t="shared" si="457"/>
        <v>400</v>
      </c>
      <c r="IQ54" s="125">
        <f>IFERROR(VLOOKUP($D54,'Adient Assende (Belgium) WK.17'!$B:HR,IR$1,0),0)</f>
        <v>0</v>
      </c>
      <c r="IR54" s="55">
        <f>IFERROR(VLOOKUP($D54,'Adient Arendal (Malzia) WK.12'!$B:HS,IR$1,0),0)</f>
        <v>0</v>
      </c>
      <c r="IS54" s="55">
        <f>IFERROR(VLOOKUP($D54,'Adient Taizhou (China) WK.16'!$B:HV,IR$1,0),0)</f>
        <v>0</v>
      </c>
      <c r="IT54" s="60">
        <v>0</v>
      </c>
      <c r="IU54" s="128">
        <v>0</v>
      </c>
      <c r="IV54" s="32">
        <v>0</v>
      </c>
      <c r="IW54" s="106">
        <f t="shared" si="261"/>
        <v>400</v>
      </c>
      <c r="IX54" s="8"/>
      <c r="IY54" s="37">
        <f t="shared" si="458"/>
        <v>400</v>
      </c>
      <c r="IZ54" s="125">
        <f>IFERROR(VLOOKUP($D54,'Adient Assende (Belgium) WK.17'!$B:HZ,JA$1,0),0)</f>
        <v>0</v>
      </c>
      <c r="JA54" s="55">
        <f>IFERROR(VLOOKUP($D54,'Adient Arendal (Malzia) WK.12'!$B:IA,JA$1,0),0)</f>
        <v>0</v>
      </c>
      <c r="JB54" s="55">
        <f>IFERROR(VLOOKUP($D54,'Adient Taizhou (China) WK.16'!$B:ID,JA$1,0),0)</f>
        <v>0</v>
      </c>
      <c r="JC54" s="128">
        <v>80</v>
      </c>
      <c r="JD54" s="32">
        <v>0</v>
      </c>
      <c r="JE54" s="106">
        <f t="shared" si="459"/>
        <v>320</v>
      </c>
      <c r="JF54" s="8"/>
      <c r="JG54" s="37">
        <f t="shared" si="460"/>
        <v>320</v>
      </c>
      <c r="JH54" s="125">
        <f>IFERROR(VLOOKUP($D54,'Adient Assende (Belgium) WK.17'!$B:IH,JI$1,0),0)</f>
        <v>80</v>
      </c>
      <c r="JI54" s="55">
        <f>IFERROR(VLOOKUP($D54,'Adient Arendal (Malzia) WK.12'!$B:II,JI$1,0),0)</f>
        <v>0</v>
      </c>
      <c r="JJ54" s="55">
        <f>IFERROR(VLOOKUP($D54,'Adient Taizhou (China) WK.16'!$B:IL,JI$1,0),0)</f>
        <v>0</v>
      </c>
      <c r="JK54" s="60">
        <v>0</v>
      </c>
      <c r="JL54" s="128">
        <v>80</v>
      </c>
      <c r="JM54" s="32">
        <v>0</v>
      </c>
      <c r="JN54" s="106">
        <f t="shared" si="262"/>
        <v>240</v>
      </c>
      <c r="JO54" s="8"/>
      <c r="JP54" s="37">
        <f t="shared" si="461"/>
        <v>240</v>
      </c>
      <c r="JQ54" s="125">
        <f>IFERROR(VLOOKUP($D54,'Adient Assende (Belgium) WK.17'!$B:IP,JR$1,0),0)</f>
        <v>80</v>
      </c>
      <c r="JR54" s="55">
        <f>IFERROR(VLOOKUP($D54,'Adient Arendal (Malzia) WK.12'!$B:IQ,JR$1,0),0)</f>
        <v>0</v>
      </c>
      <c r="JS54" s="55">
        <f>IFERROR(VLOOKUP($D54,'Adient Taizhou (China) WK.16'!$B:IT,JR$1,0),0)</f>
        <v>0</v>
      </c>
      <c r="JT54" s="128">
        <v>0</v>
      </c>
      <c r="JU54" s="32">
        <v>0</v>
      </c>
      <c r="JV54" s="106">
        <f t="shared" si="462"/>
        <v>240</v>
      </c>
      <c r="JW54" s="8"/>
      <c r="JX54" s="37">
        <f t="shared" si="463"/>
        <v>240</v>
      </c>
      <c r="JY54" s="154">
        <f>IFERROR(VLOOKUP($D54,'Adient Assende (Belgium) WK.17'!$B:IX,JZ$1,0),0)</f>
        <v>0</v>
      </c>
      <c r="JZ54" s="55">
        <f>IFERROR(VLOOKUP($D54,'Adient Arendal (Malzia) WK.12'!$B:IY,JZ$1,0),0)</f>
        <v>0</v>
      </c>
      <c r="KA54" s="55">
        <f>IFERROR(VLOOKUP($D54,'Adient Taizhou (China) WK.16'!$B:JB,JZ$1,0),0)</f>
        <v>0</v>
      </c>
      <c r="KB54" s="128">
        <v>80</v>
      </c>
      <c r="KC54" s="32">
        <v>0</v>
      </c>
      <c r="KD54" s="106">
        <f t="shared" si="263"/>
        <v>160</v>
      </c>
      <c r="KE54" s="8"/>
      <c r="KF54" s="37">
        <f t="shared" si="464"/>
        <v>160</v>
      </c>
      <c r="KG54" s="125">
        <f>IFERROR(VLOOKUP($D54,'Adient Assende (Belgium) WK.17'!$B:JF,KH$1,0),0)</f>
        <v>80</v>
      </c>
      <c r="KH54" s="55">
        <f>IFERROR(VLOOKUP($D54,'Adient Arendal (Malzia) WK.12'!$B:JG,KH$1,0),0)</f>
        <v>0</v>
      </c>
      <c r="KI54" s="55">
        <f>IFERROR(VLOOKUP($D54,'Adient Taizhou (China) WK.16'!$B:JJ,KH$1,0),0)</f>
        <v>0</v>
      </c>
      <c r="KJ54" s="60">
        <v>300</v>
      </c>
      <c r="KK54" s="128">
        <v>80</v>
      </c>
      <c r="KL54" s="32">
        <v>0</v>
      </c>
      <c r="KM54" s="106">
        <f t="shared" si="264"/>
        <v>380</v>
      </c>
      <c r="KN54" s="8"/>
      <c r="KO54" s="37">
        <f t="shared" si="465"/>
        <v>380</v>
      </c>
      <c r="KP54" s="141">
        <f>IFERROR(VLOOKUP($D54,'Adient Assende (Belgium) WK.17'!$B:JN,KQ$1,0),0)</f>
        <v>80</v>
      </c>
      <c r="KQ54" s="140">
        <f>IFERROR(VLOOKUP($D54,'Adient Arendal (Malzia) WK.12'!$B:JO,KQ$1,0),0)</f>
        <v>0</v>
      </c>
      <c r="KR54" s="140">
        <f>IFERROR(VLOOKUP($D54,'Adient Taizhou (China) WK.16'!$B:JR,KQ$1,0),0)</f>
        <v>0</v>
      </c>
      <c r="KS54" s="60">
        <v>160</v>
      </c>
      <c r="KT54" s="128">
        <v>80</v>
      </c>
      <c r="KU54" s="32">
        <v>0</v>
      </c>
      <c r="KV54" s="106">
        <f t="shared" si="265"/>
        <v>460</v>
      </c>
      <c r="KX54" s="37">
        <f t="shared" si="466"/>
        <v>460</v>
      </c>
      <c r="KY54" s="141">
        <f>IFERROR(VLOOKUP($D54,'Adient Assende (Belgium) WK.17'!$B:JV,KZ$1,0),0)</f>
        <v>80</v>
      </c>
      <c r="KZ54" s="140">
        <f>IFERROR(VLOOKUP($D54,'Adient Arendal (Malzia) WK.12'!$B:JW,KZ$1,0),0)</f>
        <v>0</v>
      </c>
      <c r="LA54" s="140">
        <f>IFERROR(VLOOKUP($D54,'Adient Taizhou (China) WK.16'!$B:JZ,KZ$1,0),0)</f>
        <v>0</v>
      </c>
      <c r="LB54" s="128">
        <v>0</v>
      </c>
      <c r="LC54" s="32">
        <v>0</v>
      </c>
      <c r="LD54" s="106">
        <f t="shared" si="467"/>
        <v>460</v>
      </c>
      <c r="LF54" s="37">
        <f t="shared" si="468"/>
        <v>460</v>
      </c>
      <c r="LG54" s="141">
        <f>IFERROR(VLOOKUP($D54,'Adient Assende (Belgium) WK.17'!$B:KD,LH$1,0),0)</f>
        <v>80</v>
      </c>
      <c r="LH54" s="140">
        <f>IFERROR(VLOOKUP($D54,'Adient Arendal (Malzia) WK.12'!$B:KE,LH$1,0),0)</f>
        <v>0</v>
      </c>
      <c r="LI54" s="140">
        <f>IFERROR(VLOOKUP($D54,'Adient Taizhou (China) WK.16'!$B:KH,LH$1,0),0)</f>
        <v>0</v>
      </c>
      <c r="LJ54" s="60">
        <v>0</v>
      </c>
      <c r="LK54" s="128">
        <v>0</v>
      </c>
      <c r="LL54" s="32">
        <v>0</v>
      </c>
      <c r="LM54" s="100">
        <f t="shared" si="267"/>
        <v>380</v>
      </c>
      <c r="LO54" s="37">
        <f t="shared" si="469"/>
        <v>380</v>
      </c>
      <c r="LP54" s="141">
        <f>IFERROR(VLOOKUP($D54,'Adient Assende (Belgium) WK.17'!$B:KL,LQ$1,0),0)</f>
        <v>80</v>
      </c>
      <c r="LQ54" s="140">
        <f>IFERROR(VLOOKUP($D54,'Adient Arendal (Malzia) WK.12'!$B:KM,LQ$1,0),0)</f>
        <v>0</v>
      </c>
      <c r="LR54" s="140">
        <f>IFERROR(VLOOKUP($D54,'Adient Taizhou (China) WK.16'!$B:KP,LQ$1,0),0)</f>
        <v>0</v>
      </c>
      <c r="LS54" s="128">
        <v>0</v>
      </c>
      <c r="LT54" s="32">
        <v>0</v>
      </c>
      <c r="LU54" s="100">
        <f t="shared" si="470"/>
        <v>300</v>
      </c>
      <c r="LW54" s="37">
        <f t="shared" si="471"/>
        <v>300</v>
      </c>
      <c r="LX54" s="141">
        <f>IFERROR(VLOOKUP($D54,'Adient Assende (Belgium) WK.17'!$B:KT,LY$1,0),0)</f>
        <v>240</v>
      </c>
      <c r="LY54" s="140">
        <f>IFERROR(VLOOKUP($D54,'Adient Arendal (Malzia) WK.12'!$B:KU,LY$1,0),0)</f>
        <v>0</v>
      </c>
      <c r="LZ54" s="140">
        <f>IFERROR(VLOOKUP($D54,'Adient Taizhou (China) WK.16'!$B:KX,LY$1,0),0)</f>
        <v>0</v>
      </c>
      <c r="MA54" s="128">
        <v>0</v>
      </c>
      <c r="MB54" s="32">
        <v>0</v>
      </c>
      <c r="MC54" s="100">
        <f t="shared" si="472"/>
        <v>60</v>
      </c>
      <c r="ME54" s="37">
        <f t="shared" si="473"/>
        <v>60</v>
      </c>
      <c r="MF54" s="154">
        <f>IFERROR(VLOOKUP($D54,'Adient Assende (Belgium) WK.17'!$B:LB,MG$1,0),0)</f>
        <v>0</v>
      </c>
      <c r="MG54" s="140">
        <f>IFERROR(VLOOKUP($D54,'Adient Arendal (Malzia) WK.12'!$B:LC,MG$1,0),0)</f>
        <v>0</v>
      </c>
      <c r="MH54" s="140">
        <f>IFERROR(VLOOKUP($D54,'Adient Taizhou (China) WK.16'!$B:LF,MG$1,0),0)</f>
        <v>0</v>
      </c>
      <c r="MI54" s="128">
        <v>0</v>
      </c>
      <c r="MJ54" s="32">
        <v>0</v>
      </c>
      <c r="MK54" s="100">
        <f t="shared" si="474"/>
        <v>60</v>
      </c>
      <c r="MM54" s="37">
        <f t="shared" si="475"/>
        <v>60</v>
      </c>
      <c r="MN54" s="141">
        <f>IFERROR(VLOOKUP($D54,'Adient Assende (Belgium) WK.17'!$B:LJ,MO$1,0),0)</f>
        <v>160</v>
      </c>
      <c r="MO54" s="140">
        <f>IFERROR(VLOOKUP($D54,'Adient Arendal (Malzia) WK.12'!$B:LK,MO$1,0),0)</f>
        <v>0</v>
      </c>
      <c r="MP54" s="140">
        <f>IFERROR(VLOOKUP($D54,'Adient Taizhou (China) WK.16'!$B:LN,MO$1,0),0)</f>
        <v>0</v>
      </c>
      <c r="MQ54" s="128">
        <v>0</v>
      </c>
      <c r="MR54" s="32">
        <v>0</v>
      </c>
      <c r="MS54" s="100">
        <f t="shared" si="476"/>
        <v>-100</v>
      </c>
      <c r="MU54" s="37">
        <f t="shared" si="477"/>
        <v>-100</v>
      </c>
      <c r="MV54" s="141">
        <f>IFERROR(VLOOKUP($D54,'Adient Assende (Belgium) WK.17'!$B:LR,MW$1,0),0)</f>
        <v>160</v>
      </c>
      <c r="MW54" s="140">
        <f>IFERROR(VLOOKUP($D54,'Adient Arendal (Malzia) WK.12'!$B:LS,MW$1,0),0)</f>
        <v>0</v>
      </c>
      <c r="MX54" s="140">
        <f>IFERROR(VLOOKUP($D54,'Adient Taizhou (China) WK.16'!$B:LV,MW$1,0),0)</f>
        <v>0</v>
      </c>
      <c r="MY54" s="128">
        <v>0</v>
      </c>
      <c r="MZ54" s="32">
        <v>0</v>
      </c>
      <c r="NA54" s="100">
        <f t="shared" si="478"/>
        <v>-260</v>
      </c>
      <c r="NC54" s="37">
        <f t="shared" si="479"/>
        <v>-260</v>
      </c>
      <c r="ND54" s="141">
        <f>IFERROR(VLOOKUP($D54,'Adient Assende (Belgium) WK.17'!$B:LZ,NE$1,0),0)</f>
        <v>160</v>
      </c>
      <c r="NE54" s="140">
        <f>IFERROR(VLOOKUP($D54,'Adient Arendal (Malzia) WK.12'!$B:MA,NE$1,0),0)</f>
        <v>0</v>
      </c>
      <c r="NF54" s="140">
        <f>IFERROR(VLOOKUP($D54,'Adient Taizhou (China) WK.16'!$B:MD,NE$1,0),0)</f>
        <v>0</v>
      </c>
      <c r="NG54" s="128">
        <v>0</v>
      </c>
      <c r="NH54" s="32">
        <v>0</v>
      </c>
      <c r="NI54" s="100">
        <f t="shared" si="480"/>
        <v>-420</v>
      </c>
      <c r="NK54" s="37">
        <f t="shared" si="481"/>
        <v>-420</v>
      </c>
      <c r="NL54" s="141">
        <f>IFERROR(VLOOKUP($D54,'Adient Assende (Belgium) WK.17'!$B:MH,NM$1,0),0)</f>
        <v>240</v>
      </c>
      <c r="NM54" s="140">
        <f>IFERROR(VLOOKUP($D54,'Adient Arendal (Malzia) WK.12'!$B:MI,NM$1,0),0)</f>
        <v>0</v>
      </c>
      <c r="NN54" s="140">
        <f>IFERROR(VLOOKUP($D54,'Adient Taizhou (China) WK.16'!$B:ML,NM$1,0),0)</f>
        <v>0</v>
      </c>
      <c r="NO54" s="128">
        <v>0</v>
      </c>
      <c r="NP54" s="32">
        <v>0</v>
      </c>
      <c r="NQ54" s="100">
        <f t="shared" si="482"/>
        <v>-660</v>
      </c>
      <c r="NS54" s="37">
        <f t="shared" si="483"/>
        <v>-660</v>
      </c>
      <c r="NT54" s="141">
        <f>IFERROR(VLOOKUP($D54,'Adient Assende (Belgium) WK.17'!$B:MP,NU$1,0),0)</f>
        <v>240</v>
      </c>
      <c r="NU54" s="140">
        <f>IFERROR(VLOOKUP($D54,'Adient Arendal (Malzia) WK.12'!$B:MQ,NU$1,0),0)</f>
        <v>0</v>
      </c>
      <c r="NV54" s="140">
        <f>IFERROR(VLOOKUP($D54,'Adient Taizhou (China) WK.16'!$B:MT,NU$1,0),0)</f>
        <v>0</v>
      </c>
      <c r="NW54" s="128">
        <v>0</v>
      </c>
      <c r="NX54" s="32">
        <v>0</v>
      </c>
      <c r="NY54" s="100">
        <f t="shared" si="484"/>
        <v>-900</v>
      </c>
      <c r="OA54" s="37">
        <f t="shared" si="485"/>
        <v>-900</v>
      </c>
      <c r="OB54" s="141">
        <f>IFERROR(VLOOKUP($D54,'Adient Assende (Belgium) WK.17'!$B:MX,OC$1,0),0)</f>
        <v>160</v>
      </c>
      <c r="OC54" s="140">
        <f>IFERROR(VLOOKUP($D54,'Adient Arendal (Malzia) WK.12'!$B:MY,OC$1,0),0)</f>
        <v>0</v>
      </c>
      <c r="OD54" s="140">
        <f>IFERROR(VLOOKUP($D54,'Adient Taizhou (China) WK.16'!$B:NB,OC$1,0),0)</f>
        <v>0</v>
      </c>
      <c r="OE54" s="128">
        <v>0</v>
      </c>
      <c r="OF54" s="32">
        <v>0</v>
      </c>
      <c r="OG54" s="100">
        <f t="shared" si="486"/>
        <v>-1060</v>
      </c>
      <c r="OI54" s="37">
        <f t="shared" si="487"/>
        <v>-1060</v>
      </c>
      <c r="OJ54" s="141">
        <f>IFERROR(VLOOKUP($D54,'Adient Assende (Belgium) WK.17'!$B:NF,OK$1,0),0)</f>
        <v>400</v>
      </c>
      <c r="OK54" s="140">
        <f>IFERROR(VLOOKUP($D54,'Adient Arendal (Malzia) WK.12'!$B:NG,OK$1,0),0)</f>
        <v>0</v>
      </c>
      <c r="OL54" s="140">
        <f>IFERROR(VLOOKUP($D54,'Adient Taizhou (China) WK.16'!$B:NJ,OK$1,0),0)</f>
        <v>0</v>
      </c>
      <c r="OM54" s="128">
        <v>0</v>
      </c>
      <c r="ON54" s="32">
        <v>0</v>
      </c>
      <c r="OO54" s="100">
        <f t="shared" si="488"/>
        <v>-1460</v>
      </c>
      <c r="OQ54" s="37">
        <f t="shared" si="489"/>
        <v>-1460</v>
      </c>
      <c r="OR54" s="141">
        <f>IFERROR(VLOOKUP($D54,'Adient Assende (Belgium) WK.17'!$B:NN,OS$1,0),0)</f>
        <v>0</v>
      </c>
      <c r="OS54" s="140">
        <f>IFERROR(VLOOKUP($D54,'Adient Arendal (Malzia) WK.12'!$B:NO,OS$1,0),0)</f>
        <v>0</v>
      </c>
      <c r="OT54" s="140">
        <f>IFERROR(VLOOKUP($D54,'Adient Taizhou (China) WK.16'!$B:NR,OS$1,0),0)</f>
        <v>0</v>
      </c>
      <c r="OU54" s="128">
        <v>0</v>
      </c>
      <c r="OV54" s="32">
        <v>0</v>
      </c>
      <c r="OW54" s="100">
        <f t="shared" si="490"/>
        <v>-1460</v>
      </c>
      <c r="OY54" s="37">
        <f t="shared" si="491"/>
        <v>-1460</v>
      </c>
      <c r="OZ54" s="141">
        <f>IFERROR(VLOOKUP($D54,'Adient Assende (Belgium) WK.17'!$B:NV,PA$1,0),0)</f>
        <v>0</v>
      </c>
      <c r="PA54" s="140">
        <f>IFERROR(VLOOKUP($D54,'Adient Arendal (Malzia) WK.12'!$B:NW,PA$1,0),0)</f>
        <v>0</v>
      </c>
      <c r="PB54" s="140">
        <f>IFERROR(VLOOKUP($D54,'Adient Taizhou (China) WK.16'!$B:NZ,PA$1,0),0)</f>
        <v>0</v>
      </c>
      <c r="PC54" s="128">
        <v>0</v>
      </c>
      <c r="PD54" s="32">
        <v>0</v>
      </c>
      <c r="PE54" s="100">
        <f t="shared" si="492"/>
        <v>-1460</v>
      </c>
      <c r="PG54" s="37">
        <f t="shared" si="493"/>
        <v>-1460</v>
      </c>
      <c r="PH54" s="141">
        <f>IFERROR(VLOOKUP($D54,'Adient Assende (Belgium) WK.17'!$B:OD,PI$1,0),0)</f>
        <v>0</v>
      </c>
      <c r="PI54" s="140">
        <f>IFERROR(VLOOKUP($D54,'Adient Arendal (Malzia) WK.12'!$B:OE,PI$1,0),0)</f>
        <v>0</v>
      </c>
      <c r="PJ54" s="140">
        <f>IFERROR(VLOOKUP($D54,'Adient Taizhou (China) WK.16'!$B:OH,PI$1,0),0)</f>
        <v>0</v>
      </c>
      <c r="PK54" s="128">
        <v>0</v>
      </c>
      <c r="PL54" s="32">
        <v>0</v>
      </c>
      <c r="PM54" s="100">
        <f t="shared" si="494"/>
        <v>-1460</v>
      </c>
      <c r="PO54" s="37">
        <f t="shared" si="495"/>
        <v>-1460</v>
      </c>
      <c r="PP54" s="141">
        <f>IFERROR(VLOOKUP($D54,'Adient Assende (Belgium) WK.17'!$B:OL,PQ$1,0),0)</f>
        <v>0</v>
      </c>
      <c r="PQ54" s="140">
        <f>IFERROR(VLOOKUP($D54,'Adient Arendal (Malzia) WK.12'!$B:OM,PQ$1,0),0)</f>
        <v>0</v>
      </c>
      <c r="PR54" s="140">
        <f>IFERROR(VLOOKUP($D54,'Adient Taizhou (China) WK.16'!$B:OP,PQ$1,0),0)</f>
        <v>0</v>
      </c>
      <c r="PS54" s="128">
        <v>0</v>
      </c>
      <c r="PT54" s="32">
        <v>0</v>
      </c>
      <c r="PU54" s="100">
        <f t="shared" si="496"/>
        <v>-1460</v>
      </c>
      <c r="PW54" s="37">
        <f t="shared" si="497"/>
        <v>-1460</v>
      </c>
      <c r="PX54" s="141">
        <f>IFERROR(VLOOKUP($D54,'Adient Assende (Belgium) WK.17'!$B:OT,PY$1,0),0)</f>
        <v>160</v>
      </c>
      <c r="PY54" s="140">
        <f>IFERROR(VLOOKUP($D54,'Adient Arendal (Malzia) WK.12'!$B:OU,PY$1,0),0)</f>
        <v>0</v>
      </c>
      <c r="PZ54" s="140">
        <f>IFERROR(VLOOKUP($D54,'Adient Taizhou (China) WK.16'!$B:OX,PY$1,0),0)</f>
        <v>0</v>
      </c>
      <c r="QA54" s="128">
        <v>0</v>
      </c>
      <c r="QB54" s="32">
        <v>0</v>
      </c>
      <c r="QC54" s="100">
        <f t="shared" si="498"/>
        <v>-1620</v>
      </c>
      <c r="QE54" s="37">
        <f t="shared" si="499"/>
        <v>-1620</v>
      </c>
      <c r="QF54" s="141">
        <f>IFERROR(VLOOKUP($D54,'Adient Assende (Belgium) WK.17'!$B:PB,QG$1,0),0)</f>
        <v>160</v>
      </c>
      <c r="QG54" s="140">
        <f>IFERROR(VLOOKUP($D54,'Adient Arendal (Malzia) WK.12'!$B:PC,QG$1,0),0)</f>
        <v>0</v>
      </c>
      <c r="QH54" s="140">
        <f>IFERROR(VLOOKUP($D54,'Adient Taizhou (China) WK.16'!$B:PF,QG$1,0),0)</f>
        <v>0</v>
      </c>
      <c r="QI54" s="128">
        <v>0</v>
      </c>
      <c r="QJ54" s="32">
        <v>0</v>
      </c>
      <c r="QK54" s="100">
        <f t="shared" si="500"/>
        <v>-1780</v>
      </c>
      <c r="QM54" s="37">
        <f t="shared" si="501"/>
        <v>-1780</v>
      </c>
      <c r="QN54" s="141">
        <f>IFERROR(VLOOKUP($D54,'Adient Assende (Belgium) WK.17'!$B:PJ,QO$1,0),0)</f>
        <v>160</v>
      </c>
      <c r="QO54" s="140">
        <f>IFERROR(VLOOKUP($D54,'Adient Arendal (Malzia) WK.12'!$B:PK,QO$1,0),0)</f>
        <v>0</v>
      </c>
      <c r="QP54" s="140">
        <f>IFERROR(VLOOKUP($D54,'Adient Taizhou (China) WK.16'!$B:PN,QO$1,0),0)</f>
        <v>0</v>
      </c>
      <c r="QQ54" s="128">
        <v>0</v>
      </c>
      <c r="QR54" s="32">
        <v>0</v>
      </c>
      <c r="QS54" s="100">
        <f t="shared" si="502"/>
        <v>-1940</v>
      </c>
      <c r="QU54" s="37">
        <f t="shared" si="503"/>
        <v>-1940</v>
      </c>
      <c r="QV54" s="141">
        <f>IFERROR(VLOOKUP($D54,'Adient Assende (Belgium) WK.17'!$B:PR,QW$1,0),0)</f>
        <v>160</v>
      </c>
      <c r="QW54" s="140">
        <f>IFERROR(VLOOKUP($D54,'Adient Arendal (Malzia) WK.12'!$B:PS,QW$1,0),0)</f>
        <v>0</v>
      </c>
      <c r="QX54" s="140">
        <f>IFERROR(VLOOKUP($D54,'Adient Taizhou (China) WK.16'!$B:PV,QW$1,0),0)</f>
        <v>0</v>
      </c>
      <c r="QY54" s="128">
        <v>0</v>
      </c>
      <c r="QZ54" s="32">
        <v>0</v>
      </c>
      <c r="RA54" s="100">
        <f t="shared" si="504"/>
        <v>-2100</v>
      </c>
      <c r="RC54" s="37">
        <f t="shared" si="505"/>
        <v>-2100</v>
      </c>
      <c r="RD54" s="141">
        <f>IFERROR(VLOOKUP($D54,'Adient Assende (Belgium) WK.17'!$B:PZ,RE$1,0),0)</f>
        <v>160</v>
      </c>
      <c r="RE54" s="140">
        <f>IFERROR(VLOOKUP($D54,'Adient Arendal (Malzia) WK.12'!$B:QA,RE$1,0),0)</f>
        <v>0</v>
      </c>
      <c r="RF54" s="140">
        <f>IFERROR(VLOOKUP($D54,'Adient Taizhou (China) WK.16'!$B:QD,RE$1,0),0)</f>
        <v>0</v>
      </c>
      <c r="RG54" s="128">
        <v>0</v>
      </c>
      <c r="RH54" s="32">
        <v>0</v>
      </c>
      <c r="RI54" s="100">
        <f t="shared" si="506"/>
        <v>-2260</v>
      </c>
      <c r="RK54" s="37">
        <f t="shared" si="507"/>
        <v>-2260</v>
      </c>
      <c r="RL54" s="141">
        <f>IFERROR(VLOOKUP($D54,'Adient Assende (Belgium) WK.17'!$B:QH,RM$1,0),0)</f>
        <v>160</v>
      </c>
      <c r="RM54" s="140">
        <f>IFERROR(VLOOKUP($D54,'Adient Arendal (Malzia) WK.12'!$B:QI,RM$1,0),0)</f>
        <v>0</v>
      </c>
      <c r="RN54" s="140">
        <f>IFERROR(VLOOKUP($D54,'Adient Taizhou (China) WK.16'!$B:QL,RM$1,0),0)</f>
        <v>0</v>
      </c>
      <c r="RO54" s="128">
        <v>0</v>
      </c>
      <c r="RP54" s="32">
        <v>0</v>
      </c>
      <c r="RQ54" s="100">
        <f t="shared" si="508"/>
        <v>-2420</v>
      </c>
      <c r="RS54" s="37">
        <f t="shared" si="509"/>
        <v>-2420</v>
      </c>
      <c r="RT54" s="141">
        <f>IFERROR(VLOOKUP($D54,'Adient Assende (Belgium) WK.17'!$B:QP,RU$1,0),0)</f>
        <v>160</v>
      </c>
      <c r="RU54" s="140">
        <f>IFERROR(VLOOKUP($D54,'Adient Arendal (Malzia) WK.12'!$B:QQ,RU$1,0),0)</f>
        <v>0</v>
      </c>
      <c r="RV54" s="140">
        <f>IFERROR(VLOOKUP($D54,'Adient Taizhou (China) WK.16'!$B:QT,RU$1,0),0)</f>
        <v>0</v>
      </c>
      <c r="RW54" s="128">
        <v>0</v>
      </c>
      <c r="RX54" s="32">
        <v>0</v>
      </c>
      <c r="RY54" s="100">
        <f t="shared" si="510"/>
        <v>-2580</v>
      </c>
      <c r="SA54" s="37">
        <f t="shared" si="511"/>
        <v>-2580</v>
      </c>
      <c r="SB54" s="141">
        <f>IFERROR(VLOOKUP($D54,'Adient Assende (Belgium) WK.17'!$B:QX,SC$1,0),0)</f>
        <v>140</v>
      </c>
      <c r="SC54" s="140">
        <f>IFERROR(VLOOKUP($D54,'Adient Arendal (Malzia) WK.12'!$B:QY,SC$1,0),0)</f>
        <v>0</v>
      </c>
      <c r="SD54" s="140">
        <f>IFERROR(VLOOKUP($D54,'Adient Taizhou (China) WK.16'!$B:RB,SC$1,0),0)</f>
        <v>0</v>
      </c>
      <c r="SE54" s="128">
        <v>0</v>
      </c>
      <c r="SF54" s="32">
        <v>0</v>
      </c>
      <c r="SG54" s="100">
        <f t="shared" si="512"/>
        <v>-2720</v>
      </c>
      <c r="SI54" s="37">
        <f t="shared" si="513"/>
        <v>-2720</v>
      </c>
      <c r="SJ54" s="141">
        <f>IFERROR(VLOOKUP($D54,'Adient Assende (Belgium) WK.17'!$B:RF,SK$1,0),0)</f>
        <v>140</v>
      </c>
      <c r="SK54" s="140">
        <f>IFERROR(VLOOKUP($D54,'Adient Arendal (Malzia) WK.12'!$B:RG,SK$1,0),0)</f>
        <v>0</v>
      </c>
      <c r="SL54" s="140">
        <f>IFERROR(VLOOKUP($D54,'Adient Taizhou (China) WK.16'!$B:RJ,SK$1,0),0)</f>
        <v>0</v>
      </c>
      <c r="SM54" s="128">
        <v>0</v>
      </c>
      <c r="SN54" s="32">
        <v>0</v>
      </c>
      <c r="SO54" s="100">
        <f t="shared" si="514"/>
        <v>-2860</v>
      </c>
      <c r="SQ54" s="37">
        <f t="shared" si="515"/>
        <v>-2860</v>
      </c>
      <c r="SR54" s="141">
        <f>IFERROR(VLOOKUP($D54,'Adient Assende (Belgium) WK.17'!$B:RN,SS$1,0),0)</f>
        <v>140</v>
      </c>
      <c r="SS54" s="140">
        <f>IFERROR(VLOOKUP($D54,'Adient Arendal (Malzia) WK.12'!$B:RO,SS$1,0),0)</f>
        <v>0</v>
      </c>
      <c r="ST54" s="140">
        <f>IFERROR(VLOOKUP($D54,'Adient Taizhou (China) WK.16'!$B:RR,SS$1,0),0)</f>
        <v>0</v>
      </c>
      <c r="SU54" s="128">
        <v>0</v>
      </c>
      <c r="SV54" s="32">
        <v>0</v>
      </c>
      <c r="SW54" s="100">
        <f t="shared" si="516"/>
        <v>-3000</v>
      </c>
      <c r="SY54" s="37">
        <f t="shared" si="517"/>
        <v>-3000</v>
      </c>
      <c r="SZ54" s="141">
        <f>IFERROR(VLOOKUP($D54,'Adient Assende (Belgium) WK.17'!$B:RV,TA$1,0),0)</f>
        <v>140</v>
      </c>
      <c r="TA54" s="140">
        <f>IFERROR(VLOOKUP($D54,'Adient Arendal (Malzia) WK.12'!$B:RW,TA$1,0),0)</f>
        <v>0</v>
      </c>
      <c r="TB54" s="140">
        <f>IFERROR(VLOOKUP($D54,'Adient Taizhou (China) WK.16'!$B:RZ,TA$1,0),0)</f>
        <v>0</v>
      </c>
      <c r="TC54" s="128">
        <v>0</v>
      </c>
      <c r="TD54" s="32">
        <v>0</v>
      </c>
      <c r="TE54" s="100">
        <f t="shared" si="518"/>
        <v>-3140</v>
      </c>
      <c r="TG54" s="37">
        <f t="shared" si="519"/>
        <v>-3140</v>
      </c>
      <c r="TH54" s="141">
        <f>IFERROR(VLOOKUP($D54,'Adient Assende (Belgium) WK.17'!$B:SD,TI$1,0),0)</f>
        <v>290</v>
      </c>
      <c r="TI54" s="140">
        <f>IFERROR(VLOOKUP($D54,'Adient Arendal (Malzia) WK.12'!$B:SE,TI$1,0),0)</f>
        <v>0</v>
      </c>
      <c r="TJ54" s="140">
        <f>IFERROR(VLOOKUP($D54,'Adient Taizhou (China) WK.16'!$B:SH,TI$1,0),0)</f>
        <v>0</v>
      </c>
      <c r="TK54" s="128">
        <v>0</v>
      </c>
      <c r="TL54" s="32">
        <v>0</v>
      </c>
      <c r="TM54" s="100">
        <f t="shared" si="520"/>
        <v>-3430</v>
      </c>
      <c r="TO54" s="37">
        <f t="shared" si="521"/>
        <v>-3430</v>
      </c>
      <c r="TP54" s="141">
        <f>IFERROR(VLOOKUP($D54,'Adient Assende (Belgium) WK.17'!$B:SL,TQ$1,0),0)</f>
        <v>290</v>
      </c>
      <c r="TQ54" s="140">
        <f>IFERROR(VLOOKUP($D54,'Adient Arendal (Malzia) WK.12'!$B:SM,TQ$1,0),0)</f>
        <v>0</v>
      </c>
      <c r="TR54" s="140">
        <f>IFERROR(VLOOKUP($D54,'Adient Taizhou (China) WK.16'!$B:SP,TQ$1,0),0)</f>
        <v>0</v>
      </c>
      <c r="TS54" s="128">
        <v>0</v>
      </c>
      <c r="TT54" s="32">
        <v>0</v>
      </c>
      <c r="TU54" s="100">
        <f t="shared" si="522"/>
        <v>-3720</v>
      </c>
      <c r="TW54" s="37">
        <f t="shared" si="523"/>
        <v>-3720</v>
      </c>
      <c r="TX54" s="141">
        <f>IFERROR(VLOOKUP($D54,'Adient Assende (Belgium) WK.17'!$B:ST,TY$1,0),0)</f>
        <v>290</v>
      </c>
      <c r="TY54" s="140">
        <f>IFERROR(VLOOKUP($D54,'Adient Arendal (Malzia) WK.12'!$B:SU,TY$1,0),0)</f>
        <v>0</v>
      </c>
      <c r="TZ54" s="140">
        <f>IFERROR(VLOOKUP($D54,'Adient Taizhou (China) WK.16'!$B:SX,TY$1,0),0)</f>
        <v>0</v>
      </c>
      <c r="UA54" s="128">
        <v>0</v>
      </c>
      <c r="UB54" s="32">
        <v>0</v>
      </c>
      <c r="UC54" s="100">
        <f t="shared" si="524"/>
        <v>-4010</v>
      </c>
      <c r="UE54" s="37">
        <f t="shared" si="525"/>
        <v>-4010</v>
      </c>
      <c r="UF54" s="141">
        <f>IFERROR(VLOOKUP($D54,'Adient Assende (Belgium) WK.17'!$B:TB,UG$1,0),0)</f>
        <v>290</v>
      </c>
      <c r="UG54" s="140">
        <f>IFERROR(VLOOKUP($D54,'Adient Arendal (Malzia) WK.12'!$B:TC,UG$1,0),0)</f>
        <v>0</v>
      </c>
      <c r="UH54" s="140">
        <f>IFERROR(VLOOKUP($D54,'Adient Taizhou (China) WK.16'!$B:TF,UG$1,0),0)</f>
        <v>0</v>
      </c>
      <c r="UI54" s="128">
        <v>0</v>
      </c>
      <c r="UJ54" s="32">
        <v>0</v>
      </c>
      <c r="UK54" s="100">
        <f t="shared" si="526"/>
        <v>-4300</v>
      </c>
      <c r="UM54" s="37">
        <f t="shared" si="527"/>
        <v>-4300</v>
      </c>
      <c r="UN54" s="141">
        <f>IFERROR(VLOOKUP($D54,'Adient Assende (Belgium) WK.17'!$B:TJ,UO$1,0),0)</f>
        <v>280</v>
      </c>
      <c r="UO54" s="140">
        <f>IFERROR(VLOOKUP($D54,'Adient Arendal (Malzia) WK.12'!$B:TK,UO$1,0),0)</f>
        <v>0</v>
      </c>
      <c r="UP54" s="140">
        <f>IFERROR(VLOOKUP($D54,'Adient Taizhou (China) WK.16'!$B:TN,UO$1,0),0)</f>
        <v>0</v>
      </c>
      <c r="UQ54" s="128">
        <v>0</v>
      </c>
      <c r="UR54" s="32">
        <v>0</v>
      </c>
      <c r="US54" s="100">
        <f t="shared" si="528"/>
        <v>-4580</v>
      </c>
      <c r="UU54" s="37">
        <f t="shared" si="529"/>
        <v>-4580</v>
      </c>
      <c r="UV54" s="141">
        <f>IFERROR(VLOOKUP($D54,'Adient Assende (Belgium) WK.17'!$B:TR,UW$1,0),0)</f>
        <v>160</v>
      </c>
      <c r="UW54" s="140">
        <f>IFERROR(VLOOKUP($D54,'Adient Arendal (Malzia) WK.12'!$B:TS,UW$1,0),0)</f>
        <v>0</v>
      </c>
      <c r="UX54" s="140">
        <f>IFERROR(VLOOKUP($D54,'Adient Taizhou (China) WK.16'!$B:TV,UW$1,0),0)</f>
        <v>0</v>
      </c>
      <c r="UY54" s="128">
        <v>0</v>
      </c>
      <c r="UZ54" s="32">
        <v>0</v>
      </c>
      <c r="VA54" s="100">
        <f t="shared" si="530"/>
        <v>-4740</v>
      </c>
      <c r="VC54" s="37">
        <f t="shared" si="531"/>
        <v>-4740</v>
      </c>
      <c r="VD54" s="141">
        <f>IFERROR(VLOOKUP($D54,'Adient Assende (Belgium) WK.17'!$B:TZ,VE$1,0),0)</f>
        <v>160</v>
      </c>
      <c r="VE54" s="140">
        <f>IFERROR(VLOOKUP($D54,'Adient Arendal (Malzia) WK.12'!$B:UA,VE$1,0),0)</f>
        <v>0</v>
      </c>
      <c r="VF54" s="140">
        <f>IFERROR(VLOOKUP($D54,'Adient Taizhou (China) WK.16'!$B:UD,VE$1,0),0)</f>
        <v>0</v>
      </c>
      <c r="VG54" s="128">
        <v>0</v>
      </c>
      <c r="VH54" s="32">
        <v>0</v>
      </c>
      <c r="VI54" s="100">
        <f t="shared" si="532"/>
        <v>-4900</v>
      </c>
      <c r="VK54" s="37">
        <f t="shared" si="533"/>
        <v>-4900</v>
      </c>
      <c r="VL54" s="141">
        <f>IFERROR(VLOOKUP($D54,'Adient Assende (Belgium) WK.17'!$B:UH,VM$1,0),0)</f>
        <v>0</v>
      </c>
      <c r="VM54" s="140">
        <f>IFERROR(VLOOKUP($D54,'Adient Arendal (Malzia) WK.12'!$B:UI,VM$1,0),0)</f>
        <v>0</v>
      </c>
      <c r="VN54" s="140">
        <f>IFERROR(VLOOKUP($D54,'Adient Taizhou (China) WK.16'!$B:UL,VM$1,0),0)</f>
        <v>0</v>
      </c>
      <c r="VO54" s="128">
        <v>0</v>
      </c>
      <c r="VP54" s="32">
        <v>0</v>
      </c>
      <c r="VQ54" s="100">
        <f t="shared" si="534"/>
        <v>-4900</v>
      </c>
    </row>
    <row r="55" spans="1:589" x14ac:dyDescent="0.25">
      <c r="A55" s="10" t="s">
        <v>18</v>
      </c>
      <c r="B55" s="11" t="s">
        <v>17</v>
      </c>
      <c r="C55" s="87">
        <v>32272875</v>
      </c>
      <c r="D55" s="81">
        <v>5080443</v>
      </c>
      <c r="E55" s="11">
        <v>20</v>
      </c>
      <c r="F55" s="12"/>
      <c r="H55" s="122">
        <v>560</v>
      </c>
      <c r="I55" s="125">
        <f>IFERROR(VLOOKUP($D55,'Adient Assende (Belgium) WK.17'!$B:C,J$1,0),0)</f>
        <v>0</v>
      </c>
      <c r="J55" s="55">
        <f>IFERROR(VLOOKUP($D55,'Adient Arendal (Malzia) WK.12'!$B:C,J$1,0),0)</f>
        <v>0</v>
      </c>
      <c r="K55" s="55">
        <f>IFERROR(VLOOKUP($D55,'Adient Taizhou (China) WK.16'!$B:C,J$1,0),0)</f>
        <v>0</v>
      </c>
      <c r="L55" s="128">
        <v>80</v>
      </c>
      <c r="M55" s="32">
        <v>0</v>
      </c>
      <c r="N55" s="106">
        <f t="shared" si="233"/>
        <v>480</v>
      </c>
      <c r="P55" s="37">
        <f t="shared" si="234"/>
        <v>480</v>
      </c>
      <c r="Q55" s="125">
        <f>IFERROR(VLOOKUP($D55,'Adient Assende (Belgium) WK.17'!$B:K,R$1,0),0)</f>
        <v>80</v>
      </c>
      <c r="R55" s="55">
        <f>IFERROR(VLOOKUP($D55,'Adient Arendal (Malzia) WK.12'!$B:K,R$1,0),0)</f>
        <v>0</v>
      </c>
      <c r="S55" s="55">
        <f>IFERROR(VLOOKUP($D55,'Adient Taizhou (China) WK.16'!$B:K,R$1,0),0)</f>
        <v>0</v>
      </c>
      <c r="T55" s="41">
        <v>0</v>
      </c>
      <c r="U55" s="32">
        <v>0</v>
      </c>
      <c r="V55" s="106">
        <f t="shared" si="235"/>
        <v>480</v>
      </c>
      <c r="X55" s="37">
        <f t="shared" si="236"/>
        <v>480</v>
      </c>
      <c r="Y55" s="125">
        <f>IFERROR(VLOOKUP($D55,'Adient Assende (Belgium) WK.17'!$B:S,Z$1,0),0)</f>
        <v>0</v>
      </c>
      <c r="Z55" s="55">
        <f>IFERROR(VLOOKUP($D55,'Adient Arendal (Malzia) WK.12'!$B:S,Z$1,0),0)</f>
        <v>0</v>
      </c>
      <c r="AA55" s="55">
        <f>IFERROR(VLOOKUP($D55,'Adient Taizhou (China) WK.16'!$B:S,Z$1,0),0)</f>
        <v>0</v>
      </c>
      <c r="AB55" s="41">
        <v>80</v>
      </c>
      <c r="AC55" s="32">
        <v>0</v>
      </c>
      <c r="AD55" s="106">
        <f t="shared" si="237"/>
        <v>400</v>
      </c>
      <c r="AF55" s="37">
        <f t="shared" si="238"/>
        <v>400</v>
      </c>
      <c r="AG55" s="125">
        <f>IFERROR(VLOOKUP($D55,'Adient Assende (Belgium) WK.17'!$B:AA,AH$1,0),0)</f>
        <v>80</v>
      </c>
      <c r="AH55" s="55">
        <f>IFERROR(VLOOKUP($D55,'Adient Arendal (Malzia) WK.12'!$B:AA,AH$1,0),0)</f>
        <v>0</v>
      </c>
      <c r="AI55" s="55">
        <f>IFERROR(VLOOKUP($D55,'Adient Taizhou (China) WK.16'!$B:AA,AH$1,0),0)</f>
        <v>0</v>
      </c>
      <c r="AJ55" s="41">
        <v>0</v>
      </c>
      <c r="AK55" s="32">
        <v>0</v>
      </c>
      <c r="AL55" s="106">
        <f t="shared" si="239"/>
        <v>400</v>
      </c>
      <c r="AN55" s="37">
        <f t="shared" si="432"/>
        <v>400</v>
      </c>
      <c r="AO55" s="125">
        <f>IFERROR(VLOOKUP($D55,'Adient Assende (Belgium) WK.17'!$B:AI,AP$1,0),0)</f>
        <v>0</v>
      </c>
      <c r="AP55" s="55">
        <f>IFERROR(VLOOKUP($D55,'Adient Arendal (Malzia) WK.12'!$B:AI,AP$1,0),0)</f>
        <v>0</v>
      </c>
      <c r="AQ55" s="55">
        <f>IFERROR(VLOOKUP($D55,'Adient Taizhou (China) WK.16'!$B:AI,AP$1,0),0)</f>
        <v>0</v>
      </c>
      <c r="AR55" s="60">
        <v>0</v>
      </c>
      <c r="AS55" s="41">
        <v>80</v>
      </c>
      <c r="AT55" s="32">
        <v>0</v>
      </c>
      <c r="AU55" s="106">
        <f t="shared" si="240"/>
        <v>320</v>
      </c>
      <c r="AW55" s="37">
        <f t="shared" si="433"/>
        <v>320</v>
      </c>
      <c r="AX55" s="125">
        <f>IFERROR(VLOOKUP($D55,'Adient Assende (Belgium) WK.17'!$B:AR,AY$1,0),0)</f>
        <v>80</v>
      </c>
      <c r="AY55" s="55">
        <f>IFERROR(VLOOKUP($D55,'Adient Arendal (Malzia) WK.12'!$B:AR,AY$1,0),0)</f>
        <v>0</v>
      </c>
      <c r="AZ55" s="55">
        <f>IFERROR(VLOOKUP($D55,'Adient Taizhou (China) WK.16'!$B:AU,AY$1,0),0)</f>
        <v>0</v>
      </c>
      <c r="BA55" s="41">
        <v>80</v>
      </c>
      <c r="BB55" s="32">
        <v>0</v>
      </c>
      <c r="BC55" s="106">
        <f t="shared" si="241"/>
        <v>240</v>
      </c>
      <c r="BE55" s="37">
        <f t="shared" si="434"/>
        <v>240</v>
      </c>
      <c r="BF55" s="125">
        <f>IFERROR(VLOOKUP($D55,'Adient Assende (Belgium) WK.17'!$B:AX,BG$1,0),0)</f>
        <v>80</v>
      </c>
      <c r="BG55" s="55">
        <f>IFERROR(VLOOKUP($D55,'Adient Arendal (Malzia) WK.12'!$B:AZ,BG$1,0),0)</f>
        <v>0</v>
      </c>
      <c r="BH55" s="55">
        <f>IFERROR(VLOOKUP($D55,'Adient Taizhou (China) WK.16'!$B:BB,BG$1,0),0)</f>
        <v>0</v>
      </c>
      <c r="BI55" s="60">
        <v>0</v>
      </c>
      <c r="BJ55" s="60">
        <v>0</v>
      </c>
      <c r="BK55" s="41">
        <v>80</v>
      </c>
      <c r="BL55" s="32">
        <v>0</v>
      </c>
      <c r="BM55" s="106">
        <f t="shared" si="242"/>
        <v>160</v>
      </c>
      <c r="BN55" s="8"/>
      <c r="BO55" s="37">
        <f t="shared" si="435"/>
        <v>160</v>
      </c>
      <c r="BP55" s="125">
        <f>IFERROR(VLOOKUP($D55,'Adient Assende (Belgium) WK.17'!$B:BH,BQ$1,0),0)</f>
        <v>80</v>
      </c>
      <c r="BQ55" s="55">
        <f>IFERROR(VLOOKUP($D55,'Adient Arendal (Malzia) WK.12'!$B:BI,BQ$1,0),0)</f>
        <v>0</v>
      </c>
      <c r="BR55" s="55">
        <f>IFERROR(VLOOKUP($D55,'Adient Taizhou (China) WK.16'!$B:BL,BQ$1,0),0)</f>
        <v>0</v>
      </c>
      <c r="BS55" s="60">
        <v>0</v>
      </c>
      <c r="BT55" s="60">
        <v>0</v>
      </c>
      <c r="BU55" s="60">
        <v>0</v>
      </c>
      <c r="BV55" s="41">
        <v>0</v>
      </c>
      <c r="BW55" s="32">
        <v>0</v>
      </c>
      <c r="BX55" s="106">
        <f t="shared" si="243"/>
        <v>160</v>
      </c>
      <c r="BY55" s="8"/>
      <c r="BZ55" s="37">
        <f t="shared" si="436"/>
        <v>160</v>
      </c>
      <c r="CA55" s="125">
        <f>IFERROR(VLOOKUP($D55,'Adient Assende (Belgium) WK.17'!$B:BS,CB$1,0),0)</f>
        <v>0</v>
      </c>
      <c r="CB55" s="55">
        <f>IFERROR(VLOOKUP($D55,'Adient Arendal (Malzia) WK.12'!$B:BT,CB$1,0),0)</f>
        <v>0</v>
      </c>
      <c r="CC55" s="55">
        <f>IFERROR(VLOOKUP($D55,'Adient Taizhou (China) WK.16'!$B:BW,CB$1,0),0)</f>
        <v>0</v>
      </c>
      <c r="CD55" s="60">
        <v>0</v>
      </c>
      <c r="CE55" s="60">
        <v>0</v>
      </c>
      <c r="CF55" s="41">
        <v>80</v>
      </c>
      <c r="CG55" s="32">
        <v>0</v>
      </c>
      <c r="CH55" s="106">
        <f t="shared" si="244"/>
        <v>80</v>
      </c>
      <c r="CI55" s="8"/>
      <c r="CJ55" s="37">
        <f t="shared" si="437"/>
        <v>80</v>
      </c>
      <c r="CK55" s="125">
        <f>IFERROR(VLOOKUP($D55,'Adient Assende (Belgium) WK.17'!$B:CC,CL$1,0),0)</f>
        <v>80</v>
      </c>
      <c r="CL55" s="55">
        <f>IFERROR(VLOOKUP($D55,'Adient Arendal (Malzia) WK.12'!$B:CD,CL$1,0),0)</f>
        <v>0</v>
      </c>
      <c r="CM55" s="55">
        <f>IFERROR(VLOOKUP($D55,'Adient Taizhou (China) WK.16'!$B:CG,CL$1,0),0)</f>
        <v>0</v>
      </c>
      <c r="CN55" s="60">
        <v>220</v>
      </c>
      <c r="CO55" s="149">
        <v>0</v>
      </c>
      <c r="CP55" s="32">
        <v>0</v>
      </c>
      <c r="CQ55" s="106">
        <f t="shared" si="245"/>
        <v>300</v>
      </c>
      <c r="CR55" s="8"/>
      <c r="CS55" s="122">
        <f t="shared" si="438"/>
        <v>300</v>
      </c>
      <c r="CT55" s="154">
        <f>IFERROR(VLOOKUP($D55,'Adient Assende (Belgium) WK.17'!$B:CL,CU$1,0),0)</f>
        <v>0</v>
      </c>
      <c r="CU55" s="55">
        <f>IFERROR(VLOOKUP($D55,'Adient Arendal (Malzia) WK.12'!$B:CM,CU$1,0),0)</f>
        <v>0</v>
      </c>
      <c r="CV55" s="55">
        <f>IFERROR(VLOOKUP($D55,'Adient Taizhou (China) WK.16'!$B:CP,CU$1,0),0)</f>
        <v>0</v>
      </c>
      <c r="CW55" s="60">
        <v>0</v>
      </c>
      <c r="CX55" s="60">
        <v>0</v>
      </c>
      <c r="CY55" s="128">
        <v>80</v>
      </c>
      <c r="CZ55" s="32">
        <v>0</v>
      </c>
      <c r="DA55" s="106">
        <f t="shared" si="246"/>
        <v>220</v>
      </c>
      <c r="DB55" s="8"/>
      <c r="DC55" s="37">
        <f t="shared" si="439"/>
        <v>220</v>
      </c>
      <c r="DD55" s="125">
        <f>IFERROR(VLOOKUP($D55,'Adient Assende (Belgium) WK.17'!$B:CS,DE$1,0),0)</f>
        <v>80</v>
      </c>
      <c r="DE55" s="55">
        <f>IFERROR(VLOOKUP($D55,'Adient Arendal (Malzia) WK.12'!$B:CU,DE$1,0),0)</f>
        <v>0</v>
      </c>
      <c r="DF55" s="55">
        <f>IFERROR(VLOOKUP($D55,'Adient Taizhou (China) WK.16'!$B:CX,DE$1,0),0)</f>
        <v>0</v>
      </c>
      <c r="DG55" s="60">
        <v>100</v>
      </c>
      <c r="DH55" s="128">
        <v>80</v>
      </c>
      <c r="DI55" s="32">
        <v>0</v>
      </c>
      <c r="DJ55" s="106">
        <f t="shared" si="247"/>
        <v>240</v>
      </c>
      <c r="DL55" s="37">
        <f t="shared" si="440"/>
        <v>240</v>
      </c>
      <c r="DM55" s="125">
        <f>IFERROR(VLOOKUP($D55,'Adient Assende (Belgium) WK.17'!$B:DB,DN$1,0),0)</f>
        <v>80</v>
      </c>
      <c r="DN55" s="55">
        <f>IFERROR(VLOOKUP($D55,'Adient Arendal (Malzia) WK.12'!$B:DC,DN$1,0),0)</f>
        <v>0</v>
      </c>
      <c r="DO55" s="55">
        <f>IFERROR(VLOOKUP($D55,'Adient Taizhou (China) WK.16'!$B:DF,DN$1,0),0)</f>
        <v>0</v>
      </c>
      <c r="DP55" s="128">
        <v>80</v>
      </c>
      <c r="DQ55" s="32">
        <v>0</v>
      </c>
      <c r="DR55" s="106">
        <f t="shared" si="441"/>
        <v>160</v>
      </c>
      <c r="DS55" s="8"/>
      <c r="DT55" s="37">
        <f t="shared" si="442"/>
        <v>160</v>
      </c>
      <c r="DU55" s="125">
        <f>IFERROR(VLOOKUP($D55,'Adient Assende (Belgium) WK.17'!$B:DJ,DV$1,0),0)</f>
        <v>80</v>
      </c>
      <c r="DV55" s="55">
        <f>IFERROR(VLOOKUP($D55,'Adient Arendal (Malzia) WK.12'!$B:DK,DV$1,0),0)</f>
        <v>0</v>
      </c>
      <c r="DW55" s="55">
        <f>IFERROR(VLOOKUP($D55,'Adient Taizhou (China) WK.16'!$B:DN,DV$1,0),0)</f>
        <v>0</v>
      </c>
      <c r="DX55" s="60">
        <v>140</v>
      </c>
      <c r="DY55" s="60">
        <v>0</v>
      </c>
      <c r="DZ55" s="128">
        <v>0</v>
      </c>
      <c r="EA55" s="32">
        <v>0</v>
      </c>
      <c r="EB55" s="106">
        <f t="shared" si="248"/>
        <v>300</v>
      </c>
      <c r="EC55" s="8"/>
      <c r="ED55" s="37">
        <f t="shared" si="443"/>
        <v>300</v>
      </c>
      <c r="EE55" s="125">
        <f>IFERROR(VLOOKUP($D55,'Adient Assende (Belgium) WK.17'!$B:DR,EF$1,0),0)</f>
        <v>0</v>
      </c>
      <c r="EF55" s="55">
        <f>IFERROR(VLOOKUP($D55,'Adient Arendal (Malzia) WK.12'!$B:DS,EF$1,0),0)</f>
        <v>0</v>
      </c>
      <c r="EG55" s="55">
        <f>IFERROR(VLOOKUP($D55,'Adient Taizhou (China) WK.16'!$B:DV,EF$1,0),0)</f>
        <v>0</v>
      </c>
      <c r="EH55" s="60">
        <v>0</v>
      </c>
      <c r="EI55" s="128">
        <v>80</v>
      </c>
      <c r="EJ55" s="32">
        <v>0</v>
      </c>
      <c r="EK55" s="106">
        <f t="shared" si="249"/>
        <v>220</v>
      </c>
      <c r="EM55" s="37">
        <f t="shared" si="444"/>
        <v>220</v>
      </c>
      <c r="EN55" s="125">
        <f>IFERROR(VLOOKUP($D55,'Adient Assende (Belgium) WK.17'!$B:DZ,EO$1,0),0)</f>
        <v>80</v>
      </c>
      <c r="EO55" s="55">
        <f>IFERROR(VLOOKUP($D55,'Adient Arendal (Malzia) WK.12'!$B:EA,EO$1,0),0)</f>
        <v>0</v>
      </c>
      <c r="EP55" s="55">
        <f>IFERROR(VLOOKUP($D55,'Adient Taizhou (China) WK.16'!$B:ED,EO$1,0),0)</f>
        <v>0</v>
      </c>
      <c r="EQ55" s="128">
        <v>80</v>
      </c>
      <c r="ER55" s="32">
        <v>0</v>
      </c>
      <c r="ES55" s="106">
        <f t="shared" si="250"/>
        <v>140</v>
      </c>
      <c r="EU55" s="37">
        <f t="shared" si="445"/>
        <v>140</v>
      </c>
      <c r="EV55" s="125">
        <f>IFERROR(VLOOKUP($D55,'Adient Assende (Belgium) WK.17'!$B:EH,EW$1,0),0)</f>
        <v>80</v>
      </c>
      <c r="EW55" s="55">
        <f>IFERROR(VLOOKUP($D55,'Adient Arendal (Malzia) WK.12'!$B:EI,EW$1,0),0)</f>
        <v>0</v>
      </c>
      <c r="EX55" s="55">
        <f>IFERROR(VLOOKUP($D55,'Adient Taizhou (China) WK.16'!$B:EL,EW$1,0),0)</f>
        <v>0</v>
      </c>
      <c r="EY55" s="128">
        <v>0</v>
      </c>
      <c r="EZ55" s="32">
        <v>0</v>
      </c>
      <c r="FA55" s="106">
        <f t="shared" si="251"/>
        <v>140</v>
      </c>
      <c r="FC55" s="37">
        <f t="shared" si="446"/>
        <v>140</v>
      </c>
      <c r="FD55" s="154">
        <f>IFERROR(VLOOKUP($D55,'Adient Assende (Belgium) WK.17'!$B:EP,FE$1,0),0)</f>
        <v>0</v>
      </c>
      <c r="FE55" s="154">
        <f>IFERROR(VLOOKUP($D55,'Adient Arendal (Malzia) WK.12'!$B:EQ,FE$1,0),0)</f>
        <v>0</v>
      </c>
      <c r="FF55" s="154">
        <f>IFERROR(VLOOKUP($D55,'Adient Taizhou (China) WK.16'!$B:ET,FE$1,0),0)</f>
        <v>0</v>
      </c>
      <c r="FG55" s="128">
        <v>0</v>
      </c>
      <c r="FH55" s="32">
        <v>0</v>
      </c>
      <c r="FI55" s="106">
        <f t="shared" si="252"/>
        <v>140</v>
      </c>
      <c r="FK55" s="37">
        <f t="shared" si="447"/>
        <v>140</v>
      </c>
      <c r="FL55" s="125">
        <f>IFERROR(VLOOKUP($D55,'Adient Assende (Belgium) WK.17'!$B:EX,FM$1,0),0)</f>
        <v>0</v>
      </c>
      <c r="FM55" s="55">
        <f>IFERROR(VLOOKUP($D55,'Adient Arendal (Malzia) WK.12'!$B:EY,FM$1,0),0)</f>
        <v>0</v>
      </c>
      <c r="FN55" s="55">
        <f>IFERROR(VLOOKUP($D55,'Adient Taizhou (China) WK.16'!$B:FB,FM$1,0),0)</f>
        <v>0</v>
      </c>
      <c r="FO55" s="128">
        <v>80</v>
      </c>
      <c r="FP55" s="32">
        <v>0</v>
      </c>
      <c r="FQ55" s="106">
        <f t="shared" si="253"/>
        <v>60</v>
      </c>
      <c r="FR55" s="8"/>
      <c r="FS55" s="37">
        <f t="shared" si="448"/>
        <v>60</v>
      </c>
      <c r="FT55" s="125">
        <f>IFERROR(VLOOKUP($D55,'Adient Assende (Belgium) WK.17'!$B:FF,FU$1,0),0)</f>
        <v>80</v>
      </c>
      <c r="FU55" s="55">
        <f>IFERROR(VLOOKUP($D55,'Adient Arendal (Malzia) WK.12'!$B:FG,FU$1,0),0)</f>
        <v>0</v>
      </c>
      <c r="FV55" s="55">
        <f>IFERROR(VLOOKUP($D55,'Adient Taizhou (China) WK.16'!$B:FJ,FU$1,0),0)</f>
        <v>0</v>
      </c>
      <c r="FW55" s="60">
        <v>80</v>
      </c>
      <c r="FX55" s="60">
        <v>40</v>
      </c>
      <c r="FY55" s="60">
        <v>240</v>
      </c>
      <c r="FZ55" s="60">
        <v>0</v>
      </c>
      <c r="GA55" s="60">
        <v>200</v>
      </c>
      <c r="GB55" s="128">
        <v>80</v>
      </c>
      <c r="GC55" s="32">
        <v>0</v>
      </c>
      <c r="GD55" s="106">
        <f t="shared" si="254"/>
        <v>540</v>
      </c>
      <c r="GF55" s="37">
        <f t="shared" si="449"/>
        <v>540</v>
      </c>
      <c r="GG55" s="125">
        <f>IFERROR(VLOOKUP($D55,'Adient Assende (Belgium) WK.17'!$B:FN,GH$1,0),0)</f>
        <v>80</v>
      </c>
      <c r="GH55" s="55">
        <f>IFERROR(VLOOKUP($D55,'Adient Arendal (Malzia) WK.12'!$B:FO,GH$1,0),0)</f>
        <v>0</v>
      </c>
      <c r="GI55" s="55">
        <f>IFERROR(VLOOKUP($D55,'Adient Taizhou (China) WK.16'!$B:FR,GH$1,0),0)</f>
        <v>0</v>
      </c>
      <c r="GJ55" s="60">
        <v>0</v>
      </c>
      <c r="GK55" s="128">
        <v>0</v>
      </c>
      <c r="GL55" s="32">
        <v>0</v>
      </c>
      <c r="GM55" s="106">
        <f t="shared" si="255"/>
        <v>540</v>
      </c>
      <c r="GO55" s="37">
        <f t="shared" si="450"/>
        <v>540</v>
      </c>
      <c r="GP55" s="125">
        <f>IFERROR(VLOOKUP($D55,'Adient Assende (Belgium) WK.17'!$B:FV,GQ$1,0),0)</f>
        <v>0</v>
      </c>
      <c r="GQ55" s="55">
        <f>IFERROR(VLOOKUP($D55,'Adient Arendal (Malzia) WK.12'!$B:FW,GQ$1,0),0)</f>
        <v>0</v>
      </c>
      <c r="GR55" s="55">
        <f>IFERROR(VLOOKUP($D55,'Adient Taizhou (China) WK.16'!$B:FZ,GQ$1,0),0)</f>
        <v>0</v>
      </c>
      <c r="GS55" s="60">
        <v>0</v>
      </c>
      <c r="GT55" s="128">
        <v>160</v>
      </c>
      <c r="GU55" s="32">
        <v>0</v>
      </c>
      <c r="GV55" s="106">
        <f t="shared" si="256"/>
        <v>380</v>
      </c>
      <c r="GW55" s="8"/>
      <c r="GX55" s="37">
        <f t="shared" si="451"/>
        <v>380</v>
      </c>
      <c r="GY55" s="125">
        <f>IFERROR(VLOOKUP($D55,'Adient Assende (Belgium) WK.17'!$B:GD,GZ$1,0),0)</f>
        <v>160</v>
      </c>
      <c r="GZ55" s="55">
        <f>IFERROR(VLOOKUP($D55,'Adient Arendal (Malzia) WK.12'!$B:GE,GZ$1,0),0)</f>
        <v>0</v>
      </c>
      <c r="HA55" s="55">
        <f>IFERROR(VLOOKUP($D55,'Adient Taizhou (China) WK.16'!$B:GH,GZ$1,0),0)</f>
        <v>0</v>
      </c>
      <c r="HB55" s="60">
        <v>0</v>
      </c>
      <c r="HC55" s="128">
        <v>0</v>
      </c>
      <c r="HD55" s="32">
        <v>0</v>
      </c>
      <c r="HE55" s="106">
        <f t="shared" si="257"/>
        <v>380</v>
      </c>
      <c r="HF55" s="8"/>
      <c r="HG55" s="37">
        <f t="shared" si="452"/>
        <v>380</v>
      </c>
      <c r="HH55" s="125">
        <f>IFERROR(VLOOKUP($D55,'Adient Assende (Belgium) WK.17'!$B:GL,HI$1,0),0)</f>
        <v>0</v>
      </c>
      <c r="HI55" s="55">
        <f>IFERROR(VLOOKUP($D55,'Adient Arendal (Malzia) WK.12'!$B:GM,HI$1,0),0)</f>
        <v>0</v>
      </c>
      <c r="HJ55" s="55">
        <f>IFERROR(VLOOKUP($D55,'Adient Taizhou (China) WK.16'!$B:GP,HI$1,0),0)</f>
        <v>0</v>
      </c>
      <c r="HK55" s="60">
        <v>100</v>
      </c>
      <c r="HL55" s="128">
        <v>80</v>
      </c>
      <c r="HM55" s="32">
        <v>0</v>
      </c>
      <c r="HN55" s="106">
        <f t="shared" si="258"/>
        <v>400</v>
      </c>
      <c r="HO55" s="8"/>
      <c r="HP55" s="37">
        <f t="shared" si="453"/>
        <v>400</v>
      </c>
      <c r="HQ55" s="125">
        <f>IFERROR(VLOOKUP($D55,'Adient Assende (Belgium) WK.17'!$B:GT,HR$1,0),0)</f>
        <v>80</v>
      </c>
      <c r="HR55" s="55">
        <f>IFERROR(VLOOKUP($D55,'Adient Arendal (Malzia) WK.12'!$B:GU,HR$1,0),0)</f>
        <v>0</v>
      </c>
      <c r="HS55" s="55">
        <f>IFERROR(VLOOKUP($D55,'Adient Taizhou (China) WK.16'!$B:GX,HR$1,0),0)</f>
        <v>0</v>
      </c>
      <c r="HT55" s="60">
        <v>0</v>
      </c>
      <c r="HU55" s="128">
        <v>80</v>
      </c>
      <c r="HV55" s="32">
        <v>0</v>
      </c>
      <c r="HW55" s="106">
        <f t="shared" si="259"/>
        <v>320</v>
      </c>
      <c r="HX55" s="8"/>
      <c r="HY55" s="37">
        <f t="shared" si="454"/>
        <v>320</v>
      </c>
      <c r="HZ55" s="125">
        <f>IFERROR(VLOOKUP($D55,'Adient Assende (Belgium) WK.17'!$B:HB,IA$1,0),0)</f>
        <v>80</v>
      </c>
      <c r="IA55" s="55">
        <f>IFERROR(VLOOKUP($D55,'Adient Arendal (Malzia) WK.12'!$B:HC,IA$1,0),0)</f>
        <v>0</v>
      </c>
      <c r="IB55" s="55">
        <f>IFERROR(VLOOKUP($D55,'Adient Taizhou (China) WK.16'!$B:HF,IA$1,0),0)</f>
        <v>0</v>
      </c>
      <c r="IC55" s="60">
        <v>200</v>
      </c>
      <c r="ID55" s="128">
        <v>80</v>
      </c>
      <c r="IE55" s="32">
        <v>0</v>
      </c>
      <c r="IF55" s="106">
        <f t="shared" si="260"/>
        <v>440</v>
      </c>
      <c r="IG55" s="8"/>
      <c r="IH55" s="37">
        <f t="shared" si="455"/>
        <v>440</v>
      </c>
      <c r="II55" s="125">
        <f>IFERROR(VLOOKUP($D55,'Adient Assende (Belgium) WK.17'!$B:HJ,IJ$1,0),0)</f>
        <v>80</v>
      </c>
      <c r="IJ55" s="55">
        <f>IFERROR(VLOOKUP($D55,'Adient Arendal (Malzia) WK.12'!$B:HK,IJ$1,0),0)</f>
        <v>0</v>
      </c>
      <c r="IK55" s="55">
        <f>IFERROR(VLOOKUP($D55,'Adient Taizhou (China) WK.16'!$B:HN,IJ$1,0),0)</f>
        <v>0</v>
      </c>
      <c r="IL55" s="128">
        <v>80</v>
      </c>
      <c r="IM55" s="32">
        <v>0</v>
      </c>
      <c r="IN55" s="106">
        <f t="shared" si="456"/>
        <v>360</v>
      </c>
      <c r="IO55" s="8"/>
      <c r="IP55" s="37">
        <f t="shared" si="457"/>
        <v>360</v>
      </c>
      <c r="IQ55" s="125">
        <f>IFERROR(VLOOKUP($D55,'Adient Assende (Belgium) WK.17'!$B:HR,IR$1,0),0)</f>
        <v>80</v>
      </c>
      <c r="IR55" s="55">
        <f>IFERROR(VLOOKUP($D55,'Adient Arendal (Malzia) WK.12'!$B:HS,IR$1,0),0)</f>
        <v>0</v>
      </c>
      <c r="IS55" s="55">
        <f>IFERROR(VLOOKUP($D55,'Adient Taizhou (China) WK.16'!$B:HV,IR$1,0),0)</f>
        <v>0</v>
      </c>
      <c r="IT55" s="60">
        <v>0</v>
      </c>
      <c r="IU55" s="128">
        <v>0</v>
      </c>
      <c r="IV55" s="32">
        <v>0</v>
      </c>
      <c r="IW55" s="106">
        <f t="shared" si="261"/>
        <v>360</v>
      </c>
      <c r="IX55" s="8"/>
      <c r="IY55" s="37">
        <f t="shared" si="458"/>
        <v>360</v>
      </c>
      <c r="IZ55" s="125">
        <f>IFERROR(VLOOKUP($D55,'Adient Assende (Belgium) WK.17'!$B:HZ,JA$1,0),0)</f>
        <v>0</v>
      </c>
      <c r="JA55" s="55">
        <f>IFERROR(VLOOKUP($D55,'Adient Arendal (Malzia) WK.12'!$B:IA,JA$1,0),0)</f>
        <v>0</v>
      </c>
      <c r="JB55" s="55">
        <f>IFERROR(VLOOKUP($D55,'Adient Taizhou (China) WK.16'!$B:ID,JA$1,0),0)</f>
        <v>0</v>
      </c>
      <c r="JC55" s="128">
        <v>80</v>
      </c>
      <c r="JD55" s="32">
        <v>0</v>
      </c>
      <c r="JE55" s="106">
        <f t="shared" si="459"/>
        <v>280</v>
      </c>
      <c r="JF55" s="8"/>
      <c r="JG55" s="37">
        <f t="shared" si="460"/>
        <v>280</v>
      </c>
      <c r="JH55" s="125">
        <f>IFERROR(VLOOKUP($D55,'Adient Assende (Belgium) WK.17'!$B:IH,JI$1,0),0)</f>
        <v>80</v>
      </c>
      <c r="JI55" s="55">
        <f>IFERROR(VLOOKUP($D55,'Adient Arendal (Malzia) WK.12'!$B:II,JI$1,0),0)</f>
        <v>0</v>
      </c>
      <c r="JJ55" s="55">
        <f>IFERROR(VLOOKUP($D55,'Adient Taizhou (China) WK.16'!$B:IL,JI$1,0),0)</f>
        <v>0</v>
      </c>
      <c r="JK55" s="60">
        <v>0</v>
      </c>
      <c r="JL55" s="128">
        <v>80</v>
      </c>
      <c r="JM55" s="32">
        <v>0</v>
      </c>
      <c r="JN55" s="106">
        <f t="shared" si="262"/>
        <v>200</v>
      </c>
      <c r="JO55" s="8"/>
      <c r="JP55" s="37">
        <f t="shared" si="461"/>
        <v>200</v>
      </c>
      <c r="JQ55" s="125">
        <f>IFERROR(VLOOKUP($D55,'Adient Assende (Belgium) WK.17'!$B:IP,JR$1,0),0)</f>
        <v>80</v>
      </c>
      <c r="JR55" s="55">
        <f>IFERROR(VLOOKUP($D55,'Adient Arendal (Malzia) WK.12'!$B:IQ,JR$1,0),0)</f>
        <v>0</v>
      </c>
      <c r="JS55" s="55">
        <f>IFERROR(VLOOKUP($D55,'Adient Taizhou (China) WK.16'!$B:IT,JR$1,0),0)</f>
        <v>0</v>
      </c>
      <c r="JT55" s="128">
        <v>0</v>
      </c>
      <c r="JU55" s="32">
        <v>0</v>
      </c>
      <c r="JV55" s="106">
        <f t="shared" si="462"/>
        <v>200</v>
      </c>
      <c r="JW55" s="8"/>
      <c r="JX55" s="37">
        <f t="shared" si="463"/>
        <v>200</v>
      </c>
      <c r="JY55" s="154">
        <f>IFERROR(VLOOKUP($D55,'Adient Assende (Belgium) WK.17'!$B:IX,JZ$1,0),0)</f>
        <v>0</v>
      </c>
      <c r="JZ55" s="55">
        <f>IFERROR(VLOOKUP($D55,'Adient Arendal (Malzia) WK.12'!$B:IY,JZ$1,0),0)</f>
        <v>0</v>
      </c>
      <c r="KA55" s="55">
        <f>IFERROR(VLOOKUP($D55,'Adient Taizhou (China) WK.16'!$B:JB,JZ$1,0),0)</f>
        <v>0</v>
      </c>
      <c r="KB55" s="128">
        <v>80</v>
      </c>
      <c r="KC55" s="32">
        <v>0</v>
      </c>
      <c r="KD55" s="106">
        <f t="shared" si="263"/>
        <v>120</v>
      </c>
      <c r="KE55" s="8"/>
      <c r="KF55" s="37">
        <f t="shared" si="464"/>
        <v>120</v>
      </c>
      <c r="KG55" s="125">
        <f>IFERROR(VLOOKUP($D55,'Adient Assende (Belgium) WK.17'!$B:JF,KH$1,0),0)</f>
        <v>80</v>
      </c>
      <c r="KH55" s="55">
        <f>IFERROR(VLOOKUP($D55,'Adient Arendal (Malzia) WK.12'!$B:JG,KH$1,0),0)</f>
        <v>0</v>
      </c>
      <c r="KI55" s="55">
        <f>IFERROR(VLOOKUP($D55,'Adient Taizhou (China) WK.16'!$B:JJ,KH$1,0),0)</f>
        <v>0</v>
      </c>
      <c r="KJ55" s="60">
        <v>0</v>
      </c>
      <c r="KK55" s="128">
        <v>0</v>
      </c>
      <c r="KL55" s="32">
        <v>0</v>
      </c>
      <c r="KM55" s="106">
        <f t="shared" si="264"/>
        <v>120</v>
      </c>
      <c r="KN55" s="8"/>
      <c r="KO55" s="37">
        <f t="shared" si="465"/>
        <v>120</v>
      </c>
      <c r="KP55" s="141">
        <f>IFERROR(VLOOKUP($D55,'Adient Assende (Belgium) WK.17'!$B:JN,KQ$1,0),0)</f>
        <v>0</v>
      </c>
      <c r="KQ55" s="140">
        <f>IFERROR(VLOOKUP($D55,'Adient Arendal (Malzia) WK.12'!$B:JO,KQ$1,0),0)</f>
        <v>0</v>
      </c>
      <c r="KR55" s="140">
        <f>IFERROR(VLOOKUP($D55,'Adient Taizhou (China) WK.16'!$B:JR,KQ$1,0),0)</f>
        <v>0</v>
      </c>
      <c r="KS55" s="60">
        <v>0</v>
      </c>
      <c r="KT55" s="128">
        <v>0</v>
      </c>
      <c r="KU55" s="32">
        <v>0</v>
      </c>
      <c r="KV55" s="106">
        <f t="shared" si="265"/>
        <v>120</v>
      </c>
      <c r="KX55" s="37">
        <f t="shared" si="466"/>
        <v>120</v>
      </c>
      <c r="KY55" s="141">
        <f>IFERROR(VLOOKUP($D55,'Adient Assende (Belgium) WK.17'!$B:JV,KZ$1,0),0)</f>
        <v>0</v>
      </c>
      <c r="KZ55" s="140">
        <f>IFERROR(VLOOKUP($D55,'Adient Arendal (Malzia) WK.12'!$B:JW,KZ$1,0),0)</f>
        <v>0</v>
      </c>
      <c r="LA55" s="140">
        <f>IFERROR(VLOOKUP($D55,'Adient Taizhou (China) WK.16'!$B:JZ,KZ$1,0),0)</f>
        <v>0</v>
      </c>
      <c r="LB55" s="128">
        <v>0</v>
      </c>
      <c r="LC55" s="32">
        <v>0</v>
      </c>
      <c r="LD55" s="106">
        <f t="shared" si="467"/>
        <v>120</v>
      </c>
      <c r="LF55" s="37">
        <f t="shared" si="468"/>
        <v>120</v>
      </c>
      <c r="LG55" s="141">
        <f>IFERROR(VLOOKUP($D55,'Adient Assende (Belgium) WK.17'!$B:KD,LH$1,0),0)</f>
        <v>0</v>
      </c>
      <c r="LH55" s="140">
        <f>IFERROR(VLOOKUP($D55,'Adient Arendal (Malzia) WK.12'!$B:KE,LH$1,0),0)</f>
        <v>0</v>
      </c>
      <c r="LI55" s="140">
        <f>IFERROR(VLOOKUP($D55,'Adient Taizhou (China) WK.16'!$B:KH,LH$1,0),0)</f>
        <v>0</v>
      </c>
      <c r="LJ55" s="60">
        <v>0</v>
      </c>
      <c r="LK55" s="128">
        <v>0</v>
      </c>
      <c r="LL55" s="32">
        <v>0</v>
      </c>
      <c r="LM55" s="100">
        <f t="shared" si="267"/>
        <v>120</v>
      </c>
      <c r="LO55" s="37">
        <f t="shared" si="469"/>
        <v>120</v>
      </c>
      <c r="LP55" s="141">
        <f>IFERROR(VLOOKUP($D55,'Adient Assende (Belgium) WK.17'!$B:KL,LQ$1,0),0)</f>
        <v>0</v>
      </c>
      <c r="LQ55" s="140">
        <f>IFERROR(VLOOKUP($D55,'Adient Arendal (Malzia) WK.12'!$B:KM,LQ$1,0),0)</f>
        <v>0</v>
      </c>
      <c r="LR55" s="140">
        <f>IFERROR(VLOOKUP($D55,'Adient Taizhou (China) WK.16'!$B:KP,LQ$1,0),0)</f>
        <v>0</v>
      </c>
      <c r="LS55" s="128">
        <v>0</v>
      </c>
      <c r="LT55" s="32">
        <v>0</v>
      </c>
      <c r="LU55" s="100">
        <f t="shared" si="470"/>
        <v>120</v>
      </c>
      <c r="LW55" s="37">
        <f t="shared" si="471"/>
        <v>120</v>
      </c>
      <c r="LX55" s="141">
        <f>IFERROR(VLOOKUP($D55,'Adient Assende (Belgium) WK.17'!$B:KT,LY$1,0),0)</f>
        <v>0</v>
      </c>
      <c r="LY55" s="140">
        <f>IFERROR(VLOOKUP($D55,'Adient Arendal (Malzia) WK.12'!$B:KU,LY$1,0),0)</f>
        <v>0</v>
      </c>
      <c r="LZ55" s="140">
        <f>IFERROR(VLOOKUP($D55,'Adient Taizhou (China) WK.16'!$B:KX,LY$1,0),0)</f>
        <v>0</v>
      </c>
      <c r="MA55" s="128">
        <v>0</v>
      </c>
      <c r="MB55" s="32">
        <v>0</v>
      </c>
      <c r="MC55" s="100">
        <f t="shared" si="472"/>
        <v>120</v>
      </c>
      <c r="ME55" s="37">
        <f t="shared" si="473"/>
        <v>120</v>
      </c>
      <c r="MF55" s="154">
        <f>IFERROR(VLOOKUP($D55,'Adient Assende (Belgium) WK.17'!$B:LB,MG$1,0),0)</f>
        <v>0</v>
      </c>
      <c r="MG55" s="140">
        <f>IFERROR(VLOOKUP($D55,'Adient Arendal (Malzia) WK.12'!$B:LC,MG$1,0),0)</f>
        <v>0</v>
      </c>
      <c r="MH55" s="140">
        <f>IFERROR(VLOOKUP($D55,'Adient Taizhou (China) WK.16'!$B:LF,MG$1,0),0)</f>
        <v>0</v>
      </c>
      <c r="MI55" s="128">
        <v>0</v>
      </c>
      <c r="MJ55" s="32">
        <v>0</v>
      </c>
      <c r="MK55" s="100">
        <f t="shared" si="474"/>
        <v>120</v>
      </c>
      <c r="MM55" s="37">
        <f t="shared" si="475"/>
        <v>120</v>
      </c>
      <c r="MN55" s="141">
        <f>IFERROR(VLOOKUP($D55,'Adient Assende (Belgium) WK.17'!$B:LJ,MO$1,0),0)</f>
        <v>0</v>
      </c>
      <c r="MO55" s="140">
        <f>IFERROR(VLOOKUP($D55,'Adient Arendal (Malzia) WK.12'!$B:LK,MO$1,0),0)</f>
        <v>0</v>
      </c>
      <c r="MP55" s="140">
        <f>IFERROR(VLOOKUP($D55,'Adient Taizhou (China) WK.16'!$B:LN,MO$1,0),0)</f>
        <v>0</v>
      </c>
      <c r="MQ55" s="128">
        <v>0</v>
      </c>
      <c r="MR55" s="32">
        <v>0</v>
      </c>
      <c r="MS55" s="100">
        <f t="shared" si="476"/>
        <v>120</v>
      </c>
      <c r="MU55" s="37">
        <f t="shared" si="477"/>
        <v>120</v>
      </c>
      <c r="MV55" s="141">
        <f>IFERROR(VLOOKUP($D55,'Adient Assende (Belgium) WK.17'!$B:LR,MW$1,0),0)</f>
        <v>0</v>
      </c>
      <c r="MW55" s="140">
        <f>IFERROR(VLOOKUP($D55,'Adient Arendal (Malzia) WK.12'!$B:LS,MW$1,0),0)</f>
        <v>0</v>
      </c>
      <c r="MX55" s="140">
        <f>IFERROR(VLOOKUP($D55,'Adient Taizhou (China) WK.16'!$B:LV,MW$1,0),0)</f>
        <v>0</v>
      </c>
      <c r="MY55" s="128">
        <v>0</v>
      </c>
      <c r="MZ55" s="32">
        <v>0</v>
      </c>
      <c r="NA55" s="100">
        <f t="shared" si="478"/>
        <v>120</v>
      </c>
      <c r="NC55" s="37">
        <f t="shared" si="479"/>
        <v>120</v>
      </c>
      <c r="ND55" s="141">
        <f>IFERROR(VLOOKUP($D55,'Adient Assende (Belgium) WK.17'!$B:LZ,NE$1,0),0)</f>
        <v>0</v>
      </c>
      <c r="NE55" s="140">
        <f>IFERROR(VLOOKUP($D55,'Adient Arendal (Malzia) WK.12'!$B:MA,NE$1,0),0)</f>
        <v>0</v>
      </c>
      <c r="NF55" s="140">
        <f>IFERROR(VLOOKUP($D55,'Adient Taizhou (China) WK.16'!$B:MD,NE$1,0),0)</f>
        <v>0</v>
      </c>
      <c r="NG55" s="128">
        <v>0</v>
      </c>
      <c r="NH55" s="32">
        <v>0</v>
      </c>
      <c r="NI55" s="100">
        <f t="shared" si="480"/>
        <v>120</v>
      </c>
      <c r="NK55" s="37">
        <f t="shared" si="481"/>
        <v>120</v>
      </c>
      <c r="NL55" s="141">
        <f>IFERROR(VLOOKUP($D55,'Adient Assende (Belgium) WK.17'!$B:MH,NM$1,0),0)</f>
        <v>0</v>
      </c>
      <c r="NM55" s="140">
        <f>IFERROR(VLOOKUP($D55,'Adient Arendal (Malzia) WK.12'!$B:MI,NM$1,0),0)</f>
        <v>0</v>
      </c>
      <c r="NN55" s="140">
        <f>IFERROR(VLOOKUP($D55,'Adient Taizhou (China) WK.16'!$B:ML,NM$1,0),0)</f>
        <v>0</v>
      </c>
      <c r="NO55" s="128">
        <v>0</v>
      </c>
      <c r="NP55" s="32">
        <v>0</v>
      </c>
      <c r="NQ55" s="100">
        <f t="shared" si="482"/>
        <v>120</v>
      </c>
      <c r="NS55" s="37">
        <f t="shared" si="483"/>
        <v>120</v>
      </c>
      <c r="NT55" s="141">
        <f>IFERROR(VLOOKUP($D55,'Adient Assende (Belgium) WK.17'!$B:MP,NU$1,0),0)</f>
        <v>0</v>
      </c>
      <c r="NU55" s="140">
        <f>IFERROR(VLOOKUP($D55,'Adient Arendal (Malzia) WK.12'!$B:MQ,NU$1,0),0)</f>
        <v>0</v>
      </c>
      <c r="NV55" s="140">
        <f>IFERROR(VLOOKUP($D55,'Adient Taizhou (China) WK.16'!$B:MT,NU$1,0),0)</f>
        <v>0</v>
      </c>
      <c r="NW55" s="128">
        <v>0</v>
      </c>
      <c r="NX55" s="32">
        <v>0</v>
      </c>
      <c r="NY55" s="100">
        <f t="shared" si="484"/>
        <v>120</v>
      </c>
      <c r="OA55" s="37">
        <f t="shared" si="485"/>
        <v>120</v>
      </c>
      <c r="OB55" s="141">
        <f>IFERROR(VLOOKUP($D55,'Adient Assende (Belgium) WK.17'!$B:MX,OC$1,0),0)</f>
        <v>0</v>
      </c>
      <c r="OC55" s="140">
        <f>IFERROR(VLOOKUP($D55,'Adient Arendal (Malzia) WK.12'!$B:MY,OC$1,0),0)</f>
        <v>0</v>
      </c>
      <c r="OD55" s="140">
        <f>IFERROR(VLOOKUP($D55,'Adient Taizhou (China) WK.16'!$B:NB,OC$1,0),0)</f>
        <v>0</v>
      </c>
      <c r="OE55" s="128">
        <v>0</v>
      </c>
      <c r="OF55" s="32">
        <v>0</v>
      </c>
      <c r="OG55" s="100">
        <f t="shared" si="486"/>
        <v>120</v>
      </c>
      <c r="OI55" s="37">
        <f t="shared" si="487"/>
        <v>120</v>
      </c>
      <c r="OJ55" s="141">
        <f>IFERROR(VLOOKUP($D55,'Adient Assende (Belgium) WK.17'!$B:NF,OK$1,0),0)</f>
        <v>0</v>
      </c>
      <c r="OK55" s="140">
        <f>IFERROR(VLOOKUP($D55,'Adient Arendal (Malzia) WK.12'!$B:NG,OK$1,0),0)</f>
        <v>0</v>
      </c>
      <c r="OL55" s="140">
        <f>IFERROR(VLOOKUP($D55,'Adient Taizhou (China) WK.16'!$B:NJ,OK$1,0),0)</f>
        <v>0</v>
      </c>
      <c r="OM55" s="128">
        <v>0</v>
      </c>
      <c r="ON55" s="32">
        <v>0</v>
      </c>
      <c r="OO55" s="100">
        <f t="shared" si="488"/>
        <v>120</v>
      </c>
      <c r="OQ55" s="37">
        <f t="shared" si="489"/>
        <v>120</v>
      </c>
      <c r="OR55" s="141">
        <f>IFERROR(VLOOKUP($D55,'Adient Assende (Belgium) WK.17'!$B:NN,OS$1,0),0)</f>
        <v>0</v>
      </c>
      <c r="OS55" s="140">
        <f>IFERROR(VLOOKUP($D55,'Adient Arendal (Malzia) WK.12'!$B:NO,OS$1,0),0)</f>
        <v>0</v>
      </c>
      <c r="OT55" s="140">
        <f>IFERROR(VLOOKUP($D55,'Adient Taizhou (China) WK.16'!$B:NR,OS$1,0),0)</f>
        <v>0</v>
      </c>
      <c r="OU55" s="128">
        <v>0</v>
      </c>
      <c r="OV55" s="32">
        <v>0</v>
      </c>
      <c r="OW55" s="100">
        <f t="shared" si="490"/>
        <v>120</v>
      </c>
      <c r="OY55" s="37">
        <f t="shared" si="491"/>
        <v>120</v>
      </c>
      <c r="OZ55" s="141">
        <f>IFERROR(VLOOKUP($D55,'Adient Assende (Belgium) WK.17'!$B:NV,PA$1,0),0)</f>
        <v>0</v>
      </c>
      <c r="PA55" s="140">
        <f>IFERROR(VLOOKUP($D55,'Adient Arendal (Malzia) WK.12'!$B:NW,PA$1,0),0)</f>
        <v>0</v>
      </c>
      <c r="PB55" s="140">
        <f>IFERROR(VLOOKUP($D55,'Adient Taizhou (China) WK.16'!$B:NZ,PA$1,0),0)</f>
        <v>0</v>
      </c>
      <c r="PC55" s="128">
        <v>0</v>
      </c>
      <c r="PD55" s="32">
        <v>0</v>
      </c>
      <c r="PE55" s="100">
        <f t="shared" si="492"/>
        <v>120</v>
      </c>
      <c r="PG55" s="37">
        <f t="shared" si="493"/>
        <v>120</v>
      </c>
      <c r="PH55" s="141">
        <f>IFERROR(VLOOKUP($D55,'Adient Assende (Belgium) WK.17'!$B:OD,PI$1,0),0)</f>
        <v>0</v>
      </c>
      <c r="PI55" s="140">
        <f>IFERROR(VLOOKUP($D55,'Adient Arendal (Malzia) WK.12'!$B:OE,PI$1,0),0)</f>
        <v>0</v>
      </c>
      <c r="PJ55" s="140">
        <f>IFERROR(VLOOKUP($D55,'Adient Taizhou (China) WK.16'!$B:OH,PI$1,0),0)</f>
        <v>0</v>
      </c>
      <c r="PK55" s="128">
        <v>0</v>
      </c>
      <c r="PL55" s="32">
        <v>0</v>
      </c>
      <c r="PM55" s="100">
        <f t="shared" si="494"/>
        <v>120</v>
      </c>
      <c r="PO55" s="37">
        <f t="shared" si="495"/>
        <v>120</v>
      </c>
      <c r="PP55" s="141">
        <f>IFERROR(VLOOKUP($D55,'Adient Assende (Belgium) WK.17'!$B:OL,PQ$1,0),0)</f>
        <v>0</v>
      </c>
      <c r="PQ55" s="140">
        <f>IFERROR(VLOOKUP($D55,'Adient Arendal (Malzia) WK.12'!$B:OM,PQ$1,0),0)</f>
        <v>0</v>
      </c>
      <c r="PR55" s="140">
        <f>IFERROR(VLOOKUP($D55,'Adient Taizhou (China) WK.16'!$B:OP,PQ$1,0),0)</f>
        <v>0</v>
      </c>
      <c r="PS55" s="128">
        <v>0</v>
      </c>
      <c r="PT55" s="32">
        <v>0</v>
      </c>
      <c r="PU55" s="100">
        <f t="shared" si="496"/>
        <v>120</v>
      </c>
      <c r="PW55" s="37">
        <f t="shared" si="497"/>
        <v>120</v>
      </c>
      <c r="PX55" s="141">
        <f>IFERROR(VLOOKUP($D55,'Adient Assende (Belgium) WK.17'!$B:OT,PY$1,0),0)</f>
        <v>0</v>
      </c>
      <c r="PY55" s="140">
        <f>IFERROR(VLOOKUP($D55,'Adient Arendal (Malzia) WK.12'!$B:OU,PY$1,0),0)</f>
        <v>0</v>
      </c>
      <c r="PZ55" s="140">
        <f>IFERROR(VLOOKUP($D55,'Adient Taizhou (China) WK.16'!$B:OX,PY$1,0),0)</f>
        <v>0</v>
      </c>
      <c r="QA55" s="128">
        <v>0</v>
      </c>
      <c r="QB55" s="32">
        <v>0</v>
      </c>
      <c r="QC55" s="100">
        <f t="shared" si="498"/>
        <v>120</v>
      </c>
      <c r="QE55" s="37">
        <f t="shared" si="499"/>
        <v>120</v>
      </c>
      <c r="QF55" s="141">
        <f>IFERROR(VLOOKUP($D55,'Adient Assende (Belgium) WK.17'!$B:PB,QG$1,0),0)</f>
        <v>0</v>
      </c>
      <c r="QG55" s="140">
        <f>IFERROR(VLOOKUP($D55,'Adient Arendal (Malzia) WK.12'!$B:PC,QG$1,0),0)</f>
        <v>0</v>
      </c>
      <c r="QH55" s="140">
        <f>IFERROR(VLOOKUP($D55,'Adient Taizhou (China) WK.16'!$B:PF,QG$1,0),0)</f>
        <v>0</v>
      </c>
      <c r="QI55" s="128">
        <v>0</v>
      </c>
      <c r="QJ55" s="32">
        <v>0</v>
      </c>
      <c r="QK55" s="100">
        <f t="shared" si="500"/>
        <v>120</v>
      </c>
      <c r="QM55" s="37">
        <f t="shared" si="501"/>
        <v>120</v>
      </c>
      <c r="QN55" s="141">
        <f>IFERROR(VLOOKUP($D55,'Adient Assende (Belgium) WK.17'!$B:PJ,QO$1,0),0)</f>
        <v>0</v>
      </c>
      <c r="QO55" s="140">
        <f>IFERROR(VLOOKUP($D55,'Adient Arendal (Malzia) WK.12'!$B:PK,QO$1,0),0)</f>
        <v>0</v>
      </c>
      <c r="QP55" s="140">
        <f>IFERROR(VLOOKUP($D55,'Adient Taizhou (China) WK.16'!$B:PN,QO$1,0),0)</f>
        <v>0</v>
      </c>
      <c r="QQ55" s="128">
        <v>0</v>
      </c>
      <c r="QR55" s="32">
        <v>0</v>
      </c>
      <c r="QS55" s="100">
        <f t="shared" si="502"/>
        <v>120</v>
      </c>
      <c r="QU55" s="37">
        <f t="shared" si="503"/>
        <v>120</v>
      </c>
      <c r="QV55" s="141">
        <f>IFERROR(VLOOKUP($D55,'Adient Assende (Belgium) WK.17'!$B:PR,QW$1,0),0)</f>
        <v>0</v>
      </c>
      <c r="QW55" s="140">
        <f>IFERROR(VLOOKUP($D55,'Adient Arendal (Malzia) WK.12'!$B:PS,QW$1,0),0)</f>
        <v>0</v>
      </c>
      <c r="QX55" s="140">
        <f>IFERROR(VLOOKUP($D55,'Adient Taizhou (China) WK.16'!$B:PV,QW$1,0),0)</f>
        <v>0</v>
      </c>
      <c r="QY55" s="128">
        <v>0</v>
      </c>
      <c r="QZ55" s="32">
        <v>0</v>
      </c>
      <c r="RA55" s="100">
        <f t="shared" si="504"/>
        <v>120</v>
      </c>
      <c r="RC55" s="37">
        <f t="shared" si="505"/>
        <v>120</v>
      </c>
      <c r="RD55" s="141">
        <f>IFERROR(VLOOKUP($D55,'Adient Assende (Belgium) WK.17'!$B:PZ,RE$1,0),0)</f>
        <v>0</v>
      </c>
      <c r="RE55" s="140">
        <f>IFERROR(VLOOKUP($D55,'Adient Arendal (Malzia) WK.12'!$B:QA,RE$1,0),0)</f>
        <v>0</v>
      </c>
      <c r="RF55" s="140">
        <f>IFERROR(VLOOKUP($D55,'Adient Taizhou (China) WK.16'!$B:QD,RE$1,0),0)</f>
        <v>0</v>
      </c>
      <c r="RG55" s="128">
        <v>0</v>
      </c>
      <c r="RH55" s="32">
        <v>0</v>
      </c>
      <c r="RI55" s="100">
        <f t="shared" si="506"/>
        <v>120</v>
      </c>
      <c r="RK55" s="37">
        <f t="shared" si="507"/>
        <v>120</v>
      </c>
      <c r="RL55" s="141">
        <f>IFERROR(VLOOKUP($D55,'Adient Assende (Belgium) WK.17'!$B:QH,RM$1,0),0)</f>
        <v>0</v>
      </c>
      <c r="RM55" s="140">
        <f>IFERROR(VLOOKUP($D55,'Adient Arendal (Malzia) WK.12'!$B:QI,RM$1,0),0)</f>
        <v>0</v>
      </c>
      <c r="RN55" s="140">
        <f>IFERROR(VLOOKUP($D55,'Adient Taizhou (China) WK.16'!$B:QL,RM$1,0),0)</f>
        <v>0</v>
      </c>
      <c r="RO55" s="128">
        <v>0</v>
      </c>
      <c r="RP55" s="32">
        <v>0</v>
      </c>
      <c r="RQ55" s="100">
        <f t="shared" si="508"/>
        <v>120</v>
      </c>
      <c r="RS55" s="37">
        <f t="shared" si="509"/>
        <v>120</v>
      </c>
      <c r="RT55" s="141">
        <f>IFERROR(VLOOKUP($D55,'Adient Assende (Belgium) WK.17'!$B:QP,RU$1,0),0)</f>
        <v>0</v>
      </c>
      <c r="RU55" s="140">
        <f>IFERROR(VLOOKUP($D55,'Adient Arendal (Malzia) WK.12'!$B:QQ,RU$1,0),0)</f>
        <v>0</v>
      </c>
      <c r="RV55" s="140">
        <f>IFERROR(VLOOKUP($D55,'Adient Taizhou (China) WK.16'!$B:QT,RU$1,0),0)</f>
        <v>0</v>
      </c>
      <c r="RW55" s="128">
        <v>0</v>
      </c>
      <c r="RX55" s="32">
        <v>0</v>
      </c>
      <c r="RY55" s="100">
        <f t="shared" si="510"/>
        <v>120</v>
      </c>
      <c r="SA55" s="37">
        <f t="shared" si="511"/>
        <v>120</v>
      </c>
      <c r="SB55" s="141">
        <f>IFERROR(VLOOKUP($D55,'Adient Assende (Belgium) WK.17'!$B:QX,SC$1,0),0)</f>
        <v>0</v>
      </c>
      <c r="SC55" s="140">
        <f>IFERROR(VLOOKUP($D55,'Adient Arendal (Malzia) WK.12'!$B:QY,SC$1,0),0)</f>
        <v>0</v>
      </c>
      <c r="SD55" s="140">
        <f>IFERROR(VLOOKUP($D55,'Adient Taizhou (China) WK.16'!$B:RB,SC$1,0),0)</f>
        <v>0</v>
      </c>
      <c r="SE55" s="128">
        <v>0</v>
      </c>
      <c r="SF55" s="32">
        <v>0</v>
      </c>
      <c r="SG55" s="100">
        <f t="shared" si="512"/>
        <v>120</v>
      </c>
      <c r="SI55" s="37">
        <f t="shared" si="513"/>
        <v>120</v>
      </c>
      <c r="SJ55" s="141">
        <f>IFERROR(VLOOKUP($D55,'Adient Assende (Belgium) WK.17'!$B:RF,SK$1,0),0)</f>
        <v>0</v>
      </c>
      <c r="SK55" s="140">
        <f>IFERROR(VLOOKUP($D55,'Adient Arendal (Malzia) WK.12'!$B:RG,SK$1,0),0)</f>
        <v>0</v>
      </c>
      <c r="SL55" s="140">
        <f>IFERROR(VLOOKUP($D55,'Adient Taizhou (China) WK.16'!$B:RJ,SK$1,0),0)</f>
        <v>0</v>
      </c>
      <c r="SM55" s="128">
        <v>0</v>
      </c>
      <c r="SN55" s="32">
        <v>0</v>
      </c>
      <c r="SO55" s="100">
        <f t="shared" si="514"/>
        <v>120</v>
      </c>
      <c r="SQ55" s="37">
        <f t="shared" si="515"/>
        <v>120</v>
      </c>
      <c r="SR55" s="141">
        <f>IFERROR(VLOOKUP($D55,'Adient Assende (Belgium) WK.17'!$B:RN,SS$1,0),0)</f>
        <v>0</v>
      </c>
      <c r="SS55" s="140">
        <f>IFERROR(VLOOKUP($D55,'Adient Arendal (Malzia) WK.12'!$B:RO,SS$1,0),0)</f>
        <v>0</v>
      </c>
      <c r="ST55" s="140">
        <f>IFERROR(VLOOKUP($D55,'Adient Taizhou (China) WK.16'!$B:RR,SS$1,0),0)</f>
        <v>0</v>
      </c>
      <c r="SU55" s="128">
        <v>0</v>
      </c>
      <c r="SV55" s="32">
        <v>0</v>
      </c>
      <c r="SW55" s="100">
        <f t="shared" si="516"/>
        <v>120</v>
      </c>
      <c r="SY55" s="37">
        <f t="shared" si="517"/>
        <v>120</v>
      </c>
      <c r="SZ55" s="141">
        <f>IFERROR(VLOOKUP($D55,'Adient Assende (Belgium) WK.17'!$B:RV,TA$1,0),0)</f>
        <v>0</v>
      </c>
      <c r="TA55" s="140">
        <f>IFERROR(VLOOKUP($D55,'Adient Arendal (Malzia) WK.12'!$B:RW,TA$1,0),0)</f>
        <v>0</v>
      </c>
      <c r="TB55" s="140">
        <f>IFERROR(VLOOKUP($D55,'Adient Taizhou (China) WK.16'!$B:RZ,TA$1,0),0)</f>
        <v>0</v>
      </c>
      <c r="TC55" s="128">
        <v>0</v>
      </c>
      <c r="TD55" s="32">
        <v>0</v>
      </c>
      <c r="TE55" s="100">
        <f t="shared" si="518"/>
        <v>120</v>
      </c>
      <c r="TG55" s="37">
        <f t="shared" si="519"/>
        <v>120</v>
      </c>
      <c r="TH55" s="141">
        <f>IFERROR(VLOOKUP($D55,'Adient Assende (Belgium) WK.17'!$B:SD,TI$1,0),0)</f>
        <v>0</v>
      </c>
      <c r="TI55" s="140">
        <f>IFERROR(VLOOKUP($D55,'Adient Arendal (Malzia) WK.12'!$B:SE,TI$1,0),0)</f>
        <v>0</v>
      </c>
      <c r="TJ55" s="140">
        <f>IFERROR(VLOOKUP($D55,'Adient Taizhou (China) WK.16'!$B:SH,TI$1,0),0)</f>
        <v>0</v>
      </c>
      <c r="TK55" s="128">
        <v>0</v>
      </c>
      <c r="TL55" s="32">
        <v>0</v>
      </c>
      <c r="TM55" s="100">
        <f t="shared" si="520"/>
        <v>120</v>
      </c>
      <c r="TO55" s="37">
        <f t="shared" si="521"/>
        <v>120</v>
      </c>
      <c r="TP55" s="141">
        <f>IFERROR(VLOOKUP($D55,'Adient Assende (Belgium) WK.17'!$B:SL,TQ$1,0),0)</f>
        <v>0</v>
      </c>
      <c r="TQ55" s="140">
        <f>IFERROR(VLOOKUP($D55,'Adient Arendal (Malzia) WK.12'!$B:SM,TQ$1,0),0)</f>
        <v>0</v>
      </c>
      <c r="TR55" s="140">
        <f>IFERROR(VLOOKUP($D55,'Adient Taizhou (China) WK.16'!$B:SP,TQ$1,0),0)</f>
        <v>0</v>
      </c>
      <c r="TS55" s="128">
        <v>0</v>
      </c>
      <c r="TT55" s="32">
        <v>0</v>
      </c>
      <c r="TU55" s="100">
        <f t="shared" si="522"/>
        <v>120</v>
      </c>
      <c r="TW55" s="37">
        <f t="shared" si="523"/>
        <v>120</v>
      </c>
      <c r="TX55" s="141">
        <f>IFERROR(VLOOKUP($D55,'Adient Assende (Belgium) WK.17'!$B:ST,TY$1,0),0)</f>
        <v>0</v>
      </c>
      <c r="TY55" s="140">
        <f>IFERROR(VLOOKUP($D55,'Adient Arendal (Malzia) WK.12'!$B:SU,TY$1,0),0)</f>
        <v>0</v>
      </c>
      <c r="TZ55" s="140">
        <f>IFERROR(VLOOKUP($D55,'Adient Taizhou (China) WK.16'!$B:SX,TY$1,0),0)</f>
        <v>0</v>
      </c>
      <c r="UA55" s="128">
        <v>0</v>
      </c>
      <c r="UB55" s="32">
        <v>0</v>
      </c>
      <c r="UC55" s="100">
        <f t="shared" si="524"/>
        <v>120</v>
      </c>
      <c r="UE55" s="37">
        <f t="shared" si="525"/>
        <v>120</v>
      </c>
      <c r="UF55" s="141">
        <f>IFERROR(VLOOKUP($D55,'Adient Assende (Belgium) WK.17'!$B:TB,UG$1,0),0)</f>
        <v>0</v>
      </c>
      <c r="UG55" s="140">
        <f>IFERROR(VLOOKUP($D55,'Adient Arendal (Malzia) WK.12'!$B:TC,UG$1,0),0)</f>
        <v>0</v>
      </c>
      <c r="UH55" s="140">
        <f>IFERROR(VLOOKUP($D55,'Adient Taizhou (China) WK.16'!$B:TF,UG$1,0),0)</f>
        <v>0</v>
      </c>
      <c r="UI55" s="128">
        <v>0</v>
      </c>
      <c r="UJ55" s="32">
        <v>0</v>
      </c>
      <c r="UK55" s="100">
        <f t="shared" si="526"/>
        <v>120</v>
      </c>
      <c r="UM55" s="37">
        <f t="shared" si="527"/>
        <v>120</v>
      </c>
      <c r="UN55" s="141">
        <f>IFERROR(VLOOKUP($D55,'Adient Assende (Belgium) WK.17'!$B:TJ,UO$1,0),0)</f>
        <v>0</v>
      </c>
      <c r="UO55" s="140">
        <f>IFERROR(VLOOKUP($D55,'Adient Arendal (Malzia) WK.12'!$B:TK,UO$1,0),0)</f>
        <v>0</v>
      </c>
      <c r="UP55" s="140">
        <f>IFERROR(VLOOKUP($D55,'Adient Taizhou (China) WK.16'!$B:TN,UO$1,0),0)</f>
        <v>0</v>
      </c>
      <c r="UQ55" s="128">
        <v>0</v>
      </c>
      <c r="UR55" s="32">
        <v>0</v>
      </c>
      <c r="US55" s="100">
        <f t="shared" si="528"/>
        <v>120</v>
      </c>
      <c r="UU55" s="37">
        <f t="shared" si="529"/>
        <v>120</v>
      </c>
      <c r="UV55" s="141">
        <f>IFERROR(VLOOKUP($D55,'Adient Assende (Belgium) WK.17'!$B:TR,UW$1,0),0)</f>
        <v>0</v>
      </c>
      <c r="UW55" s="140">
        <f>IFERROR(VLOOKUP($D55,'Adient Arendal (Malzia) WK.12'!$B:TS,UW$1,0),0)</f>
        <v>0</v>
      </c>
      <c r="UX55" s="140">
        <f>IFERROR(VLOOKUP($D55,'Adient Taizhou (China) WK.16'!$B:TV,UW$1,0),0)</f>
        <v>0</v>
      </c>
      <c r="UY55" s="128">
        <v>0</v>
      </c>
      <c r="UZ55" s="32">
        <v>0</v>
      </c>
      <c r="VA55" s="100">
        <f t="shared" si="530"/>
        <v>120</v>
      </c>
      <c r="VC55" s="37">
        <f t="shared" si="531"/>
        <v>120</v>
      </c>
      <c r="VD55" s="141">
        <f>IFERROR(VLOOKUP($D55,'Adient Assende (Belgium) WK.17'!$B:TZ,VE$1,0),0)</f>
        <v>0</v>
      </c>
      <c r="VE55" s="140">
        <f>IFERROR(VLOOKUP($D55,'Adient Arendal (Malzia) WK.12'!$B:UA,VE$1,0),0)</f>
        <v>0</v>
      </c>
      <c r="VF55" s="140">
        <f>IFERROR(VLOOKUP($D55,'Adient Taizhou (China) WK.16'!$B:UD,VE$1,0),0)</f>
        <v>0</v>
      </c>
      <c r="VG55" s="128">
        <v>0</v>
      </c>
      <c r="VH55" s="32">
        <v>0</v>
      </c>
      <c r="VI55" s="100">
        <f t="shared" si="532"/>
        <v>120</v>
      </c>
      <c r="VK55" s="37">
        <f t="shared" si="533"/>
        <v>120</v>
      </c>
      <c r="VL55" s="141">
        <f>IFERROR(VLOOKUP($D55,'Adient Assende (Belgium) WK.17'!$B:UH,VM$1,0),0)</f>
        <v>0</v>
      </c>
      <c r="VM55" s="140">
        <f>IFERROR(VLOOKUP($D55,'Adient Arendal (Malzia) WK.12'!$B:UI,VM$1,0),0)</f>
        <v>0</v>
      </c>
      <c r="VN55" s="140">
        <f>IFERROR(VLOOKUP($D55,'Adient Taizhou (China) WK.16'!$B:UL,VM$1,0),0)</f>
        <v>0</v>
      </c>
      <c r="VO55" s="128">
        <v>0</v>
      </c>
      <c r="VP55" s="32">
        <v>0</v>
      </c>
      <c r="VQ55" s="100">
        <f t="shared" si="534"/>
        <v>120</v>
      </c>
    </row>
    <row r="56" spans="1:589" x14ac:dyDescent="0.25">
      <c r="A56" s="10" t="s">
        <v>18</v>
      </c>
      <c r="B56" s="11" t="s">
        <v>17</v>
      </c>
      <c r="C56" s="87">
        <v>32332625</v>
      </c>
      <c r="D56" s="81">
        <v>5180039</v>
      </c>
      <c r="E56" s="11">
        <v>20</v>
      </c>
      <c r="F56" s="12"/>
      <c r="H56" s="122">
        <v>100</v>
      </c>
      <c r="I56" s="125">
        <f>IFERROR(VLOOKUP($D56,'Adient Assende (Belgium) WK.17'!$B:C,J$1,0),0)</f>
        <v>0</v>
      </c>
      <c r="J56" s="55">
        <f>IFERROR(VLOOKUP($D56,'Adient Arendal (Malzia) WK.12'!$B:C,J$1,0),0)</f>
        <v>0</v>
      </c>
      <c r="K56" s="55">
        <f>IFERROR(VLOOKUP($D56,'Adient Taizhou (China) WK.16'!$B:C,J$1,0),0)</f>
        <v>0</v>
      </c>
      <c r="L56" s="128">
        <v>0</v>
      </c>
      <c r="M56" s="32">
        <v>0</v>
      </c>
      <c r="N56" s="106">
        <f t="shared" si="233"/>
        <v>100</v>
      </c>
      <c r="P56" s="37">
        <f t="shared" si="234"/>
        <v>100</v>
      </c>
      <c r="Q56" s="125">
        <f>IFERROR(VLOOKUP($D56,'Adient Assende (Belgium) WK.17'!$B:K,R$1,0),0)</f>
        <v>0</v>
      </c>
      <c r="R56" s="55">
        <f>IFERROR(VLOOKUP($D56,'Adient Arendal (Malzia) WK.12'!$B:K,R$1,0),0)</f>
        <v>0</v>
      </c>
      <c r="S56" s="55">
        <f>IFERROR(VLOOKUP($D56,'Adient Taizhou (China) WK.16'!$B:K,R$1,0),0)</f>
        <v>0</v>
      </c>
      <c r="T56" s="41">
        <v>0</v>
      </c>
      <c r="U56" s="32">
        <v>0</v>
      </c>
      <c r="V56" s="106">
        <f t="shared" si="235"/>
        <v>100</v>
      </c>
      <c r="X56" s="37">
        <f t="shared" si="236"/>
        <v>100</v>
      </c>
      <c r="Y56" s="125">
        <f>IFERROR(VLOOKUP($D56,'Adient Assende (Belgium) WK.17'!$B:S,Z$1,0),0)</f>
        <v>0</v>
      </c>
      <c r="Z56" s="55">
        <f>IFERROR(VLOOKUP($D56,'Adient Arendal (Malzia) WK.12'!$B:S,Z$1,0),0)</f>
        <v>0</v>
      </c>
      <c r="AA56" s="55">
        <f>IFERROR(VLOOKUP($D56,'Adient Taizhou (China) WK.16'!$B:S,Z$1,0),0)</f>
        <v>0</v>
      </c>
      <c r="AB56" s="41">
        <v>0</v>
      </c>
      <c r="AC56" s="32">
        <v>0</v>
      </c>
      <c r="AD56" s="106">
        <f t="shared" si="237"/>
        <v>100</v>
      </c>
      <c r="AF56" s="37">
        <f t="shared" si="238"/>
        <v>100</v>
      </c>
      <c r="AG56" s="125">
        <f>IFERROR(VLOOKUP($D56,'Adient Assende (Belgium) WK.17'!$B:AA,AH$1,0),0)</f>
        <v>0</v>
      </c>
      <c r="AH56" s="55">
        <f>IFERROR(VLOOKUP($D56,'Adient Arendal (Malzia) WK.12'!$B:AA,AH$1,0),0)</f>
        <v>0</v>
      </c>
      <c r="AI56" s="55">
        <f>IFERROR(VLOOKUP($D56,'Adient Taizhou (China) WK.16'!$B:AA,AH$1,0),0)</f>
        <v>0</v>
      </c>
      <c r="AJ56" s="41">
        <v>0</v>
      </c>
      <c r="AK56" s="32">
        <v>20</v>
      </c>
      <c r="AL56" s="106">
        <f t="shared" si="239"/>
        <v>120</v>
      </c>
      <c r="AN56" s="37">
        <f t="shared" si="432"/>
        <v>120</v>
      </c>
      <c r="AO56" s="125">
        <f>IFERROR(VLOOKUP($D56,'Adient Assende (Belgium) WK.17'!$B:AI,AP$1,0),0)</f>
        <v>0</v>
      </c>
      <c r="AP56" s="55">
        <f>IFERROR(VLOOKUP($D56,'Adient Arendal (Malzia) WK.12'!$B:AI,AP$1,0),0)</f>
        <v>0</v>
      </c>
      <c r="AQ56" s="55">
        <f>IFERROR(VLOOKUP($D56,'Adient Taizhou (China) WK.16'!$B:AI,AP$1,0),0)</f>
        <v>0</v>
      </c>
      <c r="AR56" s="60">
        <v>0</v>
      </c>
      <c r="AS56" s="41">
        <v>0</v>
      </c>
      <c r="AT56" s="32">
        <v>0</v>
      </c>
      <c r="AU56" s="106">
        <f t="shared" si="240"/>
        <v>120</v>
      </c>
      <c r="AW56" s="37">
        <f t="shared" si="433"/>
        <v>120</v>
      </c>
      <c r="AX56" s="125">
        <f>IFERROR(VLOOKUP($D56,'Adient Assende (Belgium) WK.17'!$B:AR,AY$1,0),0)</f>
        <v>0</v>
      </c>
      <c r="AY56" s="55">
        <f>IFERROR(VLOOKUP($D56,'Adient Arendal (Malzia) WK.12'!$B:AR,AY$1,0),0)</f>
        <v>0</v>
      </c>
      <c r="AZ56" s="55">
        <f>IFERROR(VLOOKUP($D56,'Adient Taizhou (China) WK.16'!$B:AU,AY$1,0),0)</f>
        <v>0</v>
      </c>
      <c r="BA56" s="41">
        <v>0</v>
      </c>
      <c r="BB56" s="32">
        <v>0</v>
      </c>
      <c r="BC56" s="106">
        <f t="shared" si="241"/>
        <v>120</v>
      </c>
      <c r="BE56" s="37">
        <f t="shared" si="434"/>
        <v>120</v>
      </c>
      <c r="BF56" s="125">
        <f>IFERROR(VLOOKUP($D56,'Adient Assende (Belgium) WK.17'!$B:AX,BG$1,0),0)</f>
        <v>0</v>
      </c>
      <c r="BG56" s="55">
        <f>IFERROR(VLOOKUP($D56,'Adient Arendal (Malzia) WK.12'!$B:AZ,BG$1,0),0)</f>
        <v>0</v>
      </c>
      <c r="BH56" s="55">
        <f>IFERROR(VLOOKUP($D56,'Adient Taizhou (China) WK.16'!$B:BB,BG$1,0),0)</f>
        <v>0</v>
      </c>
      <c r="BI56" s="60">
        <v>0</v>
      </c>
      <c r="BJ56" s="60">
        <v>0</v>
      </c>
      <c r="BK56" s="41">
        <v>80</v>
      </c>
      <c r="BL56" s="32">
        <v>0</v>
      </c>
      <c r="BM56" s="106">
        <f t="shared" si="242"/>
        <v>40</v>
      </c>
      <c r="BN56" s="8"/>
      <c r="BO56" s="37">
        <f t="shared" si="435"/>
        <v>40</v>
      </c>
      <c r="BP56" s="125">
        <f>IFERROR(VLOOKUP($D56,'Adient Assende (Belgium) WK.17'!$B:BH,BQ$1,0),0)</f>
        <v>80</v>
      </c>
      <c r="BQ56" s="55">
        <f>IFERROR(VLOOKUP($D56,'Adient Arendal (Malzia) WK.12'!$B:BI,BQ$1,0),0)</f>
        <v>0</v>
      </c>
      <c r="BR56" s="55">
        <f>IFERROR(VLOOKUP($D56,'Adient Taizhou (China) WK.16'!$B:BL,BQ$1,0),0)</f>
        <v>0</v>
      </c>
      <c r="BS56" s="60">
        <v>0</v>
      </c>
      <c r="BT56" s="60">
        <v>0</v>
      </c>
      <c r="BU56" s="60">
        <v>0</v>
      </c>
      <c r="BV56" s="41">
        <v>0</v>
      </c>
      <c r="BW56" s="32">
        <v>0</v>
      </c>
      <c r="BX56" s="106">
        <f t="shared" si="243"/>
        <v>40</v>
      </c>
      <c r="BY56" s="8"/>
      <c r="BZ56" s="37">
        <f t="shared" si="436"/>
        <v>40</v>
      </c>
      <c r="CA56" s="125">
        <f>IFERROR(VLOOKUP($D56,'Adient Assende (Belgium) WK.17'!$B:BS,CB$1,0),0)</f>
        <v>0</v>
      </c>
      <c r="CB56" s="55">
        <f>IFERROR(VLOOKUP($D56,'Adient Arendal (Malzia) WK.12'!$B:BT,CB$1,0),0)</f>
        <v>0</v>
      </c>
      <c r="CC56" s="55">
        <f>IFERROR(VLOOKUP($D56,'Adient Taizhou (China) WK.16'!$B:BW,CB$1,0),0)</f>
        <v>0</v>
      </c>
      <c r="CD56" s="60">
        <v>0</v>
      </c>
      <c r="CE56" s="60">
        <v>0</v>
      </c>
      <c r="CF56" s="41">
        <v>0</v>
      </c>
      <c r="CG56" s="32">
        <v>0</v>
      </c>
      <c r="CH56" s="106">
        <f t="shared" si="244"/>
        <v>40</v>
      </c>
      <c r="CI56" s="8"/>
      <c r="CJ56" s="37">
        <f t="shared" si="437"/>
        <v>40</v>
      </c>
      <c r="CK56" s="125">
        <f>IFERROR(VLOOKUP($D56,'Adient Assende (Belgium) WK.17'!$B:CC,CL$1,0),0)</f>
        <v>0</v>
      </c>
      <c r="CL56" s="55">
        <f>IFERROR(VLOOKUP($D56,'Adient Arendal (Malzia) WK.12'!$B:CD,CL$1,0),0)</f>
        <v>0</v>
      </c>
      <c r="CM56" s="55">
        <f>IFERROR(VLOOKUP($D56,'Adient Taizhou (China) WK.16'!$B:CG,CL$1,0),0)</f>
        <v>0</v>
      </c>
      <c r="CN56" s="60">
        <v>0</v>
      </c>
      <c r="CO56" s="149">
        <v>0</v>
      </c>
      <c r="CP56" s="32">
        <v>0</v>
      </c>
      <c r="CQ56" s="106">
        <f t="shared" si="245"/>
        <v>40</v>
      </c>
      <c r="CR56" s="8"/>
      <c r="CS56" s="122">
        <f t="shared" si="438"/>
        <v>40</v>
      </c>
      <c r="CT56" s="154">
        <f>IFERROR(VLOOKUP($D56,'Adient Assende (Belgium) WK.17'!$B:CL,CU$1,0),0)</f>
        <v>0</v>
      </c>
      <c r="CU56" s="55">
        <f>IFERROR(VLOOKUP($D56,'Adient Arendal (Malzia) WK.12'!$B:CM,CU$1,0),0)</f>
        <v>0</v>
      </c>
      <c r="CV56" s="55">
        <f>IFERROR(VLOOKUP($D56,'Adient Taizhou (China) WK.16'!$B:CP,CU$1,0),0)</f>
        <v>0</v>
      </c>
      <c r="CW56" s="60">
        <v>0</v>
      </c>
      <c r="CX56" s="60">
        <v>0</v>
      </c>
      <c r="CY56" s="128">
        <v>0</v>
      </c>
      <c r="CZ56" s="32">
        <v>0</v>
      </c>
      <c r="DA56" s="106">
        <f t="shared" si="246"/>
        <v>40</v>
      </c>
      <c r="DB56" s="8"/>
      <c r="DC56" s="37">
        <f t="shared" si="439"/>
        <v>40</v>
      </c>
      <c r="DD56" s="125">
        <f>IFERROR(VLOOKUP($D56,'Adient Assende (Belgium) WK.17'!$B:CS,DE$1,0),0)</f>
        <v>0</v>
      </c>
      <c r="DE56" s="55">
        <f>IFERROR(VLOOKUP($D56,'Adient Arendal (Malzia) WK.12'!$B:CU,DE$1,0),0)</f>
        <v>0</v>
      </c>
      <c r="DF56" s="55">
        <f>IFERROR(VLOOKUP($D56,'Adient Taizhou (China) WK.16'!$B:CX,DE$1,0),0)</f>
        <v>0</v>
      </c>
      <c r="DG56" s="60">
        <v>100</v>
      </c>
      <c r="DH56" s="128">
        <v>0</v>
      </c>
      <c r="DI56" s="32">
        <v>0</v>
      </c>
      <c r="DJ56" s="106">
        <f t="shared" si="247"/>
        <v>140</v>
      </c>
      <c r="DL56" s="37">
        <f t="shared" si="440"/>
        <v>140</v>
      </c>
      <c r="DM56" s="125">
        <f>IFERROR(VLOOKUP($D56,'Adient Assende (Belgium) WK.17'!$B:DB,DN$1,0),0)</f>
        <v>0</v>
      </c>
      <c r="DN56" s="55">
        <f>IFERROR(VLOOKUP($D56,'Adient Arendal (Malzia) WK.12'!$B:DC,DN$1,0),0)</f>
        <v>0</v>
      </c>
      <c r="DO56" s="55">
        <f>IFERROR(VLOOKUP($D56,'Adient Taizhou (China) WK.16'!$B:DF,DN$1,0),0)</f>
        <v>0</v>
      </c>
      <c r="DP56" s="128">
        <v>0</v>
      </c>
      <c r="DQ56" s="32">
        <v>0</v>
      </c>
      <c r="DR56" s="106">
        <f t="shared" si="441"/>
        <v>140</v>
      </c>
      <c r="DS56" s="8"/>
      <c r="DT56" s="37">
        <f t="shared" si="442"/>
        <v>140</v>
      </c>
      <c r="DU56" s="125">
        <f>IFERROR(VLOOKUP($D56,'Adient Assende (Belgium) WK.17'!$B:DJ,DV$1,0),0)</f>
        <v>0</v>
      </c>
      <c r="DV56" s="55">
        <f>IFERROR(VLOOKUP($D56,'Adient Arendal (Malzia) WK.12'!$B:DK,DV$1,0),0)</f>
        <v>0</v>
      </c>
      <c r="DW56" s="55">
        <f>IFERROR(VLOOKUP($D56,'Adient Taizhou (China) WK.16'!$B:DN,DV$1,0),0)</f>
        <v>0</v>
      </c>
      <c r="DX56" s="60">
        <v>0</v>
      </c>
      <c r="DY56" s="60">
        <v>0</v>
      </c>
      <c r="DZ56" s="128">
        <v>0</v>
      </c>
      <c r="EA56" s="32">
        <v>0</v>
      </c>
      <c r="EB56" s="106">
        <f t="shared" si="248"/>
        <v>140</v>
      </c>
      <c r="EC56" s="8"/>
      <c r="ED56" s="37">
        <f t="shared" si="443"/>
        <v>140</v>
      </c>
      <c r="EE56" s="125">
        <f>IFERROR(VLOOKUP($D56,'Adient Assende (Belgium) WK.17'!$B:DR,EF$1,0),0)</f>
        <v>0</v>
      </c>
      <c r="EF56" s="55">
        <f>IFERROR(VLOOKUP($D56,'Adient Arendal (Malzia) WK.12'!$B:DS,EF$1,0),0)</f>
        <v>0</v>
      </c>
      <c r="EG56" s="55">
        <f>IFERROR(VLOOKUP($D56,'Adient Taizhou (China) WK.16'!$B:DV,EF$1,0),0)</f>
        <v>0</v>
      </c>
      <c r="EH56" s="60">
        <v>0</v>
      </c>
      <c r="EI56" s="128">
        <v>0</v>
      </c>
      <c r="EJ56" s="32">
        <v>0</v>
      </c>
      <c r="EK56" s="106">
        <f t="shared" si="249"/>
        <v>140</v>
      </c>
      <c r="EM56" s="37">
        <f t="shared" si="444"/>
        <v>140</v>
      </c>
      <c r="EN56" s="125">
        <f>IFERROR(VLOOKUP($D56,'Adient Assende (Belgium) WK.17'!$B:DZ,EO$1,0),0)</f>
        <v>0</v>
      </c>
      <c r="EO56" s="55">
        <f>IFERROR(VLOOKUP($D56,'Adient Arendal (Malzia) WK.12'!$B:EA,EO$1,0),0)</f>
        <v>0</v>
      </c>
      <c r="EP56" s="55">
        <f>IFERROR(VLOOKUP($D56,'Adient Taizhou (China) WK.16'!$B:ED,EO$1,0),0)</f>
        <v>0</v>
      </c>
      <c r="EQ56" s="128">
        <v>0</v>
      </c>
      <c r="ER56" s="32">
        <v>0</v>
      </c>
      <c r="ES56" s="106">
        <f t="shared" si="250"/>
        <v>140</v>
      </c>
      <c r="EU56" s="37">
        <f t="shared" si="445"/>
        <v>140</v>
      </c>
      <c r="EV56" s="125">
        <f>IFERROR(VLOOKUP($D56,'Adient Assende (Belgium) WK.17'!$B:EH,EW$1,0),0)</f>
        <v>0</v>
      </c>
      <c r="EW56" s="55">
        <f>IFERROR(VLOOKUP($D56,'Adient Arendal (Malzia) WK.12'!$B:EI,EW$1,0),0)</f>
        <v>0</v>
      </c>
      <c r="EX56" s="55">
        <f>IFERROR(VLOOKUP($D56,'Adient Taizhou (China) WK.16'!$B:EL,EW$1,0),0)</f>
        <v>0</v>
      </c>
      <c r="EY56" s="128">
        <v>0</v>
      </c>
      <c r="EZ56" s="32">
        <v>0</v>
      </c>
      <c r="FA56" s="106">
        <f t="shared" si="251"/>
        <v>140</v>
      </c>
      <c r="FC56" s="37">
        <f t="shared" si="446"/>
        <v>140</v>
      </c>
      <c r="FD56" s="154">
        <f>IFERROR(VLOOKUP($D56,'Adient Assende (Belgium) WK.17'!$B:EP,FE$1,0),0)</f>
        <v>0</v>
      </c>
      <c r="FE56" s="154">
        <f>IFERROR(VLOOKUP($D56,'Adient Arendal (Malzia) WK.12'!$B:EQ,FE$1,0),0)</f>
        <v>0</v>
      </c>
      <c r="FF56" s="154">
        <f>IFERROR(VLOOKUP($D56,'Adient Taizhou (China) WK.16'!$B:ET,FE$1,0),0)</f>
        <v>0</v>
      </c>
      <c r="FG56" s="128">
        <v>0</v>
      </c>
      <c r="FH56" s="32">
        <v>0</v>
      </c>
      <c r="FI56" s="106">
        <f t="shared" si="252"/>
        <v>140</v>
      </c>
      <c r="FK56" s="37">
        <f t="shared" si="447"/>
        <v>140</v>
      </c>
      <c r="FL56" s="125">
        <f>IFERROR(VLOOKUP($D56,'Adient Assende (Belgium) WK.17'!$B:EX,FM$1,0),0)</f>
        <v>0</v>
      </c>
      <c r="FM56" s="55">
        <f>IFERROR(VLOOKUP($D56,'Adient Arendal (Malzia) WK.12'!$B:EY,FM$1,0),0)</f>
        <v>0</v>
      </c>
      <c r="FN56" s="55">
        <f>IFERROR(VLOOKUP($D56,'Adient Taizhou (China) WK.16'!$B:FB,FM$1,0),0)</f>
        <v>0</v>
      </c>
      <c r="FO56" s="128">
        <v>0</v>
      </c>
      <c r="FP56" s="32">
        <v>0</v>
      </c>
      <c r="FQ56" s="106">
        <f t="shared" si="253"/>
        <v>140</v>
      </c>
      <c r="FR56" s="8"/>
      <c r="FS56" s="37">
        <f t="shared" si="448"/>
        <v>140</v>
      </c>
      <c r="FT56" s="125">
        <f>IFERROR(VLOOKUP($D56,'Adient Assende (Belgium) WK.17'!$B:FF,FU$1,0),0)</f>
        <v>0</v>
      </c>
      <c r="FU56" s="55">
        <f>IFERROR(VLOOKUP($D56,'Adient Arendal (Malzia) WK.12'!$B:FG,FU$1,0),0)</f>
        <v>0</v>
      </c>
      <c r="FV56" s="55">
        <f>IFERROR(VLOOKUP($D56,'Adient Taizhou (China) WK.16'!$B:FJ,FU$1,0),0)</f>
        <v>0</v>
      </c>
      <c r="FW56" s="60">
        <v>0</v>
      </c>
      <c r="FX56" s="60">
        <v>0</v>
      </c>
      <c r="FY56" s="60">
        <v>0</v>
      </c>
      <c r="FZ56" s="60">
        <v>0</v>
      </c>
      <c r="GA56" s="60">
        <v>0</v>
      </c>
      <c r="GB56" s="128">
        <v>0</v>
      </c>
      <c r="GC56" s="32">
        <v>0</v>
      </c>
      <c r="GD56" s="106">
        <f t="shared" si="254"/>
        <v>140</v>
      </c>
      <c r="GF56" s="37">
        <f t="shared" si="449"/>
        <v>140</v>
      </c>
      <c r="GG56" s="125">
        <f>IFERROR(VLOOKUP($D56,'Adient Assende (Belgium) WK.17'!$B:FN,GH$1,0),0)</f>
        <v>0</v>
      </c>
      <c r="GH56" s="55">
        <f>IFERROR(VLOOKUP($D56,'Adient Arendal (Malzia) WK.12'!$B:FO,GH$1,0),0)</f>
        <v>0</v>
      </c>
      <c r="GI56" s="55">
        <f>IFERROR(VLOOKUP($D56,'Adient Taizhou (China) WK.16'!$B:FR,GH$1,0),0)</f>
        <v>0</v>
      </c>
      <c r="GJ56" s="60">
        <v>0</v>
      </c>
      <c r="GK56" s="128">
        <v>0</v>
      </c>
      <c r="GL56" s="32">
        <v>0</v>
      </c>
      <c r="GM56" s="106">
        <f t="shared" si="255"/>
        <v>140</v>
      </c>
      <c r="GO56" s="37">
        <f t="shared" si="450"/>
        <v>140</v>
      </c>
      <c r="GP56" s="125">
        <f>IFERROR(VLOOKUP($D56,'Adient Assende (Belgium) WK.17'!$B:FV,GQ$1,0),0)</f>
        <v>0</v>
      </c>
      <c r="GQ56" s="55">
        <f>IFERROR(VLOOKUP($D56,'Adient Arendal (Malzia) WK.12'!$B:FW,GQ$1,0),0)</f>
        <v>0</v>
      </c>
      <c r="GR56" s="55">
        <f>IFERROR(VLOOKUP($D56,'Adient Taizhou (China) WK.16'!$B:FZ,GQ$1,0),0)</f>
        <v>0</v>
      </c>
      <c r="GS56" s="60">
        <v>0</v>
      </c>
      <c r="GT56" s="128">
        <v>0</v>
      </c>
      <c r="GU56" s="32">
        <v>0</v>
      </c>
      <c r="GV56" s="106">
        <f t="shared" si="256"/>
        <v>140</v>
      </c>
      <c r="GW56" s="8"/>
      <c r="GX56" s="37">
        <f t="shared" si="451"/>
        <v>140</v>
      </c>
      <c r="GY56" s="125">
        <f>IFERROR(VLOOKUP($D56,'Adient Assende (Belgium) WK.17'!$B:GD,GZ$1,0),0)</f>
        <v>0</v>
      </c>
      <c r="GZ56" s="55">
        <f>IFERROR(VLOOKUP($D56,'Adient Arendal (Malzia) WK.12'!$B:GE,GZ$1,0),0)</f>
        <v>0</v>
      </c>
      <c r="HA56" s="55">
        <f>IFERROR(VLOOKUP($D56,'Adient Taizhou (China) WK.16'!$B:GH,GZ$1,0),0)</f>
        <v>0</v>
      </c>
      <c r="HB56" s="60">
        <v>0</v>
      </c>
      <c r="HC56" s="128">
        <v>0</v>
      </c>
      <c r="HD56" s="32">
        <v>0</v>
      </c>
      <c r="HE56" s="106">
        <f t="shared" si="257"/>
        <v>140</v>
      </c>
      <c r="HF56" s="8"/>
      <c r="HG56" s="37">
        <f t="shared" si="452"/>
        <v>140</v>
      </c>
      <c r="HH56" s="125">
        <f>IFERROR(VLOOKUP($D56,'Adient Assende (Belgium) WK.17'!$B:GL,HI$1,0),0)</f>
        <v>0</v>
      </c>
      <c r="HI56" s="55">
        <f>IFERROR(VLOOKUP($D56,'Adient Arendal (Malzia) WK.12'!$B:GM,HI$1,0),0)</f>
        <v>0</v>
      </c>
      <c r="HJ56" s="55">
        <f>IFERROR(VLOOKUP($D56,'Adient Taizhou (China) WK.16'!$B:GP,HI$1,0),0)</f>
        <v>0</v>
      </c>
      <c r="HK56" s="60">
        <v>0</v>
      </c>
      <c r="HL56" s="128">
        <v>0</v>
      </c>
      <c r="HM56" s="32">
        <v>0</v>
      </c>
      <c r="HN56" s="106">
        <f t="shared" si="258"/>
        <v>140</v>
      </c>
      <c r="HO56" s="8"/>
      <c r="HP56" s="37">
        <f t="shared" si="453"/>
        <v>140</v>
      </c>
      <c r="HQ56" s="125">
        <f>IFERROR(VLOOKUP($D56,'Adient Assende (Belgium) WK.17'!$B:GT,HR$1,0),0)</f>
        <v>0</v>
      </c>
      <c r="HR56" s="55">
        <f>IFERROR(VLOOKUP($D56,'Adient Arendal (Malzia) WK.12'!$B:GU,HR$1,0),0)</f>
        <v>0</v>
      </c>
      <c r="HS56" s="55">
        <f>IFERROR(VLOOKUP($D56,'Adient Taizhou (China) WK.16'!$B:GX,HR$1,0),0)</f>
        <v>0</v>
      </c>
      <c r="HT56" s="60">
        <v>0</v>
      </c>
      <c r="HU56" s="128">
        <v>0</v>
      </c>
      <c r="HV56" s="32">
        <v>0</v>
      </c>
      <c r="HW56" s="106">
        <f t="shared" si="259"/>
        <v>140</v>
      </c>
      <c r="HX56" s="8"/>
      <c r="HY56" s="37">
        <f t="shared" si="454"/>
        <v>140</v>
      </c>
      <c r="HZ56" s="125">
        <f>IFERROR(VLOOKUP($D56,'Adient Assende (Belgium) WK.17'!$B:HB,IA$1,0),0)</f>
        <v>0</v>
      </c>
      <c r="IA56" s="55">
        <f>IFERROR(VLOOKUP($D56,'Adient Arendal (Malzia) WK.12'!$B:HC,IA$1,0),0)</f>
        <v>0</v>
      </c>
      <c r="IB56" s="55">
        <f>IFERROR(VLOOKUP($D56,'Adient Taizhou (China) WK.16'!$B:HF,IA$1,0),0)</f>
        <v>0</v>
      </c>
      <c r="IC56" s="60">
        <v>0</v>
      </c>
      <c r="ID56" s="128">
        <v>0</v>
      </c>
      <c r="IE56" s="32">
        <v>0</v>
      </c>
      <c r="IF56" s="106">
        <f t="shared" si="260"/>
        <v>140</v>
      </c>
      <c r="IG56" s="8"/>
      <c r="IH56" s="37">
        <f t="shared" si="455"/>
        <v>140</v>
      </c>
      <c r="II56" s="125">
        <f>IFERROR(VLOOKUP($D56,'Adient Assende (Belgium) WK.17'!$B:HJ,IJ$1,0),0)</f>
        <v>0</v>
      </c>
      <c r="IJ56" s="55">
        <f>IFERROR(VLOOKUP($D56,'Adient Arendal (Malzia) WK.12'!$B:HK,IJ$1,0),0)</f>
        <v>0</v>
      </c>
      <c r="IK56" s="55">
        <f>IFERROR(VLOOKUP($D56,'Adient Taizhou (China) WK.16'!$B:HN,IJ$1,0),0)</f>
        <v>0</v>
      </c>
      <c r="IL56" s="128">
        <v>0</v>
      </c>
      <c r="IM56" s="32">
        <v>0</v>
      </c>
      <c r="IN56" s="106">
        <f t="shared" si="456"/>
        <v>140</v>
      </c>
      <c r="IO56" s="8"/>
      <c r="IP56" s="37">
        <f t="shared" si="457"/>
        <v>140</v>
      </c>
      <c r="IQ56" s="125">
        <f>IFERROR(VLOOKUP($D56,'Adient Assende (Belgium) WK.17'!$B:HR,IR$1,0),0)</f>
        <v>0</v>
      </c>
      <c r="IR56" s="55">
        <f>IFERROR(VLOOKUP($D56,'Adient Arendal (Malzia) WK.12'!$B:HS,IR$1,0),0)</f>
        <v>0</v>
      </c>
      <c r="IS56" s="55">
        <f>IFERROR(VLOOKUP($D56,'Adient Taizhou (China) WK.16'!$B:HV,IR$1,0),0)</f>
        <v>0</v>
      </c>
      <c r="IT56" s="60">
        <v>0</v>
      </c>
      <c r="IU56" s="128">
        <v>0</v>
      </c>
      <c r="IV56" s="32">
        <v>0</v>
      </c>
      <c r="IW56" s="106">
        <f t="shared" si="261"/>
        <v>140</v>
      </c>
      <c r="IX56" s="8"/>
      <c r="IY56" s="37">
        <f t="shared" si="458"/>
        <v>140</v>
      </c>
      <c r="IZ56" s="125">
        <f>IFERROR(VLOOKUP($D56,'Adient Assende (Belgium) WK.17'!$B:HZ,JA$1,0),0)</f>
        <v>0</v>
      </c>
      <c r="JA56" s="55">
        <f>IFERROR(VLOOKUP($D56,'Adient Arendal (Malzia) WK.12'!$B:IA,JA$1,0),0)</f>
        <v>0</v>
      </c>
      <c r="JB56" s="55">
        <f>IFERROR(VLOOKUP($D56,'Adient Taizhou (China) WK.16'!$B:ID,JA$1,0),0)</f>
        <v>0</v>
      </c>
      <c r="JC56" s="128">
        <v>0</v>
      </c>
      <c r="JD56" s="32">
        <v>0</v>
      </c>
      <c r="JE56" s="106">
        <f t="shared" si="459"/>
        <v>140</v>
      </c>
      <c r="JF56" s="8"/>
      <c r="JG56" s="37">
        <f t="shared" si="460"/>
        <v>140</v>
      </c>
      <c r="JH56" s="125">
        <f>IFERROR(VLOOKUP($D56,'Adient Assende (Belgium) WK.17'!$B:IH,JI$1,0),0)</f>
        <v>0</v>
      </c>
      <c r="JI56" s="55">
        <f>IFERROR(VLOOKUP($D56,'Adient Arendal (Malzia) WK.12'!$B:II,JI$1,0),0)</f>
        <v>0</v>
      </c>
      <c r="JJ56" s="55">
        <f>IFERROR(VLOOKUP($D56,'Adient Taizhou (China) WK.16'!$B:IL,JI$1,0),0)</f>
        <v>0</v>
      </c>
      <c r="JK56" s="60">
        <v>0</v>
      </c>
      <c r="JL56" s="128">
        <v>0</v>
      </c>
      <c r="JM56" s="32">
        <v>0</v>
      </c>
      <c r="JN56" s="106">
        <f t="shared" si="262"/>
        <v>140</v>
      </c>
      <c r="JO56" s="8"/>
      <c r="JP56" s="37">
        <f t="shared" si="461"/>
        <v>140</v>
      </c>
      <c r="JQ56" s="125">
        <f>IFERROR(VLOOKUP($D56,'Adient Assende (Belgium) WK.17'!$B:IP,JR$1,0),0)</f>
        <v>0</v>
      </c>
      <c r="JR56" s="55">
        <f>IFERROR(VLOOKUP($D56,'Adient Arendal (Malzia) WK.12'!$B:IQ,JR$1,0),0)</f>
        <v>0</v>
      </c>
      <c r="JS56" s="55">
        <f>IFERROR(VLOOKUP($D56,'Adient Taizhou (China) WK.16'!$B:IT,JR$1,0),0)</f>
        <v>0</v>
      </c>
      <c r="JT56" s="128">
        <v>0</v>
      </c>
      <c r="JU56" s="32">
        <v>0</v>
      </c>
      <c r="JV56" s="106">
        <f t="shared" si="462"/>
        <v>140</v>
      </c>
      <c r="JW56" s="8"/>
      <c r="JX56" s="37">
        <f t="shared" si="463"/>
        <v>140</v>
      </c>
      <c r="JY56" s="154">
        <f>IFERROR(VLOOKUP($D56,'Adient Assende (Belgium) WK.17'!$B:IX,JZ$1,0),0)</f>
        <v>0</v>
      </c>
      <c r="JZ56" s="55">
        <f>IFERROR(VLOOKUP($D56,'Adient Arendal (Malzia) WK.12'!$B:IY,JZ$1,0),0)</f>
        <v>0</v>
      </c>
      <c r="KA56" s="55">
        <f>IFERROR(VLOOKUP($D56,'Adient Taizhou (China) WK.16'!$B:JB,JZ$1,0),0)</f>
        <v>0</v>
      </c>
      <c r="KB56" s="128">
        <v>0</v>
      </c>
      <c r="KC56" s="32">
        <v>0</v>
      </c>
      <c r="KD56" s="106">
        <f t="shared" si="263"/>
        <v>140</v>
      </c>
      <c r="KE56" s="8"/>
      <c r="KF56" s="37">
        <f t="shared" si="464"/>
        <v>140</v>
      </c>
      <c r="KG56" s="125">
        <f>IFERROR(VLOOKUP($D56,'Adient Assende (Belgium) WK.17'!$B:JF,KH$1,0),0)</f>
        <v>0</v>
      </c>
      <c r="KH56" s="55">
        <f>IFERROR(VLOOKUP($D56,'Adient Arendal (Malzia) WK.12'!$B:JG,KH$1,0),0)</f>
        <v>0</v>
      </c>
      <c r="KI56" s="55">
        <f>IFERROR(VLOOKUP($D56,'Adient Taizhou (China) WK.16'!$B:JJ,KH$1,0),0)</f>
        <v>0</v>
      </c>
      <c r="KJ56" s="60">
        <v>0</v>
      </c>
      <c r="KK56" s="128">
        <v>0</v>
      </c>
      <c r="KL56" s="32">
        <v>0</v>
      </c>
      <c r="KM56" s="106">
        <f t="shared" si="264"/>
        <v>140</v>
      </c>
      <c r="KN56" s="8"/>
      <c r="KO56" s="37">
        <f t="shared" si="465"/>
        <v>140</v>
      </c>
      <c r="KP56" s="141">
        <f>IFERROR(VLOOKUP($D56,'Adient Assende (Belgium) WK.17'!$B:JN,KQ$1,0),0)</f>
        <v>0</v>
      </c>
      <c r="KQ56" s="140">
        <f>IFERROR(VLOOKUP($D56,'Adient Arendal (Malzia) WK.12'!$B:JO,KQ$1,0),0)</f>
        <v>0</v>
      </c>
      <c r="KR56" s="140">
        <f>IFERROR(VLOOKUP($D56,'Adient Taizhou (China) WK.16'!$B:JR,KQ$1,0),0)</f>
        <v>0</v>
      </c>
      <c r="KS56" s="60">
        <v>0</v>
      </c>
      <c r="KT56" s="128">
        <v>0</v>
      </c>
      <c r="KU56" s="32">
        <v>0</v>
      </c>
      <c r="KV56" s="106">
        <f t="shared" si="265"/>
        <v>140</v>
      </c>
      <c r="KX56" s="37">
        <f t="shared" si="466"/>
        <v>140</v>
      </c>
      <c r="KY56" s="141">
        <f>IFERROR(VLOOKUP($D56,'Adient Assende (Belgium) WK.17'!$B:JV,KZ$1,0),0)</f>
        <v>0</v>
      </c>
      <c r="KZ56" s="140">
        <f>IFERROR(VLOOKUP($D56,'Adient Arendal (Malzia) WK.12'!$B:JW,KZ$1,0),0)</f>
        <v>0</v>
      </c>
      <c r="LA56" s="140">
        <f>IFERROR(VLOOKUP($D56,'Adient Taizhou (China) WK.16'!$B:JZ,KZ$1,0),0)</f>
        <v>0</v>
      </c>
      <c r="LB56" s="128">
        <v>0</v>
      </c>
      <c r="LC56" s="32">
        <v>0</v>
      </c>
      <c r="LD56" s="106">
        <f t="shared" si="467"/>
        <v>140</v>
      </c>
      <c r="LF56" s="37">
        <f t="shared" si="468"/>
        <v>140</v>
      </c>
      <c r="LG56" s="141">
        <f>IFERROR(VLOOKUP($D56,'Adient Assende (Belgium) WK.17'!$B:KD,LH$1,0),0)</f>
        <v>0</v>
      </c>
      <c r="LH56" s="140">
        <f>IFERROR(VLOOKUP($D56,'Adient Arendal (Malzia) WK.12'!$B:KE,LH$1,0),0)</f>
        <v>0</v>
      </c>
      <c r="LI56" s="140">
        <f>IFERROR(VLOOKUP($D56,'Adient Taizhou (China) WK.16'!$B:KH,LH$1,0),0)</f>
        <v>0</v>
      </c>
      <c r="LJ56" s="60">
        <v>0</v>
      </c>
      <c r="LK56" s="128">
        <v>0</v>
      </c>
      <c r="LL56" s="32">
        <v>0</v>
      </c>
      <c r="LM56" s="100">
        <f t="shared" si="267"/>
        <v>140</v>
      </c>
      <c r="LO56" s="37">
        <f t="shared" si="469"/>
        <v>140</v>
      </c>
      <c r="LP56" s="141">
        <f>IFERROR(VLOOKUP($D56,'Adient Assende (Belgium) WK.17'!$B:KL,LQ$1,0),0)</f>
        <v>0</v>
      </c>
      <c r="LQ56" s="140">
        <f>IFERROR(VLOOKUP($D56,'Adient Arendal (Malzia) WK.12'!$B:KM,LQ$1,0),0)</f>
        <v>0</v>
      </c>
      <c r="LR56" s="140">
        <f>IFERROR(VLOOKUP($D56,'Adient Taizhou (China) WK.16'!$B:KP,LQ$1,0),0)</f>
        <v>0</v>
      </c>
      <c r="LS56" s="128">
        <v>0</v>
      </c>
      <c r="LT56" s="32">
        <v>0</v>
      </c>
      <c r="LU56" s="100">
        <f t="shared" si="470"/>
        <v>140</v>
      </c>
      <c r="LW56" s="37">
        <f t="shared" si="471"/>
        <v>140</v>
      </c>
      <c r="LX56" s="141">
        <f>IFERROR(VLOOKUP($D56,'Adient Assende (Belgium) WK.17'!$B:KT,LY$1,0),0)</f>
        <v>0</v>
      </c>
      <c r="LY56" s="140">
        <f>IFERROR(VLOOKUP($D56,'Adient Arendal (Malzia) WK.12'!$B:KU,LY$1,0),0)</f>
        <v>0</v>
      </c>
      <c r="LZ56" s="140">
        <f>IFERROR(VLOOKUP($D56,'Adient Taizhou (China) WK.16'!$B:KX,LY$1,0),0)</f>
        <v>0</v>
      </c>
      <c r="MA56" s="128">
        <v>0</v>
      </c>
      <c r="MB56" s="32">
        <v>0</v>
      </c>
      <c r="MC56" s="100">
        <f t="shared" si="472"/>
        <v>140</v>
      </c>
      <c r="ME56" s="37">
        <f t="shared" si="473"/>
        <v>140</v>
      </c>
      <c r="MF56" s="154">
        <f>IFERROR(VLOOKUP($D56,'Adient Assende (Belgium) WK.17'!$B:LB,MG$1,0),0)</f>
        <v>0</v>
      </c>
      <c r="MG56" s="140">
        <f>IFERROR(VLOOKUP($D56,'Adient Arendal (Malzia) WK.12'!$B:LC,MG$1,0),0)</f>
        <v>0</v>
      </c>
      <c r="MH56" s="140">
        <f>IFERROR(VLOOKUP($D56,'Adient Taizhou (China) WK.16'!$B:LF,MG$1,0),0)</f>
        <v>0</v>
      </c>
      <c r="MI56" s="128">
        <v>0</v>
      </c>
      <c r="MJ56" s="32">
        <v>0</v>
      </c>
      <c r="MK56" s="100">
        <f t="shared" si="474"/>
        <v>140</v>
      </c>
      <c r="MM56" s="37">
        <f t="shared" si="475"/>
        <v>140</v>
      </c>
      <c r="MN56" s="141">
        <f>IFERROR(VLOOKUP($D56,'Adient Assende (Belgium) WK.17'!$B:LJ,MO$1,0),0)</f>
        <v>0</v>
      </c>
      <c r="MO56" s="140">
        <f>IFERROR(VLOOKUP($D56,'Adient Arendal (Malzia) WK.12'!$B:LK,MO$1,0),0)</f>
        <v>0</v>
      </c>
      <c r="MP56" s="140">
        <f>IFERROR(VLOOKUP($D56,'Adient Taizhou (China) WK.16'!$B:LN,MO$1,0),0)</f>
        <v>0</v>
      </c>
      <c r="MQ56" s="128">
        <v>0</v>
      </c>
      <c r="MR56" s="32">
        <v>0</v>
      </c>
      <c r="MS56" s="100">
        <f t="shared" si="476"/>
        <v>140</v>
      </c>
      <c r="MU56" s="37">
        <f t="shared" si="477"/>
        <v>140</v>
      </c>
      <c r="MV56" s="141">
        <f>IFERROR(VLOOKUP($D56,'Adient Assende (Belgium) WK.17'!$B:LR,MW$1,0),0)</f>
        <v>0</v>
      </c>
      <c r="MW56" s="140">
        <f>IFERROR(VLOOKUP($D56,'Adient Arendal (Malzia) WK.12'!$B:LS,MW$1,0),0)</f>
        <v>0</v>
      </c>
      <c r="MX56" s="140">
        <f>IFERROR(VLOOKUP($D56,'Adient Taizhou (China) WK.16'!$B:LV,MW$1,0),0)</f>
        <v>0</v>
      </c>
      <c r="MY56" s="128">
        <v>0</v>
      </c>
      <c r="MZ56" s="32">
        <v>0</v>
      </c>
      <c r="NA56" s="100">
        <f t="shared" si="478"/>
        <v>140</v>
      </c>
      <c r="NC56" s="37">
        <f t="shared" si="479"/>
        <v>140</v>
      </c>
      <c r="ND56" s="141">
        <f>IFERROR(VLOOKUP($D56,'Adient Assende (Belgium) WK.17'!$B:LZ,NE$1,0),0)</f>
        <v>0</v>
      </c>
      <c r="NE56" s="140">
        <f>IFERROR(VLOOKUP($D56,'Adient Arendal (Malzia) WK.12'!$B:MA,NE$1,0),0)</f>
        <v>0</v>
      </c>
      <c r="NF56" s="140">
        <f>IFERROR(VLOOKUP($D56,'Adient Taizhou (China) WK.16'!$B:MD,NE$1,0),0)</f>
        <v>0</v>
      </c>
      <c r="NG56" s="128">
        <v>0</v>
      </c>
      <c r="NH56" s="32">
        <v>0</v>
      </c>
      <c r="NI56" s="100">
        <f t="shared" si="480"/>
        <v>140</v>
      </c>
      <c r="NK56" s="37">
        <f t="shared" si="481"/>
        <v>140</v>
      </c>
      <c r="NL56" s="141">
        <f>IFERROR(VLOOKUP($D56,'Adient Assende (Belgium) WK.17'!$B:MH,NM$1,0),0)</f>
        <v>0</v>
      </c>
      <c r="NM56" s="140">
        <f>IFERROR(VLOOKUP($D56,'Adient Arendal (Malzia) WK.12'!$B:MI,NM$1,0),0)</f>
        <v>0</v>
      </c>
      <c r="NN56" s="140">
        <f>IFERROR(VLOOKUP($D56,'Adient Taizhou (China) WK.16'!$B:ML,NM$1,0),0)</f>
        <v>0</v>
      </c>
      <c r="NO56" s="128">
        <v>0</v>
      </c>
      <c r="NP56" s="32">
        <v>0</v>
      </c>
      <c r="NQ56" s="100">
        <f t="shared" si="482"/>
        <v>140</v>
      </c>
      <c r="NS56" s="37">
        <f t="shared" si="483"/>
        <v>140</v>
      </c>
      <c r="NT56" s="141">
        <f>IFERROR(VLOOKUP($D56,'Adient Assende (Belgium) WK.17'!$B:MP,NU$1,0),0)</f>
        <v>0</v>
      </c>
      <c r="NU56" s="140">
        <f>IFERROR(VLOOKUP($D56,'Adient Arendal (Malzia) WK.12'!$B:MQ,NU$1,0),0)</f>
        <v>0</v>
      </c>
      <c r="NV56" s="140">
        <f>IFERROR(VLOOKUP($D56,'Adient Taizhou (China) WK.16'!$B:MT,NU$1,0),0)</f>
        <v>0</v>
      </c>
      <c r="NW56" s="128">
        <v>0</v>
      </c>
      <c r="NX56" s="32">
        <v>0</v>
      </c>
      <c r="NY56" s="100">
        <f t="shared" si="484"/>
        <v>140</v>
      </c>
      <c r="OA56" s="37">
        <f t="shared" si="485"/>
        <v>140</v>
      </c>
      <c r="OB56" s="141">
        <f>IFERROR(VLOOKUP($D56,'Adient Assende (Belgium) WK.17'!$B:MX,OC$1,0),0)</f>
        <v>0</v>
      </c>
      <c r="OC56" s="140">
        <f>IFERROR(VLOOKUP($D56,'Adient Arendal (Malzia) WK.12'!$B:MY,OC$1,0),0)</f>
        <v>0</v>
      </c>
      <c r="OD56" s="140">
        <f>IFERROR(VLOOKUP($D56,'Adient Taizhou (China) WK.16'!$B:NB,OC$1,0),0)</f>
        <v>0</v>
      </c>
      <c r="OE56" s="128">
        <v>0</v>
      </c>
      <c r="OF56" s="32">
        <v>0</v>
      </c>
      <c r="OG56" s="100">
        <f t="shared" si="486"/>
        <v>140</v>
      </c>
      <c r="OI56" s="37">
        <f t="shared" si="487"/>
        <v>140</v>
      </c>
      <c r="OJ56" s="141">
        <f>IFERROR(VLOOKUP($D56,'Adient Assende (Belgium) WK.17'!$B:NF,OK$1,0),0)</f>
        <v>0</v>
      </c>
      <c r="OK56" s="140">
        <f>IFERROR(VLOOKUP($D56,'Adient Arendal (Malzia) WK.12'!$B:NG,OK$1,0),0)</f>
        <v>0</v>
      </c>
      <c r="OL56" s="140">
        <f>IFERROR(VLOOKUP($D56,'Adient Taizhou (China) WK.16'!$B:NJ,OK$1,0),0)</f>
        <v>0</v>
      </c>
      <c r="OM56" s="128">
        <v>0</v>
      </c>
      <c r="ON56" s="32">
        <v>0</v>
      </c>
      <c r="OO56" s="100">
        <f t="shared" si="488"/>
        <v>140</v>
      </c>
      <c r="OQ56" s="37">
        <f t="shared" si="489"/>
        <v>140</v>
      </c>
      <c r="OR56" s="141">
        <f>IFERROR(VLOOKUP($D56,'Adient Assende (Belgium) WK.17'!$B:NN,OS$1,0),0)</f>
        <v>0</v>
      </c>
      <c r="OS56" s="140">
        <f>IFERROR(VLOOKUP($D56,'Adient Arendal (Malzia) WK.12'!$B:NO,OS$1,0),0)</f>
        <v>0</v>
      </c>
      <c r="OT56" s="140">
        <f>IFERROR(VLOOKUP($D56,'Adient Taizhou (China) WK.16'!$B:NR,OS$1,0),0)</f>
        <v>0</v>
      </c>
      <c r="OU56" s="128">
        <v>0</v>
      </c>
      <c r="OV56" s="32">
        <v>0</v>
      </c>
      <c r="OW56" s="100">
        <f t="shared" si="490"/>
        <v>140</v>
      </c>
      <c r="OY56" s="37">
        <f t="shared" si="491"/>
        <v>140</v>
      </c>
      <c r="OZ56" s="141">
        <f>IFERROR(VLOOKUP($D56,'Adient Assende (Belgium) WK.17'!$B:NV,PA$1,0),0)</f>
        <v>0</v>
      </c>
      <c r="PA56" s="140">
        <f>IFERROR(VLOOKUP($D56,'Adient Arendal (Malzia) WK.12'!$B:NW,PA$1,0),0)</f>
        <v>0</v>
      </c>
      <c r="PB56" s="140">
        <f>IFERROR(VLOOKUP($D56,'Adient Taizhou (China) WK.16'!$B:NZ,PA$1,0),0)</f>
        <v>0</v>
      </c>
      <c r="PC56" s="128">
        <v>0</v>
      </c>
      <c r="PD56" s="32">
        <v>0</v>
      </c>
      <c r="PE56" s="100">
        <f t="shared" si="492"/>
        <v>140</v>
      </c>
      <c r="PG56" s="37">
        <f t="shared" si="493"/>
        <v>140</v>
      </c>
      <c r="PH56" s="141">
        <f>IFERROR(VLOOKUP($D56,'Adient Assende (Belgium) WK.17'!$B:OD,PI$1,0),0)</f>
        <v>0</v>
      </c>
      <c r="PI56" s="140">
        <f>IFERROR(VLOOKUP($D56,'Adient Arendal (Malzia) WK.12'!$B:OE,PI$1,0),0)</f>
        <v>0</v>
      </c>
      <c r="PJ56" s="140">
        <f>IFERROR(VLOOKUP($D56,'Adient Taizhou (China) WK.16'!$B:OH,PI$1,0),0)</f>
        <v>0</v>
      </c>
      <c r="PK56" s="128">
        <v>0</v>
      </c>
      <c r="PL56" s="32">
        <v>0</v>
      </c>
      <c r="PM56" s="100">
        <f t="shared" si="494"/>
        <v>140</v>
      </c>
      <c r="PO56" s="37">
        <f t="shared" si="495"/>
        <v>140</v>
      </c>
      <c r="PP56" s="141">
        <f>IFERROR(VLOOKUP($D56,'Adient Assende (Belgium) WK.17'!$B:OL,PQ$1,0),0)</f>
        <v>0</v>
      </c>
      <c r="PQ56" s="140">
        <f>IFERROR(VLOOKUP($D56,'Adient Arendal (Malzia) WK.12'!$B:OM,PQ$1,0),0)</f>
        <v>0</v>
      </c>
      <c r="PR56" s="140">
        <f>IFERROR(VLOOKUP($D56,'Adient Taizhou (China) WK.16'!$B:OP,PQ$1,0),0)</f>
        <v>0</v>
      </c>
      <c r="PS56" s="128">
        <v>0</v>
      </c>
      <c r="PT56" s="32">
        <v>0</v>
      </c>
      <c r="PU56" s="100">
        <f t="shared" si="496"/>
        <v>140</v>
      </c>
      <c r="PW56" s="37">
        <f t="shared" si="497"/>
        <v>140</v>
      </c>
      <c r="PX56" s="141">
        <f>IFERROR(VLOOKUP($D56,'Adient Assende (Belgium) WK.17'!$B:OT,PY$1,0),0)</f>
        <v>0</v>
      </c>
      <c r="PY56" s="140">
        <f>IFERROR(VLOOKUP($D56,'Adient Arendal (Malzia) WK.12'!$B:OU,PY$1,0),0)</f>
        <v>0</v>
      </c>
      <c r="PZ56" s="140">
        <f>IFERROR(VLOOKUP($D56,'Adient Taizhou (China) WK.16'!$B:OX,PY$1,0),0)</f>
        <v>0</v>
      </c>
      <c r="QA56" s="128">
        <v>0</v>
      </c>
      <c r="QB56" s="32">
        <v>0</v>
      </c>
      <c r="QC56" s="100">
        <f t="shared" si="498"/>
        <v>140</v>
      </c>
      <c r="QE56" s="37">
        <f t="shared" si="499"/>
        <v>140</v>
      </c>
      <c r="QF56" s="141">
        <f>IFERROR(VLOOKUP($D56,'Adient Assende (Belgium) WK.17'!$B:PB,QG$1,0),0)</f>
        <v>0</v>
      </c>
      <c r="QG56" s="140">
        <f>IFERROR(VLOOKUP($D56,'Adient Arendal (Malzia) WK.12'!$B:PC,QG$1,0),0)</f>
        <v>0</v>
      </c>
      <c r="QH56" s="140">
        <f>IFERROR(VLOOKUP($D56,'Adient Taizhou (China) WK.16'!$B:PF,QG$1,0),0)</f>
        <v>0</v>
      </c>
      <c r="QI56" s="128">
        <v>0</v>
      </c>
      <c r="QJ56" s="32">
        <v>0</v>
      </c>
      <c r="QK56" s="100">
        <f t="shared" si="500"/>
        <v>140</v>
      </c>
      <c r="QM56" s="37">
        <f t="shared" si="501"/>
        <v>140</v>
      </c>
      <c r="QN56" s="141">
        <f>IFERROR(VLOOKUP($D56,'Adient Assende (Belgium) WK.17'!$B:PJ,QO$1,0),0)</f>
        <v>0</v>
      </c>
      <c r="QO56" s="140">
        <f>IFERROR(VLOOKUP($D56,'Adient Arendal (Malzia) WK.12'!$B:PK,QO$1,0),0)</f>
        <v>0</v>
      </c>
      <c r="QP56" s="140">
        <f>IFERROR(VLOOKUP($D56,'Adient Taizhou (China) WK.16'!$B:PN,QO$1,0),0)</f>
        <v>0</v>
      </c>
      <c r="QQ56" s="128">
        <v>0</v>
      </c>
      <c r="QR56" s="32">
        <v>0</v>
      </c>
      <c r="QS56" s="100">
        <f t="shared" si="502"/>
        <v>140</v>
      </c>
      <c r="QU56" s="37">
        <f t="shared" si="503"/>
        <v>140</v>
      </c>
      <c r="QV56" s="141">
        <f>IFERROR(VLOOKUP($D56,'Adient Assende (Belgium) WK.17'!$B:PR,QW$1,0),0)</f>
        <v>0</v>
      </c>
      <c r="QW56" s="140">
        <f>IFERROR(VLOOKUP($D56,'Adient Arendal (Malzia) WK.12'!$B:PS,QW$1,0),0)</f>
        <v>0</v>
      </c>
      <c r="QX56" s="140">
        <f>IFERROR(VLOOKUP($D56,'Adient Taizhou (China) WK.16'!$B:PV,QW$1,0),0)</f>
        <v>0</v>
      </c>
      <c r="QY56" s="128">
        <v>0</v>
      </c>
      <c r="QZ56" s="32">
        <v>0</v>
      </c>
      <c r="RA56" s="100">
        <f t="shared" si="504"/>
        <v>140</v>
      </c>
      <c r="RC56" s="37">
        <f t="shared" si="505"/>
        <v>140</v>
      </c>
      <c r="RD56" s="141">
        <f>IFERROR(VLOOKUP($D56,'Adient Assende (Belgium) WK.17'!$B:PZ,RE$1,0),0)</f>
        <v>0</v>
      </c>
      <c r="RE56" s="140">
        <f>IFERROR(VLOOKUP($D56,'Adient Arendal (Malzia) WK.12'!$B:QA,RE$1,0),0)</f>
        <v>0</v>
      </c>
      <c r="RF56" s="140">
        <f>IFERROR(VLOOKUP($D56,'Adient Taizhou (China) WK.16'!$B:QD,RE$1,0),0)</f>
        <v>0</v>
      </c>
      <c r="RG56" s="128">
        <v>0</v>
      </c>
      <c r="RH56" s="32">
        <v>0</v>
      </c>
      <c r="RI56" s="100">
        <f t="shared" si="506"/>
        <v>140</v>
      </c>
      <c r="RK56" s="37">
        <f t="shared" si="507"/>
        <v>140</v>
      </c>
      <c r="RL56" s="141">
        <f>IFERROR(VLOOKUP($D56,'Adient Assende (Belgium) WK.17'!$B:QH,RM$1,0),0)</f>
        <v>0</v>
      </c>
      <c r="RM56" s="140">
        <f>IFERROR(VLOOKUP($D56,'Adient Arendal (Malzia) WK.12'!$B:QI,RM$1,0),0)</f>
        <v>0</v>
      </c>
      <c r="RN56" s="140">
        <f>IFERROR(VLOOKUP($D56,'Adient Taizhou (China) WK.16'!$B:QL,RM$1,0),0)</f>
        <v>0</v>
      </c>
      <c r="RO56" s="128">
        <v>0</v>
      </c>
      <c r="RP56" s="32">
        <v>0</v>
      </c>
      <c r="RQ56" s="100">
        <f t="shared" si="508"/>
        <v>140</v>
      </c>
      <c r="RS56" s="37">
        <f t="shared" si="509"/>
        <v>140</v>
      </c>
      <c r="RT56" s="141">
        <f>IFERROR(VLOOKUP($D56,'Adient Assende (Belgium) WK.17'!$B:QP,RU$1,0),0)</f>
        <v>0</v>
      </c>
      <c r="RU56" s="140">
        <f>IFERROR(VLOOKUP($D56,'Adient Arendal (Malzia) WK.12'!$B:QQ,RU$1,0),0)</f>
        <v>0</v>
      </c>
      <c r="RV56" s="140">
        <f>IFERROR(VLOOKUP($D56,'Adient Taizhou (China) WK.16'!$B:QT,RU$1,0),0)</f>
        <v>0</v>
      </c>
      <c r="RW56" s="128">
        <v>0</v>
      </c>
      <c r="RX56" s="32">
        <v>0</v>
      </c>
      <c r="RY56" s="100">
        <f t="shared" si="510"/>
        <v>140</v>
      </c>
      <c r="SA56" s="37">
        <f t="shared" si="511"/>
        <v>140</v>
      </c>
      <c r="SB56" s="141">
        <f>IFERROR(VLOOKUP($D56,'Adient Assende (Belgium) WK.17'!$B:QX,SC$1,0),0)</f>
        <v>0</v>
      </c>
      <c r="SC56" s="140">
        <f>IFERROR(VLOOKUP($D56,'Adient Arendal (Malzia) WK.12'!$B:QY,SC$1,0),0)</f>
        <v>0</v>
      </c>
      <c r="SD56" s="140">
        <f>IFERROR(VLOOKUP($D56,'Adient Taizhou (China) WK.16'!$B:RB,SC$1,0),0)</f>
        <v>0</v>
      </c>
      <c r="SE56" s="128">
        <v>0</v>
      </c>
      <c r="SF56" s="32">
        <v>0</v>
      </c>
      <c r="SG56" s="100">
        <f t="shared" si="512"/>
        <v>140</v>
      </c>
      <c r="SI56" s="37">
        <f t="shared" si="513"/>
        <v>140</v>
      </c>
      <c r="SJ56" s="141">
        <f>IFERROR(VLOOKUP($D56,'Adient Assende (Belgium) WK.17'!$B:RF,SK$1,0),0)</f>
        <v>0</v>
      </c>
      <c r="SK56" s="140">
        <f>IFERROR(VLOOKUP($D56,'Adient Arendal (Malzia) WK.12'!$B:RG,SK$1,0),0)</f>
        <v>0</v>
      </c>
      <c r="SL56" s="140">
        <f>IFERROR(VLOOKUP($D56,'Adient Taizhou (China) WK.16'!$B:RJ,SK$1,0),0)</f>
        <v>0</v>
      </c>
      <c r="SM56" s="128">
        <v>0</v>
      </c>
      <c r="SN56" s="32">
        <v>0</v>
      </c>
      <c r="SO56" s="100">
        <f t="shared" si="514"/>
        <v>140</v>
      </c>
      <c r="SQ56" s="37">
        <f t="shared" si="515"/>
        <v>140</v>
      </c>
      <c r="SR56" s="141">
        <f>IFERROR(VLOOKUP($D56,'Adient Assende (Belgium) WK.17'!$B:RN,SS$1,0),0)</f>
        <v>0</v>
      </c>
      <c r="SS56" s="140">
        <f>IFERROR(VLOOKUP($D56,'Adient Arendal (Malzia) WK.12'!$B:RO,SS$1,0),0)</f>
        <v>0</v>
      </c>
      <c r="ST56" s="140">
        <f>IFERROR(VLOOKUP($D56,'Adient Taizhou (China) WK.16'!$B:RR,SS$1,0),0)</f>
        <v>0</v>
      </c>
      <c r="SU56" s="128">
        <v>0</v>
      </c>
      <c r="SV56" s="32">
        <v>0</v>
      </c>
      <c r="SW56" s="100">
        <f t="shared" si="516"/>
        <v>140</v>
      </c>
      <c r="SY56" s="37">
        <f t="shared" si="517"/>
        <v>140</v>
      </c>
      <c r="SZ56" s="141">
        <f>IFERROR(VLOOKUP($D56,'Adient Assende (Belgium) WK.17'!$B:RV,TA$1,0),0)</f>
        <v>0</v>
      </c>
      <c r="TA56" s="140">
        <f>IFERROR(VLOOKUP($D56,'Adient Arendal (Malzia) WK.12'!$B:RW,TA$1,0),0)</f>
        <v>0</v>
      </c>
      <c r="TB56" s="140">
        <f>IFERROR(VLOOKUP($D56,'Adient Taizhou (China) WK.16'!$B:RZ,TA$1,0),0)</f>
        <v>0</v>
      </c>
      <c r="TC56" s="128">
        <v>0</v>
      </c>
      <c r="TD56" s="32">
        <v>0</v>
      </c>
      <c r="TE56" s="100">
        <f t="shared" si="518"/>
        <v>140</v>
      </c>
      <c r="TG56" s="37">
        <f t="shared" si="519"/>
        <v>140</v>
      </c>
      <c r="TH56" s="141">
        <f>IFERROR(VLOOKUP($D56,'Adient Assende (Belgium) WK.17'!$B:SD,TI$1,0),0)</f>
        <v>0</v>
      </c>
      <c r="TI56" s="140">
        <f>IFERROR(VLOOKUP($D56,'Adient Arendal (Malzia) WK.12'!$B:SE,TI$1,0),0)</f>
        <v>0</v>
      </c>
      <c r="TJ56" s="140">
        <f>IFERROR(VLOOKUP($D56,'Adient Taizhou (China) WK.16'!$B:SH,TI$1,0),0)</f>
        <v>0</v>
      </c>
      <c r="TK56" s="128">
        <v>0</v>
      </c>
      <c r="TL56" s="32">
        <v>0</v>
      </c>
      <c r="TM56" s="100">
        <f t="shared" si="520"/>
        <v>140</v>
      </c>
      <c r="TO56" s="37">
        <f t="shared" si="521"/>
        <v>140</v>
      </c>
      <c r="TP56" s="141">
        <f>IFERROR(VLOOKUP($D56,'Adient Assende (Belgium) WK.17'!$B:SL,TQ$1,0),0)</f>
        <v>0</v>
      </c>
      <c r="TQ56" s="140">
        <f>IFERROR(VLOOKUP($D56,'Adient Arendal (Malzia) WK.12'!$B:SM,TQ$1,0),0)</f>
        <v>0</v>
      </c>
      <c r="TR56" s="140">
        <f>IFERROR(VLOOKUP($D56,'Adient Taizhou (China) WK.16'!$B:SP,TQ$1,0),0)</f>
        <v>0</v>
      </c>
      <c r="TS56" s="128">
        <v>0</v>
      </c>
      <c r="TT56" s="32">
        <v>0</v>
      </c>
      <c r="TU56" s="100">
        <f t="shared" si="522"/>
        <v>140</v>
      </c>
      <c r="TW56" s="37">
        <f t="shared" si="523"/>
        <v>140</v>
      </c>
      <c r="TX56" s="141">
        <f>IFERROR(VLOOKUP($D56,'Adient Assende (Belgium) WK.17'!$B:ST,TY$1,0),0)</f>
        <v>0</v>
      </c>
      <c r="TY56" s="140">
        <f>IFERROR(VLOOKUP($D56,'Adient Arendal (Malzia) WK.12'!$B:SU,TY$1,0),0)</f>
        <v>0</v>
      </c>
      <c r="TZ56" s="140">
        <f>IFERROR(VLOOKUP($D56,'Adient Taizhou (China) WK.16'!$B:SX,TY$1,0),0)</f>
        <v>0</v>
      </c>
      <c r="UA56" s="128">
        <v>0</v>
      </c>
      <c r="UB56" s="32">
        <v>0</v>
      </c>
      <c r="UC56" s="100">
        <f t="shared" si="524"/>
        <v>140</v>
      </c>
      <c r="UE56" s="37">
        <f t="shared" si="525"/>
        <v>140</v>
      </c>
      <c r="UF56" s="141">
        <f>IFERROR(VLOOKUP($D56,'Adient Assende (Belgium) WK.17'!$B:TB,UG$1,0),0)</f>
        <v>0</v>
      </c>
      <c r="UG56" s="140">
        <f>IFERROR(VLOOKUP($D56,'Adient Arendal (Malzia) WK.12'!$B:TC,UG$1,0),0)</f>
        <v>0</v>
      </c>
      <c r="UH56" s="140">
        <f>IFERROR(VLOOKUP($D56,'Adient Taizhou (China) WK.16'!$B:TF,UG$1,0),0)</f>
        <v>0</v>
      </c>
      <c r="UI56" s="128">
        <v>0</v>
      </c>
      <c r="UJ56" s="32">
        <v>0</v>
      </c>
      <c r="UK56" s="100">
        <f t="shared" si="526"/>
        <v>140</v>
      </c>
      <c r="UM56" s="37">
        <f t="shared" si="527"/>
        <v>140</v>
      </c>
      <c r="UN56" s="141">
        <f>IFERROR(VLOOKUP($D56,'Adient Assende (Belgium) WK.17'!$B:TJ,UO$1,0),0)</f>
        <v>0</v>
      </c>
      <c r="UO56" s="140">
        <f>IFERROR(VLOOKUP($D56,'Adient Arendal (Malzia) WK.12'!$B:TK,UO$1,0),0)</f>
        <v>0</v>
      </c>
      <c r="UP56" s="140">
        <f>IFERROR(VLOOKUP($D56,'Adient Taizhou (China) WK.16'!$B:TN,UO$1,0),0)</f>
        <v>0</v>
      </c>
      <c r="UQ56" s="128">
        <v>0</v>
      </c>
      <c r="UR56" s="32">
        <v>0</v>
      </c>
      <c r="US56" s="100">
        <f t="shared" si="528"/>
        <v>140</v>
      </c>
      <c r="UU56" s="37">
        <f t="shared" si="529"/>
        <v>140</v>
      </c>
      <c r="UV56" s="141">
        <f>IFERROR(VLOOKUP($D56,'Adient Assende (Belgium) WK.17'!$B:TR,UW$1,0),0)</f>
        <v>0</v>
      </c>
      <c r="UW56" s="140">
        <f>IFERROR(VLOOKUP($D56,'Adient Arendal (Malzia) WK.12'!$B:TS,UW$1,0),0)</f>
        <v>0</v>
      </c>
      <c r="UX56" s="140">
        <f>IFERROR(VLOOKUP($D56,'Adient Taizhou (China) WK.16'!$B:TV,UW$1,0),0)</f>
        <v>0</v>
      </c>
      <c r="UY56" s="128">
        <v>0</v>
      </c>
      <c r="UZ56" s="32">
        <v>0</v>
      </c>
      <c r="VA56" s="100">
        <f t="shared" si="530"/>
        <v>140</v>
      </c>
      <c r="VC56" s="37">
        <f t="shared" si="531"/>
        <v>140</v>
      </c>
      <c r="VD56" s="141">
        <f>IFERROR(VLOOKUP($D56,'Adient Assende (Belgium) WK.17'!$B:TZ,VE$1,0),0)</f>
        <v>0</v>
      </c>
      <c r="VE56" s="140">
        <f>IFERROR(VLOOKUP($D56,'Adient Arendal (Malzia) WK.12'!$B:UA,VE$1,0),0)</f>
        <v>0</v>
      </c>
      <c r="VF56" s="140">
        <f>IFERROR(VLOOKUP($D56,'Adient Taizhou (China) WK.16'!$B:UD,VE$1,0),0)</f>
        <v>0</v>
      </c>
      <c r="VG56" s="128">
        <v>0</v>
      </c>
      <c r="VH56" s="32">
        <v>0</v>
      </c>
      <c r="VI56" s="100">
        <f t="shared" si="532"/>
        <v>140</v>
      </c>
      <c r="VK56" s="37">
        <f t="shared" si="533"/>
        <v>140</v>
      </c>
      <c r="VL56" s="141">
        <f>IFERROR(VLOOKUP($D56,'Adient Assende (Belgium) WK.17'!$B:UH,VM$1,0),0)</f>
        <v>0</v>
      </c>
      <c r="VM56" s="140">
        <f>IFERROR(VLOOKUP($D56,'Adient Arendal (Malzia) WK.12'!$B:UI,VM$1,0),0)</f>
        <v>0</v>
      </c>
      <c r="VN56" s="140">
        <f>IFERROR(VLOOKUP($D56,'Adient Taizhou (China) WK.16'!$B:UL,VM$1,0),0)</f>
        <v>0</v>
      </c>
      <c r="VO56" s="128">
        <v>0</v>
      </c>
      <c r="VP56" s="32">
        <v>0</v>
      </c>
      <c r="VQ56" s="100">
        <f t="shared" si="534"/>
        <v>140</v>
      </c>
    </row>
    <row r="57" spans="1:589" x14ac:dyDescent="0.25">
      <c r="A57" s="10" t="s">
        <v>18</v>
      </c>
      <c r="B57" s="11" t="s">
        <v>17</v>
      </c>
      <c r="C57" s="87">
        <v>32332628</v>
      </c>
      <c r="D57" s="81">
        <v>5180040</v>
      </c>
      <c r="E57" s="11">
        <v>20</v>
      </c>
      <c r="F57" s="12"/>
      <c r="H57" s="122">
        <v>640</v>
      </c>
      <c r="I57" s="125">
        <f>IFERROR(VLOOKUP($D57,'Adient Assende (Belgium) WK.17'!$B:C,J$1,0),0)</f>
        <v>0</v>
      </c>
      <c r="J57" s="55">
        <f>IFERROR(VLOOKUP($D57,'Adient Arendal (Malzia) WK.12'!$B:C,J$1,0),0)</f>
        <v>0</v>
      </c>
      <c r="K57" s="55">
        <f>IFERROR(VLOOKUP($D57,'Adient Taizhou (China) WK.16'!$B:C,J$1,0),0)</f>
        <v>0</v>
      </c>
      <c r="L57" s="128">
        <v>0</v>
      </c>
      <c r="M57" s="32">
        <v>0</v>
      </c>
      <c r="N57" s="106">
        <f t="shared" si="233"/>
        <v>640</v>
      </c>
      <c r="P57" s="37">
        <f t="shared" si="234"/>
        <v>640</v>
      </c>
      <c r="Q57" s="125">
        <f>IFERROR(VLOOKUP($D57,'Adient Assende (Belgium) WK.17'!$B:K,R$1,0),0)</f>
        <v>0</v>
      </c>
      <c r="R57" s="55">
        <f>IFERROR(VLOOKUP($D57,'Adient Arendal (Malzia) WK.12'!$B:K,R$1,0),0)</f>
        <v>0</v>
      </c>
      <c r="S57" s="55">
        <f>IFERROR(VLOOKUP($D57,'Adient Taizhou (China) WK.16'!$B:K,R$1,0),0)</f>
        <v>0</v>
      </c>
      <c r="T57" s="41">
        <v>0</v>
      </c>
      <c r="U57" s="32">
        <v>0</v>
      </c>
      <c r="V57" s="106">
        <f t="shared" si="235"/>
        <v>640</v>
      </c>
      <c r="X57" s="37">
        <f t="shared" si="236"/>
        <v>640</v>
      </c>
      <c r="Y57" s="125">
        <f>IFERROR(VLOOKUP($D57,'Adient Assende (Belgium) WK.17'!$B:S,Z$1,0),0)</f>
        <v>0</v>
      </c>
      <c r="Z57" s="55">
        <f>IFERROR(VLOOKUP($D57,'Adient Arendal (Malzia) WK.12'!$B:S,Z$1,0),0)</f>
        <v>0</v>
      </c>
      <c r="AA57" s="55">
        <f>IFERROR(VLOOKUP($D57,'Adient Taizhou (China) WK.16'!$B:S,Z$1,0),0)</f>
        <v>0</v>
      </c>
      <c r="AB57" s="41">
        <v>80</v>
      </c>
      <c r="AC57" s="32">
        <v>0</v>
      </c>
      <c r="AD57" s="106">
        <f t="shared" si="237"/>
        <v>560</v>
      </c>
      <c r="AF57" s="37">
        <f t="shared" si="238"/>
        <v>560</v>
      </c>
      <c r="AG57" s="125">
        <f>IFERROR(VLOOKUP($D57,'Adient Assende (Belgium) WK.17'!$B:AA,AH$1,0),0)</f>
        <v>80</v>
      </c>
      <c r="AH57" s="55">
        <f>IFERROR(VLOOKUP($D57,'Adient Arendal (Malzia) WK.12'!$B:AA,AH$1,0),0)</f>
        <v>0</v>
      </c>
      <c r="AI57" s="55">
        <f>IFERROR(VLOOKUP($D57,'Adient Taizhou (China) WK.16'!$B:AA,AH$1,0),0)</f>
        <v>0</v>
      </c>
      <c r="AJ57" s="41">
        <v>80</v>
      </c>
      <c r="AK57" s="32">
        <v>0</v>
      </c>
      <c r="AL57" s="106">
        <f t="shared" si="239"/>
        <v>480</v>
      </c>
      <c r="AN57" s="37">
        <f t="shared" si="432"/>
        <v>480</v>
      </c>
      <c r="AO57" s="125">
        <f>IFERROR(VLOOKUP($D57,'Adient Assende (Belgium) WK.17'!$B:AI,AP$1,0),0)</f>
        <v>80</v>
      </c>
      <c r="AP57" s="55">
        <f>IFERROR(VLOOKUP($D57,'Adient Arendal (Malzia) WK.12'!$B:AI,AP$1,0),0)</f>
        <v>0</v>
      </c>
      <c r="AQ57" s="55">
        <f>IFERROR(VLOOKUP($D57,'Adient Taizhou (China) WK.16'!$B:AI,AP$1,0),0)</f>
        <v>0</v>
      </c>
      <c r="AR57" s="60">
        <v>0</v>
      </c>
      <c r="AS57" s="41">
        <v>80</v>
      </c>
      <c r="AT57" s="32">
        <v>0</v>
      </c>
      <c r="AU57" s="106">
        <f t="shared" si="240"/>
        <v>400</v>
      </c>
      <c r="AW57" s="37">
        <f t="shared" si="433"/>
        <v>400</v>
      </c>
      <c r="AX57" s="125">
        <f>IFERROR(VLOOKUP($D57,'Adient Assende (Belgium) WK.17'!$B:AR,AY$1,0),0)</f>
        <v>80</v>
      </c>
      <c r="AY57" s="55">
        <f>IFERROR(VLOOKUP($D57,'Adient Arendal (Malzia) WK.12'!$B:AR,AY$1,0),0)</f>
        <v>0</v>
      </c>
      <c r="AZ57" s="55">
        <f>IFERROR(VLOOKUP($D57,'Adient Taizhou (China) WK.16'!$B:AU,AY$1,0),0)</f>
        <v>0</v>
      </c>
      <c r="BA57" s="41">
        <v>80</v>
      </c>
      <c r="BB57" s="32">
        <v>0</v>
      </c>
      <c r="BC57" s="106">
        <f t="shared" si="241"/>
        <v>320</v>
      </c>
      <c r="BE57" s="37">
        <f t="shared" si="434"/>
        <v>320</v>
      </c>
      <c r="BF57" s="125">
        <f>IFERROR(VLOOKUP($D57,'Adient Assende (Belgium) WK.17'!$B:AX,BG$1,0),0)</f>
        <v>80</v>
      </c>
      <c r="BG57" s="55">
        <f>IFERROR(VLOOKUP($D57,'Adient Arendal (Malzia) WK.12'!$B:AZ,BG$1,0),0)</f>
        <v>0</v>
      </c>
      <c r="BH57" s="55">
        <f>IFERROR(VLOOKUP($D57,'Adient Taizhou (China) WK.16'!$B:BB,BG$1,0),0)</f>
        <v>0</v>
      </c>
      <c r="BI57" s="60">
        <v>0</v>
      </c>
      <c r="BJ57" s="60">
        <v>0</v>
      </c>
      <c r="BK57" s="41">
        <v>80</v>
      </c>
      <c r="BL57" s="32">
        <v>0</v>
      </c>
      <c r="BM57" s="106">
        <f t="shared" si="242"/>
        <v>240</v>
      </c>
      <c r="BN57" s="8"/>
      <c r="BO57" s="37">
        <f t="shared" si="435"/>
        <v>240</v>
      </c>
      <c r="BP57" s="125">
        <f>IFERROR(VLOOKUP($D57,'Adient Assende (Belgium) WK.17'!$B:BH,BQ$1,0),0)</f>
        <v>80</v>
      </c>
      <c r="BQ57" s="55">
        <f>IFERROR(VLOOKUP($D57,'Adient Arendal (Malzia) WK.12'!$B:BI,BQ$1,0),0)</f>
        <v>0</v>
      </c>
      <c r="BR57" s="55">
        <f>IFERROR(VLOOKUP($D57,'Adient Taizhou (China) WK.16'!$B:BL,BQ$1,0),0)</f>
        <v>0</v>
      </c>
      <c r="BS57" s="60">
        <v>0</v>
      </c>
      <c r="BT57" s="60">
        <v>0</v>
      </c>
      <c r="BU57" s="60">
        <v>100</v>
      </c>
      <c r="BV57" s="41">
        <v>80</v>
      </c>
      <c r="BW57" s="32">
        <v>0</v>
      </c>
      <c r="BX57" s="106">
        <f t="shared" si="243"/>
        <v>260</v>
      </c>
      <c r="BY57" s="8"/>
      <c r="BZ57" s="37">
        <f t="shared" si="436"/>
        <v>260</v>
      </c>
      <c r="CA57" s="125">
        <f>IFERROR(VLOOKUP($D57,'Adient Assende (Belgium) WK.17'!$B:BS,CB$1,0),0)</f>
        <v>80</v>
      </c>
      <c r="CB57" s="55">
        <f>IFERROR(VLOOKUP($D57,'Adient Arendal (Malzia) WK.12'!$B:BT,CB$1,0),0)</f>
        <v>0</v>
      </c>
      <c r="CC57" s="55">
        <f>IFERROR(VLOOKUP($D57,'Adient Taizhou (China) WK.16'!$B:BW,CB$1,0),0)</f>
        <v>0</v>
      </c>
      <c r="CD57" s="60">
        <v>0</v>
      </c>
      <c r="CE57" s="60">
        <v>0</v>
      </c>
      <c r="CF57" s="41">
        <v>160</v>
      </c>
      <c r="CG57" s="32">
        <v>0</v>
      </c>
      <c r="CH57" s="106">
        <f t="shared" si="244"/>
        <v>100</v>
      </c>
      <c r="CI57" s="8"/>
      <c r="CJ57" s="37">
        <f t="shared" si="437"/>
        <v>100</v>
      </c>
      <c r="CK57" s="125">
        <f>IFERROR(VLOOKUP($D57,'Adient Assende (Belgium) WK.17'!$B:CC,CL$1,0),0)</f>
        <v>160</v>
      </c>
      <c r="CL57" s="55">
        <f>IFERROR(VLOOKUP($D57,'Adient Arendal (Malzia) WK.12'!$B:CD,CL$1,0),0)</f>
        <v>0</v>
      </c>
      <c r="CM57" s="55">
        <f>IFERROR(VLOOKUP($D57,'Adient Taizhou (China) WK.16'!$B:CG,CL$1,0),0)</f>
        <v>0</v>
      </c>
      <c r="CN57" s="60">
        <v>220</v>
      </c>
      <c r="CO57" s="149">
        <v>0</v>
      </c>
      <c r="CP57" s="32">
        <v>0</v>
      </c>
      <c r="CQ57" s="106">
        <f t="shared" si="245"/>
        <v>320</v>
      </c>
      <c r="CR57" s="8"/>
      <c r="CS57" s="122">
        <f t="shared" si="438"/>
        <v>320</v>
      </c>
      <c r="CT57" s="154">
        <f>IFERROR(VLOOKUP($D57,'Adient Assende (Belgium) WK.17'!$B:CL,CU$1,0),0)</f>
        <v>0</v>
      </c>
      <c r="CU57" s="55">
        <f>IFERROR(VLOOKUP($D57,'Adient Arendal (Malzia) WK.12'!$B:CM,CU$1,0),0)</f>
        <v>0</v>
      </c>
      <c r="CV57" s="55">
        <f>IFERROR(VLOOKUP($D57,'Adient Taizhou (China) WK.16'!$B:CP,CU$1,0),0)</f>
        <v>0</v>
      </c>
      <c r="CW57" s="60">
        <v>0</v>
      </c>
      <c r="CX57" s="60">
        <v>20</v>
      </c>
      <c r="CY57" s="128">
        <v>80</v>
      </c>
      <c r="CZ57" s="32">
        <v>0</v>
      </c>
      <c r="DA57" s="106">
        <f t="shared" si="246"/>
        <v>260</v>
      </c>
      <c r="DB57" s="8"/>
      <c r="DC57" s="37">
        <f t="shared" si="439"/>
        <v>260</v>
      </c>
      <c r="DD57" s="125">
        <f>IFERROR(VLOOKUP($D57,'Adient Assende (Belgium) WK.17'!$B:CS,DE$1,0),0)</f>
        <v>80</v>
      </c>
      <c r="DE57" s="55">
        <f>IFERROR(VLOOKUP($D57,'Adient Arendal (Malzia) WK.12'!$B:CU,DE$1,0),0)</f>
        <v>0</v>
      </c>
      <c r="DF57" s="55">
        <f>IFERROR(VLOOKUP($D57,'Adient Taizhou (China) WK.16'!$B:CX,DE$1,0),0)</f>
        <v>0</v>
      </c>
      <c r="DG57" s="60">
        <v>0</v>
      </c>
      <c r="DH57" s="128">
        <v>80</v>
      </c>
      <c r="DI57" s="32">
        <v>0</v>
      </c>
      <c r="DJ57" s="106">
        <f t="shared" si="247"/>
        <v>180</v>
      </c>
      <c r="DL57" s="37">
        <f t="shared" si="440"/>
        <v>180</v>
      </c>
      <c r="DM57" s="125">
        <f>IFERROR(VLOOKUP($D57,'Adient Assende (Belgium) WK.17'!$B:DB,DN$1,0),0)</f>
        <v>80</v>
      </c>
      <c r="DN57" s="55">
        <f>IFERROR(VLOOKUP($D57,'Adient Arendal (Malzia) WK.12'!$B:DC,DN$1,0),0)</f>
        <v>0</v>
      </c>
      <c r="DO57" s="55">
        <f>IFERROR(VLOOKUP($D57,'Adient Taizhou (China) WK.16'!$B:DF,DN$1,0),0)</f>
        <v>0</v>
      </c>
      <c r="DP57" s="128">
        <v>80</v>
      </c>
      <c r="DQ57" s="32">
        <v>0</v>
      </c>
      <c r="DR57" s="106">
        <f t="shared" si="441"/>
        <v>100</v>
      </c>
      <c r="DS57" s="8"/>
      <c r="DT57" s="37">
        <f t="shared" si="442"/>
        <v>100</v>
      </c>
      <c r="DU57" s="125">
        <f>IFERROR(VLOOKUP($D57,'Adient Assende (Belgium) WK.17'!$B:DJ,DV$1,0),0)</f>
        <v>80</v>
      </c>
      <c r="DV57" s="55">
        <f>IFERROR(VLOOKUP($D57,'Adient Arendal (Malzia) WK.12'!$B:DK,DV$1,0),0)</f>
        <v>0</v>
      </c>
      <c r="DW57" s="55">
        <f>IFERROR(VLOOKUP($D57,'Adient Taizhou (China) WK.16'!$B:DN,DV$1,0),0)</f>
        <v>0</v>
      </c>
      <c r="DX57" s="60">
        <v>240</v>
      </c>
      <c r="DY57" s="60">
        <v>0</v>
      </c>
      <c r="DZ57" s="128">
        <v>80</v>
      </c>
      <c r="EA57" s="32">
        <v>0</v>
      </c>
      <c r="EB57" s="106">
        <f t="shared" si="248"/>
        <v>260</v>
      </c>
      <c r="EC57" s="8"/>
      <c r="ED57" s="37">
        <f t="shared" si="443"/>
        <v>260</v>
      </c>
      <c r="EE57" s="125">
        <f>IFERROR(VLOOKUP($D57,'Adient Assende (Belgium) WK.17'!$B:DR,EF$1,0),0)</f>
        <v>80</v>
      </c>
      <c r="EF57" s="55">
        <f>IFERROR(VLOOKUP($D57,'Adient Arendal (Malzia) WK.12'!$B:DS,EF$1,0),0)</f>
        <v>0</v>
      </c>
      <c r="EG57" s="55">
        <f>IFERROR(VLOOKUP($D57,'Adient Taizhou (China) WK.16'!$B:DV,EF$1,0),0)</f>
        <v>0</v>
      </c>
      <c r="EH57" s="60">
        <v>460</v>
      </c>
      <c r="EI57" s="128">
        <v>80</v>
      </c>
      <c r="EJ57" s="32">
        <v>0</v>
      </c>
      <c r="EK57" s="106">
        <f t="shared" si="249"/>
        <v>640</v>
      </c>
      <c r="EM57" s="37">
        <f t="shared" si="444"/>
        <v>640</v>
      </c>
      <c r="EN57" s="125">
        <f>IFERROR(VLOOKUP($D57,'Adient Assende (Belgium) WK.17'!$B:DZ,EO$1,0),0)</f>
        <v>80</v>
      </c>
      <c r="EO57" s="55">
        <f>IFERROR(VLOOKUP($D57,'Adient Arendal (Malzia) WK.12'!$B:EA,EO$1,0),0)</f>
        <v>0</v>
      </c>
      <c r="EP57" s="55">
        <f>IFERROR(VLOOKUP($D57,'Adient Taizhou (China) WK.16'!$B:ED,EO$1,0),0)</f>
        <v>0</v>
      </c>
      <c r="EQ57" s="128">
        <v>80</v>
      </c>
      <c r="ER57" s="32">
        <v>0</v>
      </c>
      <c r="ES57" s="106">
        <f t="shared" si="250"/>
        <v>560</v>
      </c>
      <c r="EU57" s="37">
        <f t="shared" si="445"/>
        <v>560</v>
      </c>
      <c r="EV57" s="125">
        <f>IFERROR(VLOOKUP($D57,'Adient Assende (Belgium) WK.17'!$B:EH,EW$1,0),0)</f>
        <v>80</v>
      </c>
      <c r="EW57" s="55">
        <f>IFERROR(VLOOKUP($D57,'Adient Arendal (Malzia) WK.12'!$B:EI,EW$1,0),0)</f>
        <v>0</v>
      </c>
      <c r="EX57" s="55">
        <f>IFERROR(VLOOKUP($D57,'Adient Taizhou (China) WK.16'!$B:EL,EW$1,0),0)</f>
        <v>0</v>
      </c>
      <c r="EY57" s="128">
        <v>0</v>
      </c>
      <c r="EZ57" s="32">
        <v>0</v>
      </c>
      <c r="FA57" s="106">
        <f t="shared" si="251"/>
        <v>560</v>
      </c>
      <c r="FC57" s="37">
        <f t="shared" si="446"/>
        <v>560</v>
      </c>
      <c r="FD57" s="154">
        <f>IFERROR(VLOOKUP($D57,'Adient Assende (Belgium) WK.17'!$B:EP,FE$1,0),0)</f>
        <v>0</v>
      </c>
      <c r="FE57" s="154">
        <f>IFERROR(VLOOKUP($D57,'Adient Arendal (Malzia) WK.12'!$B:EQ,FE$1,0),0)</f>
        <v>0</v>
      </c>
      <c r="FF57" s="154">
        <f>IFERROR(VLOOKUP($D57,'Adient Taizhou (China) WK.16'!$B:ET,FE$1,0),0)</f>
        <v>0</v>
      </c>
      <c r="FG57" s="128">
        <v>0</v>
      </c>
      <c r="FH57" s="32">
        <v>0</v>
      </c>
      <c r="FI57" s="106">
        <f t="shared" si="252"/>
        <v>560</v>
      </c>
      <c r="FK57" s="37">
        <f t="shared" si="447"/>
        <v>560</v>
      </c>
      <c r="FL57" s="125">
        <f>IFERROR(VLOOKUP($D57,'Adient Assende (Belgium) WK.17'!$B:EX,FM$1,0),0)</f>
        <v>0</v>
      </c>
      <c r="FM57" s="55">
        <f>IFERROR(VLOOKUP($D57,'Adient Arendal (Malzia) WK.12'!$B:EY,FM$1,0),0)</f>
        <v>0</v>
      </c>
      <c r="FN57" s="55">
        <f>IFERROR(VLOOKUP($D57,'Adient Taizhou (China) WK.16'!$B:FB,FM$1,0),0)</f>
        <v>0</v>
      </c>
      <c r="FO57" s="128">
        <v>160</v>
      </c>
      <c r="FP57" s="32">
        <v>0</v>
      </c>
      <c r="FQ57" s="106">
        <f t="shared" si="253"/>
        <v>400</v>
      </c>
      <c r="FR57" s="8"/>
      <c r="FS57" s="37">
        <f t="shared" si="448"/>
        <v>400</v>
      </c>
      <c r="FT57" s="125">
        <f>IFERROR(VLOOKUP($D57,'Adient Assende (Belgium) WK.17'!$B:FF,FU$1,0),0)</f>
        <v>160</v>
      </c>
      <c r="FU57" s="55">
        <f>IFERROR(VLOOKUP($D57,'Adient Arendal (Malzia) WK.12'!$B:FG,FU$1,0),0)</f>
        <v>0</v>
      </c>
      <c r="FV57" s="55">
        <f>IFERROR(VLOOKUP($D57,'Adient Taizhou (China) WK.16'!$B:FJ,FU$1,0),0)</f>
        <v>0</v>
      </c>
      <c r="FW57" s="60">
        <v>0</v>
      </c>
      <c r="FX57" s="60">
        <v>0</v>
      </c>
      <c r="FY57" s="60">
        <v>0</v>
      </c>
      <c r="FZ57" s="60">
        <v>160</v>
      </c>
      <c r="GA57" s="60">
        <v>220</v>
      </c>
      <c r="GB57" s="128">
        <v>80</v>
      </c>
      <c r="GC57" s="32">
        <v>0</v>
      </c>
      <c r="GD57" s="106">
        <f t="shared" si="254"/>
        <v>700</v>
      </c>
      <c r="GF57" s="37">
        <f t="shared" si="449"/>
        <v>700</v>
      </c>
      <c r="GG57" s="125">
        <f>IFERROR(VLOOKUP($D57,'Adient Assende (Belgium) WK.17'!$B:FN,GH$1,0),0)</f>
        <v>80</v>
      </c>
      <c r="GH57" s="55">
        <f>IFERROR(VLOOKUP($D57,'Adient Arendal (Malzia) WK.12'!$B:FO,GH$1,0),0)</f>
        <v>0</v>
      </c>
      <c r="GI57" s="55">
        <f>IFERROR(VLOOKUP($D57,'Adient Taizhou (China) WK.16'!$B:FR,GH$1,0),0)</f>
        <v>0</v>
      </c>
      <c r="GJ57" s="60">
        <v>100</v>
      </c>
      <c r="GK57" s="128">
        <v>80</v>
      </c>
      <c r="GL57" s="32">
        <v>0</v>
      </c>
      <c r="GM57" s="106">
        <f t="shared" si="255"/>
        <v>720</v>
      </c>
      <c r="GO57" s="37">
        <f t="shared" si="450"/>
        <v>720</v>
      </c>
      <c r="GP57" s="125">
        <f>IFERROR(VLOOKUP($D57,'Adient Assende (Belgium) WK.17'!$B:FV,GQ$1,0),0)</f>
        <v>80</v>
      </c>
      <c r="GQ57" s="55">
        <f>IFERROR(VLOOKUP($D57,'Adient Arendal (Malzia) WK.12'!$B:FW,GQ$1,0),0)</f>
        <v>0</v>
      </c>
      <c r="GR57" s="55">
        <f>IFERROR(VLOOKUP($D57,'Adient Taizhou (China) WK.16'!$B:FZ,GQ$1,0),0)</f>
        <v>0</v>
      </c>
      <c r="GS57" s="60">
        <v>100</v>
      </c>
      <c r="GT57" s="128">
        <v>160</v>
      </c>
      <c r="GU57" s="32">
        <v>0</v>
      </c>
      <c r="GV57" s="106">
        <f t="shared" si="256"/>
        <v>660</v>
      </c>
      <c r="GW57" s="8"/>
      <c r="GX57" s="37">
        <f t="shared" si="451"/>
        <v>660</v>
      </c>
      <c r="GY57" s="125">
        <f>IFERROR(VLOOKUP($D57,'Adient Assende (Belgium) WK.17'!$B:GD,GZ$1,0),0)</f>
        <v>160</v>
      </c>
      <c r="GZ57" s="55">
        <f>IFERROR(VLOOKUP($D57,'Adient Arendal (Malzia) WK.12'!$B:GE,GZ$1,0),0)</f>
        <v>0</v>
      </c>
      <c r="HA57" s="55">
        <f>IFERROR(VLOOKUP($D57,'Adient Taizhou (China) WK.16'!$B:GH,GZ$1,0),0)</f>
        <v>0</v>
      </c>
      <c r="HB57" s="60">
        <v>0</v>
      </c>
      <c r="HC57" s="128">
        <v>80</v>
      </c>
      <c r="HD57" s="32">
        <v>0</v>
      </c>
      <c r="HE57" s="106">
        <f t="shared" si="257"/>
        <v>580</v>
      </c>
      <c r="HF57" s="8"/>
      <c r="HG57" s="37">
        <f t="shared" si="452"/>
        <v>580</v>
      </c>
      <c r="HH57" s="125">
        <f>IFERROR(VLOOKUP($D57,'Adient Assende (Belgium) WK.17'!$B:GL,HI$1,0),0)</f>
        <v>80</v>
      </c>
      <c r="HI57" s="55">
        <f>IFERROR(VLOOKUP($D57,'Adient Arendal (Malzia) WK.12'!$B:GM,HI$1,0),0)</f>
        <v>0</v>
      </c>
      <c r="HJ57" s="55">
        <f>IFERROR(VLOOKUP($D57,'Adient Taizhou (China) WK.16'!$B:GP,HI$1,0),0)</f>
        <v>0</v>
      </c>
      <c r="HK57" s="60">
        <v>160</v>
      </c>
      <c r="HL57" s="128">
        <v>80</v>
      </c>
      <c r="HM57" s="32">
        <v>0</v>
      </c>
      <c r="HN57" s="106">
        <f t="shared" si="258"/>
        <v>660</v>
      </c>
      <c r="HO57" s="8"/>
      <c r="HP57" s="37">
        <f t="shared" si="453"/>
        <v>660</v>
      </c>
      <c r="HQ57" s="125">
        <f>IFERROR(VLOOKUP($D57,'Adient Assende (Belgium) WK.17'!$B:GT,HR$1,0),0)</f>
        <v>80</v>
      </c>
      <c r="HR57" s="55">
        <f>IFERROR(VLOOKUP($D57,'Adient Arendal (Malzia) WK.12'!$B:GU,HR$1,0),0)</f>
        <v>0</v>
      </c>
      <c r="HS57" s="55">
        <f>IFERROR(VLOOKUP($D57,'Adient Taizhou (China) WK.16'!$B:GX,HR$1,0),0)</f>
        <v>0</v>
      </c>
      <c r="HT57" s="60">
        <v>0</v>
      </c>
      <c r="HU57" s="128">
        <v>80</v>
      </c>
      <c r="HV57" s="32">
        <v>0</v>
      </c>
      <c r="HW57" s="106">
        <f t="shared" si="259"/>
        <v>580</v>
      </c>
      <c r="HX57" s="8"/>
      <c r="HY57" s="37">
        <f t="shared" si="454"/>
        <v>580</v>
      </c>
      <c r="HZ57" s="125">
        <f>IFERROR(VLOOKUP($D57,'Adient Assende (Belgium) WK.17'!$B:HB,IA$1,0),0)</f>
        <v>80</v>
      </c>
      <c r="IA57" s="55">
        <f>IFERROR(VLOOKUP($D57,'Adient Arendal (Malzia) WK.12'!$B:HC,IA$1,0),0)</f>
        <v>0</v>
      </c>
      <c r="IB57" s="55">
        <f>IFERROR(VLOOKUP($D57,'Adient Taizhou (China) WK.16'!$B:HF,IA$1,0),0)</f>
        <v>0</v>
      </c>
      <c r="IC57" s="60">
        <v>260</v>
      </c>
      <c r="ID57" s="128">
        <v>160</v>
      </c>
      <c r="IE57" s="32">
        <v>0</v>
      </c>
      <c r="IF57" s="106">
        <f t="shared" si="260"/>
        <v>680</v>
      </c>
      <c r="IG57" s="8"/>
      <c r="IH57" s="37">
        <f t="shared" si="455"/>
        <v>680</v>
      </c>
      <c r="II57" s="125">
        <f>IFERROR(VLOOKUP($D57,'Adient Assende (Belgium) WK.17'!$B:HJ,IJ$1,0),0)</f>
        <v>160</v>
      </c>
      <c r="IJ57" s="55">
        <f>IFERROR(VLOOKUP($D57,'Adient Arendal (Malzia) WK.12'!$B:HK,IJ$1,0),0)</f>
        <v>0</v>
      </c>
      <c r="IK57" s="55">
        <f>IFERROR(VLOOKUP($D57,'Adient Taizhou (China) WK.16'!$B:HN,IJ$1,0),0)</f>
        <v>0</v>
      </c>
      <c r="IL57" s="128">
        <v>80</v>
      </c>
      <c r="IM57" s="32">
        <v>0</v>
      </c>
      <c r="IN57" s="106">
        <f t="shared" si="456"/>
        <v>600</v>
      </c>
      <c r="IO57" s="8"/>
      <c r="IP57" s="37">
        <f t="shared" si="457"/>
        <v>600</v>
      </c>
      <c r="IQ57" s="125">
        <f>IFERROR(VLOOKUP($D57,'Adient Assende (Belgium) WK.17'!$B:HR,IR$1,0),0)</f>
        <v>80</v>
      </c>
      <c r="IR57" s="55">
        <f>IFERROR(VLOOKUP($D57,'Adient Arendal (Malzia) WK.12'!$B:HS,IR$1,0),0)</f>
        <v>0</v>
      </c>
      <c r="IS57" s="55">
        <f>IFERROR(VLOOKUP($D57,'Adient Taizhou (China) WK.16'!$B:HV,IR$1,0),0)</f>
        <v>0</v>
      </c>
      <c r="IT57" s="60">
        <v>0</v>
      </c>
      <c r="IU57" s="128">
        <v>80</v>
      </c>
      <c r="IV57" s="32">
        <v>0</v>
      </c>
      <c r="IW57" s="106">
        <f t="shared" si="261"/>
        <v>520</v>
      </c>
      <c r="IX57" s="8"/>
      <c r="IY57" s="37">
        <f t="shared" si="458"/>
        <v>520</v>
      </c>
      <c r="IZ57" s="125">
        <f>IFERROR(VLOOKUP($D57,'Adient Assende (Belgium) WK.17'!$B:HZ,JA$1,0),0)</f>
        <v>80</v>
      </c>
      <c r="JA57" s="55">
        <f>IFERROR(VLOOKUP($D57,'Adient Arendal (Malzia) WK.12'!$B:IA,JA$1,0),0)</f>
        <v>0</v>
      </c>
      <c r="JB57" s="55">
        <f>IFERROR(VLOOKUP($D57,'Adient Taizhou (China) WK.16'!$B:ID,JA$1,0),0)</f>
        <v>0</v>
      </c>
      <c r="JC57" s="128">
        <v>80</v>
      </c>
      <c r="JD57" s="32">
        <v>0</v>
      </c>
      <c r="JE57" s="106">
        <f t="shared" si="459"/>
        <v>440</v>
      </c>
      <c r="JF57" s="8"/>
      <c r="JG57" s="37">
        <f t="shared" si="460"/>
        <v>440</v>
      </c>
      <c r="JH57" s="125">
        <f>IFERROR(VLOOKUP($D57,'Adient Assende (Belgium) WK.17'!$B:IH,JI$1,0),0)</f>
        <v>80</v>
      </c>
      <c r="JI57" s="55">
        <f>IFERROR(VLOOKUP($D57,'Adient Arendal (Malzia) WK.12'!$B:II,JI$1,0),0)</f>
        <v>0</v>
      </c>
      <c r="JJ57" s="55">
        <f>IFERROR(VLOOKUP($D57,'Adient Taizhou (China) WK.16'!$B:IL,JI$1,0),0)</f>
        <v>0</v>
      </c>
      <c r="JK57" s="60">
        <v>0</v>
      </c>
      <c r="JL57" s="128">
        <v>160</v>
      </c>
      <c r="JM57" s="32">
        <v>0</v>
      </c>
      <c r="JN57" s="106">
        <f t="shared" si="262"/>
        <v>280</v>
      </c>
      <c r="JO57" s="8"/>
      <c r="JP57" s="37">
        <f t="shared" si="461"/>
        <v>280</v>
      </c>
      <c r="JQ57" s="125">
        <f>IFERROR(VLOOKUP($D57,'Adient Assende (Belgium) WK.17'!$B:IP,JR$1,0),0)</f>
        <v>160</v>
      </c>
      <c r="JR57" s="55">
        <f>IFERROR(VLOOKUP($D57,'Adient Arendal (Malzia) WK.12'!$B:IQ,JR$1,0),0)</f>
        <v>0</v>
      </c>
      <c r="JS57" s="55">
        <f>IFERROR(VLOOKUP($D57,'Adient Taizhou (China) WK.16'!$B:IT,JR$1,0),0)</f>
        <v>0</v>
      </c>
      <c r="JT57" s="128">
        <v>0</v>
      </c>
      <c r="JU57" s="32">
        <v>0</v>
      </c>
      <c r="JV57" s="106">
        <f t="shared" si="462"/>
        <v>280</v>
      </c>
      <c r="JW57" s="8"/>
      <c r="JX57" s="37">
        <f t="shared" si="463"/>
        <v>280</v>
      </c>
      <c r="JY57" s="154">
        <f>IFERROR(VLOOKUP($D57,'Adient Assende (Belgium) WK.17'!$B:IX,JZ$1,0),0)</f>
        <v>0</v>
      </c>
      <c r="JZ57" s="55">
        <f>IFERROR(VLOOKUP($D57,'Adient Arendal (Malzia) WK.12'!$B:IY,JZ$1,0),0)</f>
        <v>0</v>
      </c>
      <c r="KA57" s="55">
        <f>IFERROR(VLOOKUP($D57,'Adient Taizhou (China) WK.16'!$B:JB,JZ$1,0),0)</f>
        <v>0</v>
      </c>
      <c r="KB57" s="128">
        <v>80</v>
      </c>
      <c r="KC57" s="32">
        <v>0</v>
      </c>
      <c r="KD57" s="106">
        <f t="shared" si="263"/>
        <v>200</v>
      </c>
      <c r="KE57" s="8"/>
      <c r="KF57" s="37">
        <f t="shared" si="464"/>
        <v>200</v>
      </c>
      <c r="KG57" s="125">
        <f>IFERROR(VLOOKUP($D57,'Adient Assende (Belgium) WK.17'!$B:JF,KH$1,0),0)</f>
        <v>80</v>
      </c>
      <c r="KH57" s="55">
        <f>IFERROR(VLOOKUP($D57,'Adient Arendal (Malzia) WK.12'!$B:JG,KH$1,0),0)</f>
        <v>0</v>
      </c>
      <c r="KI57" s="55">
        <f>IFERROR(VLOOKUP($D57,'Adient Taizhou (China) WK.16'!$B:JJ,KH$1,0),0)</f>
        <v>0</v>
      </c>
      <c r="KJ57" s="60">
        <v>0</v>
      </c>
      <c r="KK57" s="128">
        <v>80</v>
      </c>
      <c r="KL57" s="32">
        <v>0</v>
      </c>
      <c r="KM57" s="106">
        <f t="shared" si="264"/>
        <v>120</v>
      </c>
      <c r="KN57" s="8"/>
      <c r="KO57" s="37">
        <f t="shared" si="465"/>
        <v>120</v>
      </c>
      <c r="KP57" s="141">
        <f>IFERROR(VLOOKUP($D57,'Adient Assende (Belgium) WK.17'!$B:JN,KQ$1,0),0)</f>
        <v>80</v>
      </c>
      <c r="KQ57" s="140">
        <f>IFERROR(VLOOKUP($D57,'Adient Arendal (Malzia) WK.12'!$B:JO,KQ$1,0),0)</f>
        <v>0</v>
      </c>
      <c r="KR57" s="140">
        <f>IFERROR(VLOOKUP($D57,'Adient Taizhou (China) WK.16'!$B:JR,KQ$1,0),0)</f>
        <v>0</v>
      </c>
      <c r="KS57" s="60">
        <v>160</v>
      </c>
      <c r="KT57" s="128">
        <v>0</v>
      </c>
      <c r="KU57" s="32">
        <v>0</v>
      </c>
      <c r="KV57" s="106">
        <f t="shared" si="265"/>
        <v>280</v>
      </c>
      <c r="KX57" s="37">
        <f t="shared" si="466"/>
        <v>280</v>
      </c>
      <c r="KY57" s="141">
        <f>IFERROR(VLOOKUP($D57,'Adient Assende (Belgium) WK.17'!$B:JV,KZ$1,0),0)</f>
        <v>0</v>
      </c>
      <c r="KZ57" s="140">
        <f>IFERROR(VLOOKUP($D57,'Adient Arendal (Malzia) WK.12'!$B:JW,KZ$1,0),0)</f>
        <v>0</v>
      </c>
      <c r="LA57" s="140">
        <f>IFERROR(VLOOKUP($D57,'Adient Taizhou (China) WK.16'!$B:JZ,KZ$1,0),0)</f>
        <v>0</v>
      </c>
      <c r="LB57" s="128">
        <v>0</v>
      </c>
      <c r="LC57" s="32">
        <v>0</v>
      </c>
      <c r="LD57" s="106">
        <f t="shared" si="467"/>
        <v>280</v>
      </c>
      <c r="LF57" s="37">
        <f t="shared" si="468"/>
        <v>280</v>
      </c>
      <c r="LG57" s="141">
        <f>IFERROR(VLOOKUP($D57,'Adient Assende (Belgium) WK.17'!$B:KD,LH$1,0),0)</f>
        <v>160</v>
      </c>
      <c r="LH57" s="140">
        <f>IFERROR(VLOOKUP($D57,'Adient Arendal (Malzia) WK.12'!$B:KE,LH$1,0),0)</f>
        <v>0</v>
      </c>
      <c r="LI57" s="140">
        <f>IFERROR(VLOOKUP($D57,'Adient Taizhou (China) WK.16'!$B:KH,LH$1,0),0)</f>
        <v>0</v>
      </c>
      <c r="LJ57" s="60">
        <v>0</v>
      </c>
      <c r="LK57" s="128">
        <v>0</v>
      </c>
      <c r="LL57" s="32">
        <v>0</v>
      </c>
      <c r="LM57" s="100">
        <f t="shared" si="267"/>
        <v>120</v>
      </c>
      <c r="LO57" s="37">
        <f t="shared" si="469"/>
        <v>120</v>
      </c>
      <c r="LP57" s="141">
        <f>IFERROR(VLOOKUP($D57,'Adient Assende (Belgium) WK.17'!$B:KL,LQ$1,0),0)</f>
        <v>80</v>
      </c>
      <c r="LQ57" s="140">
        <f>IFERROR(VLOOKUP($D57,'Adient Arendal (Malzia) WK.12'!$B:KM,LQ$1,0),0)</f>
        <v>0</v>
      </c>
      <c r="LR57" s="140">
        <f>IFERROR(VLOOKUP($D57,'Adient Taizhou (China) WK.16'!$B:KP,LQ$1,0),0)</f>
        <v>0</v>
      </c>
      <c r="LS57" s="128">
        <v>0</v>
      </c>
      <c r="LT57" s="32">
        <v>0</v>
      </c>
      <c r="LU57" s="100">
        <f t="shared" si="470"/>
        <v>40</v>
      </c>
      <c r="LW57" s="37">
        <f t="shared" si="471"/>
        <v>40</v>
      </c>
      <c r="LX57" s="141">
        <f>IFERROR(VLOOKUP($D57,'Adient Assende (Belgium) WK.17'!$B:KT,LY$1,0),0)</f>
        <v>160</v>
      </c>
      <c r="LY57" s="140">
        <f>IFERROR(VLOOKUP($D57,'Adient Arendal (Malzia) WK.12'!$B:KU,LY$1,0),0)</f>
        <v>0</v>
      </c>
      <c r="LZ57" s="140">
        <f>IFERROR(VLOOKUP($D57,'Adient Taizhou (China) WK.16'!$B:KX,LY$1,0),0)</f>
        <v>0</v>
      </c>
      <c r="MA57" s="128">
        <v>0</v>
      </c>
      <c r="MB57" s="32">
        <v>0</v>
      </c>
      <c r="MC57" s="100">
        <f t="shared" si="472"/>
        <v>-120</v>
      </c>
      <c r="ME57" s="37">
        <f t="shared" si="473"/>
        <v>-120</v>
      </c>
      <c r="MF57" s="154">
        <f>IFERROR(VLOOKUP($D57,'Adient Assende (Belgium) WK.17'!$B:LB,MG$1,0),0)</f>
        <v>0</v>
      </c>
      <c r="MG57" s="140">
        <f>IFERROR(VLOOKUP($D57,'Adient Arendal (Malzia) WK.12'!$B:LC,MG$1,0),0)</f>
        <v>0</v>
      </c>
      <c r="MH57" s="140">
        <f>IFERROR(VLOOKUP($D57,'Adient Taizhou (China) WK.16'!$B:LF,MG$1,0),0)</f>
        <v>0</v>
      </c>
      <c r="MI57" s="128">
        <v>0</v>
      </c>
      <c r="MJ57" s="32">
        <v>0</v>
      </c>
      <c r="MK57" s="100">
        <f t="shared" si="474"/>
        <v>-120</v>
      </c>
      <c r="MM57" s="37">
        <f t="shared" si="475"/>
        <v>-120</v>
      </c>
      <c r="MN57" s="141">
        <f>IFERROR(VLOOKUP($D57,'Adient Assende (Belgium) WK.17'!$B:LJ,MO$1,0),0)</f>
        <v>80</v>
      </c>
      <c r="MO57" s="140">
        <f>IFERROR(VLOOKUP($D57,'Adient Arendal (Malzia) WK.12'!$B:LK,MO$1,0),0)</f>
        <v>0</v>
      </c>
      <c r="MP57" s="140">
        <f>IFERROR(VLOOKUP($D57,'Adient Taizhou (China) WK.16'!$B:LN,MO$1,0),0)</f>
        <v>0</v>
      </c>
      <c r="MQ57" s="128">
        <v>0</v>
      </c>
      <c r="MR57" s="32">
        <v>0</v>
      </c>
      <c r="MS57" s="100">
        <f t="shared" si="476"/>
        <v>-200</v>
      </c>
      <c r="MU57" s="37">
        <f t="shared" si="477"/>
        <v>-200</v>
      </c>
      <c r="MV57" s="141">
        <f>IFERROR(VLOOKUP($D57,'Adient Assende (Belgium) WK.17'!$B:LR,MW$1,0),0)</f>
        <v>160</v>
      </c>
      <c r="MW57" s="140">
        <f>IFERROR(VLOOKUP($D57,'Adient Arendal (Malzia) WK.12'!$B:LS,MW$1,0),0)</f>
        <v>0</v>
      </c>
      <c r="MX57" s="140">
        <f>IFERROR(VLOOKUP($D57,'Adient Taizhou (China) WK.16'!$B:LV,MW$1,0),0)</f>
        <v>0</v>
      </c>
      <c r="MY57" s="128">
        <v>0</v>
      </c>
      <c r="MZ57" s="32">
        <v>0</v>
      </c>
      <c r="NA57" s="100">
        <f t="shared" si="478"/>
        <v>-360</v>
      </c>
      <c r="NC57" s="37">
        <f t="shared" si="479"/>
        <v>-360</v>
      </c>
      <c r="ND57" s="141">
        <f>IFERROR(VLOOKUP($D57,'Adient Assende (Belgium) WK.17'!$B:LZ,NE$1,0),0)</f>
        <v>160</v>
      </c>
      <c r="NE57" s="140">
        <f>IFERROR(VLOOKUP($D57,'Adient Arendal (Malzia) WK.12'!$B:MA,NE$1,0),0)</f>
        <v>0</v>
      </c>
      <c r="NF57" s="140">
        <f>IFERROR(VLOOKUP($D57,'Adient Taizhou (China) WK.16'!$B:MD,NE$1,0),0)</f>
        <v>0</v>
      </c>
      <c r="NG57" s="128">
        <v>0</v>
      </c>
      <c r="NH57" s="32">
        <v>0</v>
      </c>
      <c r="NI57" s="100">
        <f t="shared" si="480"/>
        <v>-520</v>
      </c>
      <c r="NK57" s="37">
        <f t="shared" si="481"/>
        <v>-520</v>
      </c>
      <c r="NL57" s="141">
        <f>IFERROR(VLOOKUP($D57,'Adient Assende (Belgium) WK.17'!$B:MH,NM$1,0),0)</f>
        <v>80</v>
      </c>
      <c r="NM57" s="140">
        <f>IFERROR(VLOOKUP($D57,'Adient Arendal (Malzia) WK.12'!$B:MI,NM$1,0),0)</f>
        <v>0</v>
      </c>
      <c r="NN57" s="140">
        <f>IFERROR(VLOOKUP($D57,'Adient Taizhou (China) WK.16'!$B:ML,NM$1,0),0)</f>
        <v>0</v>
      </c>
      <c r="NO57" s="128">
        <v>0</v>
      </c>
      <c r="NP57" s="32">
        <v>0</v>
      </c>
      <c r="NQ57" s="100">
        <f t="shared" si="482"/>
        <v>-600</v>
      </c>
      <c r="NS57" s="37">
        <f t="shared" si="483"/>
        <v>-600</v>
      </c>
      <c r="NT57" s="141">
        <f>IFERROR(VLOOKUP($D57,'Adient Assende (Belgium) WK.17'!$B:MP,NU$1,0),0)</f>
        <v>160</v>
      </c>
      <c r="NU57" s="140">
        <f>IFERROR(VLOOKUP($D57,'Adient Arendal (Malzia) WK.12'!$B:MQ,NU$1,0),0)</f>
        <v>0</v>
      </c>
      <c r="NV57" s="140">
        <f>IFERROR(VLOOKUP($D57,'Adient Taizhou (China) WK.16'!$B:MT,NU$1,0),0)</f>
        <v>0</v>
      </c>
      <c r="NW57" s="128">
        <v>0</v>
      </c>
      <c r="NX57" s="32">
        <v>0</v>
      </c>
      <c r="NY57" s="100">
        <f t="shared" si="484"/>
        <v>-760</v>
      </c>
      <c r="OA57" s="37">
        <f t="shared" si="485"/>
        <v>-760</v>
      </c>
      <c r="OB57" s="141">
        <f>IFERROR(VLOOKUP($D57,'Adient Assende (Belgium) WK.17'!$B:MX,OC$1,0),0)</f>
        <v>80</v>
      </c>
      <c r="OC57" s="140">
        <f>IFERROR(VLOOKUP($D57,'Adient Arendal (Malzia) WK.12'!$B:MY,OC$1,0),0)</f>
        <v>0</v>
      </c>
      <c r="OD57" s="140">
        <f>IFERROR(VLOOKUP($D57,'Adient Taizhou (China) WK.16'!$B:NB,OC$1,0),0)</f>
        <v>0</v>
      </c>
      <c r="OE57" s="128">
        <v>0</v>
      </c>
      <c r="OF57" s="32">
        <v>0</v>
      </c>
      <c r="OG57" s="100">
        <f t="shared" si="486"/>
        <v>-840</v>
      </c>
      <c r="OI57" s="37">
        <f t="shared" si="487"/>
        <v>-840</v>
      </c>
      <c r="OJ57" s="141">
        <f>IFERROR(VLOOKUP($D57,'Adient Assende (Belgium) WK.17'!$B:NF,OK$1,0),0)</f>
        <v>160</v>
      </c>
      <c r="OK57" s="140">
        <f>IFERROR(VLOOKUP($D57,'Adient Arendal (Malzia) WK.12'!$B:NG,OK$1,0),0)</f>
        <v>0</v>
      </c>
      <c r="OL57" s="140">
        <f>IFERROR(VLOOKUP($D57,'Adient Taizhou (China) WK.16'!$B:NJ,OK$1,0),0)</f>
        <v>0</v>
      </c>
      <c r="OM57" s="128">
        <v>0</v>
      </c>
      <c r="ON57" s="32">
        <v>0</v>
      </c>
      <c r="OO57" s="100">
        <f t="shared" si="488"/>
        <v>-1000</v>
      </c>
      <c r="OQ57" s="37">
        <f t="shared" si="489"/>
        <v>-1000</v>
      </c>
      <c r="OR57" s="141">
        <f>IFERROR(VLOOKUP($D57,'Adient Assende (Belgium) WK.17'!$B:NN,OS$1,0),0)</f>
        <v>0</v>
      </c>
      <c r="OS57" s="140">
        <f>IFERROR(VLOOKUP($D57,'Adient Arendal (Malzia) WK.12'!$B:NO,OS$1,0),0)</f>
        <v>0</v>
      </c>
      <c r="OT57" s="140">
        <f>IFERROR(VLOOKUP($D57,'Adient Taizhou (China) WK.16'!$B:NR,OS$1,0),0)</f>
        <v>0</v>
      </c>
      <c r="OU57" s="128">
        <v>0</v>
      </c>
      <c r="OV57" s="32">
        <v>0</v>
      </c>
      <c r="OW57" s="100">
        <f t="shared" si="490"/>
        <v>-1000</v>
      </c>
      <c r="OY57" s="37">
        <f t="shared" si="491"/>
        <v>-1000</v>
      </c>
      <c r="OZ57" s="141">
        <f>IFERROR(VLOOKUP($D57,'Adient Assende (Belgium) WK.17'!$B:NV,PA$1,0),0)</f>
        <v>0</v>
      </c>
      <c r="PA57" s="140">
        <f>IFERROR(VLOOKUP($D57,'Adient Arendal (Malzia) WK.12'!$B:NW,PA$1,0),0)</f>
        <v>0</v>
      </c>
      <c r="PB57" s="140">
        <f>IFERROR(VLOOKUP($D57,'Adient Taizhou (China) WK.16'!$B:NZ,PA$1,0),0)</f>
        <v>0</v>
      </c>
      <c r="PC57" s="128">
        <v>0</v>
      </c>
      <c r="PD57" s="32">
        <v>0</v>
      </c>
      <c r="PE57" s="100">
        <f t="shared" si="492"/>
        <v>-1000</v>
      </c>
      <c r="PG57" s="37">
        <f t="shared" si="493"/>
        <v>-1000</v>
      </c>
      <c r="PH57" s="141">
        <f>IFERROR(VLOOKUP($D57,'Adient Assende (Belgium) WK.17'!$B:OD,PI$1,0),0)</f>
        <v>0</v>
      </c>
      <c r="PI57" s="140">
        <f>IFERROR(VLOOKUP($D57,'Adient Arendal (Malzia) WK.12'!$B:OE,PI$1,0),0)</f>
        <v>0</v>
      </c>
      <c r="PJ57" s="140">
        <f>IFERROR(VLOOKUP($D57,'Adient Taizhou (China) WK.16'!$B:OH,PI$1,0),0)</f>
        <v>0</v>
      </c>
      <c r="PK57" s="128">
        <v>0</v>
      </c>
      <c r="PL57" s="32">
        <v>0</v>
      </c>
      <c r="PM57" s="100">
        <f t="shared" si="494"/>
        <v>-1000</v>
      </c>
      <c r="PO57" s="37">
        <f t="shared" si="495"/>
        <v>-1000</v>
      </c>
      <c r="PP57" s="141">
        <f>IFERROR(VLOOKUP($D57,'Adient Assende (Belgium) WK.17'!$B:OL,PQ$1,0),0)</f>
        <v>0</v>
      </c>
      <c r="PQ57" s="140">
        <f>IFERROR(VLOOKUP($D57,'Adient Arendal (Malzia) WK.12'!$B:OM,PQ$1,0),0)</f>
        <v>0</v>
      </c>
      <c r="PR57" s="140">
        <f>IFERROR(VLOOKUP($D57,'Adient Taizhou (China) WK.16'!$B:OP,PQ$1,0),0)</f>
        <v>0</v>
      </c>
      <c r="PS57" s="128">
        <v>0</v>
      </c>
      <c r="PT57" s="32">
        <v>0</v>
      </c>
      <c r="PU57" s="100">
        <f t="shared" si="496"/>
        <v>-1000</v>
      </c>
      <c r="PW57" s="37">
        <f t="shared" si="497"/>
        <v>-1000</v>
      </c>
      <c r="PX57" s="141">
        <f>IFERROR(VLOOKUP($D57,'Adient Assende (Belgium) WK.17'!$B:OT,PY$1,0),0)</f>
        <v>160</v>
      </c>
      <c r="PY57" s="140">
        <f>IFERROR(VLOOKUP($D57,'Adient Arendal (Malzia) WK.12'!$B:OU,PY$1,0),0)</f>
        <v>0</v>
      </c>
      <c r="PZ57" s="140">
        <f>IFERROR(VLOOKUP($D57,'Adient Taizhou (China) WK.16'!$B:OX,PY$1,0),0)</f>
        <v>0</v>
      </c>
      <c r="QA57" s="128">
        <v>0</v>
      </c>
      <c r="QB57" s="32">
        <v>0</v>
      </c>
      <c r="QC57" s="100">
        <f t="shared" si="498"/>
        <v>-1160</v>
      </c>
      <c r="QE57" s="37">
        <f t="shared" si="499"/>
        <v>-1160</v>
      </c>
      <c r="QF57" s="141">
        <f>IFERROR(VLOOKUP($D57,'Adient Assende (Belgium) WK.17'!$B:PB,QG$1,0),0)</f>
        <v>80</v>
      </c>
      <c r="QG57" s="140">
        <f>IFERROR(VLOOKUP($D57,'Adient Arendal (Malzia) WK.12'!$B:PC,QG$1,0),0)</f>
        <v>0</v>
      </c>
      <c r="QH57" s="140">
        <f>IFERROR(VLOOKUP($D57,'Adient Taizhou (China) WK.16'!$B:PF,QG$1,0),0)</f>
        <v>0</v>
      </c>
      <c r="QI57" s="128">
        <v>0</v>
      </c>
      <c r="QJ57" s="32">
        <v>0</v>
      </c>
      <c r="QK57" s="100">
        <f t="shared" si="500"/>
        <v>-1240</v>
      </c>
      <c r="QM57" s="37">
        <f t="shared" si="501"/>
        <v>-1240</v>
      </c>
      <c r="QN57" s="141">
        <f>IFERROR(VLOOKUP($D57,'Adient Assende (Belgium) WK.17'!$B:PJ,QO$1,0),0)</f>
        <v>160</v>
      </c>
      <c r="QO57" s="140">
        <f>IFERROR(VLOOKUP($D57,'Adient Arendal (Malzia) WK.12'!$B:PK,QO$1,0),0)</f>
        <v>0</v>
      </c>
      <c r="QP57" s="140">
        <f>IFERROR(VLOOKUP($D57,'Adient Taizhou (China) WK.16'!$B:PN,QO$1,0),0)</f>
        <v>0</v>
      </c>
      <c r="QQ57" s="128">
        <v>0</v>
      </c>
      <c r="QR57" s="32">
        <v>0</v>
      </c>
      <c r="QS57" s="100">
        <f t="shared" si="502"/>
        <v>-1400</v>
      </c>
      <c r="QU57" s="37">
        <f t="shared" si="503"/>
        <v>-1400</v>
      </c>
      <c r="QV57" s="141">
        <f>IFERROR(VLOOKUP($D57,'Adient Assende (Belgium) WK.17'!$B:PR,QW$1,0),0)</f>
        <v>100</v>
      </c>
      <c r="QW57" s="140">
        <f>IFERROR(VLOOKUP($D57,'Adient Arendal (Malzia) WK.12'!$B:PS,QW$1,0),0)</f>
        <v>0</v>
      </c>
      <c r="QX57" s="140">
        <f>IFERROR(VLOOKUP($D57,'Adient Taizhou (China) WK.16'!$B:PV,QW$1,0),0)</f>
        <v>0</v>
      </c>
      <c r="QY57" s="128">
        <v>0</v>
      </c>
      <c r="QZ57" s="32">
        <v>0</v>
      </c>
      <c r="RA57" s="100">
        <f t="shared" si="504"/>
        <v>-1500</v>
      </c>
      <c r="RC57" s="37">
        <f t="shared" si="505"/>
        <v>-1500</v>
      </c>
      <c r="RD57" s="141">
        <f>IFERROR(VLOOKUP($D57,'Adient Assende (Belgium) WK.17'!$B:PZ,RE$1,0),0)</f>
        <v>100</v>
      </c>
      <c r="RE57" s="140">
        <f>IFERROR(VLOOKUP($D57,'Adient Arendal (Malzia) WK.12'!$B:QA,RE$1,0),0)</f>
        <v>0</v>
      </c>
      <c r="RF57" s="140">
        <f>IFERROR(VLOOKUP($D57,'Adient Taizhou (China) WK.16'!$B:QD,RE$1,0),0)</f>
        <v>0</v>
      </c>
      <c r="RG57" s="128">
        <v>0</v>
      </c>
      <c r="RH57" s="32">
        <v>0</v>
      </c>
      <c r="RI57" s="100">
        <f t="shared" si="506"/>
        <v>-1600</v>
      </c>
      <c r="RK57" s="37">
        <f t="shared" si="507"/>
        <v>-1600</v>
      </c>
      <c r="RL57" s="141">
        <f>IFERROR(VLOOKUP($D57,'Adient Assende (Belgium) WK.17'!$B:QH,RM$1,0),0)</f>
        <v>100</v>
      </c>
      <c r="RM57" s="140">
        <f>IFERROR(VLOOKUP($D57,'Adient Arendal (Malzia) WK.12'!$B:QI,RM$1,0),0)</f>
        <v>0</v>
      </c>
      <c r="RN57" s="140">
        <f>IFERROR(VLOOKUP($D57,'Adient Taizhou (China) WK.16'!$B:QL,RM$1,0),0)</f>
        <v>0</v>
      </c>
      <c r="RO57" s="128">
        <v>0</v>
      </c>
      <c r="RP57" s="32">
        <v>0</v>
      </c>
      <c r="RQ57" s="100">
        <f t="shared" si="508"/>
        <v>-1700</v>
      </c>
      <c r="RS57" s="37">
        <f t="shared" si="509"/>
        <v>-1700</v>
      </c>
      <c r="RT57" s="141">
        <f>IFERROR(VLOOKUP($D57,'Adient Assende (Belgium) WK.17'!$B:QP,RU$1,0),0)</f>
        <v>100</v>
      </c>
      <c r="RU57" s="140">
        <f>IFERROR(VLOOKUP($D57,'Adient Arendal (Malzia) WK.12'!$B:QQ,RU$1,0),0)</f>
        <v>0</v>
      </c>
      <c r="RV57" s="140">
        <f>IFERROR(VLOOKUP($D57,'Adient Taizhou (China) WK.16'!$B:QT,RU$1,0),0)</f>
        <v>0</v>
      </c>
      <c r="RW57" s="128">
        <v>0</v>
      </c>
      <c r="RX57" s="32">
        <v>0</v>
      </c>
      <c r="RY57" s="100">
        <f t="shared" si="510"/>
        <v>-1800</v>
      </c>
      <c r="SA57" s="37">
        <f t="shared" si="511"/>
        <v>-1800</v>
      </c>
      <c r="SB57" s="141">
        <f>IFERROR(VLOOKUP($D57,'Adient Assende (Belgium) WK.17'!$B:QX,SC$1,0),0)</f>
        <v>80</v>
      </c>
      <c r="SC57" s="140">
        <f>IFERROR(VLOOKUP($D57,'Adient Arendal (Malzia) WK.12'!$B:QY,SC$1,0),0)</f>
        <v>0</v>
      </c>
      <c r="SD57" s="140">
        <f>IFERROR(VLOOKUP($D57,'Adient Taizhou (China) WK.16'!$B:RB,SC$1,0),0)</f>
        <v>0</v>
      </c>
      <c r="SE57" s="128">
        <v>0</v>
      </c>
      <c r="SF57" s="32">
        <v>0</v>
      </c>
      <c r="SG57" s="100">
        <f t="shared" si="512"/>
        <v>-1880</v>
      </c>
      <c r="SI57" s="37">
        <f t="shared" si="513"/>
        <v>-1880</v>
      </c>
      <c r="SJ57" s="141">
        <f>IFERROR(VLOOKUP($D57,'Adient Assende (Belgium) WK.17'!$B:RF,SK$1,0),0)</f>
        <v>80</v>
      </c>
      <c r="SK57" s="140">
        <f>IFERROR(VLOOKUP($D57,'Adient Arendal (Malzia) WK.12'!$B:RG,SK$1,0),0)</f>
        <v>0</v>
      </c>
      <c r="SL57" s="140">
        <f>IFERROR(VLOOKUP($D57,'Adient Taizhou (China) WK.16'!$B:RJ,SK$1,0),0)</f>
        <v>0</v>
      </c>
      <c r="SM57" s="128">
        <v>0</v>
      </c>
      <c r="SN57" s="32">
        <v>0</v>
      </c>
      <c r="SO57" s="100">
        <f t="shared" si="514"/>
        <v>-1960</v>
      </c>
      <c r="SQ57" s="37">
        <f t="shared" si="515"/>
        <v>-1960</v>
      </c>
      <c r="SR57" s="141">
        <f>IFERROR(VLOOKUP($D57,'Adient Assende (Belgium) WK.17'!$B:RN,SS$1,0),0)</f>
        <v>80</v>
      </c>
      <c r="SS57" s="140">
        <f>IFERROR(VLOOKUP($D57,'Adient Arendal (Malzia) WK.12'!$B:RO,SS$1,0),0)</f>
        <v>0</v>
      </c>
      <c r="ST57" s="140">
        <f>IFERROR(VLOOKUP($D57,'Adient Taizhou (China) WK.16'!$B:RR,SS$1,0),0)</f>
        <v>0</v>
      </c>
      <c r="SU57" s="128">
        <v>0</v>
      </c>
      <c r="SV57" s="32">
        <v>0</v>
      </c>
      <c r="SW57" s="100">
        <f t="shared" si="516"/>
        <v>-2040</v>
      </c>
      <c r="SY57" s="37">
        <f t="shared" si="517"/>
        <v>-2040</v>
      </c>
      <c r="SZ57" s="141">
        <f>IFERROR(VLOOKUP($D57,'Adient Assende (Belgium) WK.17'!$B:RV,TA$1,0),0)</f>
        <v>80</v>
      </c>
      <c r="TA57" s="140">
        <f>IFERROR(VLOOKUP($D57,'Adient Arendal (Malzia) WK.12'!$B:RW,TA$1,0),0)</f>
        <v>0</v>
      </c>
      <c r="TB57" s="140">
        <f>IFERROR(VLOOKUP($D57,'Adient Taizhou (China) WK.16'!$B:RZ,TA$1,0),0)</f>
        <v>0</v>
      </c>
      <c r="TC57" s="128">
        <v>0</v>
      </c>
      <c r="TD57" s="32">
        <v>0</v>
      </c>
      <c r="TE57" s="100">
        <f t="shared" si="518"/>
        <v>-2120</v>
      </c>
      <c r="TG57" s="37">
        <f t="shared" si="519"/>
        <v>-2120</v>
      </c>
      <c r="TH57" s="141">
        <f>IFERROR(VLOOKUP($D57,'Adient Assende (Belgium) WK.17'!$B:SD,TI$1,0),0)</f>
        <v>120</v>
      </c>
      <c r="TI57" s="140">
        <f>IFERROR(VLOOKUP($D57,'Adient Arendal (Malzia) WK.12'!$B:SE,TI$1,0),0)</f>
        <v>0</v>
      </c>
      <c r="TJ57" s="140">
        <f>IFERROR(VLOOKUP($D57,'Adient Taizhou (China) WK.16'!$B:SH,TI$1,0),0)</f>
        <v>0</v>
      </c>
      <c r="TK57" s="128">
        <v>0</v>
      </c>
      <c r="TL57" s="32">
        <v>0</v>
      </c>
      <c r="TM57" s="100">
        <f t="shared" si="520"/>
        <v>-2240</v>
      </c>
      <c r="TO57" s="37">
        <f t="shared" si="521"/>
        <v>-2240</v>
      </c>
      <c r="TP57" s="141">
        <f>IFERROR(VLOOKUP($D57,'Adient Assende (Belgium) WK.17'!$B:SL,TQ$1,0),0)</f>
        <v>120</v>
      </c>
      <c r="TQ57" s="140">
        <f>IFERROR(VLOOKUP($D57,'Adient Arendal (Malzia) WK.12'!$B:SM,TQ$1,0),0)</f>
        <v>0</v>
      </c>
      <c r="TR57" s="140">
        <f>IFERROR(VLOOKUP($D57,'Adient Taizhou (China) WK.16'!$B:SP,TQ$1,0),0)</f>
        <v>0</v>
      </c>
      <c r="TS57" s="128">
        <v>0</v>
      </c>
      <c r="TT57" s="32">
        <v>0</v>
      </c>
      <c r="TU57" s="100">
        <f t="shared" si="522"/>
        <v>-2360</v>
      </c>
      <c r="TW57" s="37">
        <f t="shared" si="523"/>
        <v>-2360</v>
      </c>
      <c r="TX57" s="141">
        <f>IFERROR(VLOOKUP($D57,'Adient Assende (Belgium) WK.17'!$B:ST,TY$1,0),0)</f>
        <v>120</v>
      </c>
      <c r="TY57" s="140">
        <f>IFERROR(VLOOKUP($D57,'Adient Arendal (Malzia) WK.12'!$B:SU,TY$1,0),0)</f>
        <v>0</v>
      </c>
      <c r="TZ57" s="140">
        <f>IFERROR(VLOOKUP($D57,'Adient Taizhou (China) WK.16'!$B:SX,TY$1,0),0)</f>
        <v>0</v>
      </c>
      <c r="UA57" s="128">
        <v>0</v>
      </c>
      <c r="UB57" s="32">
        <v>0</v>
      </c>
      <c r="UC57" s="100">
        <f t="shared" si="524"/>
        <v>-2480</v>
      </c>
      <c r="UE57" s="37">
        <f t="shared" si="525"/>
        <v>-2480</v>
      </c>
      <c r="UF57" s="141">
        <f>IFERROR(VLOOKUP($D57,'Adient Assende (Belgium) WK.17'!$B:TB,UG$1,0),0)</f>
        <v>120</v>
      </c>
      <c r="UG57" s="140">
        <f>IFERROR(VLOOKUP($D57,'Adient Arendal (Malzia) WK.12'!$B:TC,UG$1,0),0)</f>
        <v>0</v>
      </c>
      <c r="UH57" s="140">
        <f>IFERROR(VLOOKUP($D57,'Adient Taizhou (China) WK.16'!$B:TF,UG$1,0),0)</f>
        <v>0</v>
      </c>
      <c r="UI57" s="128">
        <v>0</v>
      </c>
      <c r="UJ57" s="32">
        <v>0</v>
      </c>
      <c r="UK57" s="100">
        <f t="shared" si="526"/>
        <v>-2600</v>
      </c>
      <c r="UM57" s="37">
        <f t="shared" si="527"/>
        <v>-2600</v>
      </c>
      <c r="UN57" s="141">
        <f>IFERROR(VLOOKUP($D57,'Adient Assende (Belgium) WK.17'!$B:TJ,UO$1,0),0)</f>
        <v>80</v>
      </c>
      <c r="UO57" s="140">
        <f>IFERROR(VLOOKUP($D57,'Adient Arendal (Malzia) WK.12'!$B:TK,UO$1,0),0)</f>
        <v>0</v>
      </c>
      <c r="UP57" s="140">
        <f>IFERROR(VLOOKUP($D57,'Adient Taizhou (China) WK.16'!$B:TN,UO$1,0),0)</f>
        <v>0</v>
      </c>
      <c r="UQ57" s="128">
        <v>0</v>
      </c>
      <c r="UR57" s="32">
        <v>0</v>
      </c>
      <c r="US57" s="100">
        <f t="shared" si="528"/>
        <v>-2680</v>
      </c>
      <c r="UU57" s="37">
        <f t="shared" si="529"/>
        <v>-2680</v>
      </c>
      <c r="UV57" s="141">
        <f>IFERROR(VLOOKUP($D57,'Adient Assende (Belgium) WK.17'!$B:TR,UW$1,0),0)</f>
        <v>80</v>
      </c>
      <c r="UW57" s="140">
        <f>IFERROR(VLOOKUP($D57,'Adient Arendal (Malzia) WK.12'!$B:TS,UW$1,0),0)</f>
        <v>0</v>
      </c>
      <c r="UX57" s="140">
        <f>IFERROR(VLOOKUP($D57,'Adient Taizhou (China) WK.16'!$B:TV,UW$1,0),0)</f>
        <v>0</v>
      </c>
      <c r="UY57" s="128">
        <v>0</v>
      </c>
      <c r="UZ57" s="32">
        <v>0</v>
      </c>
      <c r="VA57" s="100">
        <f t="shared" si="530"/>
        <v>-2760</v>
      </c>
      <c r="VC57" s="37">
        <f t="shared" si="531"/>
        <v>-2760</v>
      </c>
      <c r="VD57" s="141">
        <f>IFERROR(VLOOKUP($D57,'Adient Assende (Belgium) WK.17'!$B:TZ,VE$1,0),0)</f>
        <v>80</v>
      </c>
      <c r="VE57" s="140">
        <f>IFERROR(VLOOKUP($D57,'Adient Arendal (Malzia) WK.12'!$B:UA,VE$1,0),0)</f>
        <v>0</v>
      </c>
      <c r="VF57" s="140">
        <f>IFERROR(VLOOKUP($D57,'Adient Taizhou (China) WK.16'!$B:UD,VE$1,0),0)</f>
        <v>0</v>
      </c>
      <c r="VG57" s="128">
        <v>0</v>
      </c>
      <c r="VH57" s="32">
        <v>0</v>
      </c>
      <c r="VI57" s="100">
        <f t="shared" si="532"/>
        <v>-2840</v>
      </c>
      <c r="VK57" s="37">
        <f t="shared" si="533"/>
        <v>-2840</v>
      </c>
      <c r="VL57" s="141">
        <f>IFERROR(VLOOKUP($D57,'Adient Assende (Belgium) WK.17'!$B:UH,VM$1,0),0)</f>
        <v>0</v>
      </c>
      <c r="VM57" s="140">
        <f>IFERROR(VLOOKUP($D57,'Adient Arendal (Malzia) WK.12'!$B:UI,VM$1,0),0)</f>
        <v>0</v>
      </c>
      <c r="VN57" s="140">
        <f>IFERROR(VLOOKUP($D57,'Adient Taizhou (China) WK.16'!$B:UL,VM$1,0),0)</f>
        <v>0</v>
      </c>
      <c r="VO57" s="128">
        <v>0</v>
      </c>
      <c r="VP57" s="32">
        <v>0</v>
      </c>
      <c r="VQ57" s="100">
        <f t="shared" si="534"/>
        <v>-2840</v>
      </c>
    </row>
    <row r="58" spans="1:589" x14ac:dyDescent="0.25">
      <c r="A58" s="10" t="s">
        <v>18</v>
      </c>
      <c r="B58" s="11" t="s">
        <v>17</v>
      </c>
      <c r="C58" s="87">
        <v>32272880</v>
      </c>
      <c r="D58" s="81">
        <v>5080450</v>
      </c>
      <c r="E58" s="11">
        <v>20</v>
      </c>
      <c r="F58" s="12"/>
      <c r="H58" s="122">
        <v>0</v>
      </c>
      <c r="I58" s="125">
        <f>IFERROR(VLOOKUP($D58,'Adient Assende (Belgium) WK.17'!$B:C,J$1,0),0)</f>
        <v>0</v>
      </c>
      <c r="J58" s="55">
        <f>IFERROR(VLOOKUP($D58,'Adient Arendal (Malzia) WK.12'!$B:C,J$1,0),0)</f>
        <v>0</v>
      </c>
      <c r="K58" s="55">
        <f>IFERROR(VLOOKUP($D58,'Adient Taizhou (China) WK.16'!$B:C,J$1,0),0)</f>
        <v>0</v>
      </c>
      <c r="L58" s="128">
        <v>0</v>
      </c>
      <c r="M58" s="32">
        <v>0</v>
      </c>
      <c r="N58" s="106">
        <f t="shared" si="233"/>
        <v>0</v>
      </c>
      <c r="P58" s="37">
        <f t="shared" si="234"/>
        <v>0</v>
      </c>
      <c r="Q58" s="125">
        <f>IFERROR(VLOOKUP($D58,'Adient Assende (Belgium) WK.17'!$B:K,R$1,0),0)</f>
        <v>0</v>
      </c>
      <c r="R58" s="55">
        <f>IFERROR(VLOOKUP($D58,'Adient Arendal (Malzia) WK.12'!$B:K,R$1,0),0)</f>
        <v>0</v>
      </c>
      <c r="S58" s="55">
        <f>IFERROR(VLOOKUP($D58,'Adient Taizhou (China) WK.16'!$B:K,R$1,0),0)</f>
        <v>0</v>
      </c>
      <c r="T58" s="41">
        <v>0</v>
      </c>
      <c r="U58" s="32">
        <v>0</v>
      </c>
      <c r="V58" s="106">
        <f t="shared" si="235"/>
        <v>0</v>
      </c>
      <c r="X58" s="37">
        <f t="shared" si="236"/>
        <v>0</v>
      </c>
      <c r="Y58" s="125">
        <f>IFERROR(VLOOKUP($D58,'Adient Assende (Belgium) WK.17'!$B:S,Z$1,0),0)</f>
        <v>0</v>
      </c>
      <c r="Z58" s="55">
        <f>IFERROR(VLOOKUP($D58,'Adient Arendal (Malzia) WK.12'!$B:S,Z$1,0),0)</f>
        <v>0</v>
      </c>
      <c r="AA58" s="55">
        <f>IFERROR(VLOOKUP($D58,'Adient Taizhou (China) WK.16'!$B:S,Z$1,0),0)</f>
        <v>0</v>
      </c>
      <c r="AB58" s="41">
        <v>0</v>
      </c>
      <c r="AC58" s="32">
        <v>0</v>
      </c>
      <c r="AD58" s="106">
        <f t="shared" si="237"/>
        <v>0</v>
      </c>
      <c r="AF58" s="37">
        <f t="shared" si="238"/>
        <v>0</v>
      </c>
      <c r="AG58" s="125">
        <f>IFERROR(VLOOKUP($D58,'Adient Assende (Belgium) WK.17'!$B:AA,AH$1,0),0)</f>
        <v>0</v>
      </c>
      <c r="AH58" s="55">
        <f>IFERROR(VLOOKUP($D58,'Adient Arendal (Malzia) WK.12'!$B:AA,AH$1,0),0)</f>
        <v>0</v>
      </c>
      <c r="AI58" s="55">
        <f>IFERROR(VLOOKUP($D58,'Adient Taizhou (China) WK.16'!$B:AA,AH$1,0),0)</f>
        <v>0</v>
      </c>
      <c r="AJ58" s="41">
        <v>0</v>
      </c>
      <c r="AK58" s="32">
        <v>0</v>
      </c>
      <c r="AL58" s="106">
        <f t="shared" si="239"/>
        <v>0</v>
      </c>
      <c r="AN58" s="37">
        <f t="shared" si="432"/>
        <v>0</v>
      </c>
      <c r="AO58" s="125">
        <f>IFERROR(VLOOKUP($D58,'Adient Assende (Belgium) WK.17'!$B:AI,AP$1,0),0)</f>
        <v>0</v>
      </c>
      <c r="AP58" s="55">
        <f>IFERROR(VLOOKUP($D58,'Adient Arendal (Malzia) WK.12'!$B:AI,AP$1,0),0)</f>
        <v>0</v>
      </c>
      <c r="AQ58" s="55">
        <f>IFERROR(VLOOKUP($D58,'Adient Taizhou (China) WK.16'!$B:AI,AP$1,0),0)</f>
        <v>0</v>
      </c>
      <c r="AR58" s="60">
        <v>0</v>
      </c>
      <c r="AS58" s="41">
        <v>0</v>
      </c>
      <c r="AT58" s="32">
        <v>0</v>
      </c>
      <c r="AU58" s="106">
        <f t="shared" si="240"/>
        <v>0</v>
      </c>
      <c r="AW58" s="37">
        <f t="shared" si="433"/>
        <v>0</v>
      </c>
      <c r="AX58" s="125">
        <f>IFERROR(VLOOKUP($D58,'Adient Assende (Belgium) WK.17'!$B:AR,AY$1,0),0)</f>
        <v>0</v>
      </c>
      <c r="AY58" s="55">
        <f>IFERROR(VLOOKUP($D58,'Adient Arendal (Malzia) WK.12'!$B:AR,AY$1,0),0)</f>
        <v>0</v>
      </c>
      <c r="AZ58" s="55">
        <f>IFERROR(VLOOKUP($D58,'Adient Taizhou (China) WK.16'!$B:AU,AY$1,0),0)</f>
        <v>0</v>
      </c>
      <c r="BA58" s="41">
        <v>0</v>
      </c>
      <c r="BB58" s="32">
        <v>0</v>
      </c>
      <c r="BC58" s="106">
        <f t="shared" si="241"/>
        <v>0</v>
      </c>
      <c r="BE58" s="37">
        <f t="shared" si="434"/>
        <v>0</v>
      </c>
      <c r="BF58" s="125">
        <f>IFERROR(VLOOKUP($D58,'Adient Assende (Belgium) WK.17'!$B:AX,BG$1,0),0)</f>
        <v>0</v>
      </c>
      <c r="BG58" s="55">
        <f>IFERROR(VLOOKUP($D58,'Adient Arendal (Malzia) WK.12'!$B:AZ,BG$1,0),0)</f>
        <v>0</v>
      </c>
      <c r="BH58" s="55">
        <f>IFERROR(VLOOKUP($D58,'Adient Taizhou (China) WK.16'!$B:BB,BG$1,0),0)</f>
        <v>0</v>
      </c>
      <c r="BI58" s="60">
        <v>0</v>
      </c>
      <c r="BJ58" s="60">
        <v>0</v>
      </c>
      <c r="BK58" s="41">
        <v>0</v>
      </c>
      <c r="BL58" s="32">
        <v>0</v>
      </c>
      <c r="BM58" s="106">
        <f t="shared" si="242"/>
        <v>0</v>
      </c>
      <c r="BN58" s="8"/>
      <c r="BO58" s="37">
        <f t="shared" si="435"/>
        <v>0</v>
      </c>
      <c r="BP58" s="125">
        <f>IFERROR(VLOOKUP($D58,'Adient Assende (Belgium) WK.17'!$B:BH,BQ$1,0),0)</f>
        <v>0</v>
      </c>
      <c r="BQ58" s="55">
        <f>IFERROR(VLOOKUP($D58,'Adient Arendal (Malzia) WK.12'!$B:BI,BQ$1,0),0)</f>
        <v>0</v>
      </c>
      <c r="BR58" s="55">
        <f>IFERROR(VLOOKUP($D58,'Adient Taizhou (China) WK.16'!$B:BL,BQ$1,0),0)</f>
        <v>0</v>
      </c>
      <c r="BS58" s="60">
        <v>0</v>
      </c>
      <c r="BT58" s="60">
        <v>0</v>
      </c>
      <c r="BU58" s="60">
        <v>0</v>
      </c>
      <c r="BV58" s="41">
        <v>0</v>
      </c>
      <c r="BW58" s="32">
        <v>0</v>
      </c>
      <c r="BX58" s="106">
        <f t="shared" si="243"/>
        <v>0</v>
      </c>
      <c r="BY58" s="8"/>
      <c r="BZ58" s="37">
        <f t="shared" si="436"/>
        <v>0</v>
      </c>
      <c r="CA58" s="125">
        <f>IFERROR(VLOOKUP($D58,'Adient Assende (Belgium) WK.17'!$B:BS,CB$1,0),0)</f>
        <v>0</v>
      </c>
      <c r="CB58" s="55">
        <f>IFERROR(VLOOKUP($D58,'Adient Arendal (Malzia) WK.12'!$B:BT,CB$1,0),0)</f>
        <v>0</v>
      </c>
      <c r="CC58" s="55">
        <f>IFERROR(VLOOKUP($D58,'Adient Taizhou (China) WK.16'!$B:BW,CB$1,0),0)</f>
        <v>0</v>
      </c>
      <c r="CD58" s="60">
        <v>0</v>
      </c>
      <c r="CE58" s="60">
        <v>0</v>
      </c>
      <c r="CF58" s="41">
        <v>0</v>
      </c>
      <c r="CG58" s="32">
        <v>0</v>
      </c>
      <c r="CH58" s="106">
        <f t="shared" si="244"/>
        <v>0</v>
      </c>
      <c r="CI58" s="8"/>
      <c r="CJ58" s="37">
        <f t="shared" si="437"/>
        <v>0</v>
      </c>
      <c r="CK58" s="125">
        <f>IFERROR(VLOOKUP($D58,'Adient Assende (Belgium) WK.17'!$B:CC,CL$1,0),0)</f>
        <v>0</v>
      </c>
      <c r="CL58" s="55">
        <f>IFERROR(VLOOKUP($D58,'Adient Arendal (Malzia) WK.12'!$B:CD,CL$1,0),0)</f>
        <v>0</v>
      </c>
      <c r="CM58" s="55">
        <f>IFERROR(VLOOKUP($D58,'Adient Taizhou (China) WK.16'!$B:CG,CL$1,0),0)</f>
        <v>0</v>
      </c>
      <c r="CN58" s="60">
        <v>0</v>
      </c>
      <c r="CO58" s="149">
        <v>0</v>
      </c>
      <c r="CP58" s="32">
        <v>0</v>
      </c>
      <c r="CQ58" s="106">
        <f t="shared" si="245"/>
        <v>0</v>
      </c>
      <c r="CR58" s="8"/>
      <c r="CS58" s="122">
        <f t="shared" si="438"/>
        <v>0</v>
      </c>
      <c r="CT58" s="154">
        <f>IFERROR(VLOOKUP($D58,'Adient Assende (Belgium) WK.17'!$B:CL,CU$1,0),0)</f>
        <v>0</v>
      </c>
      <c r="CU58" s="55">
        <f>IFERROR(VLOOKUP($D58,'Adient Arendal (Malzia) WK.12'!$B:CM,CU$1,0),0)</f>
        <v>0</v>
      </c>
      <c r="CV58" s="55">
        <f>IFERROR(VLOOKUP($D58,'Adient Taizhou (China) WK.16'!$B:CP,CU$1,0),0)</f>
        <v>0</v>
      </c>
      <c r="CW58" s="60">
        <v>0</v>
      </c>
      <c r="CX58" s="60">
        <v>0</v>
      </c>
      <c r="CY58" s="128">
        <v>0</v>
      </c>
      <c r="CZ58" s="32">
        <v>0</v>
      </c>
      <c r="DA58" s="106">
        <f t="shared" si="246"/>
        <v>0</v>
      </c>
      <c r="DB58" s="8"/>
      <c r="DC58" s="37">
        <f t="shared" si="439"/>
        <v>0</v>
      </c>
      <c r="DD58" s="125">
        <f>IFERROR(VLOOKUP($D58,'Adient Assende (Belgium) WK.17'!$B:CS,DE$1,0),0)</f>
        <v>0</v>
      </c>
      <c r="DE58" s="55">
        <f>IFERROR(VLOOKUP($D58,'Adient Arendal (Malzia) WK.12'!$B:CU,DE$1,0),0)</f>
        <v>0</v>
      </c>
      <c r="DF58" s="55">
        <f>IFERROR(VLOOKUP($D58,'Adient Taizhou (China) WK.16'!$B:CX,DE$1,0),0)</f>
        <v>0</v>
      </c>
      <c r="DG58" s="60">
        <v>0</v>
      </c>
      <c r="DH58" s="128">
        <v>0</v>
      </c>
      <c r="DI58" s="32">
        <v>0</v>
      </c>
      <c r="DJ58" s="106">
        <f t="shared" si="247"/>
        <v>0</v>
      </c>
      <c r="DL58" s="37">
        <f t="shared" si="440"/>
        <v>0</v>
      </c>
      <c r="DM58" s="125">
        <f>IFERROR(VLOOKUP($D58,'Adient Assende (Belgium) WK.17'!$B:DB,DN$1,0),0)</f>
        <v>0</v>
      </c>
      <c r="DN58" s="55">
        <f>IFERROR(VLOOKUP($D58,'Adient Arendal (Malzia) WK.12'!$B:DC,DN$1,0),0)</f>
        <v>0</v>
      </c>
      <c r="DO58" s="55">
        <f>IFERROR(VLOOKUP($D58,'Adient Taizhou (China) WK.16'!$B:DF,DN$1,0),0)</f>
        <v>0</v>
      </c>
      <c r="DP58" s="128">
        <v>0</v>
      </c>
      <c r="DQ58" s="32">
        <v>0</v>
      </c>
      <c r="DR58" s="106">
        <f t="shared" si="441"/>
        <v>0</v>
      </c>
      <c r="DS58" s="8"/>
      <c r="DT58" s="37">
        <f t="shared" si="442"/>
        <v>0</v>
      </c>
      <c r="DU58" s="125">
        <f>IFERROR(VLOOKUP($D58,'Adient Assende (Belgium) WK.17'!$B:DJ,DV$1,0),0)</f>
        <v>0</v>
      </c>
      <c r="DV58" s="55">
        <f>IFERROR(VLOOKUP($D58,'Adient Arendal (Malzia) WK.12'!$B:DK,DV$1,0),0)</f>
        <v>0</v>
      </c>
      <c r="DW58" s="55">
        <f>IFERROR(VLOOKUP($D58,'Adient Taizhou (China) WK.16'!$B:DN,DV$1,0),0)</f>
        <v>0</v>
      </c>
      <c r="DX58" s="60">
        <v>0</v>
      </c>
      <c r="DY58" s="60">
        <v>0</v>
      </c>
      <c r="DZ58" s="128">
        <v>0</v>
      </c>
      <c r="EA58" s="32">
        <v>0</v>
      </c>
      <c r="EB58" s="106">
        <f t="shared" si="248"/>
        <v>0</v>
      </c>
      <c r="EC58" s="8"/>
      <c r="ED58" s="37">
        <f t="shared" si="443"/>
        <v>0</v>
      </c>
      <c r="EE58" s="125">
        <f>IFERROR(VLOOKUP($D58,'Adient Assende (Belgium) WK.17'!$B:DR,EF$1,0),0)</f>
        <v>0</v>
      </c>
      <c r="EF58" s="55">
        <f>IFERROR(VLOOKUP($D58,'Adient Arendal (Malzia) WK.12'!$B:DS,EF$1,0),0)</f>
        <v>0</v>
      </c>
      <c r="EG58" s="55">
        <f>IFERROR(VLOOKUP($D58,'Adient Taizhou (China) WK.16'!$B:DV,EF$1,0),0)</f>
        <v>0</v>
      </c>
      <c r="EH58" s="60">
        <v>0</v>
      </c>
      <c r="EI58" s="128">
        <v>0</v>
      </c>
      <c r="EJ58" s="32">
        <v>0</v>
      </c>
      <c r="EK58" s="106">
        <f t="shared" si="249"/>
        <v>0</v>
      </c>
      <c r="EM58" s="37">
        <f t="shared" si="444"/>
        <v>0</v>
      </c>
      <c r="EN58" s="125">
        <f>IFERROR(VLOOKUP($D58,'Adient Assende (Belgium) WK.17'!$B:DZ,EO$1,0),0)</f>
        <v>0</v>
      </c>
      <c r="EO58" s="55">
        <f>IFERROR(VLOOKUP($D58,'Adient Arendal (Malzia) WK.12'!$B:EA,EO$1,0),0)</f>
        <v>0</v>
      </c>
      <c r="EP58" s="55">
        <f>IFERROR(VLOOKUP($D58,'Adient Taizhou (China) WK.16'!$B:ED,EO$1,0),0)</f>
        <v>0</v>
      </c>
      <c r="EQ58" s="128">
        <v>0</v>
      </c>
      <c r="ER58" s="32">
        <v>0</v>
      </c>
      <c r="ES58" s="106">
        <f t="shared" si="250"/>
        <v>0</v>
      </c>
      <c r="EU58" s="37">
        <f t="shared" si="445"/>
        <v>0</v>
      </c>
      <c r="EV58" s="125">
        <f>IFERROR(VLOOKUP($D58,'Adient Assende (Belgium) WK.17'!$B:EH,EW$1,0),0)</f>
        <v>0</v>
      </c>
      <c r="EW58" s="55">
        <f>IFERROR(VLOOKUP($D58,'Adient Arendal (Malzia) WK.12'!$B:EI,EW$1,0),0)</f>
        <v>0</v>
      </c>
      <c r="EX58" s="55">
        <f>IFERROR(VLOOKUP($D58,'Adient Taizhou (China) WK.16'!$B:EL,EW$1,0),0)</f>
        <v>0</v>
      </c>
      <c r="EY58" s="128">
        <v>0</v>
      </c>
      <c r="EZ58" s="32">
        <v>0</v>
      </c>
      <c r="FA58" s="106">
        <f t="shared" si="251"/>
        <v>0</v>
      </c>
      <c r="FC58" s="37">
        <f t="shared" si="446"/>
        <v>0</v>
      </c>
      <c r="FD58" s="154">
        <f>IFERROR(VLOOKUP($D58,'Adient Assende (Belgium) WK.17'!$B:EP,FE$1,0),0)</f>
        <v>0</v>
      </c>
      <c r="FE58" s="154">
        <f>IFERROR(VLOOKUP($D58,'Adient Arendal (Malzia) WK.12'!$B:EQ,FE$1,0),0)</f>
        <v>0</v>
      </c>
      <c r="FF58" s="154">
        <f>IFERROR(VLOOKUP($D58,'Adient Taizhou (China) WK.16'!$B:ET,FE$1,0),0)</f>
        <v>0</v>
      </c>
      <c r="FG58" s="128">
        <v>0</v>
      </c>
      <c r="FH58" s="32">
        <v>0</v>
      </c>
      <c r="FI58" s="106">
        <f t="shared" si="252"/>
        <v>0</v>
      </c>
      <c r="FK58" s="37">
        <f t="shared" si="447"/>
        <v>0</v>
      </c>
      <c r="FL58" s="125">
        <f>IFERROR(VLOOKUP($D58,'Adient Assende (Belgium) WK.17'!$B:EX,FM$1,0),0)</f>
        <v>0</v>
      </c>
      <c r="FM58" s="55">
        <f>IFERROR(VLOOKUP($D58,'Adient Arendal (Malzia) WK.12'!$B:EY,FM$1,0),0)</f>
        <v>0</v>
      </c>
      <c r="FN58" s="55">
        <f>IFERROR(VLOOKUP($D58,'Adient Taizhou (China) WK.16'!$B:FB,FM$1,0),0)</f>
        <v>0</v>
      </c>
      <c r="FO58" s="128">
        <v>0</v>
      </c>
      <c r="FP58" s="32">
        <v>0</v>
      </c>
      <c r="FQ58" s="106">
        <f t="shared" si="253"/>
        <v>0</v>
      </c>
      <c r="FR58" s="8"/>
      <c r="FS58" s="37">
        <f t="shared" si="448"/>
        <v>0</v>
      </c>
      <c r="FT58" s="125">
        <f>IFERROR(VLOOKUP($D58,'Adient Assende (Belgium) WK.17'!$B:FF,FU$1,0),0)</f>
        <v>0</v>
      </c>
      <c r="FU58" s="55">
        <f>IFERROR(VLOOKUP($D58,'Adient Arendal (Malzia) WK.12'!$B:FG,FU$1,0),0)</f>
        <v>0</v>
      </c>
      <c r="FV58" s="55">
        <f>IFERROR(VLOOKUP($D58,'Adient Taizhou (China) WK.16'!$B:FJ,FU$1,0),0)</f>
        <v>0</v>
      </c>
      <c r="FW58" s="60">
        <v>0</v>
      </c>
      <c r="FX58" s="60">
        <v>0</v>
      </c>
      <c r="FY58" s="60">
        <v>0</v>
      </c>
      <c r="FZ58" s="60">
        <v>0</v>
      </c>
      <c r="GA58" s="60">
        <v>0</v>
      </c>
      <c r="GB58" s="128">
        <v>0</v>
      </c>
      <c r="GC58" s="32">
        <v>0</v>
      </c>
      <c r="GD58" s="106">
        <f t="shared" si="254"/>
        <v>0</v>
      </c>
      <c r="GF58" s="37">
        <f t="shared" si="449"/>
        <v>0</v>
      </c>
      <c r="GG58" s="125">
        <f>IFERROR(VLOOKUP($D58,'Adient Assende (Belgium) WK.17'!$B:FN,GH$1,0),0)</f>
        <v>0</v>
      </c>
      <c r="GH58" s="55">
        <f>IFERROR(VLOOKUP($D58,'Adient Arendal (Malzia) WK.12'!$B:FO,GH$1,0),0)</f>
        <v>0</v>
      </c>
      <c r="GI58" s="55">
        <f>IFERROR(VLOOKUP($D58,'Adient Taizhou (China) WK.16'!$B:FR,GH$1,0),0)</f>
        <v>0</v>
      </c>
      <c r="GJ58" s="60">
        <v>0</v>
      </c>
      <c r="GK58" s="128">
        <v>0</v>
      </c>
      <c r="GL58" s="32">
        <v>0</v>
      </c>
      <c r="GM58" s="106">
        <f t="shared" si="255"/>
        <v>0</v>
      </c>
      <c r="GO58" s="37">
        <f t="shared" si="450"/>
        <v>0</v>
      </c>
      <c r="GP58" s="125">
        <f>IFERROR(VLOOKUP($D58,'Adient Assende (Belgium) WK.17'!$B:FV,GQ$1,0),0)</f>
        <v>0</v>
      </c>
      <c r="GQ58" s="55">
        <f>IFERROR(VLOOKUP($D58,'Adient Arendal (Malzia) WK.12'!$B:FW,GQ$1,0),0)</f>
        <v>0</v>
      </c>
      <c r="GR58" s="55">
        <f>IFERROR(VLOOKUP($D58,'Adient Taizhou (China) WK.16'!$B:FZ,GQ$1,0),0)</f>
        <v>0</v>
      </c>
      <c r="GS58" s="60">
        <v>0</v>
      </c>
      <c r="GT58" s="128">
        <v>0</v>
      </c>
      <c r="GU58" s="32">
        <v>0</v>
      </c>
      <c r="GV58" s="106">
        <f t="shared" si="256"/>
        <v>0</v>
      </c>
      <c r="GW58" s="8"/>
      <c r="GX58" s="37">
        <f t="shared" si="451"/>
        <v>0</v>
      </c>
      <c r="GY58" s="125">
        <f>IFERROR(VLOOKUP($D58,'Adient Assende (Belgium) WK.17'!$B:GD,GZ$1,0),0)</f>
        <v>0</v>
      </c>
      <c r="GZ58" s="55">
        <f>IFERROR(VLOOKUP($D58,'Adient Arendal (Malzia) WK.12'!$B:GE,GZ$1,0),0)</f>
        <v>0</v>
      </c>
      <c r="HA58" s="55">
        <f>IFERROR(VLOOKUP($D58,'Adient Taizhou (China) WK.16'!$B:GH,GZ$1,0),0)</f>
        <v>0</v>
      </c>
      <c r="HB58" s="60">
        <v>0</v>
      </c>
      <c r="HC58" s="128">
        <v>0</v>
      </c>
      <c r="HD58" s="32">
        <v>0</v>
      </c>
      <c r="HE58" s="106">
        <f t="shared" si="257"/>
        <v>0</v>
      </c>
      <c r="HF58" s="8"/>
      <c r="HG58" s="37">
        <f t="shared" si="452"/>
        <v>0</v>
      </c>
      <c r="HH58" s="125">
        <f>IFERROR(VLOOKUP($D58,'Adient Assende (Belgium) WK.17'!$B:GL,HI$1,0),0)</f>
        <v>0</v>
      </c>
      <c r="HI58" s="55">
        <f>IFERROR(VLOOKUP($D58,'Adient Arendal (Malzia) WK.12'!$B:GM,HI$1,0),0)</f>
        <v>0</v>
      </c>
      <c r="HJ58" s="55">
        <f>IFERROR(VLOOKUP($D58,'Adient Taizhou (China) WK.16'!$B:GP,HI$1,0),0)</f>
        <v>0</v>
      </c>
      <c r="HK58" s="60">
        <v>0</v>
      </c>
      <c r="HL58" s="128">
        <v>0</v>
      </c>
      <c r="HM58" s="32">
        <v>0</v>
      </c>
      <c r="HN58" s="106">
        <f t="shared" si="258"/>
        <v>0</v>
      </c>
      <c r="HO58" s="8"/>
      <c r="HP58" s="37">
        <f t="shared" si="453"/>
        <v>0</v>
      </c>
      <c r="HQ58" s="125">
        <f>IFERROR(VLOOKUP($D58,'Adient Assende (Belgium) WK.17'!$B:GT,HR$1,0),0)</f>
        <v>0</v>
      </c>
      <c r="HR58" s="55">
        <f>IFERROR(VLOOKUP($D58,'Adient Arendal (Malzia) WK.12'!$B:GU,HR$1,0),0)</f>
        <v>0</v>
      </c>
      <c r="HS58" s="55">
        <f>IFERROR(VLOOKUP($D58,'Adient Taizhou (China) WK.16'!$B:GX,HR$1,0),0)</f>
        <v>0</v>
      </c>
      <c r="HT58" s="60">
        <v>0</v>
      </c>
      <c r="HU58" s="128">
        <v>0</v>
      </c>
      <c r="HV58" s="32">
        <v>0</v>
      </c>
      <c r="HW58" s="106">
        <f t="shared" si="259"/>
        <v>0</v>
      </c>
      <c r="HX58" s="8"/>
      <c r="HY58" s="37">
        <f t="shared" si="454"/>
        <v>0</v>
      </c>
      <c r="HZ58" s="125">
        <f>IFERROR(VLOOKUP($D58,'Adient Assende (Belgium) WK.17'!$B:HB,IA$1,0),0)</f>
        <v>0</v>
      </c>
      <c r="IA58" s="55">
        <f>IFERROR(VLOOKUP($D58,'Adient Arendal (Malzia) WK.12'!$B:HC,IA$1,0),0)</f>
        <v>0</v>
      </c>
      <c r="IB58" s="55">
        <f>IFERROR(VLOOKUP($D58,'Adient Taizhou (China) WK.16'!$B:HF,IA$1,0),0)</f>
        <v>0</v>
      </c>
      <c r="IC58" s="60">
        <v>0</v>
      </c>
      <c r="ID58" s="128">
        <v>0</v>
      </c>
      <c r="IE58" s="32">
        <v>0</v>
      </c>
      <c r="IF58" s="106">
        <f t="shared" si="260"/>
        <v>0</v>
      </c>
      <c r="IG58" s="8"/>
      <c r="IH58" s="37">
        <f t="shared" si="455"/>
        <v>0</v>
      </c>
      <c r="II58" s="125">
        <f>IFERROR(VLOOKUP($D58,'Adient Assende (Belgium) WK.17'!$B:HJ,IJ$1,0),0)</f>
        <v>0</v>
      </c>
      <c r="IJ58" s="55">
        <f>IFERROR(VLOOKUP($D58,'Adient Arendal (Malzia) WK.12'!$B:HK,IJ$1,0),0)</f>
        <v>0</v>
      </c>
      <c r="IK58" s="55">
        <f>IFERROR(VLOOKUP($D58,'Adient Taizhou (China) WK.16'!$B:HN,IJ$1,0),0)</f>
        <v>0</v>
      </c>
      <c r="IL58" s="128">
        <v>0</v>
      </c>
      <c r="IM58" s="32">
        <v>0</v>
      </c>
      <c r="IN58" s="106">
        <f t="shared" si="456"/>
        <v>0</v>
      </c>
      <c r="IO58" s="8"/>
      <c r="IP58" s="37">
        <f t="shared" si="457"/>
        <v>0</v>
      </c>
      <c r="IQ58" s="125">
        <f>IFERROR(VLOOKUP($D58,'Adient Assende (Belgium) WK.17'!$B:HR,IR$1,0),0)</f>
        <v>0</v>
      </c>
      <c r="IR58" s="55">
        <f>IFERROR(VLOOKUP($D58,'Adient Arendal (Malzia) WK.12'!$B:HS,IR$1,0),0)</f>
        <v>0</v>
      </c>
      <c r="IS58" s="55">
        <f>IFERROR(VLOOKUP($D58,'Adient Taizhou (China) WK.16'!$B:HV,IR$1,0),0)</f>
        <v>0</v>
      </c>
      <c r="IT58" s="60">
        <v>0</v>
      </c>
      <c r="IU58" s="128">
        <v>0</v>
      </c>
      <c r="IV58" s="32">
        <v>0</v>
      </c>
      <c r="IW58" s="106">
        <f t="shared" si="261"/>
        <v>0</v>
      </c>
      <c r="IX58" s="8"/>
      <c r="IY58" s="37">
        <f t="shared" si="458"/>
        <v>0</v>
      </c>
      <c r="IZ58" s="125">
        <f>IFERROR(VLOOKUP($D58,'Adient Assende (Belgium) WK.17'!$B:HZ,JA$1,0),0)</f>
        <v>0</v>
      </c>
      <c r="JA58" s="55">
        <f>IFERROR(VLOOKUP($D58,'Adient Arendal (Malzia) WK.12'!$B:IA,JA$1,0),0)</f>
        <v>0</v>
      </c>
      <c r="JB58" s="55">
        <f>IFERROR(VLOOKUP($D58,'Adient Taizhou (China) WK.16'!$B:ID,JA$1,0),0)</f>
        <v>0</v>
      </c>
      <c r="JC58" s="128">
        <v>0</v>
      </c>
      <c r="JD58" s="32">
        <v>0</v>
      </c>
      <c r="JE58" s="106">
        <f t="shared" si="459"/>
        <v>0</v>
      </c>
      <c r="JF58" s="8"/>
      <c r="JG58" s="37">
        <f t="shared" si="460"/>
        <v>0</v>
      </c>
      <c r="JH58" s="125">
        <f>IFERROR(VLOOKUP($D58,'Adient Assende (Belgium) WK.17'!$B:IH,JI$1,0),0)</f>
        <v>0</v>
      </c>
      <c r="JI58" s="55">
        <f>IFERROR(VLOOKUP($D58,'Adient Arendal (Malzia) WK.12'!$B:II,JI$1,0),0)</f>
        <v>0</v>
      </c>
      <c r="JJ58" s="55">
        <f>IFERROR(VLOOKUP($D58,'Adient Taizhou (China) WK.16'!$B:IL,JI$1,0),0)</f>
        <v>0</v>
      </c>
      <c r="JK58" s="60">
        <v>0</v>
      </c>
      <c r="JL58" s="128">
        <v>0</v>
      </c>
      <c r="JM58" s="32">
        <v>0</v>
      </c>
      <c r="JN58" s="106">
        <f t="shared" si="262"/>
        <v>0</v>
      </c>
      <c r="JO58" s="8"/>
      <c r="JP58" s="37">
        <f t="shared" si="461"/>
        <v>0</v>
      </c>
      <c r="JQ58" s="125">
        <f>IFERROR(VLOOKUP($D58,'Adient Assende (Belgium) WK.17'!$B:IP,JR$1,0),0)</f>
        <v>0</v>
      </c>
      <c r="JR58" s="55">
        <f>IFERROR(VLOOKUP($D58,'Adient Arendal (Malzia) WK.12'!$B:IQ,JR$1,0),0)</f>
        <v>0</v>
      </c>
      <c r="JS58" s="55">
        <f>IFERROR(VLOOKUP($D58,'Adient Taizhou (China) WK.16'!$B:IT,JR$1,0),0)</f>
        <v>0</v>
      </c>
      <c r="JT58" s="128">
        <v>0</v>
      </c>
      <c r="JU58" s="32">
        <v>0</v>
      </c>
      <c r="JV58" s="106">
        <f t="shared" si="462"/>
        <v>0</v>
      </c>
      <c r="JW58" s="8"/>
      <c r="JX58" s="37">
        <f t="shared" si="463"/>
        <v>0</v>
      </c>
      <c r="JY58" s="154">
        <f>IFERROR(VLOOKUP($D58,'Adient Assende (Belgium) WK.17'!$B:IX,JZ$1,0),0)</f>
        <v>0</v>
      </c>
      <c r="JZ58" s="55">
        <f>IFERROR(VLOOKUP($D58,'Adient Arendal (Malzia) WK.12'!$B:IY,JZ$1,0),0)</f>
        <v>0</v>
      </c>
      <c r="KA58" s="55">
        <f>IFERROR(VLOOKUP($D58,'Adient Taizhou (China) WK.16'!$B:JB,JZ$1,0),0)</f>
        <v>0</v>
      </c>
      <c r="KB58" s="128">
        <v>0</v>
      </c>
      <c r="KC58" s="32">
        <v>0</v>
      </c>
      <c r="KD58" s="106">
        <f t="shared" si="263"/>
        <v>0</v>
      </c>
      <c r="KE58" s="8"/>
      <c r="KF58" s="37">
        <f t="shared" si="464"/>
        <v>0</v>
      </c>
      <c r="KG58" s="125">
        <f>IFERROR(VLOOKUP($D58,'Adient Assende (Belgium) WK.17'!$B:JF,KH$1,0),0)</f>
        <v>0</v>
      </c>
      <c r="KH58" s="55">
        <f>IFERROR(VLOOKUP($D58,'Adient Arendal (Malzia) WK.12'!$B:JG,KH$1,0),0)</f>
        <v>0</v>
      </c>
      <c r="KI58" s="55">
        <f>IFERROR(VLOOKUP($D58,'Adient Taizhou (China) WK.16'!$B:JJ,KH$1,0),0)</f>
        <v>0</v>
      </c>
      <c r="KJ58" s="60">
        <v>0</v>
      </c>
      <c r="KK58" s="128">
        <v>0</v>
      </c>
      <c r="KL58" s="32">
        <v>0</v>
      </c>
      <c r="KM58" s="106">
        <f t="shared" si="264"/>
        <v>0</v>
      </c>
      <c r="KN58" s="8"/>
      <c r="KO58" s="37">
        <f t="shared" si="465"/>
        <v>0</v>
      </c>
      <c r="KP58" s="141">
        <f>IFERROR(VLOOKUP($D58,'Adient Assende (Belgium) WK.17'!$B:JN,KQ$1,0),0)</f>
        <v>0</v>
      </c>
      <c r="KQ58" s="140">
        <f>IFERROR(VLOOKUP($D58,'Adient Arendal (Malzia) WK.12'!$B:JO,KQ$1,0),0)</f>
        <v>0</v>
      </c>
      <c r="KR58" s="140">
        <f>IFERROR(VLOOKUP($D58,'Adient Taizhou (China) WK.16'!$B:JR,KQ$1,0),0)</f>
        <v>0</v>
      </c>
      <c r="KS58" s="60">
        <v>0</v>
      </c>
      <c r="KT58" s="128">
        <v>0</v>
      </c>
      <c r="KU58" s="32">
        <v>0</v>
      </c>
      <c r="KV58" s="106">
        <f t="shared" si="265"/>
        <v>0</v>
      </c>
      <c r="KX58" s="37">
        <f t="shared" si="466"/>
        <v>0</v>
      </c>
      <c r="KY58" s="141">
        <f>IFERROR(VLOOKUP($D58,'Adient Assende (Belgium) WK.17'!$B:JV,KZ$1,0),0)</f>
        <v>0</v>
      </c>
      <c r="KZ58" s="140">
        <f>IFERROR(VLOOKUP($D58,'Adient Arendal (Malzia) WK.12'!$B:JW,KZ$1,0),0)</f>
        <v>0</v>
      </c>
      <c r="LA58" s="140">
        <f>IFERROR(VLOOKUP($D58,'Adient Taizhou (China) WK.16'!$B:JZ,KZ$1,0),0)</f>
        <v>0</v>
      </c>
      <c r="LB58" s="128">
        <v>0</v>
      </c>
      <c r="LC58" s="32">
        <v>0</v>
      </c>
      <c r="LD58" s="106">
        <f t="shared" si="467"/>
        <v>0</v>
      </c>
      <c r="LF58" s="37">
        <f t="shared" si="468"/>
        <v>0</v>
      </c>
      <c r="LG58" s="141">
        <f>IFERROR(VLOOKUP($D58,'Adient Assende (Belgium) WK.17'!$B:KD,LH$1,0),0)</f>
        <v>0</v>
      </c>
      <c r="LH58" s="140">
        <f>IFERROR(VLOOKUP($D58,'Adient Arendal (Malzia) WK.12'!$B:KE,LH$1,0),0)</f>
        <v>0</v>
      </c>
      <c r="LI58" s="140">
        <f>IFERROR(VLOOKUP($D58,'Adient Taizhou (China) WK.16'!$B:KH,LH$1,0),0)</f>
        <v>0</v>
      </c>
      <c r="LJ58" s="60">
        <v>0</v>
      </c>
      <c r="LK58" s="128">
        <v>0</v>
      </c>
      <c r="LL58" s="32">
        <v>0</v>
      </c>
      <c r="LM58" s="100">
        <f t="shared" si="267"/>
        <v>0</v>
      </c>
      <c r="LO58" s="37">
        <f t="shared" si="469"/>
        <v>0</v>
      </c>
      <c r="LP58" s="141">
        <f>IFERROR(VLOOKUP($D58,'Adient Assende (Belgium) WK.17'!$B:KL,LQ$1,0),0)</f>
        <v>0</v>
      </c>
      <c r="LQ58" s="140">
        <f>IFERROR(VLOOKUP($D58,'Adient Arendal (Malzia) WK.12'!$B:KM,LQ$1,0),0)</f>
        <v>0</v>
      </c>
      <c r="LR58" s="140">
        <f>IFERROR(VLOOKUP($D58,'Adient Taizhou (China) WK.16'!$B:KP,LQ$1,0),0)</f>
        <v>0</v>
      </c>
      <c r="LS58" s="128">
        <v>0</v>
      </c>
      <c r="LT58" s="32">
        <v>0</v>
      </c>
      <c r="LU58" s="100">
        <f t="shared" si="470"/>
        <v>0</v>
      </c>
      <c r="LW58" s="37">
        <f t="shared" si="471"/>
        <v>0</v>
      </c>
      <c r="LX58" s="141">
        <f>IFERROR(VLOOKUP($D58,'Adient Assende (Belgium) WK.17'!$B:KT,LY$1,0),0)</f>
        <v>0</v>
      </c>
      <c r="LY58" s="140">
        <f>IFERROR(VLOOKUP($D58,'Adient Arendal (Malzia) WK.12'!$B:KU,LY$1,0),0)</f>
        <v>0</v>
      </c>
      <c r="LZ58" s="140">
        <f>IFERROR(VLOOKUP($D58,'Adient Taizhou (China) WK.16'!$B:KX,LY$1,0),0)</f>
        <v>0</v>
      </c>
      <c r="MA58" s="128">
        <v>0</v>
      </c>
      <c r="MB58" s="32">
        <v>0</v>
      </c>
      <c r="MC58" s="100">
        <f t="shared" si="472"/>
        <v>0</v>
      </c>
      <c r="ME58" s="37">
        <f t="shared" si="473"/>
        <v>0</v>
      </c>
      <c r="MF58" s="154">
        <f>IFERROR(VLOOKUP($D58,'Adient Assende (Belgium) WK.17'!$B:LB,MG$1,0),0)</f>
        <v>0</v>
      </c>
      <c r="MG58" s="140">
        <f>IFERROR(VLOOKUP($D58,'Adient Arendal (Malzia) WK.12'!$B:LC,MG$1,0),0)</f>
        <v>0</v>
      </c>
      <c r="MH58" s="140">
        <f>IFERROR(VLOOKUP($D58,'Adient Taizhou (China) WK.16'!$B:LF,MG$1,0),0)</f>
        <v>0</v>
      </c>
      <c r="MI58" s="128">
        <v>0</v>
      </c>
      <c r="MJ58" s="32">
        <v>0</v>
      </c>
      <c r="MK58" s="100">
        <f t="shared" si="474"/>
        <v>0</v>
      </c>
      <c r="MM58" s="37">
        <f t="shared" si="475"/>
        <v>0</v>
      </c>
      <c r="MN58" s="141">
        <f>IFERROR(VLOOKUP($D58,'Adient Assende (Belgium) WK.17'!$B:LJ,MO$1,0),0)</f>
        <v>0</v>
      </c>
      <c r="MO58" s="140">
        <f>IFERROR(VLOOKUP($D58,'Adient Arendal (Malzia) WK.12'!$B:LK,MO$1,0),0)</f>
        <v>0</v>
      </c>
      <c r="MP58" s="140">
        <f>IFERROR(VLOOKUP($D58,'Adient Taizhou (China) WK.16'!$B:LN,MO$1,0),0)</f>
        <v>0</v>
      </c>
      <c r="MQ58" s="128">
        <v>0</v>
      </c>
      <c r="MR58" s="32">
        <v>0</v>
      </c>
      <c r="MS58" s="100">
        <f t="shared" si="476"/>
        <v>0</v>
      </c>
      <c r="MU58" s="37">
        <f t="shared" si="477"/>
        <v>0</v>
      </c>
      <c r="MV58" s="141">
        <f>IFERROR(VLOOKUP($D58,'Adient Assende (Belgium) WK.17'!$B:LR,MW$1,0),0)</f>
        <v>0</v>
      </c>
      <c r="MW58" s="140">
        <f>IFERROR(VLOOKUP($D58,'Adient Arendal (Malzia) WK.12'!$B:LS,MW$1,0),0)</f>
        <v>0</v>
      </c>
      <c r="MX58" s="140">
        <f>IFERROR(VLOOKUP($D58,'Adient Taizhou (China) WK.16'!$B:LV,MW$1,0),0)</f>
        <v>0</v>
      </c>
      <c r="MY58" s="128">
        <v>0</v>
      </c>
      <c r="MZ58" s="32">
        <v>0</v>
      </c>
      <c r="NA58" s="100">
        <f t="shared" si="478"/>
        <v>0</v>
      </c>
      <c r="NC58" s="37">
        <f t="shared" si="479"/>
        <v>0</v>
      </c>
      <c r="ND58" s="141">
        <f>IFERROR(VLOOKUP($D58,'Adient Assende (Belgium) WK.17'!$B:LZ,NE$1,0),0)</f>
        <v>0</v>
      </c>
      <c r="NE58" s="140">
        <f>IFERROR(VLOOKUP($D58,'Adient Arendal (Malzia) WK.12'!$B:MA,NE$1,0),0)</f>
        <v>0</v>
      </c>
      <c r="NF58" s="140">
        <f>IFERROR(VLOOKUP($D58,'Adient Taizhou (China) WK.16'!$B:MD,NE$1,0),0)</f>
        <v>0</v>
      </c>
      <c r="NG58" s="128">
        <v>0</v>
      </c>
      <c r="NH58" s="32">
        <v>0</v>
      </c>
      <c r="NI58" s="100">
        <f t="shared" si="480"/>
        <v>0</v>
      </c>
      <c r="NK58" s="37">
        <f t="shared" si="481"/>
        <v>0</v>
      </c>
      <c r="NL58" s="141">
        <f>IFERROR(VLOOKUP($D58,'Adient Assende (Belgium) WK.17'!$B:MH,NM$1,0),0)</f>
        <v>0</v>
      </c>
      <c r="NM58" s="140">
        <f>IFERROR(VLOOKUP($D58,'Adient Arendal (Malzia) WK.12'!$B:MI,NM$1,0),0)</f>
        <v>0</v>
      </c>
      <c r="NN58" s="140">
        <f>IFERROR(VLOOKUP($D58,'Adient Taizhou (China) WK.16'!$B:ML,NM$1,0),0)</f>
        <v>0</v>
      </c>
      <c r="NO58" s="128">
        <v>0</v>
      </c>
      <c r="NP58" s="32">
        <v>0</v>
      </c>
      <c r="NQ58" s="100">
        <f t="shared" si="482"/>
        <v>0</v>
      </c>
      <c r="NS58" s="37">
        <f t="shared" si="483"/>
        <v>0</v>
      </c>
      <c r="NT58" s="141">
        <f>IFERROR(VLOOKUP($D58,'Adient Assende (Belgium) WK.17'!$B:MP,NU$1,0),0)</f>
        <v>0</v>
      </c>
      <c r="NU58" s="140">
        <f>IFERROR(VLOOKUP($D58,'Adient Arendal (Malzia) WK.12'!$B:MQ,NU$1,0),0)</f>
        <v>0</v>
      </c>
      <c r="NV58" s="140">
        <f>IFERROR(VLOOKUP($D58,'Adient Taizhou (China) WK.16'!$B:MT,NU$1,0),0)</f>
        <v>0</v>
      </c>
      <c r="NW58" s="128">
        <v>0</v>
      </c>
      <c r="NX58" s="32">
        <v>0</v>
      </c>
      <c r="NY58" s="100">
        <f t="shared" si="484"/>
        <v>0</v>
      </c>
      <c r="OA58" s="37">
        <f t="shared" si="485"/>
        <v>0</v>
      </c>
      <c r="OB58" s="141">
        <f>IFERROR(VLOOKUP($D58,'Adient Assende (Belgium) WK.17'!$B:MX,OC$1,0),0)</f>
        <v>0</v>
      </c>
      <c r="OC58" s="140">
        <f>IFERROR(VLOOKUP($D58,'Adient Arendal (Malzia) WK.12'!$B:MY,OC$1,0),0)</f>
        <v>0</v>
      </c>
      <c r="OD58" s="140">
        <f>IFERROR(VLOOKUP($D58,'Adient Taizhou (China) WK.16'!$B:NB,OC$1,0),0)</f>
        <v>0</v>
      </c>
      <c r="OE58" s="128">
        <v>0</v>
      </c>
      <c r="OF58" s="32">
        <v>0</v>
      </c>
      <c r="OG58" s="100">
        <f t="shared" si="486"/>
        <v>0</v>
      </c>
      <c r="OI58" s="37">
        <f t="shared" si="487"/>
        <v>0</v>
      </c>
      <c r="OJ58" s="141">
        <f>IFERROR(VLOOKUP($D58,'Adient Assende (Belgium) WK.17'!$B:NF,OK$1,0),0)</f>
        <v>0</v>
      </c>
      <c r="OK58" s="140">
        <f>IFERROR(VLOOKUP($D58,'Adient Arendal (Malzia) WK.12'!$B:NG,OK$1,0),0)</f>
        <v>0</v>
      </c>
      <c r="OL58" s="140">
        <f>IFERROR(VLOOKUP($D58,'Adient Taizhou (China) WK.16'!$B:NJ,OK$1,0),0)</f>
        <v>0</v>
      </c>
      <c r="OM58" s="128">
        <v>0</v>
      </c>
      <c r="ON58" s="32">
        <v>0</v>
      </c>
      <c r="OO58" s="100">
        <f t="shared" si="488"/>
        <v>0</v>
      </c>
      <c r="OQ58" s="37">
        <f t="shared" si="489"/>
        <v>0</v>
      </c>
      <c r="OR58" s="141">
        <f>IFERROR(VLOOKUP($D58,'Adient Assende (Belgium) WK.17'!$B:NN,OS$1,0),0)</f>
        <v>0</v>
      </c>
      <c r="OS58" s="140">
        <f>IFERROR(VLOOKUP($D58,'Adient Arendal (Malzia) WK.12'!$B:NO,OS$1,0),0)</f>
        <v>0</v>
      </c>
      <c r="OT58" s="140">
        <f>IFERROR(VLOOKUP($D58,'Adient Taizhou (China) WK.16'!$B:NR,OS$1,0),0)</f>
        <v>0</v>
      </c>
      <c r="OU58" s="128">
        <v>0</v>
      </c>
      <c r="OV58" s="32">
        <v>0</v>
      </c>
      <c r="OW58" s="100">
        <f t="shared" si="490"/>
        <v>0</v>
      </c>
      <c r="OY58" s="37">
        <f t="shared" si="491"/>
        <v>0</v>
      </c>
      <c r="OZ58" s="141">
        <f>IFERROR(VLOOKUP($D58,'Adient Assende (Belgium) WK.17'!$B:NV,PA$1,0),0)</f>
        <v>0</v>
      </c>
      <c r="PA58" s="140">
        <f>IFERROR(VLOOKUP($D58,'Adient Arendal (Malzia) WK.12'!$B:NW,PA$1,0),0)</f>
        <v>0</v>
      </c>
      <c r="PB58" s="140">
        <f>IFERROR(VLOOKUP($D58,'Adient Taizhou (China) WK.16'!$B:NZ,PA$1,0),0)</f>
        <v>0</v>
      </c>
      <c r="PC58" s="128">
        <v>0</v>
      </c>
      <c r="PD58" s="32">
        <v>0</v>
      </c>
      <c r="PE58" s="100">
        <f t="shared" si="492"/>
        <v>0</v>
      </c>
      <c r="PG58" s="37">
        <f t="shared" si="493"/>
        <v>0</v>
      </c>
      <c r="PH58" s="141">
        <f>IFERROR(VLOOKUP($D58,'Adient Assende (Belgium) WK.17'!$B:OD,PI$1,0),0)</f>
        <v>0</v>
      </c>
      <c r="PI58" s="140">
        <f>IFERROR(VLOOKUP($D58,'Adient Arendal (Malzia) WK.12'!$B:OE,PI$1,0),0)</f>
        <v>0</v>
      </c>
      <c r="PJ58" s="140">
        <f>IFERROR(VLOOKUP($D58,'Adient Taizhou (China) WK.16'!$B:OH,PI$1,0),0)</f>
        <v>0</v>
      </c>
      <c r="PK58" s="128">
        <v>0</v>
      </c>
      <c r="PL58" s="32">
        <v>0</v>
      </c>
      <c r="PM58" s="100">
        <f t="shared" si="494"/>
        <v>0</v>
      </c>
      <c r="PO58" s="37">
        <f t="shared" si="495"/>
        <v>0</v>
      </c>
      <c r="PP58" s="141">
        <f>IFERROR(VLOOKUP($D58,'Adient Assende (Belgium) WK.17'!$B:OL,PQ$1,0),0)</f>
        <v>0</v>
      </c>
      <c r="PQ58" s="140">
        <f>IFERROR(VLOOKUP($D58,'Adient Arendal (Malzia) WK.12'!$B:OM,PQ$1,0),0)</f>
        <v>0</v>
      </c>
      <c r="PR58" s="140">
        <f>IFERROR(VLOOKUP($D58,'Adient Taizhou (China) WK.16'!$B:OP,PQ$1,0),0)</f>
        <v>0</v>
      </c>
      <c r="PS58" s="128">
        <v>0</v>
      </c>
      <c r="PT58" s="32">
        <v>0</v>
      </c>
      <c r="PU58" s="100">
        <f t="shared" si="496"/>
        <v>0</v>
      </c>
      <c r="PW58" s="37">
        <f t="shared" si="497"/>
        <v>0</v>
      </c>
      <c r="PX58" s="141">
        <f>IFERROR(VLOOKUP($D58,'Adient Assende (Belgium) WK.17'!$B:OT,PY$1,0),0)</f>
        <v>0</v>
      </c>
      <c r="PY58" s="140">
        <f>IFERROR(VLOOKUP($D58,'Adient Arendal (Malzia) WK.12'!$B:OU,PY$1,0),0)</f>
        <v>0</v>
      </c>
      <c r="PZ58" s="140">
        <f>IFERROR(VLOOKUP($D58,'Adient Taizhou (China) WK.16'!$B:OX,PY$1,0),0)</f>
        <v>0</v>
      </c>
      <c r="QA58" s="128">
        <v>0</v>
      </c>
      <c r="QB58" s="32">
        <v>0</v>
      </c>
      <c r="QC58" s="100">
        <f t="shared" si="498"/>
        <v>0</v>
      </c>
      <c r="QE58" s="37">
        <f t="shared" si="499"/>
        <v>0</v>
      </c>
      <c r="QF58" s="141">
        <f>IFERROR(VLOOKUP($D58,'Adient Assende (Belgium) WK.17'!$B:PB,QG$1,0),0)</f>
        <v>0</v>
      </c>
      <c r="QG58" s="140">
        <f>IFERROR(VLOOKUP($D58,'Adient Arendal (Malzia) WK.12'!$B:PC,QG$1,0),0)</f>
        <v>0</v>
      </c>
      <c r="QH58" s="140">
        <f>IFERROR(VLOOKUP($D58,'Adient Taizhou (China) WK.16'!$B:PF,QG$1,0),0)</f>
        <v>0</v>
      </c>
      <c r="QI58" s="128">
        <v>0</v>
      </c>
      <c r="QJ58" s="32">
        <v>0</v>
      </c>
      <c r="QK58" s="100">
        <f t="shared" si="500"/>
        <v>0</v>
      </c>
      <c r="QM58" s="37">
        <f t="shared" si="501"/>
        <v>0</v>
      </c>
      <c r="QN58" s="141">
        <f>IFERROR(VLOOKUP($D58,'Adient Assende (Belgium) WK.17'!$B:PJ,QO$1,0),0)</f>
        <v>0</v>
      </c>
      <c r="QO58" s="140">
        <f>IFERROR(VLOOKUP($D58,'Adient Arendal (Malzia) WK.12'!$B:PK,QO$1,0),0)</f>
        <v>0</v>
      </c>
      <c r="QP58" s="140">
        <f>IFERROR(VLOOKUP($D58,'Adient Taizhou (China) WK.16'!$B:PN,QO$1,0),0)</f>
        <v>0</v>
      </c>
      <c r="QQ58" s="128">
        <v>0</v>
      </c>
      <c r="QR58" s="32">
        <v>0</v>
      </c>
      <c r="QS58" s="100">
        <f t="shared" si="502"/>
        <v>0</v>
      </c>
      <c r="QU58" s="37">
        <f t="shared" si="503"/>
        <v>0</v>
      </c>
      <c r="QV58" s="141">
        <f>IFERROR(VLOOKUP($D58,'Adient Assende (Belgium) WK.17'!$B:PR,QW$1,0),0)</f>
        <v>0</v>
      </c>
      <c r="QW58" s="140">
        <f>IFERROR(VLOOKUP($D58,'Adient Arendal (Malzia) WK.12'!$B:PS,QW$1,0),0)</f>
        <v>0</v>
      </c>
      <c r="QX58" s="140">
        <f>IFERROR(VLOOKUP($D58,'Adient Taizhou (China) WK.16'!$B:PV,QW$1,0),0)</f>
        <v>0</v>
      </c>
      <c r="QY58" s="128">
        <v>0</v>
      </c>
      <c r="QZ58" s="32">
        <v>0</v>
      </c>
      <c r="RA58" s="100">
        <f t="shared" si="504"/>
        <v>0</v>
      </c>
      <c r="RC58" s="37">
        <f t="shared" si="505"/>
        <v>0</v>
      </c>
      <c r="RD58" s="141">
        <f>IFERROR(VLOOKUP($D58,'Adient Assende (Belgium) WK.17'!$B:PZ,RE$1,0),0)</f>
        <v>0</v>
      </c>
      <c r="RE58" s="140">
        <f>IFERROR(VLOOKUP($D58,'Adient Arendal (Malzia) WK.12'!$B:QA,RE$1,0),0)</f>
        <v>0</v>
      </c>
      <c r="RF58" s="140">
        <f>IFERROR(VLOOKUP($D58,'Adient Taizhou (China) WK.16'!$B:QD,RE$1,0),0)</f>
        <v>0</v>
      </c>
      <c r="RG58" s="128">
        <v>0</v>
      </c>
      <c r="RH58" s="32">
        <v>0</v>
      </c>
      <c r="RI58" s="100">
        <f t="shared" si="506"/>
        <v>0</v>
      </c>
      <c r="RK58" s="37">
        <f t="shared" si="507"/>
        <v>0</v>
      </c>
      <c r="RL58" s="141">
        <f>IFERROR(VLOOKUP($D58,'Adient Assende (Belgium) WK.17'!$B:QH,RM$1,0),0)</f>
        <v>0</v>
      </c>
      <c r="RM58" s="140">
        <f>IFERROR(VLOOKUP($D58,'Adient Arendal (Malzia) WK.12'!$B:QI,RM$1,0),0)</f>
        <v>0</v>
      </c>
      <c r="RN58" s="140">
        <f>IFERROR(VLOOKUP($D58,'Adient Taizhou (China) WK.16'!$B:QL,RM$1,0),0)</f>
        <v>0</v>
      </c>
      <c r="RO58" s="128">
        <v>0</v>
      </c>
      <c r="RP58" s="32">
        <v>0</v>
      </c>
      <c r="RQ58" s="100">
        <f t="shared" si="508"/>
        <v>0</v>
      </c>
      <c r="RS58" s="37">
        <f t="shared" si="509"/>
        <v>0</v>
      </c>
      <c r="RT58" s="141">
        <f>IFERROR(VLOOKUP($D58,'Adient Assende (Belgium) WK.17'!$B:QP,RU$1,0),0)</f>
        <v>0</v>
      </c>
      <c r="RU58" s="140">
        <f>IFERROR(VLOOKUP($D58,'Adient Arendal (Malzia) WK.12'!$B:QQ,RU$1,0),0)</f>
        <v>0</v>
      </c>
      <c r="RV58" s="140">
        <f>IFERROR(VLOOKUP($D58,'Adient Taizhou (China) WK.16'!$B:QT,RU$1,0),0)</f>
        <v>0</v>
      </c>
      <c r="RW58" s="128">
        <v>0</v>
      </c>
      <c r="RX58" s="32">
        <v>0</v>
      </c>
      <c r="RY58" s="100">
        <f t="shared" si="510"/>
        <v>0</v>
      </c>
      <c r="SA58" s="37">
        <f t="shared" si="511"/>
        <v>0</v>
      </c>
      <c r="SB58" s="141">
        <f>IFERROR(VLOOKUP($D58,'Adient Assende (Belgium) WK.17'!$B:QX,SC$1,0),0)</f>
        <v>0</v>
      </c>
      <c r="SC58" s="140">
        <f>IFERROR(VLOOKUP($D58,'Adient Arendal (Malzia) WK.12'!$B:QY,SC$1,0),0)</f>
        <v>0</v>
      </c>
      <c r="SD58" s="140">
        <f>IFERROR(VLOOKUP($D58,'Adient Taizhou (China) WK.16'!$B:RB,SC$1,0),0)</f>
        <v>0</v>
      </c>
      <c r="SE58" s="128">
        <v>0</v>
      </c>
      <c r="SF58" s="32">
        <v>0</v>
      </c>
      <c r="SG58" s="100">
        <f t="shared" si="512"/>
        <v>0</v>
      </c>
      <c r="SI58" s="37">
        <f t="shared" si="513"/>
        <v>0</v>
      </c>
      <c r="SJ58" s="141">
        <f>IFERROR(VLOOKUP($D58,'Adient Assende (Belgium) WK.17'!$B:RF,SK$1,0),0)</f>
        <v>0</v>
      </c>
      <c r="SK58" s="140">
        <f>IFERROR(VLOOKUP($D58,'Adient Arendal (Malzia) WK.12'!$B:RG,SK$1,0),0)</f>
        <v>0</v>
      </c>
      <c r="SL58" s="140">
        <f>IFERROR(VLOOKUP($D58,'Adient Taizhou (China) WK.16'!$B:RJ,SK$1,0),0)</f>
        <v>0</v>
      </c>
      <c r="SM58" s="128">
        <v>0</v>
      </c>
      <c r="SN58" s="32">
        <v>0</v>
      </c>
      <c r="SO58" s="100">
        <f t="shared" si="514"/>
        <v>0</v>
      </c>
      <c r="SQ58" s="37">
        <f t="shared" si="515"/>
        <v>0</v>
      </c>
      <c r="SR58" s="141">
        <f>IFERROR(VLOOKUP($D58,'Adient Assende (Belgium) WK.17'!$B:RN,SS$1,0),0)</f>
        <v>0</v>
      </c>
      <c r="SS58" s="140">
        <f>IFERROR(VLOOKUP($D58,'Adient Arendal (Malzia) WK.12'!$B:RO,SS$1,0),0)</f>
        <v>0</v>
      </c>
      <c r="ST58" s="140">
        <f>IFERROR(VLOOKUP($D58,'Adient Taizhou (China) WK.16'!$B:RR,SS$1,0),0)</f>
        <v>0</v>
      </c>
      <c r="SU58" s="128">
        <v>0</v>
      </c>
      <c r="SV58" s="32">
        <v>0</v>
      </c>
      <c r="SW58" s="100">
        <f t="shared" si="516"/>
        <v>0</v>
      </c>
      <c r="SY58" s="37">
        <f t="shared" si="517"/>
        <v>0</v>
      </c>
      <c r="SZ58" s="141">
        <f>IFERROR(VLOOKUP($D58,'Adient Assende (Belgium) WK.17'!$B:RV,TA$1,0),0)</f>
        <v>0</v>
      </c>
      <c r="TA58" s="140">
        <f>IFERROR(VLOOKUP($D58,'Adient Arendal (Malzia) WK.12'!$B:RW,TA$1,0),0)</f>
        <v>0</v>
      </c>
      <c r="TB58" s="140">
        <f>IFERROR(VLOOKUP($D58,'Adient Taizhou (China) WK.16'!$B:RZ,TA$1,0),0)</f>
        <v>0</v>
      </c>
      <c r="TC58" s="128">
        <v>0</v>
      </c>
      <c r="TD58" s="32">
        <v>0</v>
      </c>
      <c r="TE58" s="100">
        <f t="shared" si="518"/>
        <v>0</v>
      </c>
      <c r="TG58" s="37">
        <f t="shared" si="519"/>
        <v>0</v>
      </c>
      <c r="TH58" s="141">
        <f>IFERROR(VLOOKUP($D58,'Adient Assende (Belgium) WK.17'!$B:SD,TI$1,0),0)</f>
        <v>0</v>
      </c>
      <c r="TI58" s="140">
        <f>IFERROR(VLOOKUP($D58,'Adient Arendal (Malzia) WK.12'!$B:SE,TI$1,0),0)</f>
        <v>0</v>
      </c>
      <c r="TJ58" s="140">
        <f>IFERROR(VLOOKUP($D58,'Adient Taizhou (China) WK.16'!$B:SH,TI$1,0),0)</f>
        <v>0</v>
      </c>
      <c r="TK58" s="128">
        <v>0</v>
      </c>
      <c r="TL58" s="32">
        <v>0</v>
      </c>
      <c r="TM58" s="100">
        <f t="shared" si="520"/>
        <v>0</v>
      </c>
      <c r="TO58" s="37">
        <f t="shared" si="521"/>
        <v>0</v>
      </c>
      <c r="TP58" s="141">
        <f>IFERROR(VLOOKUP($D58,'Adient Assende (Belgium) WK.17'!$B:SL,TQ$1,0),0)</f>
        <v>0</v>
      </c>
      <c r="TQ58" s="140">
        <f>IFERROR(VLOOKUP($D58,'Adient Arendal (Malzia) WK.12'!$B:SM,TQ$1,0),0)</f>
        <v>0</v>
      </c>
      <c r="TR58" s="140">
        <f>IFERROR(VLOOKUP($D58,'Adient Taizhou (China) WK.16'!$B:SP,TQ$1,0),0)</f>
        <v>0</v>
      </c>
      <c r="TS58" s="128">
        <v>0</v>
      </c>
      <c r="TT58" s="32">
        <v>0</v>
      </c>
      <c r="TU58" s="100">
        <f t="shared" si="522"/>
        <v>0</v>
      </c>
      <c r="TW58" s="37">
        <f t="shared" si="523"/>
        <v>0</v>
      </c>
      <c r="TX58" s="141">
        <f>IFERROR(VLOOKUP($D58,'Adient Assende (Belgium) WK.17'!$B:ST,TY$1,0),0)</f>
        <v>0</v>
      </c>
      <c r="TY58" s="140">
        <f>IFERROR(VLOOKUP($D58,'Adient Arendal (Malzia) WK.12'!$B:SU,TY$1,0),0)</f>
        <v>0</v>
      </c>
      <c r="TZ58" s="140">
        <f>IFERROR(VLOOKUP($D58,'Adient Taizhou (China) WK.16'!$B:SX,TY$1,0),0)</f>
        <v>0</v>
      </c>
      <c r="UA58" s="128">
        <v>0</v>
      </c>
      <c r="UB58" s="32">
        <v>0</v>
      </c>
      <c r="UC58" s="100">
        <f t="shared" si="524"/>
        <v>0</v>
      </c>
      <c r="UE58" s="37">
        <f t="shared" si="525"/>
        <v>0</v>
      </c>
      <c r="UF58" s="141">
        <f>IFERROR(VLOOKUP($D58,'Adient Assende (Belgium) WK.17'!$B:TB,UG$1,0),0)</f>
        <v>0</v>
      </c>
      <c r="UG58" s="140">
        <f>IFERROR(VLOOKUP($D58,'Adient Arendal (Malzia) WK.12'!$B:TC,UG$1,0),0)</f>
        <v>0</v>
      </c>
      <c r="UH58" s="140">
        <f>IFERROR(VLOOKUP($D58,'Adient Taizhou (China) WK.16'!$B:TF,UG$1,0),0)</f>
        <v>0</v>
      </c>
      <c r="UI58" s="128">
        <v>0</v>
      </c>
      <c r="UJ58" s="32">
        <v>0</v>
      </c>
      <c r="UK58" s="100">
        <f t="shared" si="526"/>
        <v>0</v>
      </c>
      <c r="UM58" s="37">
        <f t="shared" si="527"/>
        <v>0</v>
      </c>
      <c r="UN58" s="141">
        <f>IFERROR(VLOOKUP($D58,'Adient Assende (Belgium) WK.17'!$B:TJ,UO$1,0),0)</f>
        <v>0</v>
      </c>
      <c r="UO58" s="140">
        <f>IFERROR(VLOOKUP($D58,'Adient Arendal (Malzia) WK.12'!$B:TK,UO$1,0),0)</f>
        <v>0</v>
      </c>
      <c r="UP58" s="140">
        <f>IFERROR(VLOOKUP($D58,'Adient Taizhou (China) WK.16'!$B:TN,UO$1,0),0)</f>
        <v>0</v>
      </c>
      <c r="UQ58" s="128">
        <v>0</v>
      </c>
      <c r="UR58" s="32">
        <v>0</v>
      </c>
      <c r="US58" s="100">
        <f t="shared" si="528"/>
        <v>0</v>
      </c>
      <c r="UU58" s="37">
        <f t="shared" si="529"/>
        <v>0</v>
      </c>
      <c r="UV58" s="141">
        <f>IFERROR(VLOOKUP($D58,'Adient Assende (Belgium) WK.17'!$B:TR,UW$1,0),0)</f>
        <v>0</v>
      </c>
      <c r="UW58" s="140">
        <f>IFERROR(VLOOKUP($D58,'Adient Arendal (Malzia) WK.12'!$B:TS,UW$1,0),0)</f>
        <v>0</v>
      </c>
      <c r="UX58" s="140">
        <f>IFERROR(VLOOKUP($D58,'Adient Taizhou (China) WK.16'!$B:TV,UW$1,0),0)</f>
        <v>0</v>
      </c>
      <c r="UY58" s="128">
        <v>0</v>
      </c>
      <c r="UZ58" s="32">
        <v>0</v>
      </c>
      <c r="VA58" s="100">
        <f t="shared" si="530"/>
        <v>0</v>
      </c>
      <c r="VC58" s="37">
        <f t="shared" si="531"/>
        <v>0</v>
      </c>
      <c r="VD58" s="141">
        <f>IFERROR(VLOOKUP($D58,'Adient Assende (Belgium) WK.17'!$B:TZ,VE$1,0),0)</f>
        <v>0</v>
      </c>
      <c r="VE58" s="140">
        <f>IFERROR(VLOOKUP($D58,'Adient Arendal (Malzia) WK.12'!$B:UA,VE$1,0),0)</f>
        <v>0</v>
      </c>
      <c r="VF58" s="140">
        <f>IFERROR(VLOOKUP($D58,'Adient Taizhou (China) WK.16'!$B:UD,VE$1,0),0)</f>
        <v>0</v>
      </c>
      <c r="VG58" s="128">
        <v>0</v>
      </c>
      <c r="VH58" s="32">
        <v>0</v>
      </c>
      <c r="VI58" s="100">
        <f t="shared" si="532"/>
        <v>0</v>
      </c>
      <c r="VK58" s="37">
        <f t="shared" si="533"/>
        <v>0</v>
      </c>
      <c r="VL58" s="141">
        <f>IFERROR(VLOOKUP($D58,'Adient Assende (Belgium) WK.17'!$B:UH,VM$1,0),0)</f>
        <v>0</v>
      </c>
      <c r="VM58" s="140">
        <f>IFERROR(VLOOKUP($D58,'Adient Arendal (Malzia) WK.12'!$B:UI,VM$1,0),0)</f>
        <v>0</v>
      </c>
      <c r="VN58" s="140">
        <f>IFERROR(VLOOKUP($D58,'Adient Taizhou (China) WK.16'!$B:UL,VM$1,0),0)</f>
        <v>0</v>
      </c>
      <c r="VO58" s="128">
        <v>0</v>
      </c>
      <c r="VP58" s="32">
        <v>0</v>
      </c>
      <c r="VQ58" s="100">
        <f t="shared" si="534"/>
        <v>0</v>
      </c>
    </row>
    <row r="59" spans="1:589" x14ac:dyDescent="0.25">
      <c r="A59" s="10" t="s">
        <v>18</v>
      </c>
      <c r="B59" s="11" t="s">
        <v>17</v>
      </c>
      <c r="C59" s="87">
        <v>32248183</v>
      </c>
      <c r="D59" s="81">
        <v>4172797</v>
      </c>
      <c r="E59" s="11">
        <v>20</v>
      </c>
      <c r="F59" s="12"/>
      <c r="H59" s="122">
        <v>0</v>
      </c>
      <c r="I59" s="125">
        <f>IFERROR(VLOOKUP($D59,'Adient Assende (Belgium) WK.17'!$B:C,J$1,0),0)</f>
        <v>0</v>
      </c>
      <c r="J59" s="55">
        <f>IFERROR(VLOOKUP($D59,'Adient Arendal (Malzia) WK.12'!$B:C,J$1,0),0)</f>
        <v>0</v>
      </c>
      <c r="K59" s="55">
        <f>IFERROR(VLOOKUP($D59,'Adient Taizhou (China) WK.16'!$B:C,J$1,0),0)</f>
        <v>0</v>
      </c>
      <c r="L59" s="128">
        <v>0</v>
      </c>
      <c r="M59" s="32">
        <v>0</v>
      </c>
      <c r="N59" s="106">
        <f t="shared" si="233"/>
        <v>0</v>
      </c>
      <c r="P59" s="37">
        <f t="shared" si="234"/>
        <v>0</v>
      </c>
      <c r="Q59" s="125">
        <f>IFERROR(VLOOKUP($D59,'Adient Assende (Belgium) WK.17'!$B:K,R$1,0),0)</f>
        <v>0</v>
      </c>
      <c r="R59" s="55">
        <f>IFERROR(VLOOKUP($D59,'Adient Arendal (Malzia) WK.12'!$B:K,R$1,0),0)</f>
        <v>0</v>
      </c>
      <c r="S59" s="55">
        <f>IFERROR(VLOOKUP($D59,'Adient Taizhou (China) WK.16'!$B:K,R$1,0),0)</f>
        <v>0</v>
      </c>
      <c r="T59" s="41">
        <v>0</v>
      </c>
      <c r="U59" s="32">
        <v>0</v>
      </c>
      <c r="V59" s="106">
        <f t="shared" si="235"/>
        <v>0</v>
      </c>
      <c r="X59" s="37">
        <f t="shared" si="236"/>
        <v>0</v>
      </c>
      <c r="Y59" s="125">
        <f>IFERROR(VLOOKUP($D59,'Adient Assende (Belgium) WK.17'!$B:S,Z$1,0),0)</f>
        <v>0</v>
      </c>
      <c r="Z59" s="55">
        <f>IFERROR(VLOOKUP($D59,'Adient Arendal (Malzia) WK.12'!$B:S,Z$1,0),0)</f>
        <v>0</v>
      </c>
      <c r="AA59" s="55">
        <f>IFERROR(VLOOKUP($D59,'Adient Taizhou (China) WK.16'!$B:S,Z$1,0),0)</f>
        <v>0</v>
      </c>
      <c r="AB59" s="41">
        <v>0</v>
      </c>
      <c r="AC59" s="32">
        <v>0</v>
      </c>
      <c r="AD59" s="106">
        <f t="shared" si="237"/>
        <v>0</v>
      </c>
      <c r="AF59" s="37">
        <f t="shared" si="238"/>
        <v>0</v>
      </c>
      <c r="AG59" s="125">
        <f>IFERROR(VLOOKUP($D59,'Adient Assende (Belgium) WK.17'!$B:AA,AH$1,0),0)</f>
        <v>0</v>
      </c>
      <c r="AH59" s="55">
        <f>IFERROR(VLOOKUP($D59,'Adient Arendal (Malzia) WK.12'!$B:AA,AH$1,0),0)</f>
        <v>0</v>
      </c>
      <c r="AI59" s="55">
        <f>IFERROR(VLOOKUP($D59,'Adient Taizhou (China) WK.16'!$B:AA,AH$1,0),0)</f>
        <v>0</v>
      </c>
      <c r="AJ59" s="41">
        <v>0</v>
      </c>
      <c r="AK59" s="32">
        <v>0</v>
      </c>
      <c r="AL59" s="106">
        <f t="shared" si="239"/>
        <v>0</v>
      </c>
      <c r="AN59" s="37">
        <f t="shared" si="432"/>
        <v>0</v>
      </c>
      <c r="AO59" s="125">
        <f>IFERROR(VLOOKUP($D59,'Adient Assende (Belgium) WK.17'!$B:AI,AP$1,0),0)</f>
        <v>0</v>
      </c>
      <c r="AP59" s="55">
        <f>IFERROR(VLOOKUP($D59,'Adient Arendal (Malzia) WK.12'!$B:AI,AP$1,0),0)</f>
        <v>0</v>
      </c>
      <c r="AQ59" s="55">
        <f>IFERROR(VLOOKUP($D59,'Adient Taizhou (China) WK.16'!$B:AI,AP$1,0),0)</f>
        <v>0</v>
      </c>
      <c r="AR59" s="60">
        <v>0</v>
      </c>
      <c r="AS59" s="41">
        <v>0</v>
      </c>
      <c r="AT59" s="32">
        <v>0</v>
      </c>
      <c r="AU59" s="106">
        <f t="shared" si="240"/>
        <v>0</v>
      </c>
      <c r="AW59" s="37">
        <f t="shared" si="433"/>
        <v>0</v>
      </c>
      <c r="AX59" s="125">
        <f>IFERROR(VLOOKUP($D59,'Adient Assende (Belgium) WK.17'!$B:AR,AY$1,0),0)</f>
        <v>0</v>
      </c>
      <c r="AY59" s="55">
        <f>IFERROR(VLOOKUP($D59,'Adient Arendal (Malzia) WK.12'!$B:AR,AY$1,0),0)</f>
        <v>0</v>
      </c>
      <c r="AZ59" s="55">
        <f>IFERROR(VLOOKUP($D59,'Adient Taizhou (China) WK.16'!$B:AU,AY$1,0),0)</f>
        <v>0</v>
      </c>
      <c r="BA59" s="41">
        <v>0</v>
      </c>
      <c r="BB59" s="32">
        <v>0</v>
      </c>
      <c r="BC59" s="106">
        <f t="shared" si="241"/>
        <v>0</v>
      </c>
      <c r="BE59" s="37">
        <f t="shared" si="434"/>
        <v>0</v>
      </c>
      <c r="BF59" s="125">
        <f>IFERROR(VLOOKUP($D59,'Adient Assende (Belgium) WK.17'!$B:AX,BG$1,0),0)</f>
        <v>0</v>
      </c>
      <c r="BG59" s="55">
        <f>IFERROR(VLOOKUP($D59,'Adient Arendal (Malzia) WK.12'!$B:AZ,BG$1,0),0)</f>
        <v>0</v>
      </c>
      <c r="BH59" s="55">
        <f>IFERROR(VLOOKUP($D59,'Adient Taizhou (China) WK.16'!$B:BB,BG$1,0),0)</f>
        <v>0</v>
      </c>
      <c r="BI59" s="60">
        <v>0</v>
      </c>
      <c r="BJ59" s="60">
        <v>0</v>
      </c>
      <c r="BK59" s="41">
        <v>0</v>
      </c>
      <c r="BL59" s="32">
        <v>0</v>
      </c>
      <c r="BM59" s="106">
        <f t="shared" si="242"/>
        <v>0</v>
      </c>
      <c r="BN59" s="8"/>
      <c r="BO59" s="37">
        <f t="shared" si="435"/>
        <v>0</v>
      </c>
      <c r="BP59" s="125">
        <f>IFERROR(VLOOKUP($D59,'Adient Assende (Belgium) WK.17'!$B:BH,BQ$1,0),0)</f>
        <v>0</v>
      </c>
      <c r="BQ59" s="55">
        <f>IFERROR(VLOOKUP($D59,'Adient Arendal (Malzia) WK.12'!$B:BI,BQ$1,0),0)</f>
        <v>0</v>
      </c>
      <c r="BR59" s="55">
        <f>IFERROR(VLOOKUP($D59,'Adient Taizhou (China) WK.16'!$B:BL,BQ$1,0),0)</f>
        <v>0</v>
      </c>
      <c r="BS59" s="60">
        <v>0</v>
      </c>
      <c r="BT59" s="60">
        <v>0</v>
      </c>
      <c r="BU59" s="60">
        <v>0</v>
      </c>
      <c r="BV59" s="41">
        <v>0</v>
      </c>
      <c r="BW59" s="32">
        <v>0</v>
      </c>
      <c r="BX59" s="106">
        <f t="shared" si="243"/>
        <v>0</v>
      </c>
      <c r="BY59" s="8"/>
      <c r="BZ59" s="37">
        <f t="shared" si="436"/>
        <v>0</v>
      </c>
      <c r="CA59" s="125">
        <f>IFERROR(VLOOKUP($D59,'Adient Assende (Belgium) WK.17'!$B:BS,CB$1,0),0)</f>
        <v>0</v>
      </c>
      <c r="CB59" s="55">
        <f>IFERROR(VLOOKUP($D59,'Adient Arendal (Malzia) WK.12'!$B:BT,CB$1,0),0)</f>
        <v>0</v>
      </c>
      <c r="CC59" s="55">
        <f>IFERROR(VLOOKUP($D59,'Adient Taizhou (China) WK.16'!$B:BW,CB$1,0),0)</f>
        <v>0</v>
      </c>
      <c r="CD59" s="60">
        <v>0</v>
      </c>
      <c r="CE59" s="60">
        <v>0</v>
      </c>
      <c r="CF59" s="41">
        <v>0</v>
      </c>
      <c r="CG59" s="32">
        <v>0</v>
      </c>
      <c r="CH59" s="106">
        <f t="shared" si="244"/>
        <v>0</v>
      </c>
      <c r="CI59" s="8"/>
      <c r="CJ59" s="37">
        <f t="shared" si="437"/>
        <v>0</v>
      </c>
      <c r="CK59" s="125">
        <f>IFERROR(VLOOKUP($D59,'Adient Assende (Belgium) WK.17'!$B:CC,CL$1,0),0)</f>
        <v>0</v>
      </c>
      <c r="CL59" s="55">
        <f>IFERROR(VLOOKUP($D59,'Adient Arendal (Malzia) WK.12'!$B:CD,CL$1,0),0)</f>
        <v>0</v>
      </c>
      <c r="CM59" s="55">
        <f>IFERROR(VLOOKUP($D59,'Adient Taizhou (China) WK.16'!$B:CG,CL$1,0),0)</f>
        <v>0</v>
      </c>
      <c r="CN59" s="60">
        <v>0</v>
      </c>
      <c r="CO59" s="149">
        <v>0</v>
      </c>
      <c r="CP59" s="32">
        <v>0</v>
      </c>
      <c r="CQ59" s="106">
        <f t="shared" si="245"/>
        <v>0</v>
      </c>
      <c r="CR59" s="8"/>
      <c r="CS59" s="122">
        <f t="shared" si="438"/>
        <v>0</v>
      </c>
      <c r="CT59" s="154">
        <f>IFERROR(VLOOKUP($D59,'Adient Assende (Belgium) WK.17'!$B:CL,CU$1,0),0)</f>
        <v>0</v>
      </c>
      <c r="CU59" s="55">
        <f>IFERROR(VLOOKUP($D59,'Adient Arendal (Malzia) WK.12'!$B:CM,CU$1,0),0)</f>
        <v>0</v>
      </c>
      <c r="CV59" s="55">
        <f>IFERROR(VLOOKUP($D59,'Adient Taizhou (China) WK.16'!$B:CP,CU$1,0),0)</f>
        <v>0</v>
      </c>
      <c r="CW59" s="60">
        <v>0</v>
      </c>
      <c r="CX59" s="60">
        <v>0</v>
      </c>
      <c r="CY59" s="128">
        <v>0</v>
      </c>
      <c r="CZ59" s="32">
        <v>0</v>
      </c>
      <c r="DA59" s="106">
        <f t="shared" si="246"/>
        <v>0</v>
      </c>
      <c r="DB59" s="8"/>
      <c r="DC59" s="37">
        <f t="shared" si="439"/>
        <v>0</v>
      </c>
      <c r="DD59" s="125">
        <f>IFERROR(VLOOKUP($D59,'Adient Assende (Belgium) WK.17'!$B:CS,DE$1,0),0)</f>
        <v>0</v>
      </c>
      <c r="DE59" s="55">
        <f>IFERROR(VLOOKUP($D59,'Adient Arendal (Malzia) WK.12'!$B:CU,DE$1,0),0)</f>
        <v>0</v>
      </c>
      <c r="DF59" s="55">
        <f>IFERROR(VLOOKUP($D59,'Adient Taizhou (China) WK.16'!$B:CX,DE$1,0),0)</f>
        <v>0</v>
      </c>
      <c r="DG59" s="60">
        <v>0</v>
      </c>
      <c r="DH59" s="128">
        <v>0</v>
      </c>
      <c r="DI59" s="32">
        <v>0</v>
      </c>
      <c r="DJ59" s="106">
        <f t="shared" si="247"/>
        <v>0</v>
      </c>
      <c r="DL59" s="37">
        <f t="shared" si="440"/>
        <v>0</v>
      </c>
      <c r="DM59" s="125">
        <f>IFERROR(VLOOKUP($D59,'Adient Assende (Belgium) WK.17'!$B:DB,DN$1,0),0)</f>
        <v>0</v>
      </c>
      <c r="DN59" s="55">
        <f>IFERROR(VLOOKUP($D59,'Adient Arendal (Malzia) WK.12'!$B:DC,DN$1,0),0)</f>
        <v>0</v>
      </c>
      <c r="DO59" s="55">
        <f>IFERROR(VLOOKUP($D59,'Adient Taizhou (China) WK.16'!$B:DF,DN$1,0),0)</f>
        <v>0</v>
      </c>
      <c r="DP59" s="128">
        <v>0</v>
      </c>
      <c r="DQ59" s="32">
        <v>0</v>
      </c>
      <c r="DR59" s="106">
        <f t="shared" si="441"/>
        <v>0</v>
      </c>
      <c r="DS59" s="8"/>
      <c r="DT59" s="37">
        <f t="shared" si="442"/>
        <v>0</v>
      </c>
      <c r="DU59" s="125">
        <f>IFERROR(VLOOKUP($D59,'Adient Assende (Belgium) WK.17'!$B:DJ,DV$1,0),0)</f>
        <v>0</v>
      </c>
      <c r="DV59" s="55">
        <f>IFERROR(VLOOKUP($D59,'Adient Arendal (Malzia) WK.12'!$B:DK,DV$1,0),0)</f>
        <v>0</v>
      </c>
      <c r="DW59" s="55">
        <f>IFERROR(VLOOKUP($D59,'Adient Taizhou (China) WK.16'!$B:DN,DV$1,0),0)</f>
        <v>0</v>
      </c>
      <c r="DX59" s="60">
        <v>0</v>
      </c>
      <c r="DY59" s="60">
        <v>0</v>
      </c>
      <c r="DZ59" s="128">
        <v>0</v>
      </c>
      <c r="EA59" s="32">
        <v>0</v>
      </c>
      <c r="EB59" s="106">
        <f t="shared" si="248"/>
        <v>0</v>
      </c>
      <c r="EC59" s="8"/>
      <c r="ED59" s="37">
        <f t="shared" si="443"/>
        <v>0</v>
      </c>
      <c r="EE59" s="125">
        <f>IFERROR(VLOOKUP($D59,'Adient Assende (Belgium) WK.17'!$B:DR,EF$1,0),0)</f>
        <v>0</v>
      </c>
      <c r="EF59" s="55">
        <f>IFERROR(VLOOKUP($D59,'Adient Arendal (Malzia) WK.12'!$B:DS,EF$1,0),0)</f>
        <v>0</v>
      </c>
      <c r="EG59" s="55">
        <f>IFERROR(VLOOKUP($D59,'Adient Taizhou (China) WK.16'!$B:DV,EF$1,0),0)</f>
        <v>0</v>
      </c>
      <c r="EH59" s="60">
        <v>0</v>
      </c>
      <c r="EI59" s="128">
        <v>0</v>
      </c>
      <c r="EJ59" s="32">
        <v>0</v>
      </c>
      <c r="EK59" s="106">
        <f t="shared" si="249"/>
        <v>0</v>
      </c>
      <c r="EM59" s="37">
        <f t="shared" si="444"/>
        <v>0</v>
      </c>
      <c r="EN59" s="125">
        <f>IFERROR(VLOOKUP($D59,'Adient Assende (Belgium) WK.17'!$B:DZ,EO$1,0),0)</f>
        <v>0</v>
      </c>
      <c r="EO59" s="55">
        <f>IFERROR(VLOOKUP($D59,'Adient Arendal (Malzia) WK.12'!$B:EA,EO$1,0),0)</f>
        <v>0</v>
      </c>
      <c r="EP59" s="55">
        <f>IFERROR(VLOOKUP($D59,'Adient Taizhou (China) WK.16'!$B:ED,EO$1,0),0)</f>
        <v>0</v>
      </c>
      <c r="EQ59" s="128">
        <v>0</v>
      </c>
      <c r="ER59" s="32">
        <v>0</v>
      </c>
      <c r="ES59" s="106">
        <f t="shared" si="250"/>
        <v>0</v>
      </c>
      <c r="EU59" s="37">
        <f t="shared" si="445"/>
        <v>0</v>
      </c>
      <c r="EV59" s="125">
        <f>IFERROR(VLOOKUP($D59,'Adient Assende (Belgium) WK.17'!$B:EH,EW$1,0),0)</f>
        <v>0</v>
      </c>
      <c r="EW59" s="55">
        <f>IFERROR(VLOOKUP($D59,'Adient Arendal (Malzia) WK.12'!$B:EI,EW$1,0),0)</f>
        <v>0</v>
      </c>
      <c r="EX59" s="55">
        <f>IFERROR(VLOOKUP($D59,'Adient Taizhou (China) WK.16'!$B:EL,EW$1,0),0)</f>
        <v>0</v>
      </c>
      <c r="EY59" s="128">
        <v>0</v>
      </c>
      <c r="EZ59" s="32">
        <v>0</v>
      </c>
      <c r="FA59" s="106">
        <f t="shared" si="251"/>
        <v>0</v>
      </c>
      <c r="FC59" s="37">
        <f t="shared" si="446"/>
        <v>0</v>
      </c>
      <c r="FD59" s="154">
        <f>IFERROR(VLOOKUP($D59,'Adient Assende (Belgium) WK.17'!$B:EP,FE$1,0),0)</f>
        <v>0</v>
      </c>
      <c r="FE59" s="154">
        <f>IFERROR(VLOOKUP($D59,'Adient Arendal (Malzia) WK.12'!$B:EQ,FE$1,0),0)</f>
        <v>0</v>
      </c>
      <c r="FF59" s="154">
        <f>IFERROR(VLOOKUP($D59,'Adient Taizhou (China) WK.16'!$B:ET,FE$1,0),0)</f>
        <v>0</v>
      </c>
      <c r="FG59" s="128">
        <v>0</v>
      </c>
      <c r="FH59" s="32">
        <v>0</v>
      </c>
      <c r="FI59" s="106">
        <f t="shared" si="252"/>
        <v>0</v>
      </c>
      <c r="FK59" s="37">
        <f t="shared" si="447"/>
        <v>0</v>
      </c>
      <c r="FL59" s="125">
        <f>IFERROR(VLOOKUP($D59,'Adient Assende (Belgium) WK.17'!$B:EX,FM$1,0),0)</f>
        <v>0</v>
      </c>
      <c r="FM59" s="55">
        <f>IFERROR(VLOOKUP($D59,'Adient Arendal (Malzia) WK.12'!$B:EY,FM$1,0),0)</f>
        <v>0</v>
      </c>
      <c r="FN59" s="55">
        <f>IFERROR(VLOOKUP($D59,'Adient Taizhou (China) WK.16'!$B:FB,FM$1,0),0)</f>
        <v>0</v>
      </c>
      <c r="FO59" s="128">
        <v>0</v>
      </c>
      <c r="FP59" s="32">
        <v>0</v>
      </c>
      <c r="FQ59" s="106">
        <f t="shared" si="253"/>
        <v>0</v>
      </c>
      <c r="FR59" s="8"/>
      <c r="FS59" s="37">
        <f t="shared" si="448"/>
        <v>0</v>
      </c>
      <c r="FT59" s="125">
        <f>IFERROR(VLOOKUP($D59,'Adient Assende (Belgium) WK.17'!$B:FF,FU$1,0),0)</f>
        <v>0</v>
      </c>
      <c r="FU59" s="55">
        <f>IFERROR(VLOOKUP($D59,'Adient Arendal (Malzia) WK.12'!$B:FG,FU$1,0),0)</f>
        <v>0</v>
      </c>
      <c r="FV59" s="55">
        <f>IFERROR(VLOOKUP($D59,'Adient Taizhou (China) WK.16'!$B:FJ,FU$1,0),0)</f>
        <v>0</v>
      </c>
      <c r="FW59" s="60">
        <v>0</v>
      </c>
      <c r="FX59" s="60">
        <v>0</v>
      </c>
      <c r="FY59" s="60">
        <v>0</v>
      </c>
      <c r="FZ59" s="60">
        <v>0</v>
      </c>
      <c r="GA59" s="60">
        <v>0</v>
      </c>
      <c r="GB59" s="128">
        <v>0</v>
      </c>
      <c r="GC59" s="32">
        <v>0</v>
      </c>
      <c r="GD59" s="106">
        <f t="shared" si="254"/>
        <v>0</v>
      </c>
      <c r="GF59" s="37">
        <f t="shared" si="449"/>
        <v>0</v>
      </c>
      <c r="GG59" s="125">
        <f>IFERROR(VLOOKUP($D59,'Adient Assende (Belgium) WK.17'!$B:FN,GH$1,0),0)</f>
        <v>0</v>
      </c>
      <c r="GH59" s="55">
        <f>IFERROR(VLOOKUP($D59,'Adient Arendal (Malzia) WK.12'!$B:FO,GH$1,0),0)</f>
        <v>0</v>
      </c>
      <c r="GI59" s="55">
        <f>IFERROR(VLOOKUP($D59,'Adient Taizhou (China) WK.16'!$B:FR,GH$1,0),0)</f>
        <v>0</v>
      </c>
      <c r="GJ59" s="60">
        <v>0</v>
      </c>
      <c r="GK59" s="128">
        <v>0</v>
      </c>
      <c r="GL59" s="32">
        <v>0</v>
      </c>
      <c r="GM59" s="106">
        <f t="shared" si="255"/>
        <v>0</v>
      </c>
      <c r="GO59" s="37">
        <f t="shared" si="450"/>
        <v>0</v>
      </c>
      <c r="GP59" s="125">
        <f>IFERROR(VLOOKUP($D59,'Adient Assende (Belgium) WK.17'!$B:FV,GQ$1,0),0)</f>
        <v>0</v>
      </c>
      <c r="GQ59" s="55">
        <f>IFERROR(VLOOKUP($D59,'Adient Arendal (Malzia) WK.12'!$B:FW,GQ$1,0),0)</f>
        <v>0</v>
      </c>
      <c r="GR59" s="55">
        <f>IFERROR(VLOOKUP($D59,'Adient Taizhou (China) WK.16'!$B:FZ,GQ$1,0),0)</f>
        <v>0</v>
      </c>
      <c r="GS59" s="60">
        <v>0</v>
      </c>
      <c r="GT59" s="128">
        <v>0</v>
      </c>
      <c r="GU59" s="32">
        <v>0</v>
      </c>
      <c r="GV59" s="106">
        <f t="shared" si="256"/>
        <v>0</v>
      </c>
      <c r="GW59" s="8"/>
      <c r="GX59" s="37">
        <f t="shared" si="451"/>
        <v>0</v>
      </c>
      <c r="GY59" s="125">
        <f>IFERROR(VLOOKUP($D59,'Adient Assende (Belgium) WK.17'!$B:GD,GZ$1,0),0)</f>
        <v>0</v>
      </c>
      <c r="GZ59" s="55">
        <f>IFERROR(VLOOKUP($D59,'Adient Arendal (Malzia) WK.12'!$B:GE,GZ$1,0),0)</f>
        <v>0</v>
      </c>
      <c r="HA59" s="55">
        <f>IFERROR(VLOOKUP($D59,'Adient Taizhou (China) WK.16'!$B:GH,GZ$1,0),0)</f>
        <v>0</v>
      </c>
      <c r="HB59" s="60">
        <v>0</v>
      </c>
      <c r="HC59" s="128">
        <v>0</v>
      </c>
      <c r="HD59" s="32">
        <v>0</v>
      </c>
      <c r="HE59" s="106">
        <f t="shared" si="257"/>
        <v>0</v>
      </c>
      <c r="HF59" s="8"/>
      <c r="HG59" s="37">
        <f t="shared" si="452"/>
        <v>0</v>
      </c>
      <c r="HH59" s="125">
        <f>IFERROR(VLOOKUP($D59,'Adient Assende (Belgium) WK.17'!$B:GL,HI$1,0),0)</f>
        <v>0</v>
      </c>
      <c r="HI59" s="55">
        <f>IFERROR(VLOOKUP($D59,'Adient Arendal (Malzia) WK.12'!$B:GM,HI$1,0),0)</f>
        <v>0</v>
      </c>
      <c r="HJ59" s="55">
        <f>IFERROR(VLOOKUP($D59,'Adient Taizhou (China) WK.16'!$B:GP,HI$1,0),0)</f>
        <v>0</v>
      </c>
      <c r="HK59" s="60">
        <v>0</v>
      </c>
      <c r="HL59" s="128">
        <v>0</v>
      </c>
      <c r="HM59" s="32">
        <v>0</v>
      </c>
      <c r="HN59" s="106">
        <f t="shared" si="258"/>
        <v>0</v>
      </c>
      <c r="HO59" s="8"/>
      <c r="HP59" s="37">
        <f t="shared" si="453"/>
        <v>0</v>
      </c>
      <c r="HQ59" s="125">
        <f>IFERROR(VLOOKUP($D59,'Adient Assende (Belgium) WK.17'!$B:GT,HR$1,0),0)</f>
        <v>0</v>
      </c>
      <c r="HR59" s="55">
        <f>IFERROR(VLOOKUP($D59,'Adient Arendal (Malzia) WK.12'!$B:GU,HR$1,0),0)</f>
        <v>0</v>
      </c>
      <c r="HS59" s="55">
        <f>IFERROR(VLOOKUP($D59,'Adient Taizhou (China) WK.16'!$B:GX,HR$1,0),0)</f>
        <v>0</v>
      </c>
      <c r="HT59" s="60">
        <v>0</v>
      </c>
      <c r="HU59" s="128">
        <v>0</v>
      </c>
      <c r="HV59" s="32">
        <v>0</v>
      </c>
      <c r="HW59" s="106">
        <f t="shared" si="259"/>
        <v>0</v>
      </c>
      <c r="HX59" s="8"/>
      <c r="HY59" s="37">
        <f t="shared" si="454"/>
        <v>0</v>
      </c>
      <c r="HZ59" s="125">
        <f>IFERROR(VLOOKUP($D59,'Adient Assende (Belgium) WK.17'!$B:HB,IA$1,0),0)</f>
        <v>0</v>
      </c>
      <c r="IA59" s="55">
        <f>IFERROR(VLOOKUP($D59,'Adient Arendal (Malzia) WK.12'!$B:HC,IA$1,0),0)</f>
        <v>0</v>
      </c>
      <c r="IB59" s="55">
        <f>IFERROR(VLOOKUP($D59,'Adient Taizhou (China) WK.16'!$B:HF,IA$1,0),0)</f>
        <v>0</v>
      </c>
      <c r="IC59" s="60">
        <v>0</v>
      </c>
      <c r="ID59" s="128">
        <v>0</v>
      </c>
      <c r="IE59" s="32">
        <v>0</v>
      </c>
      <c r="IF59" s="106">
        <f t="shared" si="260"/>
        <v>0</v>
      </c>
      <c r="IG59" s="8"/>
      <c r="IH59" s="37">
        <f t="shared" si="455"/>
        <v>0</v>
      </c>
      <c r="II59" s="125">
        <f>IFERROR(VLOOKUP($D59,'Adient Assende (Belgium) WK.17'!$B:HJ,IJ$1,0),0)</f>
        <v>0</v>
      </c>
      <c r="IJ59" s="55">
        <f>IFERROR(VLOOKUP($D59,'Adient Arendal (Malzia) WK.12'!$B:HK,IJ$1,0),0)</f>
        <v>0</v>
      </c>
      <c r="IK59" s="55">
        <f>IFERROR(VLOOKUP($D59,'Adient Taizhou (China) WK.16'!$B:HN,IJ$1,0),0)</f>
        <v>0</v>
      </c>
      <c r="IL59" s="128">
        <v>0</v>
      </c>
      <c r="IM59" s="32">
        <v>0</v>
      </c>
      <c r="IN59" s="106">
        <f t="shared" si="456"/>
        <v>0</v>
      </c>
      <c r="IO59" s="8"/>
      <c r="IP59" s="37">
        <f t="shared" si="457"/>
        <v>0</v>
      </c>
      <c r="IQ59" s="125">
        <f>IFERROR(VLOOKUP($D59,'Adient Assende (Belgium) WK.17'!$B:HR,IR$1,0),0)</f>
        <v>0</v>
      </c>
      <c r="IR59" s="55">
        <f>IFERROR(VLOOKUP($D59,'Adient Arendal (Malzia) WK.12'!$B:HS,IR$1,0),0)</f>
        <v>0</v>
      </c>
      <c r="IS59" s="55">
        <f>IFERROR(VLOOKUP($D59,'Adient Taizhou (China) WK.16'!$B:HV,IR$1,0),0)</f>
        <v>0</v>
      </c>
      <c r="IT59" s="60">
        <v>0</v>
      </c>
      <c r="IU59" s="128">
        <v>0</v>
      </c>
      <c r="IV59" s="32">
        <v>0</v>
      </c>
      <c r="IW59" s="106">
        <f t="shared" si="261"/>
        <v>0</v>
      </c>
      <c r="IX59" s="8"/>
      <c r="IY59" s="37">
        <f t="shared" si="458"/>
        <v>0</v>
      </c>
      <c r="IZ59" s="125">
        <f>IFERROR(VLOOKUP($D59,'Adient Assende (Belgium) WK.17'!$B:HZ,JA$1,0),0)</f>
        <v>0</v>
      </c>
      <c r="JA59" s="55">
        <f>IFERROR(VLOOKUP($D59,'Adient Arendal (Malzia) WK.12'!$B:IA,JA$1,0),0)</f>
        <v>0</v>
      </c>
      <c r="JB59" s="55">
        <f>IFERROR(VLOOKUP($D59,'Adient Taizhou (China) WK.16'!$B:ID,JA$1,0),0)</f>
        <v>0</v>
      </c>
      <c r="JC59" s="128">
        <v>0</v>
      </c>
      <c r="JD59" s="32">
        <v>0</v>
      </c>
      <c r="JE59" s="106">
        <f t="shared" si="459"/>
        <v>0</v>
      </c>
      <c r="JF59" s="8"/>
      <c r="JG59" s="37">
        <f t="shared" si="460"/>
        <v>0</v>
      </c>
      <c r="JH59" s="125">
        <f>IFERROR(VLOOKUP($D59,'Adient Assende (Belgium) WK.17'!$B:IH,JI$1,0),0)</f>
        <v>0</v>
      </c>
      <c r="JI59" s="55">
        <f>IFERROR(VLOOKUP($D59,'Adient Arendal (Malzia) WK.12'!$B:II,JI$1,0),0)</f>
        <v>0</v>
      </c>
      <c r="JJ59" s="55">
        <f>IFERROR(VLOOKUP($D59,'Adient Taizhou (China) WK.16'!$B:IL,JI$1,0),0)</f>
        <v>0</v>
      </c>
      <c r="JK59" s="60">
        <v>0</v>
      </c>
      <c r="JL59" s="128">
        <v>0</v>
      </c>
      <c r="JM59" s="32">
        <v>0</v>
      </c>
      <c r="JN59" s="106">
        <f t="shared" si="262"/>
        <v>0</v>
      </c>
      <c r="JO59" s="8"/>
      <c r="JP59" s="37">
        <f t="shared" si="461"/>
        <v>0</v>
      </c>
      <c r="JQ59" s="125">
        <f>IFERROR(VLOOKUP($D59,'Adient Assende (Belgium) WK.17'!$B:IP,JR$1,0),0)</f>
        <v>0</v>
      </c>
      <c r="JR59" s="55">
        <f>IFERROR(VLOOKUP($D59,'Adient Arendal (Malzia) WK.12'!$B:IQ,JR$1,0),0)</f>
        <v>0</v>
      </c>
      <c r="JS59" s="55">
        <f>IFERROR(VLOOKUP($D59,'Adient Taizhou (China) WK.16'!$B:IT,JR$1,0),0)</f>
        <v>0</v>
      </c>
      <c r="JT59" s="128">
        <v>0</v>
      </c>
      <c r="JU59" s="32">
        <v>0</v>
      </c>
      <c r="JV59" s="106">
        <f t="shared" si="462"/>
        <v>0</v>
      </c>
      <c r="JW59" s="8"/>
      <c r="JX59" s="37">
        <f t="shared" si="463"/>
        <v>0</v>
      </c>
      <c r="JY59" s="154">
        <f>IFERROR(VLOOKUP($D59,'Adient Assende (Belgium) WK.17'!$B:IX,JZ$1,0),0)</f>
        <v>0</v>
      </c>
      <c r="JZ59" s="55">
        <f>IFERROR(VLOOKUP($D59,'Adient Arendal (Malzia) WK.12'!$B:IY,JZ$1,0),0)</f>
        <v>0</v>
      </c>
      <c r="KA59" s="55">
        <f>IFERROR(VLOOKUP($D59,'Adient Taizhou (China) WK.16'!$B:JB,JZ$1,0),0)</f>
        <v>0</v>
      </c>
      <c r="KB59" s="128">
        <v>0</v>
      </c>
      <c r="KC59" s="32">
        <v>0</v>
      </c>
      <c r="KD59" s="106">
        <f t="shared" si="263"/>
        <v>0</v>
      </c>
      <c r="KE59" s="8"/>
      <c r="KF59" s="37">
        <f t="shared" si="464"/>
        <v>0</v>
      </c>
      <c r="KG59" s="125">
        <f>IFERROR(VLOOKUP($D59,'Adient Assende (Belgium) WK.17'!$B:JF,KH$1,0),0)</f>
        <v>0</v>
      </c>
      <c r="KH59" s="55">
        <f>IFERROR(VLOOKUP($D59,'Adient Arendal (Malzia) WK.12'!$B:JG,KH$1,0),0)</f>
        <v>0</v>
      </c>
      <c r="KI59" s="55">
        <f>IFERROR(VLOOKUP($D59,'Adient Taizhou (China) WK.16'!$B:JJ,KH$1,0),0)</f>
        <v>0</v>
      </c>
      <c r="KJ59" s="60">
        <v>0</v>
      </c>
      <c r="KK59" s="128">
        <v>0</v>
      </c>
      <c r="KL59" s="32">
        <v>0</v>
      </c>
      <c r="KM59" s="106">
        <f t="shared" si="264"/>
        <v>0</v>
      </c>
      <c r="KN59" s="8"/>
      <c r="KO59" s="37">
        <f t="shared" si="465"/>
        <v>0</v>
      </c>
      <c r="KP59" s="141">
        <f>IFERROR(VLOOKUP($D59,'Adient Assende (Belgium) WK.17'!$B:JN,KQ$1,0),0)</f>
        <v>0</v>
      </c>
      <c r="KQ59" s="140">
        <f>IFERROR(VLOOKUP($D59,'Adient Arendal (Malzia) WK.12'!$B:JO,KQ$1,0),0)</f>
        <v>0</v>
      </c>
      <c r="KR59" s="140">
        <f>IFERROR(VLOOKUP($D59,'Adient Taizhou (China) WK.16'!$B:JR,KQ$1,0),0)</f>
        <v>0</v>
      </c>
      <c r="KS59" s="60">
        <v>0</v>
      </c>
      <c r="KT59" s="128">
        <v>0</v>
      </c>
      <c r="KU59" s="32">
        <v>0</v>
      </c>
      <c r="KV59" s="106">
        <f t="shared" si="265"/>
        <v>0</v>
      </c>
      <c r="KX59" s="37">
        <f t="shared" si="466"/>
        <v>0</v>
      </c>
      <c r="KY59" s="141">
        <f>IFERROR(VLOOKUP($D59,'Adient Assende (Belgium) WK.17'!$B:JV,KZ$1,0),0)</f>
        <v>0</v>
      </c>
      <c r="KZ59" s="140">
        <f>IFERROR(VLOOKUP($D59,'Adient Arendal (Malzia) WK.12'!$B:JW,KZ$1,0),0)</f>
        <v>0</v>
      </c>
      <c r="LA59" s="140">
        <f>IFERROR(VLOOKUP($D59,'Adient Taizhou (China) WK.16'!$B:JZ,KZ$1,0),0)</f>
        <v>0</v>
      </c>
      <c r="LB59" s="128">
        <v>0</v>
      </c>
      <c r="LC59" s="32">
        <v>0</v>
      </c>
      <c r="LD59" s="106">
        <f t="shared" si="467"/>
        <v>0</v>
      </c>
      <c r="LF59" s="37">
        <f t="shared" si="468"/>
        <v>0</v>
      </c>
      <c r="LG59" s="141">
        <f>IFERROR(VLOOKUP($D59,'Adient Assende (Belgium) WK.17'!$B:KD,LH$1,0),0)</f>
        <v>0</v>
      </c>
      <c r="LH59" s="140">
        <f>IFERROR(VLOOKUP($D59,'Adient Arendal (Malzia) WK.12'!$B:KE,LH$1,0),0)</f>
        <v>0</v>
      </c>
      <c r="LI59" s="140">
        <f>IFERROR(VLOOKUP($D59,'Adient Taizhou (China) WK.16'!$B:KH,LH$1,0),0)</f>
        <v>0</v>
      </c>
      <c r="LJ59" s="60">
        <v>0</v>
      </c>
      <c r="LK59" s="128">
        <v>0</v>
      </c>
      <c r="LL59" s="32">
        <v>0</v>
      </c>
      <c r="LM59" s="100">
        <f t="shared" si="267"/>
        <v>0</v>
      </c>
      <c r="LO59" s="37">
        <f t="shared" si="469"/>
        <v>0</v>
      </c>
      <c r="LP59" s="141">
        <f>IFERROR(VLOOKUP($D59,'Adient Assende (Belgium) WK.17'!$B:KL,LQ$1,0),0)</f>
        <v>0</v>
      </c>
      <c r="LQ59" s="140">
        <f>IFERROR(VLOOKUP($D59,'Adient Arendal (Malzia) WK.12'!$B:KM,LQ$1,0),0)</f>
        <v>0</v>
      </c>
      <c r="LR59" s="140">
        <f>IFERROR(VLOOKUP($D59,'Adient Taizhou (China) WK.16'!$B:KP,LQ$1,0),0)</f>
        <v>0</v>
      </c>
      <c r="LS59" s="128">
        <v>0</v>
      </c>
      <c r="LT59" s="32">
        <v>0</v>
      </c>
      <c r="LU59" s="100">
        <f t="shared" si="470"/>
        <v>0</v>
      </c>
      <c r="LW59" s="37">
        <f t="shared" si="471"/>
        <v>0</v>
      </c>
      <c r="LX59" s="141">
        <f>IFERROR(VLOOKUP($D59,'Adient Assende (Belgium) WK.17'!$B:KT,LY$1,0),0)</f>
        <v>0</v>
      </c>
      <c r="LY59" s="140">
        <f>IFERROR(VLOOKUP($D59,'Adient Arendal (Malzia) WK.12'!$B:KU,LY$1,0),0)</f>
        <v>0</v>
      </c>
      <c r="LZ59" s="140">
        <f>IFERROR(VLOOKUP($D59,'Adient Taizhou (China) WK.16'!$B:KX,LY$1,0),0)</f>
        <v>0</v>
      </c>
      <c r="MA59" s="128">
        <v>0</v>
      </c>
      <c r="MB59" s="32">
        <v>0</v>
      </c>
      <c r="MC59" s="100">
        <f t="shared" si="472"/>
        <v>0</v>
      </c>
      <c r="ME59" s="37">
        <f t="shared" si="473"/>
        <v>0</v>
      </c>
      <c r="MF59" s="154">
        <f>IFERROR(VLOOKUP($D59,'Adient Assende (Belgium) WK.17'!$B:LB,MG$1,0),0)</f>
        <v>0</v>
      </c>
      <c r="MG59" s="140">
        <f>IFERROR(VLOOKUP($D59,'Adient Arendal (Malzia) WK.12'!$B:LC,MG$1,0),0)</f>
        <v>0</v>
      </c>
      <c r="MH59" s="140">
        <f>IFERROR(VLOOKUP($D59,'Adient Taizhou (China) WK.16'!$B:LF,MG$1,0),0)</f>
        <v>0</v>
      </c>
      <c r="MI59" s="128">
        <v>0</v>
      </c>
      <c r="MJ59" s="32">
        <v>0</v>
      </c>
      <c r="MK59" s="100">
        <f t="shared" si="474"/>
        <v>0</v>
      </c>
      <c r="MM59" s="37">
        <f t="shared" si="475"/>
        <v>0</v>
      </c>
      <c r="MN59" s="141">
        <f>IFERROR(VLOOKUP($D59,'Adient Assende (Belgium) WK.17'!$B:LJ,MO$1,0),0)</f>
        <v>0</v>
      </c>
      <c r="MO59" s="140">
        <f>IFERROR(VLOOKUP($D59,'Adient Arendal (Malzia) WK.12'!$B:LK,MO$1,0),0)</f>
        <v>0</v>
      </c>
      <c r="MP59" s="140">
        <f>IFERROR(VLOOKUP($D59,'Adient Taizhou (China) WK.16'!$B:LN,MO$1,0),0)</f>
        <v>0</v>
      </c>
      <c r="MQ59" s="128">
        <v>0</v>
      </c>
      <c r="MR59" s="32">
        <v>0</v>
      </c>
      <c r="MS59" s="100">
        <f t="shared" si="476"/>
        <v>0</v>
      </c>
      <c r="MU59" s="37">
        <f t="shared" si="477"/>
        <v>0</v>
      </c>
      <c r="MV59" s="141">
        <f>IFERROR(VLOOKUP($D59,'Adient Assende (Belgium) WK.17'!$B:LR,MW$1,0),0)</f>
        <v>0</v>
      </c>
      <c r="MW59" s="140">
        <f>IFERROR(VLOOKUP($D59,'Adient Arendal (Malzia) WK.12'!$B:LS,MW$1,0),0)</f>
        <v>0</v>
      </c>
      <c r="MX59" s="140">
        <f>IFERROR(VLOOKUP($D59,'Adient Taizhou (China) WK.16'!$B:LV,MW$1,0),0)</f>
        <v>0</v>
      </c>
      <c r="MY59" s="128">
        <v>0</v>
      </c>
      <c r="MZ59" s="32">
        <v>0</v>
      </c>
      <c r="NA59" s="100">
        <f t="shared" si="478"/>
        <v>0</v>
      </c>
      <c r="NC59" s="37">
        <f t="shared" si="479"/>
        <v>0</v>
      </c>
      <c r="ND59" s="141">
        <f>IFERROR(VLOOKUP($D59,'Adient Assende (Belgium) WK.17'!$B:LZ,NE$1,0),0)</f>
        <v>0</v>
      </c>
      <c r="NE59" s="140">
        <f>IFERROR(VLOOKUP($D59,'Adient Arendal (Malzia) WK.12'!$B:MA,NE$1,0),0)</f>
        <v>0</v>
      </c>
      <c r="NF59" s="140">
        <f>IFERROR(VLOOKUP($D59,'Adient Taizhou (China) WK.16'!$B:MD,NE$1,0),0)</f>
        <v>0</v>
      </c>
      <c r="NG59" s="128">
        <v>0</v>
      </c>
      <c r="NH59" s="32">
        <v>0</v>
      </c>
      <c r="NI59" s="100">
        <f t="shared" si="480"/>
        <v>0</v>
      </c>
      <c r="NK59" s="37">
        <f t="shared" si="481"/>
        <v>0</v>
      </c>
      <c r="NL59" s="141">
        <f>IFERROR(VLOOKUP($D59,'Adient Assende (Belgium) WK.17'!$B:MH,NM$1,0),0)</f>
        <v>0</v>
      </c>
      <c r="NM59" s="140">
        <f>IFERROR(VLOOKUP($D59,'Adient Arendal (Malzia) WK.12'!$B:MI,NM$1,0),0)</f>
        <v>0</v>
      </c>
      <c r="NN59" s="140">
        <f>IFERROR(VLOOKUP($D59,'Adient Taizhou (China) WK.16'!$B:ML,NM$1,0),0)</f>
        <v>0</v>
      </c>
      <c r="NO59" s="128">
        <v>0</v>
      </c>
      <c r="NP59" s="32">
        <v>0</v>
      </c>
      <c r="NQ59" s="100">
        <f t="shared" si="482"/>
        <v>0</v>
      </c>
      <c r="NS59" s="37">
        <f t="shared" si="483"/>
        <v>0</v>
      </c>
      <c r="NT59" s="141">
        <f>IFERROR(VLOOKUP($D59,'Adient Assende (Belgium) WK.17'!$B:MP,NU$1,0),0)</f>
        <v>0</v>
      </c>
      <c r="NU59" s="140">
        <f>IFERROR(VLOOKUP($D59,'Adient Arendal (Malzia) WK.12'!$B:MQ,NU$1,0),0)</f>
        <v>0</v>
      </c>
      <c r="NV59" s="140">
        <f>IFERROR(VLOOKUP($D59,'Adient Taizhou (China) WK.16'!$B:MT,NU$1,0),0)</f>
        <v>0</v>
      </c>
      <c r="NW59" s="128">
        <v>0</v>
      </c>
      <c r="NX59" s="32">
        <v>0</v>
      </c>
      <c r="NY59" s="100">
        <f t="shared" si="484"/>
        <v>0</v>
      </c>
      <c r="OA59" s="37">
        <f t="shared" si="485"/>
        <v>0</v>
      </c>
      <c r="OB59" s="141">
        <f>IFERROR(VLOOKUP($D59,'Adient Assende (Belgium) WK.17'!$B:MX,OC$1,0),0)</f>
        <v>0</v>
      </c>
      <c r="OC59" s="140">
        <f>IFERROR(VLOOKUP($D59,'Adient Arendal (Malzia) WK.12'!$B:MY,OC$1,0),0)</f>
        <v>0</v>
      </c>
      <c r="OD59" s="140">
        <f>IFERROR(VLOOKUP($D59,'Adient Taizhou (China) WK.16'!$B:NB,OC$1,0),0)</f>
        <v>0</v>
      </c>
      <c r="OE59" s="128">
        <v>0</v>
      </c>
      <c r="OF59" s="32">
        <v>0</v>
      </c>
      <c r="OG59" s="100">
        <f t="shared" si="486"/>
        <v>0</v>
      </c>
      <c r="OI59" s="37">
        <f t="shared" si="487"/>
        <v>0</v>
      </c>
      <c r="OJ59" s="141">
        <f>IFERROR(VLOOKUP($D59,'Adient Assende (Belgium) WK.17'!$B:NF,OK$1,0),0)</f>
        <v>0</v>
      </c>
      <c r="OK59" s="140">
        <f>IFERROR(VLOOKUP($D59,'Adient Arendal (Malzia) WK.12'!$B:NG,OK$1,0),0)</f>
        <v>0</v>
      </c>
      <c r="OL59" s="140">
        <f>IFERROR(VLOOKUP($D59,'Adient Taizhou (China) WK.16'!$B:NJ,OK$1,0),0)</f>
        <v>0</v>
      </c>
      <c r="OM59" s="128">
        <v>0</v>
      </c>
      <c r="ON59" s="32">
        <v>0</v>
      </c>
      <c r="OO59" s="100">
        <f t="shared" si="488"/>
        <v>0</v>
      </c>
      <c r="OQ59" s="37">
        <f t="shared" si="489"/>
        <v>0</v>
      </c>
      <c r="OR59" s="141">
        <f>IFERROR(VLOOKUP($D59,'Adient Assende (Belgium) WK.17'!$B:NN,OS$1,0),0)</f>
        <v>0</v>
      </c>
      <c r="OS59" s="140">
        <f>IFERROR(VLOOKUP($D59,'Adient Arendal (Malzia) WK.12'!$B:NO,OS$1,0),0)</f>
        <v>0</v>
      </c>
      <c r="OT59" s="140">
        <f>IFERROR(VLOOKUP($D59,'Adient Taizhou (China) WK.16'!$B:NR,OS$1,0),0)</f>
        <v>0</v>
      </c>
      <c r="OU59" s="128">
        <v>0</v>
      </c>
      <c r="OV59" s="32">
        <v>0</v>
      </c>
      <c r="OW59" s="100">
        <f t="shared" si="490"/>
        <v>0</v>
      </c>
      <c r="OY59" s="37">
        <f t="shared" si="491"/>
        <v>0</v>
      </c>
      <c r="OZ59" s="141">
        <f>IFERROR(VLOOKUP($D59,'Adient Assende (Belgium) WK.17'!$B:NV,PA$1,0),0)</f>
        <v>0</v>
      </c>
      <c r="PA59" s="140">
        <f>IFERROR(VLOOKUP($D59,'Adient Arendal (Malzia) WK.12'!$B:NW,PA$1,0),0)</f>
        <v>0</v>
      </c>
      <c r="PB59" s="140">
        <f>IFERROR(VLOOKUP($D59,'Adient Taizhou (China) WK.16'!$B:NZ,PA$1,0),0)</f>
        <v>0</v>
      </c>
      <c r="PC59" s="128">
        <v>0</v>
      </c>
      <c r="PD59" s="32">
        <v>0</v>
      </c>
      <c r="PE59" s="100">
        <f t="shared" si="492"/>
        <v>0</v>
      </c>
      <c r="PG59" s="37">
        <f t="shared" si="493"/>
        <v>0</v>
      </c>
      <c r="PH59" s="141">
        <f>IFERROR(VLOOKUP($D59,'Adient Assende (Belgium) WK.17'!$B:OD,PI$1,0),0)</f>
        <v>0</v>
      </c>
      <c r="PI59" s="140">
        <f>IFERROR(VLOOKUP($D59,'Adient Arendal (Malzia) WK.12'!$B:OE,PI$1,0),0)</f>
        <v>0</v>
      </c>
      <c r="PJ59" s="140">
        <f>IFERROR(VLOOKUP($D59,'Adient Taizhou (China) WK.16'!$B:OH,PI$1,0),0)</f>
        <v>0</v>
      </c>
      <c r="PK59" s="128">
        <v>0</v>
      </c>
      <c r="PL59" s="32">
        <v>0</v>
      </c>
      <c r="PM59" s="100">
        <f t="shared" si="494"/>
        <v>0</v>
      </c>
      <c r="PO59" s="37">
        <f t="shared" si="495"/>
        <v>0</v>
      </c>
      <c r="PP59" s="141">
        <f>IFERROR(VLOOKUP($D59,'Adient Assende (Belgium) WK.17'!$B:OL,PQ$1,0),0)</f>
        <v>0</v>
      </c>
      <c r="PQ59" s="140">
        <f>IFERROR(VLOOKUP($D59,'Adient Arendal (Malzia) WK.12'!$B:OM,PQ$1,0),0)</f>
        <v>0</v>
      </c>
      <c r="PR59" s="140">
        <f>IFERROR(VLOOKUP($D59,'Adient Taizhou (China) WK.16'!$B:OP,PQ$1,0),0)</f>
        <v>0</v>
      </c>
      <c r="PS59" s="128">
        <v>0</v>
      </c>
      <c r="PT59" s="32">
        <v>0</v>
      </c>
      <c r="PU59" s="100">
        <f t="shared" si="496"/>
        <v>0</v>
      </c>
      <c r="PW59" s="37">
        <f t="shared" si="497"/>
        <v>0</v>
      </c>
      <c r="PX59" s="141">
        <f>IFERROR(VLOOKUP($D59,'Adient Assende (Belgium) WK.17'!$B:OT,PY$1,0),0)</f>
        <v>0</v>
      </c>
      <c r="PY59" s="140">
        <f>IFERROR(VLOOKUP($D59,'Adient Arendal (Malzia) WK.12'!$B:OU,PY$1,0),0)</f>
        <v>0</v>
      </c>
      <c r="PZ59" s="140">
        <f>IFERROR(VLOOKUP($D59,'Adient Taizhou (China) WK.16'!$B:OX,PY$1,0),0)</f>
        <v>0</v>
      </c>
      <c r="QA59" s="128">
        <v>0</v>
      </c>
      <c r="QB59" s="32">
        <v>0</v>
      </c>
      <c r="QC59" s="100">
        <f t="shared" si="498"/>
        <v>0</v>
      </c>
      <c r="QE59" s="37">
        <f t="shared" si="499"/>
        <v>0</v>
      </c>
      <c r="QF59" s="141">
        <f>IFERROR(VLOOKUP($D59,'Adient Assende (Belgium) WK.17'!$B:PB,QG$1,0),0)</f>
        <v>0</v>
      </c>
      <c r="QG59" s="140">
        <f>IFERROR(VLOOKUP($D59,'Adient Arendal (Malzia) WK.12'!$B:PC,QG$1,0),0)</f>
        <v>0</v>
      </c>
      <c r="QH59" s="140">
        <f>IFERROR(VLOOKUP($D59,'Adient Taizhou (China) WK.16'!$B:PF,QG$1,0),0)</f>
        <v>0</v>
      </c>
      <c r="QI59" s="128">
        <v>0</v>
      </c>
      <c r="QJ59" s="32">
        <v>0</v>
      </c>
      <c r="QK59" s="100">
        <f t="shared" si="500"/>
        <v>0</v>
      </c>
      <c r="QM59" s="37">
        <f t="shared" si="501"/>
        <v>0</v>
      </c>
      <c r="QN59" s="141">
        <f>IFERROR(VLOOKUP($D59,'Adient Assende (Belgium) WK.17'!$B:PJ,QO$1,0),0)</f>
        <v>0</v>
      </c>
      <c r="QO59" s="140">
        <f>IFERROR(VLOOKUP($D59,'Adient Arendal (Malzia) WK.12'!$B:PK,QO$1,0),0)</f>
        <v>0</v>
      </c>
      <c r="QP59" s="140">
        <f>IFERROR(VLOOKUP($D59,'Adient Taizhou (China) WK.16'!$B:PN,QO$1,0),0)</f>
        <v>0</v>
      </c>
      <c r="QQ59" s="128">
        <v>0</v>
      </c>
      <c r="QR59" s="32">
        <v>0</v>
      </c>
      <c r="QS59" s="100">
        <f t="shared" si="502"/>
        <v>0</v>
      </c>
      <c r="QU59" s="37">
        <f t="shared" si="503"/>
        <v>0</v>
      </c>
      <c r="QV59" s="141">
        <f>IFERROR(VLOOKUP($D59,'Adient Assende (Belgium) WK.17'!$B:PR,QW$1,0),0)</f>
        <v>0</v>
      </c>
      <c r="QW59" s="140">
        <f>IFERROR(VLOOKUP($D59,'Adient Arendal (Malzia) WK.12'!$B:PS,QW$1,0),0)</f>
        <v>0</v>
      </c>
      <c r="QX59" s="140">
        <f>IFERROR(VLOOKUP($D59,'Adient Taizhou (China) WK.16'!$B:PV,QW$1,0),0)</f>
        <v>0</v>
      </c>
      <c r="QY59" s="128">
        <v>0</v>
      </c>
      <c r="QZ59" s="32">
        <v>0</v>
      </c>
      <c r="RA59" s="100">
        <f t="shared" si="504"/>
        <v>0</v>
      </c>
      <c r="RC59" s="37">
        <f t="shared" si="505"/>
        <v>0</v>
      </c>
      <c r="RD59" s="141">
        <f>IFERROR(VLOOKUP($D59,'Adient Assende (Belgium) WK.17'!$B:PZ,RE$1,0),0)</f>
        <v>0</v>
      </c>
      <c r="RE59" s="140">
        <f>IFERROR(VLOOKUP($D59,'Adient Arendal (Malzia) WK.12'!$B:QA,RE$1,0),0)</f>
        <v>0</v>
      </c>
      <c r="RF59" s="140">
        <f>IFERROR(VLOOKUP($D59,'Adient Taizhou (China) WK.16'!$B:QD,RE$1,0),0)</f>
        <v>0</v>
      </c>
      <c r="RG59" s="128">
        <v>0</v>
      </c>
      <c r="RH59" s="32">
        <v>0</v>
      </c>
      <c r="RI59" s="100">
        <f t="shared" si="506"/>
        <v>0</v>
      </c>
      <c r="RK59" s="37">
        <f t="shared" si="507"/>
        <v>0</v>
      </c>
      <c r="RL59" s="141">
        <f>IFERROR(VLOOKUP($D59,'Adient Assende (Belgium) WK.17'!$B:QH,RM$1,0),0)</f>
        <v>0</v>
      </c>
      <c r="RM59" s="140">
        <f>IFERROR(VLOOKUP($D59,'Adient Arendal (Malzia) WK.12'!$B:QI,RM$1,0),0)</f>
        <v>0</v>
      </c>
      <c r="RN59" s="140">
        <f>IFERROR(VLOOKUP($D59,'Adient Taizhou (China) WK.16'!$B:QL,RM$1,0),0)</f>
        <v>0</v>
      </c>
      <c r="RO59" s="128">
        <v>0</v>
      </c>
      <c r="RP59" s="32">
        <v>0</v>
      </c>
      <c r="RQ59" s="100">
        <f t="shared" si="508"/>
        <v>0</v>
      </c>
      <c r="RS59" s="37">
        <f t="shared" si="509"/>
        <v>0</v>
      </c>
      <c r="RT59" s="141">
        <f>IFERROR(VLOOKUP($D59,'Adient Assende (Belgium) WK.17'!$B:QP,RU$1,0),0)</f>
        <v>0</v>
      </c>
      <c r="RU59" s="140">
        <f>IFERROR(VLOOKUP($D59,'Adient Arendal (Malzia) WK.12'!$B:QQ,RU$1,0),0)</f>
        <v>0</v>
      </c>
      <c r="RV59" s="140">
        <f>IFERROR(VLOOKUP($D59,'Adient Taizhou (China) WK.16'!$B:QT,RU$1,0),0)</f>
        <v>0</v>
      </c>
      <c r="RW59" s="128">
        <v>0</v>
      </c>
      <c r="RX59" s="32">
        <v>0</v>
      </c>
      <c r="RY59" s="100">
        <f t="shared" si="510"/>
        <v>0</v>
      </c>
      <c r="SA59" s="37">
        <f t="shared" si="511"/>
        <v>0</v>
      </c>
      <c r="SB59" s="141">
        <f>IFERROR(VLOOKUP($D59,'Adient Assende (Belgium) WK.17'!$B:QX,SC$1,0),0)</f>
        <v>0</v>
      </c>
      <c r="SC59" s="140">
        <f>IFERROR(VLOOKUP($D59,'Adient Arendal (Malzia) WK.12'!$B:QY,SC$1,0),0)</f>
        <v>0</v>
      </c>
      <c r="SD59" s="140">
        <f>IFERROR(VLOOKUP($D59,'Adient Taizhou (China) WK.16'!$B:RB,SC$1,0),0)</f>
        <v>0</v>
      </c>
      <c r="SE59" s="128">
        <v>0</v>
      </c>
      <c r="SF59" s="32">
        <v>0</v>
      </c>
      <c r="SG59" s="100">
        <f t="shared" si="512"/>
        <v>0</v>
      </c>
      <c r="SI59" s="37">
        <f t="shared" si="513"/>
        <v>0</v>
      </c>
      <c r="SJ59" s="141">
        <f>IFERROR(VLOOKUP($D59,'Adient Assende (Belgium) WK.17'!$B:RF,SK$1,0),0)</f>
        <v>0</v>
      </c>
      <c r="SK59" s="140">
        <f>IFERROR(VLOOKUP($D59,'Adient Arendal (Malzia) WK.12'!$B:RG,SK$1,0),0)</f>
        <v>0</v>
      </c>
      <c r="SL59" s="140">
        <f>IFERROR(VLOOKUP($D59,'Adient Taizhou (China) WK.16'!$B:RJ,SK$1,0),0)</f>
        <v>0</v>
      </c>
      <c r="SM59" s="128">
        <v>0</v>
      </c>
      <c r="SN59" s="32">
        <v>0</v>
      </c>
      <c r="SO59" s="100">
        <f t="shared" si="514"/>
        <v>0</v>
      </c>
      <c r="SQ59" s="37">
        <f t="shared" si="515"/>
        <v>0</v>
      </c>
      <c r="SR59" s="141">
        <f>IFERROR(VLOOKUP($D59,'Adient Assende (Belgium) WK.17'!$B:RN,SS$1,0),0)</f>
        <v>0</v>
      </c>
      <c r="SS59" s="140">
        <f>IFERROR(VLOOKUP($D59,'Adient Arendal (Malzia) WK.12'!$B:RO,SS$1,0),0)</f>
        <v>0</v>
      </c>
      <c r="ST59" s="140">
        <f>IFERROR(VLOOKUP($D59,'Adient Taizhou (China) WK.16'!$B:RR,SS$1,0),0)</f>
        <v>0</v>
      </c>
      <c r="SU59" s="128">
        <v>0</v>
      </c>
      <c r="SV59" s="32">
        <v>0</v>
      </c>
      <c r="SW59" s="100">
        <f t="shared" si="516"/>
        <v>0</v>
      </c>
      <c r="SY59" s="37">
        <f t="shared" si="517"/>
        <v>0</v>
      </c>
      <c r="SZ59" s="141">
        <f>IFERROR(VLOOKUP($D59,'Adient Assende (Belgium) WK.17'!$B:RV,TA$1,0),0)</f>
        <v>0</v>
      </c>
      <c r="TA59" s="140">
        <f>IFERROR(VLOOKUP($D59,'Adient Arendal (Malzia) WK.12'!$B:RW,TA$1,0),0)</f>
        <v>0</v>
      </c>
      <c r="TB59" s="140">
        <f>IFERROR(VLOOKUP($D59,'Adient Taizhou (China) WK.16'!$B:RZ,TA$1,0),0)</f>
        <v>0</v>
      </c>
      <c r="TC59" s="128">
        <v>0</v>
      </c>
      <c r="TD59" s="32">
        <v>0</v>
      </c>
      <c r="TE59" s="100">
        <f t="shared" si="518"/>
        <v>0</v>
      </c>
      <c r="TG59" s="37">
        <f t="shared" si="519"/>
        <v>0</v>
      </c>
      <c r="TH59" s="141">
        <f>IFERROR(VLOOKUP($D59,'Adient Assende (Belgium) WK.17'!$B:SD,TI$1,0),0)</f>
        <v>0</v>
      </c>
      <c r="TI59" s="140">
        <f>IFERROR(VLOOKUP($D59,'Adient Arendal (Malzia) WK.12'!$B:SE,TI$1,0),0)</f>
        <v>0</v>
      </c>
      <c r="TJ59" s="140">
        <f>IFERROR(VLOOKUP($D59,'Adient Taizhou (China) WK.16'!$B:SH,TI$1,0),0)</f>
        <v>0</v>
      </c>
      <c r="TK59" s="128">
        <v>0</v>
      </c>
      <c r="TL59" s="32">
        <v>0</v>
      </c>
      <c r="TM59" s="100">
        <f t="shared" si="520"/>
        <v>0</v>
      </c>
      <c r="TO59" s="37">
        <f t="shared" si="521"/>
        <v>0</v>
      </c>
      <c r="TP59" s="141">
        <f>IFERROR(VLOOKUP($D59,'Adient Assende (Belgium) WK.17'!$B:SL,TQ$1,0),0)</f>
        <v>0</v>
      </c>
      <c r="TQ59" s="140">
        <f>IFERROR(VLOOKUP($D59,'Adient Arendal (Malzia) WK.12'!$B:SM,TQ$1,0),0)</f>
        <v>0</v>
      </c>
      <c r="TR59" s="140">
        <f>IFERROR(VLOOKUP($D59,'Adient Taizhou (China) WK.16'!$B:SP,TQ$1,0),0)</f>
        <v>0</v>
      </c>
      <c r="TS59" s="128">
        <v>0</v>
      </c>
      <c r="TT59" s="32">
        <v>0</v>
      </c>
      <c r="TU59" s="100">
        <f t="shared" si="522"/>
        <v>0</v>
      </c>
      <c r="TW59" s="37">
        <f t="shared" si="523"/>
        <v>0</v>
      </c>
      <c r="TX59" s="141">
        <f>IFERROR(VLOOKUP($D59,'Adient Assende (Belgium) WK.17'!$B:ST,TY$1,0),0)</f>
        <v>0</v>
      </c>
      <c r="TY59" s="140">
        <f>IFERROR(VLOOKUP($D59,'Adient Arendal (Malzia) WK.12'!$B:SU,TY$1,0),0)</f>
        <v>0</v>
      </c>
      <c r="TZ59" s="140">
        <f>IFERROR(VLOOKUP($D59,'Adient Taizhou (China) WK.16'!$B:SX,TY$1,0),0)</f>
        <v>0</v>
      </c>
      <c r="UA59" s="128">
        <v>0</v>
      </c>
      <c r="UB59" s="32">
        <v>0</v>
      </c>
      <c r="UC59" s="100">
        <f t="shared" si="524"/>
        <v>0</v>
      </c>
      <c r="UE59" s="37">
        <f t="shared" si="525"/>
        <v>0</v>
      </c>
      <c r="UF59" s="141">
        <f>IFERROR(VLOOKUP($D59,'Adient Assende (Belgium) WK.17'!$B:TB,UG$1,0),0)</f>
        <v>0</v>
      </c>
      <c r="UG59" s="140">
        <f>IFERROR(VLOOKUP($D59,'Adient Arendal (Malzia) WK.12'!$B:TC,UG$1,0),0)</f>
        <v>0</v>
      </c>
      <c r="UH59" s="140">
        <f>IFERROR(VLOOKUP($D59,'Adient Taizhou (China) WK.16'!$B:TF,UG$1,0),0)</f>
        <v>0</v>
      </c>
      <c r="UI59" s="128">
        <v>0</v>
      </c>
      <c r="UJ59" s="32">
        <v>0</v>
      </c>
      <c r="UK59" s="100">
        <f t="shared" si="526"/>
        <v>0</v>
      </c>
      <c r="UM59" s="37">
        <f t="shared" si="527"/>
        <v>0</v>
      </c>
      <c r="UN59" s="141">
        <f>IFERROR(VLOOKUP($D59,'Adient Assende (Belgium) WK.17'!$B:TJ,UO$1,0),0)</f>
        <v>0</v>
      </c>
      <c r="UO59" s="140">
        <f>IFERROR(VLOOKUP($D59,'Adient Arendal (Malzia) WK.12'!$B:TK,UO$1,0),0)</f>
        <v>0</v>
      </c>
      <c r="UP59" s="140">
        <f>IFERROR(VLOOKUP($D59,'Adient Taizhou (China) WK.16'!$B:TN,UO$1,0),0)</f>
        <v>0</v>
      </c>
      <c r="UQ59" s="128">
        <v>0</v>
      </c>
      <c r="UR59" s="32">
        <v>0</v>
      </c>
      <c r="US59" s="100">
        <f t="shared" si="528"/>
        <v>0</v>
      </c>
      <c r="UU59" s="37">
        <f t="shared" si="529"/>
        <v>0</v>
      </c>
      <c r="UV59" s="141">
        <f>IFERROR(VLOOKUP($D59,'Adient Assende (Belgium) WK.17'!$B:TR,UW$1,0),0)</f>
        <v>0</v>
      </c>
      <c r="UW59" s="140">
        <f>IFERROR(VLOOKUP($D59,'Adient Arendal (Malzia) WK.12'!$B:TS,UW$1,0),0)</f>
        <v>0</v>
      </c>
      <c r="UX59" s="140">
        <f>IFERROR(VLOOKUP($D59,'Adient Taizhou (China) WK.16'!$B:TV,UW$1,0),0)</f>
        <v>0</v>
      </c>
      <c r="UY59" s="128">
        <v>0</v>
      </c>
      <c r="UZ59" s="32">
        <v>0</v>
      </c>
      <c r="VA59" s="100">
        <f t="shared" si="530"/>
        <v>0</v>
      </c>
      <c r="VC59" s="37">
        <f t="shared" si="531"/>
        <v>0</v>
      </c>
      <c r="VD59" s="141">
        <f>IFERROR(VLOOKUP($D59,'Adient Assende (Belgium) WK.17'!$B:TZ,VE$1,0),0)</f>
        <v>0</v>
      </c>
      <c r="VE59" s="140">
        <f>IFERROR(VLOOKUP($D59,'Adient Arendal (Malzia) WK.12'!$B:UA,VE$1,0),0)</f>
        <v>0</v>
      </c>
      <c r="VF59" s="140">
        <f>IFERROR(VLOOKUP($D59,'Adient Taizhou (China) WK.16'!$B:UD,VE$1,0),0)</f>
        <v>0</v>
      </c>
      <c r="VG59" s="128">
        <v>0</v>
      </c>
      <c r="VH59" s="32">
        <v>0</v>
      </c>
      <c r="VI59" s="100">
        <f t="shared" si="532"/>
        <v>0</v>
      </c>
      <c r="VK59" s="37">
        <f t="shared" si="533"/>
        <v>0</v>
      </c>
      <c r="VL59" s="141">
        <f>IFERROR(VLOOKUP($D59,'Adient Assende (Belgium) WK.17'!$B:UH,VM$1,0),0)</f>
        <v>0</v>
      </c>
      <c r="VM59" s="140">
        <f>IFERROR(VLOOKUP($D59,'Adient Arendal (Malzia) WK.12'!$B:UI,VM$1,0),0)</f>
        <v>0</v>
      </c>
      <c r="VN59" s="140">
        <f>IFERROR(VLOOKUP($D59,'Adient Taizhou (China) WK.16'!$B:UL,VM$1,0),0)</f>
        <v>0</v>
      </c>
      <c r="VO59" s="128">
        <v>0</v>
      </c>
      <c r="VP59" s="32">
        <v>0</v>
      </c>
      <c r="VQ59" s="100">
        <f t="shared" si="534"/>
        <v>0</v>
      </c>
    </row>
    <row r="60" spans="1:589" x14ac:dyDescent="0.25">
      <c r="A60" s="10" t="s">
        <v>18</v>
      </c>
      <c r="B60" s="11" t="s">
        <v>17</v>
      </c>
      <c r="C60" s="87">
        <v>32482093</v>
      </c>
      <c r="D60" s="81">
        <v>7506626</v>
      </c>
      <c r="E60" s="11">
        <v>20</v>
      </c>
      <c r="F60" s="168"/>
      <c r="H60" s="122">
        <v>0</v>
      </c>
      <c r="I60" s="125">
        <f>IFERROR(VLOOKUP($D60,'Adient Assende (Belgium) WK.17'!$B:C,J$1,0),0)</f>
        <v>0</v>
      </c>
      <c r="J60" s="55">
        <f>IFERROR(VLOOKUP($D60,'Adient Arendal (Malzia) WK.12'!$B:C,J$1,0),0)</f>
        <v>0</v>
      </c>
      <c r="K60" s="55">
        <f>IFERROR(VLOOKUP($D60,'Adient Taizhou (China) WK.16'!$B:C,J$1,0),0)</f>
        <v>0</v>
      </c>
      <c r="L60" s="128">
        <v>0</v>
      </c>
      <c r="M60" s="32">
        <v>0</v>
      </c>
      <c r="N60" s="106">
        <f t="shared" ref="N60:N61" si="535">((H60-(L60+J60+K60))+M60)</f>
        <v>0</v>
      </c>
      <c r="P60" s="37">
        <f t="shared" ref="P60:P61" si="536">N60</f>
        <v>0</v>
      </c>
      <c r="Q60" s="125">
        <f>IFERROR(VLOOKUP($D60,'Adient Assende (Belgium) WK.17'!$B:K,R$1,0),0)</f>
        <v>0</v>
      </c>
      <c r="R60" s="55">
        <f>IFERROR(VLOOKUP($D60,'Adient Arendal (Malzia) WK.12'!$B:K,R$1,0),0)</f>
        <v>0</v>
      </c>
      <c r="S60" s="55">
        <f>IFERROR(VLOOKUP($D60,'Adient Taizhou (China) WK.16'!$B:K,R$1,0),0)</f>
        <v>0</v>
      </c>
      <c r="T60" s="41">
        <v>0</v>
      </c>
      <c r="U60" s="32">
        <v>0</v>
      </c>
      <c r="V60" s="106">
        <f t="shared" ref="V60:V61" si="537">((P60-(T60+R60+S60))+U60)</f>
        <v>0</v>
      </c>
      <c r="X60" s="37">
        <f t="shared" ref="X60:X61" si="538">V60</f>
        <v>0</v>
      </c>
      <c r="Y60" s="125">
        <f>IFERROR(VLOOKUP($D60,'Adient Assende (Belgium) WK.17'!$B:S,Z$1,0),0)</f>
        <v>0</v>
      </c>
      <c r="Z60" s="55">
        <f>IFERROR(VLOOKUP($D60,'Adient Arendal (Malzia) WK.12'!$B:S,Z$1,0),0)</f>
        <v>0</v>
      </c>
      <c r="AA60" s="55">
        <f>IFERROR(VLOOKUP($D60,'Adient Taizhou (China) WK.16'!$B:S,Z$1,0),0)</f>
        <v>0</v>
      </c>
      <c r="AB60" s="41">
        <v>0</v>
      </c>
      <c r="AC60" s="32">
        <v>0</v>
      </c>
      <c r="AD60" s="106">
        <f t="shared" ref="AD60:AD61" si="539">((X60-(AB60+Z60+AA60))+AC60)</f>
        <v>0</v>
      </c>
      <c r="AF60" s="37">
        <f t="shared" ref="AF60:AF61" si="540">AD60</f>
        <v>0</v>
      </c>
      <c r="AG60" s="125">
        <f>IFERROR(VLOOKUP($D60,'Adient Assende (Belgium) WK.17'!$B:AA,AH$1,0),0)</f>
        <v>0</v>
      </c>
      <c r="AH60" s="55">
        <f>IFERROR(VLOOKUP($D60,'Adient Arendal (Malzia) WK.12'!$B:AA,AH$1,0),0)</f>
        <v>0</v>
      </c>
      <c r="AI60" s="55">
        <f>IFERROR(VLOOKUP($D60,'Adient Taizhou (China) WK.16'!$B:AA,AH$1,0),0)</f>
        <v>0</v>
      </c>
      <c r="AJ60" s="41">
        <v>0</v>
      </c>
      <c r="AK60" s="32">
        <v>0</v>
      </c>
      <c r="AL60" s="106">
        <f t="shared" ref="AL60:AL61" si="541">((AF60-(AJ60+AH60+AI60))+AK60)</f>
        <v>0</v>
      </c>
      <c r="AN60" s="37">
        <f t="shared" si="432"/>
        <v>0</v>
      </c>
      <c r="AO60" s="125">
        <f>IFERROR(VLOOKUP($D60,'Adient Assende (Belgium) WK.17'!$B:AI,AP$1,0),0)</f>
        <v>0</v>
      </c>
      <c r="AP60" s="55">
        <f>IFERROR(VLOOKUP($D60,'Adient Arendal (Malzia) WK.12'!$B:AI,AP$1,0),0)</f>
        <v>0</v>
      </c>
      <c r="AQ60" s="55">
        <f>IFERROR(VLOOKUP($D60,'Adient Taizhou (China) WK.16'!$B:AI,AP$1,0),0)</f>
        <v>0</v>
      </c>
      <c r="AR60" s="60">
        <v>0</v>
      </c>
      <c r="AS60" s="41">
        <v>0</v>
      </c>
      <c r="AT60" s="32">
        <v>0</v>
      </c>
      <c r="AU60" s="106">
        <f t="shared" si="240"/>
        <v>0</v>
      </c>
      <c r="AW60" s="37">
        <f t="shared" si="433"/>
        <v>0</v>
      </c>
      <c r="AX60" s="125">
        <f>IFERROR(VLOOKUP($D60,'Adient Assende (Belgium) WK.17'!$B:AR,AY$1,0),0)</f>
        <v>0</v>
      </c>
      <c r="AY60" s="55">
        <f>IFERROR(VLOOKUP($D60,'Adient Arendal (Malzia) WK.12'!$B:AR,AY$1,0),0)</f>
        <v>0</v>
      </c>
      <c r="AZ60" s="55">
        <f>IFERROR(VLOOKUP($D60,'Adient Taizhou (China) WK.16'!$B:AU,AY$1,0),0)</f>
        <v>0</v>
      </c>
      <c r="BA60" s="41">
        <v>0</v>
      </c>
      <c r="BB60" s="32">
        <v>0</v>
      </c>
      <c r="BC60" s="106">
        <f t="shared" ref="BC60:BC61" si="542">((AW60-(BA60+AY60+AZ60))+BB60)</f>
        <v>0</v>
      </c>
      <c r="BE60" s="37">
        <f t="shared" si="434"/>
        <v>0</v>
      </c>
      <c r="BF60" s="125">
        <f>IFERROR(VLOOKUP($D60,'Adient Assende (Belgium) WK.17'!$B:AX,BG$1,0),0)</f>
        <v>0</v>
      </c>
      <c r="BG60" s="55">
        <f>IFERROR(VLOOKUP($D60,'Adient Arendal (Malzia) WK.12'!$B:AZ,BG$1,0),0)</f>
        <v>0</v>
      </c>
      <c r="BH60" s="55">
        <f>IFERROR(VLOOKUP($D60,'Adient Taizhou (China) WK.16'!$B:BB,BG$1,0),0)</f>
        <v>0</v>
      </c>
      <c r="BI60" s="60">
        <v>0</v>
      </c>
      <c r="BJ60" s="60">
        <v>0</v>
      </c>
      <c r="BK60" s="41">
        <v>0</v>
      </c>
      <c r="BL60" s="32">
        <v>0</v>
      </c>
      <c r="BM60" s="106">
        <f t="shared" si="242"/>
        <v>0</v>
      </c>
      <c r="BN60" s="8"/>
      <c r="BO60" s="37">
        <f t="shared" si="435"/>
        <v>0</v>
      </c>
      <c r="BP60" s="125">
        <f>IFERROR(VLOOKUP($D60,'Adient Assende (Belgium) WK.17'!$B:BH,BQ$1,0),0)</f>
        <v>0</v>
      </c>
      <c r="BQ60" s="55">
        <f>IFERROR(VLOOKUP($D60,'Adient Arendal (Malzia) WK.12'!$B:BI,BQ$1,0),0)</f>
        <v>0</v>
      </c>
      <c r="BR60" s="55">
        <f>IFERROR(VLOOKUP($D60,'Adient Taizhou (China) WK.16'!$B:BL,BQ$1,0),0)</f>
        <v>0</v>
      </c>
      <c r="BS60" s="60">
        <v>0</v>
      </c>
      <c r="BT60" s="60">
        <v>0</v>
      </c>
      <c r="BU60" s="60">
        <v>0</v>
      </c>
      <c r="BV60" s="41">
        <v>0</v>
      </c>
      <c r="BW60" s="32">
        <v>0</v>
      </c>
      <c r="BX60" s="106">
        <f t="shared" si="243"/>
        <v>0</v>
      </c>
      <c r="BY60" s="8"/>
      <c r="BZ60" s="37">
        <f t="shared" si="436"/>
        <v>0</v>
      </c>
      <c r="CA60" s="125">
        <f>IFERROR(VLOOKUP($D60,'Adient Assende (Belgium) WK.17'!$B:BS,CB$1,0),0)</f>
        <v>0</v>
      </c>
      <c r="CB60" s="55">
        <f>IFERROR(VLOOKUP($D60,'Adient Arendal (Malzia) WK.12'!$B:BT,CB$1,0),0)</f>
        <v>0</v>
      </c>
      <c r="CC60" s="55">
        <f>IFERROR(VLOOKUP($D60,'Adient Taizhou (China) WK.16'!$B:BW,CB$1,0),0)</f>
        <v>0</v>
      </c>
      <c r="CD60" s="60">
        <v>0</v>
      </c>
      <c r="CE60" s="60">
        <v>0</v>
      </c>
      <c r="CF60" s="41">
        <v>0</v>
      </c>
      <c r="CG60" s="32">
        <v>0</v>
      </c>
      <c r="CH60" s="106">
        <f t="shared" si="244"/>
        <v>0</v>
      </c>
      <c r="CI60" s="8"/>
      <c r="CJ60" s="37">
        <f t="shared" si="437"/>
        <v>0</v>
      </c>
      <c r="CK60" s="125">
        <f>IFERROR(VLOOKUP($D60,'Adient Assende (Belgium) WK.17'!$B:CC,CL$1,0),0)</f>
        <v>0</v>
      </c>
      <c r="CL60" s="55">
        <f>IFERROR(VLOOKUP($D60,'Adient Arendal (Malzia) WK.12'!$B:CD,CL$1,0),0)</f>
        <v>0</v>
      </c>
      <c r="CM60" s="55">
        <f>IFERROR(VLOOKUP($D60,'Adient Taizhou (China) WK.16'!$B:CG,CL$1,0),0)</f>
        <v>0</v>
      </c>
      <c r="CN60" s="60">
        <v>0</v>
      </c>
      <c r="CO60" s="149">
        <v>0</v>
      </c>
      <c r="CP60" s="32">
        <v>0</v>
      </c>
      <c r="CQ60" s="106">
        <f t="shared" si="245"/>
        <v>0</v>
      </c>
      <c r="CR60" s="8"/>
      <c r="CS60" s="122">
        <f t="shared" si="438"/>
        <v>0</v>
      </c>
      <c r="CT60" s="154">
        <f>IFERROR(VLOOKUP($D60,'Adient Assende (Belgium) WK.17'!$B:CL,CU$1,0),0)</f>
        <v>0</v>
      </c>
      <c r="CU60" s="55">
        <f>IFERROR(VLOOKUP($D60,'Adient Arendal (Malzia) WK.12'!$B:CM,CU$1,0),0)</f>
        <v>0</v>
      </c>
      <c r="CV60" s="55">
        <f>IFERROR(VLOOKUP($D60,'Adient Taizhou (China) WK.16'!$B:CP,CU$1,0),0)</f>
        <v>0</v>
      </c>
      <c r="CW60" s="60">
        <v>0</v>
      </c>
      <c r="CX60" s="60">
        <v>0</v>
      </c>
      <c r="CY60" s="128">
        <v>0</v>
      </c>
      <c r="CZ60" s="32">
        <v>0</v>
      </c>
      <c r="DA60" s="106">
        <f t="shared" si="246"/>
        <v>0</v>
      </c>
      <c r="DB60" s="8"/>
      <c r="DC60" s="37">
        <f t="shared" si="439"/>
        <v>0</v>
      </c>
      <c r="DD60" s="125">
        <f>IFERROR(VLOOKUP($D60,'Adient Assende (Belgium) WK.17'!$B:CS,DE$1,0),0)</f>
        <v>0</v>
      </c>
      <c r="DE60" s="55">
        <f>IFERROR(VLOOKUP($D60,'Adient Arendal (Malzia) WK.12'!$B:CU,DE$1,0),0)</f>
        <v>0</v>
      </c>
      <c r="DF60" s="55">
        <f>IFERROR(VLOOKUP($D60,'Adient Taizhou (China) WK.16'!$B:CX,DE$1,0),0)</f>
        <v>0</v>
      </c>
      <c r="DG60" s="60">
        <v>0</v>
      </c>
      <c r="DH60" s="128">
        <v>0</v>
      </c>
      <c r="DI60" s="32">
        <v>0</v>
      </c>
      <c r="DJ60" s="106">
        <f t="shared" si="247"/>
        <v>0</v>
      </c>
      <c r="DL60" s="37">
        <f t="shared" si="440"/>
        <v>0</v>
      </c>
      <c r="DM60" s="125">
        <f>IFERROR(VLOOKUP($D60,'Adient Assende (Belgium) WK.17'!$B:DB,DN$1,0),0)</f>
        <v>0</v>
      </c>
      <c r="DN60" s="55">
        <f>IFERROR(VLOOKUP($D60,'Adient Arendal (Malzia) WK.12'!$B:DC,DN$1,0),0)</f>
        <v>0</v>
      </c>
      <c r="DO60" s="55">
        <f>IFERROR(VLOOKUP($D60,'Adient Taizhou (China) WK.16'!$B:DF,DN$1,0),0)</f>
        <v>0</v>
      </c>
      <c r="DP60" s="128">
        <v>0</v>
      </c>
      <c r="DQ60" s="32">
        <v>0</v>
      </c>
      <c r="DR60" s="106">
        <f t="shared" si="441"/>
        <v>0</v>
      </c>
      <c r="DS60" s="8"/>
      <c r="DT60" s="37">
        <f t="shared" si="442"/>
        <v>0</v>
      </c>
      <c r="DU60" s="125">
        <f>IFERROR(VLOOKUP($D60,'Adient Assende (Belgium) WK.17'!$B:DJ,DV$1,0),0)</f>
        <v>0</v>
      </c>
      <c r="DV60" s="55">
        <f>IFERROR(VLOOKUP($D60,'Adient Arendal (Malzia) WK.12'!$B:DK,DV$1,0),0)</f>
        <v>0</v>
      </c>
      <c r="DW60" s="55">
        <f>IFERROR(VLOOKUP($D60,'Adient Taizhou (China) WK.16'!$B:DN,DV$1,0),0)</f>
        <v>0</v>
      </c>
      <c r="DX60" s="60">
        <v>0</v>
      </c>
      <c r="DY60" s="60">
        <v>0</v>
      </c>
      <c r="DZ60" s="128">
        <v>0</v>
      </c>
      <c r="EA60" s="32">
        <v>0</v>
      </c>
      <c r="EB60" s="106">
        <f t="shared" si="248"/>
        <v>0</v>
      </c>
      <c r="EC60" s="8"/>
      <c r="ED60" s="37">
        <f t="shared" si="443"/>
        <v>0</v>
      </c>
      <c r="EE60" s="125">
        <f>IFERROR(VLOOKUP($D60,'Adient Assende (Belgium) WK.17'!$B:DR,EF$1,0),0)</f>
        <v>0</v>
      </c>
      <c r="EF60" s="55">
        <f>IFERROR(VLOOKUP($D60,'Adient Arendal (Malzia) WK.12'!$B:DS,EF$1,0),0)</f>
        <v>0</v>
      </c>
      <c r="EG60" s="55">
        <f>IFERROR(VLOOKUP($D60,'Adient Taizhou (China) WK.16'!$B:DV,EF$1,0),0)</f>
        <v>0</v>
      </c>
      <c r="EH60" s="60">
        <v>0</v>
      </c>
      <c r="EI60" s="128">
        <v>0</v>
      </c>
      <c r="EJ60" s="32">
        <v>0</v>
      </c>
      <c r="EK60" s="106">
        <f t="shared" si="249"/>
        <v>0</v>
      </c>
      <c r="EM60" s="37">
        <f t="shared" si="444"/>
        <v>0</v>
      </c>
      <c r="EN60" s="125">
        <f>IFERROR(VLOOKUP($D60,'Adient Assende (Belgium) WK.17'!$B:DZ,EO$1,0),0)</f>
        <v>0</v>
      </c>
      <c r="EO60" s="55">
        <f>IFERROR(VLOOKUP($D60,'Adient Arendal (Malzia) WK.12'!$B:EA,EO$1,0),0)</f>
        <v>0</v>
      </c>
      <c r="EP60" s="55">
        <f>IFERROR(VLOOKUP($D60,'Adient Taizhou (China) WK.16'!$B:ED,EO$1,0),0)</f>
        <v>0</v>
      </c>
      <c r="EQ60" s="128">
        <v>0</v>
      </c>
      <c r="ER60" s="32">
        <v>0</v>
      </c>
      <c r="ES60" s="106">
        <f t="shared" ref="ES60:ES61" si="543">((EM60-(EO60+EP60+EQ60)+ER60))</f>
        <v>0</v>
      </c>
      <c r="EU60" s="37">
        <f t="shared" si="445"/>
        <v>0</v>
      </c>
      <c r="EV60" s="125">
        <f>IFERROR(VLOOKUP($D60,'Adient Assende (Belgium) WK.17'!$B:EH,EW$1,0),0)</f>
        <v>0</v>
      </c>
      <c r="EW60" s="55">
        <f>IFERROR(VLOOKUP($D60,'Adient Arendal (Malzia) WK.12'!$B:EI,EW$1,0),0)</f>
        <v>0</v>
      </c>
      <c r="EX60" s="55">
        <f>IFERROR(VLOOKUP($D60,'Adient Taizhou (China) WK.16'!$B:EL,EW$1,0),0)</f>
        <v>0</v>
      </c>
      <c r="EY60" s="128">
        <v>0</v>
      </c>
      <c r="EZ60" s="32">
        <v>0</v>
      </c>
      <c r="FA60" s="106">
        <f t="shared" si="251"/>
        <v>0</v>
      </c>
      <c r="FC60" s="37">
        <f t="shared" si="446"/>
        <v>0</v>
      </c>
      <c r="FD60" s="154">
        <f>IFERROR(VLOOKUP($D60,'Adient Assende (Belgium) WK.17'!$B:EP,FE$1,0),0)</f>
        <v>0</v>
      </c>
      <c r="FE60" s="154">
        <f>IFERROR(VLOOKUP($D60,'Adient Arendal (Malzia) WK.12'!$B:EQ,FE$1,0),0)</f>
        <v>0</v>
      </c>
      <c r="FF60" s="154">
        <f>IFERROR(VLOOKUP($D60,'Adient Taizhou (China) WK.16'!$B:ET,FE$1,0),0)</f>
        <v>0</v>
      </c>
      <c r="FG60" s="128">
        <v>0</v>
      </c>
      <c r="FH60" s="32">
        <v>0</v>
      </c>
      <c r="FI60" s="106">
        <f t="shared" si="252"/>
        <v>0</v>
      </c>
      <c r="FK60" s="37">
        <f t="shared" si="447"/>
        <v>0</v>
      </c>
      <c r="FL60" s="125">
        <f>IFERROR(VLOOKUP($D60,'Adient Assende (Belgium) WK.17'!$B:EX,FM$1,0),0)</f>
        <v>0</v>
      </c>
      <c r="FM60" s="55">
        <f>IFERROR(VLOOKUP($D60,'Adient Arendal (Malzia) WK.12'!$B:EY,FM$1,0),0)</f>
        <v>0</v>
      </c>
      <c r="FN60" s="55">
        <f>IFERROR(VLOOKUP($D60,'Adient Taizhou (China) WK.16'!$B:FB,FM$1,0),0)</f>
        <v>0</v>
      </c>
      <c r="FO60" s="128">
        <v>0</v>
      </c>
      <c r="FP60" s="32">
        <v>0</v>
      </c>
      <c r="FQ60" s="106">
        <f t="shared" si="253"/>
        <v>0</v>
      </c>
      <c r="FR60" s="8"/>
      <c r="FS60" s="37">
        <f t="shared" si="448"/>
        <v>0</v>
      </c>
      <c r="FT60" s="125">
        <f>IFERROR(VLOOKUP($D60,'Adient Assende (Belgium) WK.17'!$B:FF,FU$1,0),0)</f>
        <v>0</v>
      </c>
      <c r="FU60" s="55">
        <f>IFERROR(VLOOKUP($D60,'Adient Arendal (Malzia) WK.12'!$B:FG,FU$1,0),0)</f>
        <v>0</v>
      </c>
      <c r="FV60" s="55">
        <f>IFERROR(VLOOKUP($D60,'Adient Taizhou (China) WK.16'!$B:FJ,FU$1,0),0)</f>
        <v>0</v>
      </c>
      <c r="FW60" s="60">
        <v>0</v>
      </c>
      <c r="FX60" s="60">
        <v>0</v>
      </c>
      <c r="FY60" s="60">
        <v>0</v>
      </c>
      <c r="FZ60" s="60">
        <v>0</v>
      </c>
      <c r="GA60" s="60">
        <v>0</v>
      </c>
      <c r="GB60" s="128">
        <v>0</v>
      </c>
      <c r="GC60" s="32">
        <v>0</v>
      </c>
      <c r="GD60" s="106">
        <f t="shared" si="254"/>
        <v>0</v>
      </c>
      <c r="GF60" s="37">
        <f t="shared" si="449"/>
        <v>0</v>
      </c>
      <c r="GG60" s="125">
        <f>IFERROR(VLOOKUP($D60,'Adient Assende (Belgium) WK.17'!$B:FN,GH$1,0),0)</f>
        <v>0</v>
      </c>
      <c r="GH60" s="55">
        <f>IFERROR(VLOOKUP($D60,'Adient Arendal (Malzia) WK.12'!$B:FO,GH$1,0),0)</f>
        <v>0</v>
      </c>
      <c r="GI60" s="55">
        <f>IFERROR(VLOOKUP($D60,'Adient Taizhou (China) WK.16'!$B:FR,GH$1,0),0)</f>
        <v>0</v>
      </c>
      <c r="GJ60" s="60">
        <v>0</v>
      </c>
      <c r="GK60" s="128">
        <v>0</v>
      </c>
      <c r="GL60" s="32">
        <v>0</v>
      </c>
      <c r="GM60" s="106">
        <f t="shared" si="255"/>
        <v>0</v>
      </c>
      <c r="GO60" s="37">
        <f t="shared" si="450"/>
        <v>0</v>
      </c>
      <c r="GP60" s="125">
        <f>IFERROR(VLOOKUP($D60,'Adient Assende (Belgium) WK.17'!$B:FV,GQ$1,0),0)</f>
        <v>0</v>
      </c>
      <c r="GQ60" s="55">
        <f>IFERROR(VLOOKUP($D60,'Adient Arendal (Malzia) WK.12'!$B:FW,GQ$1,0),0)</f>
        <v>0</v>
      </c>
      <c r="GR60" s="55">
        <f>IFERROR(VLOOKUP($D60,'Adient Taizhou (China) WK.16'!$B:FZ,GQ$1,0),0)</f>
        <v>0</v>
      </c>
      <c r="GS60" s="60">
        <v>0</v>
      </c>
      <c r="GT60" s="128">
        <v>0</v>
      </c>
      <c r="GU60" s="32">
        <v>0</v>
      </c>
      <c r="GV60" s="106">
        <f t="shared" si="256"/>
        <v>0</v>
      </c>
      <c r="GW60" s="8"/>
      <c r="GX60" s="37">
        <f t="shared" si="451"/>
        <v>0</v>
      </c>
      <c r="GY60" s="125">
        <f>IFERROR(VLOOKUP($D60,'Adient Assende (Belgium) WK.17'!$B:GD,GZ$1,0),0)</f>
        <v>0</v>
      </c>
      <c r="GZ60" s="55">
        <f>IFERROR(VLOOKUP($D60,'Adient Arendal (Malzia) WK.12'!$B:GE,GZ$1,0),0)</f>
        <v>0</v>
      </c>
      <c r="HA60" s="55">
        <f>IFERROR(VLOOKUP($D60,'Adient Taizhou (China) WK.16'!$B:GH,GZ$1,0),0)</f>
        <v>0</v>
      </c>
      <c r="HB60" s="60">
        <v>0</v>
      </c>
      <c r="HC60" s="128">
        <v>0</v>
      </c>
      <c r="HD60" s="32">
        <v>0</v>
      </c>
      <c r="HE60" s="106">
        <f t="shared" si="257"/>
        <v>0</v>
      </c>
      <c r="HF60" s="8"/>
      <c r="HG60" s="37">
        <f t="shared" si="452"/>
        <v>0</v>
      </c>
      <c r="HH60" s="125">
        <f>IFERROR(VLOOKUP($D60,'Adient Assende (Belgium) WK.17'!$B:GL,HI$1,0),0)</f>
        <v>0</v>
      </c>
      <c r="HI60" s="55">
        <f>IFERROR(VLOOKUP($D60,'Adient Arendal (Malzia) WK.12'!$B:GM,HI$1,0),0)</f>
        <v>0</v>
      </c>
      <c r="HJ60" s="55">
        <f>IFERROR(VLOOKUP($D60,'Adient Taizhou (China) WK.16'!$B:GP,HI$1,0),0)</f>
        <v>0</v>
      </c>
      <c r="HK60" s="60">
        <v>0</v>
      </c>
      <c r="HL60" s="128">
        <v>0</v>
      </c>
      <c r="HM60" s="32">
        <v>0</v>
      </c>
      <c r="HN60" s="106">
        <f t="shared" si="258"/>
        <v>0</v>
      </c>
      <c r="HO60" s="8"/>
      <c r="HP60" s="37">
        <f t="shared" si="453"/>
        <v>0</v>
      </c>
      <c r="HQ60" s="125">
        <f>IFERROR(VLOOKUP($D60,'Adient Assende (Belgium) WK.17'!$B:GT,HR$1,0),0)</f>
        <v>0</v>
      </c>
      <c r="HR60" s="55">
        <f>IFERROR(VLOOKUP($D60,'Adient Arendal (Malzia) WK.12'!$B:GU,HR$1,0),0)</f>
        <v>0</v>
      </c>
      <c r="HS60" s="55">
        <f>IFERROR(VLOOKUP($D60,'Adient Taizhou (China) WK.16'!$B:GX,HR$1,0),0)</f>
        <v>0</v>
      </c>
      <c r="HT60" s="60">
        <v>0</v>
      </c>
      <c r="HU60" s="128">
        <v>0</v>
      </c>
      <c r="HV60" s="32">
        <v>0</v>
      </c>
      <c r="HW60" s="106">
        <f t="shared" si="259"/>
        <v>0</v>
      </c>
      <c r="HX60" s="8"/>
      <c r="HY60" s="37">
        <f t="shared" si="454"/>
        <v>0</v>
      </c>
      <c r="HZ60" s="125">
        <f>IFERROR(VLOOKUP($D60,'Adient Assende (Belgium) WK.17'!$B:HB,IA$1,0),0)</f>
        <v>0</v>
      </c>
      <c r="IA60" s="55">
        <f>IFERROR(VLOOKUP($D60,'Adient Arendal (Malzia) WK.12'!$B:HC,IA$1,0),0)</f>
        <v>0</v>
      </c>
      <c r="IB60" s="55">
        <f>IFERROR(VLOOKUP($D60,'Adient Taizhou (China) WK.16'!$B:HF,IA$1,0),0)</f>
        <v>0</v>
      </c>
      <c r="IC60" s="60">
        <v>300</v>
      </c>
      <c r="ID60" s="128">
        <v>0</v>
      </c>
      <c r="IE60" s="32">
        <v>0</v>
      </c>
      <c r="IF60" s="106">
        <f t="shared" si="260"/>
        <v>300</v>
      </c>
      <c r="IG60" s="8"/>
      <c r="IH60" s="37">
        <f t="shared" si="455"/>
        <v>300</v>
      </c>
      <c r="II60" s="125">
        <f>IFERROR(VLOOKUP($D60,'Adient Assende (Belgium) WK.17'!$B:HJ,IJ$1,0),0)</f>
        <v>0</v>
      </c>
      <c r="IJ60" s="55">
        <f>IFERROR(VLOOKUP($D60,'Adient Arendal (Malzia) WK.12'!$B:HK,IJ$1,0),0)</f>
        <v>0</v>
      </c>
      <c r="IK60" s="55">
        <f>IFERROR(VLOOKUP($D60,'Adient Taizhou (China) WK.16'!$B:HN,IJ$1,0),0)</f>
        <v>0</v>
      </c>
      <c r="IL60" s="128">
        <v>0</v>
      </c>
      <c r="IM60" s="32">
        <v>0</v>
      </c>
      <c r="IN60" s="106">
        <f t="shared" si="456"/>
        <v>300</v>
      </c>
      <c r="IO60" s="8"/>
      <c r="IP60" s="37">
        <f t="shared" si="457"/>
        <v>300</v>
      </c>
      <c r="IQ60" s="125">
        <f>IFERROR(VLOOKUP($D60,'Adient Assende (Belgium) WK.17'!$B:HR,IR$1,0),0)</f>
        <v>0</v>
      </c>
      <c r="IR60" s="55">
        <f>IFERROR(VLOOKUP($D60,'Adient Arendal (Malzia) WK.12'!$B:HS,IR$1,0),0)</f>
        <v>0</v>
      </c>
      <c r="IS60" s="55">
        <f>IFERROR(VLOOKUP($D60,'Adient Taizhou (China) WK.16'!$B:HV,IR$1,0),0)</f>
        <v>0</v>
      </c>
      <c r="IT60" s="60">
        <v>0</v>
      </c>
      <c r="IU60" s="128">
        <v>0</v>
      </c>
      <c r="IV60" s="32">
        <v>0</v>
      </c>
      <c r="IW60" s="106">
        <f t="shared" si="261"/>
        <v>300</v>
      </c>
      <c r="IX60" s="8"/>
      <c r="IY60" s="37">
        <f t="shared" si="458"/>
        <v>300</v>
      </c>
      <c r="IZ60" s="125">
        <f>IFERROR(VLOOKUP($D60,'Adient Assende (Belgium) WK.17'!$B:HZ,JA$1,0),0)</f>
        <v>0</v>
      </c>
      <c r="JA60" s="55">
        <f>IFERROR(VLOOKUP($D60,'Adient Arendal (Malzia) WK.12'!$B:IA,JA$1,0),0)</f>
        <v>0</v>
      </c>
      <c r="JB60" s="55">
        <f>IFERROR(VLOOKUP($D60,'Adient Taizhou (China) WK.16'!$B:ID,JA$1,0),0)</f>
        <v>0</v>
      </c>
      <c r="JC60" s="128">
        <v>0</v>
      </c>
      <c r="JD60" s="32">
        <v>0</v>
      </c>
      <c r="JE60" s="106">
        <f t="shared" si="459"/>
        <v>300</v>
      </c>
      <c r="JF60" s="8"/>
      <c r="JG60" s="37">
        <f t="shared" si="460"/>
        <v>300</v>
      </c>
      <c r="JH60" s="125">
        <f>IFERROR(VLOOKUP($D60,'Adient Assende (Belgium) WK.17'!$B:IH,JI$1,0),0)</f>
        <v>0</v>
      </c>
      <c r="JI60" s="55">
        <f>IFERROR(VLOOKUP($D60,'Adient Arendal (Malzia) WK.12'!$B:II,JI$1,0),0)</f>
        <v>0</v>
      </c>
      <c r="JJ60" s="55">
        <f>IFERROR(VLOOKUP($D60,'Adient Taizhou (China) WK.16'!$B:IL,JI$1,0),0)</f>
        <v>0</v>
      </c>
      <c r="JK60" s="60">
        <v>0</v>
      </c>
      <c r="JL60" s="128">
        <v>0</v>
      </c>
      <c r="JM60" s="32">
        <v>0</v>
      </c>
      <c r="JN60" s="106">
        <f t="shared" si="262"/>
        <v>300</v>
      </c>
      <c r="JO60" s="8"/>
      <c r="JP60" s="37">
        <f t="shared" si="461"/>
        <v>300</v>
      </c>
      <c r="JQ60" s="125">
        <f>IFERROR(VLOOKUP($D60,'Adient Assende (Belgium) WK.17'!$B:IP,JR$1,0),0)</f>
        <v>0</v>
      </c>
      <c r="JR60" s="55">
        <f>IFERROR(VLOOKUP($D60,'Adient Arendal (Malzia) WK.12'!$B:IQ,JR$1,0),0)</f>
        <v>0</v>
      </c>
      <c r="JS60" s="55">
        <f>IFERROR(VLOOKUP($D60,'Adient Taizhou (China) WK.16'!$B:IT,JR$1,0),0)</f>
        <v>0</v>
      </c>
      <c r="JT60" s="128">
        <v>0</v>
      </c>
      <c r="JU60" s="32">
        <v>0</v>
      </c>
      <c r="JV60" s="106">
        <f t="shared" si="462"/>
        <v>300</v>
      </c>
      <c r="JW60" s="8"/>
      <c r="JX60" s="37">
        <f t="shared" si="463"/>
        <v>300</v>
      </c>
      <c r="JY60" s="154">
        <f>IFERROR(VLOOKUP($D60,'Adient Assende (Belgium) WK.17'!$B:IX,JZ$1,0),0)</f>
        <v>0</v>
      </c>
      <c r="JZ60" s="55">
        <f>IFERROR(VLOOKUP($D60,'Adient Arendal (Malzia) WK.12'!$B:IY,JZ$1,0),0)</f>
        <v>0</v>
      </c>
      <c r="KA60" s="55">
        <f>IFERROR(VLOOKUP($D60,'Adient Taizhou (China) WK.16'!$B:JB,JZ$1,0),0)</f>
        <v>0</v>
      </c>
      <c r="KB60" s="128">
        <v>100</v>
      </c>
      <c r="KC60" s="32">
        <v>0</v>
      </c>
      <c r="KD60" s="106">
        <f t="shared" si="263"/>
        <v>200</v>
      </c>
      <c r="KE60" s="8"/>
      <c r="KF60" s="37">
        <f t="shared" si="464"/>
        <v>200</v>
      </c>
      <c r="KG60" s="125">
        <f>IFERROR(VLOOKUP($D60,'Adient Assende (Belgium) WK.17'!$B:JF,KH$1,0),0)</f>
        <v>100</v>
      </c>
      <c r="KH60" s="55">
        <f>IFERROR(VLOOKUP($D60,'Adient Arendal (Malzia) WK.12'!$B:JG,KH$1,0),0)</f>
        <v>0</v>
      </c>
      <c r="KI60" s="55">
        <f>IFERROR(VLOOKUP($D60,'Adient Taizhou (China) WK.16'!$B:JJ,KH$1,0),0)</f>
        <v>0</v>
      </c>
      <c r="KJ60" s="60">
        <v>0</v>
      </c>
      <c r="KK60" s="128">
        <v>0</v>
      </c>
      <c r="KL60" s="32">
        <v>0</v>
      </c>
      <c r="KM60" s="106">
        <f t="shared" si="264"/>
        <v>200</v>
      </c>
      <c r="KN60" s="8"/>
      <c r="KO60" s="37">
        <f t="shared" si="465"/>
        <v>200</v>
      </c>
      <c r="KP60" s="141">
        <f>IFERROR(VLOOKUP($D60,'Adient Assende (Belgium) WK.17'!$B:JN,KQ$1,0),0)</f>
        <v>0</v>
      </c>
      <c r="KQ60" s="140">
        <f>IFERROR(VLOOKUP($D60,'Adient Arendal (Malzia) WK.12'!$B:JO,KQ$1,0),0)</f>
        <v>0</v>
      </c>
      <c r="KR60" s="140">
        <f>IFERROR(VLOOKUP($D60,'Adient Taizhou (China) WK.16'!$B:JR,KQ$1,0),0)</f>
        <v>0</v>
      </c>
      <c r="KS60" s="60">
        <v>0</v>
      </c>
      <c r="KT60" s="128">
        <v>0</v>
      </c>
      <c r="KU60" s="32">
        <v>0</v>
      </c>
      <c r="KV60" s="106">
        <f t="shared" si="265"/>
        <v>200</v>
      </c>
      <c r="KX60" s="37">
        <f t="shared" si="466"/>
        <v>200</v>
      </c>
      <c r="KY60" s="141">
        <f>IFERROR(VLOOKUP($D60,'Adient Assende (Belgium) WK.17'!$B:JV,KZ$1,0),0)</f>
        <v>0</v>
      </c>
      <c r="KZ60" s="140">
        <f>IFERROR(VLOOKUP($D60,'Adient Arendal (Malzia) WK.12'!$B:JW,KZ$1,0),0)</f>
        <v>0</v>
      </c>
      <c r="LA60" s="140">
        <f>IFERROR(VLOOKUP($D60,'Adient Taizhou (China) WK.16'!$B:JZ,KZ$1,0),0)</f>
        <v>0</v>
      </c>
      <c r="LB60" s="128">
        <v>0</v>
      </c>
      <c r="LC60" s="32">
        <v>0</v>
      </c>
      <c r="LD60" s="106">
        <f t="shared" si="467"/>
        <v>200</v>
      </c>
      <c r="LF60" s="37">
        <f t="shared" si="468"/>
        <v>200</v>
      </c>
      <c r="LG60" s="141">
        <f>IFERROR(VLOOKUP($D60,'Adient Assende (Belgium) WK.17'!$B:KD,LH$1,0),0)</f>
        <v>0</v>
      </c>
      <c r="LH60" s="140">
        <f>IFERROR(VLOOKUP($D60,'Adient Arendal (Malzia) WK.12'!$B:KE,LH$1,0),0)</f>
        <v>0</v>
      </c>
      <c r="LI60" s="140">
        <f>IFERROR(VLOOKUP($D60,'Adient Taizhou (China) WK.16'!$B:KH,LH$1,0),0)</f>
        <v>0</v>
      </c>
      <c r="LJ60" s="60">
        <v>0</v>
      </c>
      <c r="LK60" s="128">
        <v>0</v>
      </c>
      <c r="LL60" s="32">
        <v>0</v>
      </c>
      <c r="LM60" s="100">
        <f t="shared" si="267"/>
        <v>200</v>
      </c>
      <c r="LO60" s="37">
        <f t="shared" si="469"/>
        <v>200</v>
      </c>
      <c r="LP60" s="141">
        <f>IFERROR(VLOOKUP($D60,'Adient Assende (Belgium) WK.17'!$B:KL,LQ$1,0),0)</f>
        <v>0</v>
      </c>
      <c r="LQ60" s="140">
        <f>IFERROR(VLOOKUP($D60,'Adient Arendal (Malzia) WK.12'!$B:KM,LQ$1,0),0)</f>
        <v>0</v>
      </c>
      <c r="LR60" s="140">
        <f>IFERROR(VLOOKUP($D60,'Adient Taizhou (China) WK.16'!$B:KP,LQ$1,0),0)</f>
        <v>0</v>
      </c>
      <c r="LS60" s="128">
        <v>0</v>
      </c>
      <c r="LT60" s="32">
        <v>0</v>
      </c>
      <c r="LU60" s="100">
        <f t="shared" si="470"/>
        <v>200</v>
      </c>
      <c r="LW60" s="37">
        <f t="shared" si="471"/>
        <v>200</v>
      </c>
      <c r="LX60" s="141">
        <f>IFERROR(VLOOKUP($D60,'Adient Assende (Belgium) WK.17'!$B:KT,LY$1,0),0)</f>
        <v>0</v>
      </c>
      <c r="LY60" s="140">
        <f>IFERROR(VLOOKUP($D60,'Adient Arendal (Malzia) WK.12'!$B:KU,LY$1,0),0)</f>
        <v>0</v>
      </c>
      <c r="LZ60" s="140">
        <f>IFERROR(VLOOKUP($D60,'Adient Taizhou (China) WK.16'!$B:KX,LY$1,0),0)</f>
        <v>0</v>
      </c>
      <c r="MA60" s="128">
        <v>0</v>
      </c>
      <c r="MB60" s="32">
        <v>0</v>
      </c>
      <c r="MC60" s="100">
        <f t="shared" si="472"/>
        <v>200</v>
      </c>
      <c r="ME60" s="37">
        <f t="shared" si="473"/>
        <v>200</v>
      </c>
      <c r="MF60" s="154">
        <f>IFERROR(VLOOKUP($D60,'Adient Assende (Belgium) WK.17'!$B:LB,MG$1,0),0)</f>
        <v>0</v>
      </c>
      <c r="MG60" s="140">
        <f>IFERROR(VLOOKUP($D60,'Adient Arendal (Malzia) WK.12'!$B:LC,MG$1,0),0)</f>
        <v>0</v>
      </c>
      <c r="MH60" s="140">
        <f>IFERROR(VLOOKUP($D60,'Adient Taizhou (China) WK.16'!$B:LF,MG$1,0),0)</f>
        <v>0</v>
      </c>
      <c r="MI60" s="128">
        <v>0</v>
      </c>
      <c r="MJ60" s="32">
        <v>0</v>
      </c>
      <c r="MK60" s="100">
        <f t="shared" si="474"/>
        <v>200</v>
      </c>
      <c r="MM60" s="37">
        <f t="shared" si="475"/>
        <v>200</v>
      </c>
      <c r="MN60" s="141">
        <f>IFERROR(VLOOKUP($D60,'Adient Assende (Belgium) WK.17'!$B:LJ,MO$1,0),0)</f>
        <v>0</v>
      </c>
      <c r="MO60" s="140">
        <f>IFERROR(VLOOKUP($D60,'Adient Arendal (Malzia) WK.12'!$B:LK,MO$1,0),0)</f>
        <v>0</v>
      </c>
      <c r="MP60" s="140">
        <f>IFERROR(VLOOKUP($D60,'Adient Taizhou (China) WK.16'!$B:LN,MO$1,0),0)</f>
        <v>0</v>
      </c>
      <c r="MQ60" s="128">
        <v>0</v>
      </c>
      <c r="MR60" s="32">
        <v>0</v>
      </c>
      <c r="MS60" s="100">
        <f t="shared" si="476"/>
        <v>200</v>
      </c>
      <c r="MU60" s="37">
        <f t="shared" si="477"/>
        <v>200</v>
      </c>
      <c r="MV60" s="141">
        <f>IFERROR(VLOOKUP($D60,'Adient Assende (Belgium) WK.17'!$B:LR,MW$1,0),0)</f>
        <v>0</v>
      </c>
      <c r="MW60" s="140">
        <f>IFERROR(VLOOKUP($D60,'Adient Arendal (Malzia) WK.12'!$B:LS,MW$1,0),0)</f>
        <v>0</v>
      </c>
      <c r="MX60" s="140">
        <f>IFERROR(VLOOKUP($D60,'Adient Taizhou (China) WK.16'!$B:LV,MW$1,0),0)</f>
        <v>0</v>
      </c>
      <c r="MY60" s="128">
        <v>0</v>
      </c>
      <c r="MZ60" s="32">
        <v>0</v>
      </c>
      <c r="NA60" s="100">
        <f t="shared" si="478"/>
        <v>200</v>
      </c>
      <c r="NC60" s="37">
        <f t="shared" si="479"/>
        <v>200</v>
      </c>
      <c r="ND60" s="141">
        <f>IFERROR(VLOOKUP($D60,'Adient Assende (Belgium) WK.17'!$B:LZ,NE$1,0),0)</f>
        <v>0</v>
      </c>
      <c r="NE60" s="140">
        <f>IFERROR(VLOOKUP($D60,'Adient Arendal (Malzia) WK.12'!$B:MA,NE$1,0),0)</f>
        <v>0</v>
      </c>
      <c r="NF60" s="140">
        <f>IFERROR(VLOOKUP($D60,'Adient Taizhou (China) WK.16'!$B:MD,NE$1,0),0)</f>
        <v>0</v>
      </c>
      <c r="NG60" s="128">
        <v>0</v>
      </c>
      <c r="NH60" s="32">
        <v>0</v>
      </c>
      <c r="NI60" s="100">
        <f t="shared" si="480"/>
        <v>200</v>
      </c>
      <c r="NK60" s="37">
        <f t="shared" si="481"/>
        <v>200</v>
      </c>
      <c r="NL60" s="141">
        <f>IFERROR(VLOOKUP($D60,'Adient Assende (Belgium) WK.17'!$B:MH,NM$1,0),0)</f>
        <v>0</v>
      </c>
      <c r="NM60" s="140">
        <f>IFERROR(VLOOKUP($D60,'Adient Arendal (Malzia) WK.12'!$B:MI,NM$1,0),0)</f>
        <v>0</v>
      </c>
      <c r="NN60" s="140">
        <f>IFERROR(VLOOKUP($D60,'Adient Taizhou (China) WK.16'!$B:ML,NM$1,0),0)</f>
        <v>0</v>
      </c>
      <c r="NO60" s="128">
        <v>0</v>
      </c>
      <c r="NP60" s="32">
        <v>0</v>
      </c>
      <c r="NQ60" s="100">
        <f t="shared" si="482"/>
        <v>200</v>
      </c>
      <c r="NS60" s="37">
        <f t="shared" si="483"/>
        <v>200</v>
      </c>
      <c r="NT60" s="141">
        <f>IFERROR(VLOOKUP($D60,'Adient Assende (Belgium) WK.17'!$B:MP,NU$1,0),0)</f>
        <v>0</v>
      </c>
      <c r="NU60" s="140">
        <f>IFERROR(VLOOKUP($D60,'Adient Arendal (Malzia) WK.12'!$B:MQ,NU$1,0),0)</f>
        <v>0</v>
      </c>
      <c r="NV60" s="140">
        <f>IFERROR(VLOOKUP($D60,'Adient Taizhou (China) WK.16'!$B:MT,NU$1,0),0)</f>
        <v>0</v>
      </c>
      <c r="NW60" s="128">
        <v>0</v>
      </c>
      <c r="NX60" s="32">
        <v>0</v>
      </c>
      <c r="NY60" s="100">
        <f t="shared" si="484"/>
        <v>200</v>
      </c>
      <c r="OA60" s="37">
        <f t="shared" si="485"/>
        <v>200</v>
      </c>
      <c r="OB60" s="141">
        <f>IFERROR(VLOOKUP($D60,'Adient Assende (Belgium) WK.17'!$B:MX,OC$1,0),0)</f>
        <v>100</v>
      </c>
      <c r="OC60" s="140">
        <f>IFERROR(VLOOKUP($D60,'Adient Arendal (Malzia) WK.12'!$B:MY,OC$1,0),0)</f>
        <v>0</v>
      </c>
      <c r="OD60" s="140">
        <f>IFERROR(VLOOKUP($D60,'Adient Taizhou (China) WK.16'!$B:NB,OC$1,0),0)</f>
        <v>0</v>
      </c>
      <c r="OE60" s="128">
        <v>0</v>
      </c>
      <c r="OF60" s="32">
        <v>0</v>
      </c>
      <c r="OG60" s="100">
        <f t="shared" si="486"/>
        <v>100</v>
      </c>
      <c r="OI60" s="37">
        <f t="shared" si="487"/>
        <v>100</v>
      </c>
      <c r="OJ60" s="141">
        <f>IFERROR(VLOOKUP($D60,'Adient Assende (Belgium) WK.17'!$B:NF,OK$1,0),0)</f>
        <v>0</v>
      </c>
      <c r="OK60" s="140">
        <f>IFERROR(VLOOKUP($D60,'Adient Arendal (Malzia) WK.12'!$B:NG,OK$1,0),0)</f>
        <v>0</v>
      </c>
      <c r="OL60" s="140">
        <f>IFERROR(VLOOKUP($D60,'Adient Taizhou (China) WK.16'!$B:NJ,OK$1,0),0)</f>
        <v>0</v>
      </c>
      <c r="OM60" s="128">
        <v>0</v>
      </c>
      <c r="ON60" s="32">
        <v>0</v>
      </c>
      <c r="OO60" s="100">
        <f t="shared" si="488"/>
        <v>100</v>
      </c>
      <c r="OQ60" s="37">
        <f t="shared" si="489"/>
        <v>100</v>
      </c>
      <c r="OR60" s="141">
        <f>IFERROR(VLOOKUP($D60,'Adient Assende (Belgium) WK.17'!$B:NN,OS$1,0),0)</f>
        <v>0</v>
      </c>
      <c r="OS60" s="140">
        <f>IFERROR(VLOOKUP($D60,'Adient Arendal (Malzia) WK.12'!$B:NO,OS$1,0),0)</f>
        <v>0</v>
      </c>
      <c r="OT60" s="140">
        <f>IFERROR(VLOOKUP($D60,'Adient Taizhou (China) WK.16'!$B:NR,OS$1,0),0)</f>
        <v>0</v>
      </c>
      <c r="OU60" s="128">
        <v>0</v>
      </c>
      <c r="OV60" s="32">
        <v>0</v>
      </c>
      <c r="OW60" s="100">
        <f t="shared" si="490"/>
        <v>100</v>
      </c>
      <c r="OY60" s="37">
        <f t="shared" si="491"/>
        <v>100</v>
      </c>
      <c r="OZ60" s="141">
        <f>IFERROR(VLOOKUP($D60,'Adient Assende (Belgium) WK.17'!$B:NV,PA$1,0),0)</f>
        <v>0</v>
      </c>
      <c r="PA60" s="140">
        <f>IFERROR(VLOOKUP($D60,'Adient Arendal (Malzia) WK.12'!$B:NW,PA$1,0),0)</f>
        <v>0</v>
      </c>
      <c r="PB60" s="140">
        <f>IFERROR(VLOOKUP($D60,'Adient Taizhou (China) WK.16'!$B:NZ,PA$1,0),0)</f>
        <v>0</v>
      </c>
      <c r="PC60" s="128">
        <v>0</v>
      </c>
      <c r="PD60" s="32">
        <v>0</v>
      </c>
      <c r="PE60" s="100">
        <f t="shared" si="492"/>
        <v>100</v>
      </c>
      <c r="PG60" s="37">
        <f t="shared" si="493"/>
        <v>100</v>
      </c>
      <c r="PH60" s="141">
        <f>IFERROR(VLOOKUP($D60,'Adient Assende (Belgium) WK.17'!$B:OD,PI$1,0),0)</f>
        <v>0</v>
      </c>
      <c r="PI60" s="140">
        <f>IFERROR(VLOOKUP($D60,'Adient Arendal (Malzia) WK.12'!$B:OE,PI$1,0),0)</f>
        <v>0</v>
      </c>
      <c r="PJ60" s="140">
        <f>IFERROR(VLOOKUP($D60,'Adient Taizhou (China) WK.16'!$B:OH,PI$1,0),0)</f>
        <v>0</v>
      </c>
      <c r="PK60" s="128">
        <v>0</v>
      </c>
      <c r="PL60" s="32">
        <v>0</v>
      </c>
      <c r="PM60" s="100">
        <f t="shared" si="494"/>
        <v>100</v>
      </c>
      <c r="PO60" s="37">
        <f t="shared" si="495"/>
        <v>100</v>
      </c>
      <c r="PP60" s="141">
        <f>IFERROR(VLOOKUP($D60,'Adient Assende (Belgium) WK.17'!$B:OL,PQ$1,0),0)</f>
        <v>0</v>
      </c>
      <c r="PQ60" s="140">
        <f>IFERROR(VLOOKUP($D60,'Adient Arendal (Malzia) WK.12'!$B:OM,PQ$1,0),0)</f>
        <v>0</v>
      </c>
      <c r="PR60" s="140">
        <f>IFERROR(VLOOKUP($D60,'Adient Taizhou (China) WK.16'!$B:OP,PQ$1,0),0)</f>
        <v>0</v>
      </c>
      <c r="PS60" s="128">
        <v>0</v>
      </c>
      <c r="PT60" s="32">
        <v>0</v>
      </c>
      <c r="PU60" s="100">
        <f t="shared" si="496"/>
        <v>100</v>
      </c>
      <c r="PW60" s="37">
        <f t="shared" si="497"/>
        <v>100</v>
      </c>
      <c r="PX60" s="141">
        <f>IFERROR(VLOOKUP($D60,'Adient Assende (Belgium) WK.17'!$B:OT,PY$1,0),0)</f>
        <v>0</v>
      </c>
      <c r="PY60" s="140">
        <f>IFERROR(VLOOKUP($D60,'Adient Arendal (Malzia) WK.12'!$B:OU,PY$1,0),0)</f>
        <v>0</v>
      </c>
      <c r="PZ60" s="140">
        <f>IFERROR(VLOOKUP($D60,'Adient Taizhou (China) WK.16'!$B:OX,PY$1,0),0)</f>
        <v>0</v>
      </c>
      <c r="QA60" s="128">
        <v>0</v>
      </c>
      <c r="QB60" s="32">
        <v>0</v>
      </c>
      <c r="QC60" s="100">
        <f t="shared" si="498"/>
        <v>100</v>
      </c>
      <c r="QE60" s="37">
        <f t="shared" si="499"/>
        <v>100</v>
      </c>
      <c r="QF60" s="141">
        <f>IFERROR(VLOOKUP($D60,'Adient Assende (Belgium) WK.17'!$B:PB,QG$1,0),0)</f>
        <v>0</v>
      </c>
      <c r="QG60" s="140">
        <f>IFERROR(VLOOKUP($D60,'Adient Arendal (Malzia) WK.12'!$B:PC,QG$1,0),0)</f>
        <v>0</v>
      </c>
      <c r="QH60" s="140">
        <f>IFERROR(VLOOKUP($D60,'Adient Taizhou (China) WK.16'!$B:PF,QG$1,0),0)</f>
        <v>0</v>
      </c>
      <c r="QI60" s="128">
        <v>0</v>
      </c>
      <c r="QJ60" s="32">
        <v>0</v>
      </c>
      <c r="QK60" s="100">
        <f t="shared" si="500"/>
        <v>100</v>
      </c>
      <c r="QM60" s="37">
        <f t="shared" si="501"/>
        <v>100</v>
      </c>
      <c r="QN60" s="141">
        <f>IFERROR(VLOOKUP($D60,'Adient Assende (Belgium) WK.17'!$B:PJ,QO$1,0),0)</f>
        <v>0</v>
      </c>
      <c r="QO60" s="140">
        <f>IFERROR(VLOOKUP($D60,'Adient Arendal (Malzia) WK.12'!$B:PK,QO$1,0),0)</f>
        <v>0</v>
      </c>
      <c r="QP60" s="140">
        <f>IFERROR(VLOOKUP($D60,'Adient Taizhou (China) WK.16'!$B:PN,QO$1,0),0)</f>
        <v>0</v>
      </c>
      <c r="QQ60" s="128">
        <v>0</v>
      </c>
      <c r="QR60" s="32">
        <v>0</v>
      </c>
      <c r="QS60" s="100">
        <f t="shared" si="502"/>
        <v>100</v>
      </c>
      <c r="QU60" s="37">
        <f t="shared" si="503"/>
        <v>100</v>
      </c>
      <c r="QV60" s="141">
        <f>IFERROR(VLOOKUP($D60,'Adient Assende (Belgium) WK.17'!$B:PR,QW$1,0),0)</f>
        <v>0</v>
      </c>
      <c r="QW60" s="140">
        <f>IFERROR(VLOOKUP($D60,'Adient Arendal (Malzia) WK.12'!$B:PS,QW$1,0),0)</f>
        <v>0</v>
      </c>
      <c r="QX60" s="140">
        <f>IFERROR(VLOOKUP($D60,'Adient Taizhou (China) WK.16'!$B:PV,QW$1,0),0)</f>
        <v>0</v>
      </c>
      <c r="QY60" s="128">
        <v>0</v>
      </c>
      <c r="QZ60" s="32">
        <v>0</v>
      </c>
      <c r="RA60" s="100">
        <f t="shared" si="504"/>
        <v>100</v>
      </c>
      <c r="RC60" s="37">
        <f t="shared" si="505"/>
        <v>100</v>
      </c>
      <c r="RD60" s="141">
        <f>IFERROR(VLOOKUP($D60,'Adient Assende (Belgium) WK.17'!$B:PZ,RE$1,0),0)</f>
        <v>0</v>
      </c>
      <c r="RE60" s="140">
        <f>IFERROR(VLOOKUP($D60,'Adient Arendal (Malzia) WK.12'!$B:QA,RE$1,0),0)</f>
        <v>0</v>
      </c>
      <c r="RF60" s="140">
        <f>IFERROR(VLOOKUP($D60,'Adient Taizhou (China) WK.16'!$B:QD,RE$1,0),0)</f>
        <v>0</v>
      </c>
      <c r="RG60" s="128">
        <v>0</v>
      </c>
      <c r="RH60" s="32">
        <v>0</v>
      </c>
      <c r="RI60" s="100">
        <f t="shared" si="506"/>
        <v>100</v>
      </c>
      <c r="RK60" s="37">
        <f t="shared" si="507"/>
        <v>100</v>
      </c>
      <c r="RL60" s="141">
        <f>IFERROR(VLOOKUP($D60,'Adient Assende (Belgium) WK.17'!$B:QH,RM$1,0),0)</f>
        <v>0</v>
      </c>
      <c r="RM60" s="140">
        <f>IFERROR(VLOOKUP($D60,'Adient Arendal (Malzia) WK.12'!$B:QI,RM$1,0),0)</f>
        <v>0</v>
      </c>
      <c r="RN60" s="140">
        <f>IFERROR(VLOOKUP($D60,'Adient Taizhou (China) WK.16'!$B:QL,RM$1,0),0)</f>
        <v>0</v>
      </c>
      <c r="RO60" s="128">
        <v>0</v>
      </c>
      <c r="RP60" s="32">
        <v>0</v>
      </c>
      <c r="RQ60" s="100">
        <f t="shared" si="508"/>
        <v>100</v>
      </c>
      <c r="RS60" s="37">
        <f t="shared" si="509"/>
        <v>100</v>
      </c>
      <c r="RT60" s="141">
        <f>IFERROR(VLOOKUP($D60,'Adient Assende (Belgium) WK.17'!$B:QP,RU$1,0),0)</f>
        <v>0</v>
      </c>
      <c r="RU60" s="140">
        <f>IFERROR(VLOOKUP($D60,'Adient Arendal (Malzia) WK.12'!$B:QQ,RU$1,0),0)</f>
        <v>0</v>
      </c>
      <c r="RV60" s="140">
        <f>IFERROR(VLOOKUP($D60,'Adient Taizhou (China) WK.16'!$B:QT,RU$1,0),0)</f>
        <v>0</v>
      </c>
      <c r="RW60" s="128">
        <v>0</v>
      </c>
      <c r="RX60" s="32">
        <v>0</v>
      </c>
      <c r="RY60" s="100">
        <f t="shared" si="510"/>
        <v>100</v>
      </c>
      <c r="SA60" s="37">
        <f t="shared" si="511"/>
        <v>100</v>
      </c>
      <c r="SB60" s="141">
        <f>IFERROR(VLOOKUP($D60,'Adient Assende (Belgium) WK.17'!$B:QX,SC$1,0),0)</f>
        <v>0</v>
      </c>
      <c r="SC60" s="140">
        <f>IFERROR(VLOOKUP($D60,'Adient Arendal (Malzia) WK.12'!$B:QY,SC$1,0),0)</f>
        <v>0</v>
      </c>
      <c r="SD60" s="140">
        <f>IFERROR(VLOOKUP($D60,'Adient Taizhou (China) WK.16'!$B:RB,SC$1,0),0)</f>
        <v>0</v>
      </c>
      <c r="SE60" s="128">
        <v>0</v>
      </c>
      <c r="SF60" s="32">
        <v>0</v>
      </c>
      <c r="SG60" s="100">
        <f t="shared" si="512"/>
        <v>100</v>
      </c>
      <c r="SI60" s="37">
        <f t="shared" si="513"/>
        <v>100</v>
      </c>
      <c r="SJ60" s="141">
        <f>IFERROR(VLOOKUP($D60,'Adient Assende (Belgium) WK.17'!$B:RF,SK$1,0),0)</f>
        <v>0</v>
      </c>
      <c r="SK60" s="140">
        <f>IFERROR(VLOOKUP($D60,'Adient Arendal (Malzia) WK.12'!$B:RG,SK$1,0),0)</f>
        <v>0</v>
      </c>
      <c r="SL60" s="140">
        <f>IFERROR(VLOOKUP($D60,'Adient Taizhou (China) WK.16'!$B:RJ,SK$1,0),0)</f>
        <v>0</v>
      </c>
      <c r="SM60" s="128">
        <v>0</v>
      </c>
      <c r="SN60" s="32">
        <v>0</v>
      </c>
      <c r="SO60" s="100">
        <f t="shared" si="514"/>
        <v>100</v>
      </c>
      <c r="SQ60" s="37">
        <f t="shared" si="515"/>
        <v>100</v>
      </c>
      <c r="SR60" s="141">
        <f>IFERROR(VLOOKUP($D60,'Adient Assende (Belgium) WK.17'!$B:RN,SS$1,0),0)</f>
        <v>0</v>
      </c>
      <c r="SS60" s="140">
        <f>IFERROR(VLOOKUP($D60,'Adient Arendal (Malzia) WK.12'!$B:RO,SS$1,0),0)</f>
        <v>0</v>
      </c>
      <c r="ST60" s="140">
        <f>IFERROR(VLOOKUP($D60,'Adient Taizhou (China) WK.16'!$B:RR,SS$1,0),0)</f>
        <v>0</v>
      </c>
      <c r="SU60" s="128">
        <v>0</v>
      </c>
      <c r="SV60" s="32">
        <v>0</v>
      </c>
      <c r="SW60" s="100">
        <f t="shared" si="516"/>
        <v>100</v>
      </c>
      <c r="SY60" s="37">
        <f t="shared" si="517"/>
        <v>100</v>
      </c>
      <c r="SZ60" s="141">
        <f>IFERROR(VLOOKUP($D60,'Adient Assende (Belgium) WK.17'!$B:RV,TA$1,0),0)</f>
        <v>0</v>
      </c>
      <c r="TA60" s="140">
        <f>IFERROR(VLOOKUP($D60,'Adient Arendal (Malzia) WK.12'!$B:RW,TA$1,0),0)</f>
        <v>0</v>
      </c>
      <c r="TB60" s="140">
        <f>IFERROR(VLOOKUP($D60,'Adient Taizhou (China) WK.16'!$B:RZ,TA$1,0),0)</f>
        <v>0</v>
      </c>
      <c r="TC60" s="128">
        <v>0</v>
      </c>
      <c r="TD60" s="32">
        <v>0</v>
      </c>
      <c r="TE60" s="100">
        <f t="shared" si="518"/>
        <v>100</v>
      </c>
      <c r="TG60" s="37">
        <f t="shared" si="519"/>
        <v>100</v>
      </c>
      <c r="TH60" s="141">
        <f>IFERROR(VLOOKUP($D60,'Adient Assende (Belgium) WK.17'!$B:SD,TI$1,0),0)</f>
        <v>20</v>
      </c>
      <c r="TI60" s="140">
        <f>IFERROR(VLOOKUP($D60,'Adient Arendal (Malzia) WK.12'!$B:SE,TI$1,0),0)</f>
        <v>0</v>
      </c>
      <c r="TJ60" s="140">
        <f>IFERROR(VLOOKUP($D60,'Adient Taizhou (China) WK.16'!$B:SH,TI$1,0),0)</f>
        <v>0</v>
      </c>
      <c r="TK60" s="128">
        <v>0</v>
      </c>
      <c r="TL60" s="32">
        <v>0</v>
      </c>
      <c r="TM60" s="100">
        <f t="shared" si="520"/>
        <v>80</v>
      </c>
      <c r="TO60" s="37">
        <f t="shared" si="521"/>
        <v>80</v>
      </c>
      <c r="TP60" s="141">
        <f>IFERROR(VLOOKUP($D60,'Adient Assende (Belgium) WK.17'!$B:SL,TQ$1,0),0)</f>
        <v>20</v>
      </c>
      <c r="TQ60" s="140">
        <f>IFERROR(VLOOKUP($D60,'Adient Arendal (Malzia) WK.12'!$B:SM,TQ$1,0),0)</f>
        <v>0</v>
      </c>
      <c r="TR60" s="140">
        <f>IFERROR(VLOOKUP($D60,'Adient Taizhou (China) WK.16'!$B:SP,TQ$1,0),0)</f>
        <v>0</v>
      </c>
      <c r="TS60" s="128">
        <v>0</v>
      </c>
      <c r="TT60" s="32">
        <v>0</v>
      </c>
      <c r="TU60" s="100">
        <f t="shared" si="522"/>
        <v>60</v>
      </c>
      <c r="TW60" s="37">
        <f t="shared" si="523"/>
        <v>60</v>
      </c>
      <c r="TX60" s="141">
        <f>IFERROR(VLOOKUP($D60,'Adient Assende (Belgium) WK.17'!$B:ST,TY$1,0),0)</f>
        <v>20</v>
      </c>
      <c r="TY60" s="140">
        <f>IFERROR(VLOOKUP($D60,'Adient Arendal (Malzia) WK.12'!$B:SU,TY$1,0),0)</f>
        <v>0</v>
      </c>
      <c r="TZ60" s="140">
        <f>IFERROR(VLOOKUP($D60,'Adient Taizhou (China) WK.16'!$B:SX,TY$1,0),0)</f>
        <v>0</v>
      </c>
      <c r="UA60" s="128">
        <v>0</v>
      </c>
      <c r="UB60" s="32">
        <v>0</v>
      </c>
      <c r="UC60" s="100">
        <f t="shared" si="524"/>
        <v>40</v>
      </c>
      <c r="UE60" s="37">
        <f t="shared" si="525"/>
        <v>40</v>
      </c>
      <c r="UF60" s="141">
        <f>IFERROR(VLOOKUP($D60,'Adient Assende (Belgium) WK.17'!$B:TB,UG$1,0),0)</f>
        <v>20</v>
      </c>
      <c r="UG60" s="140">
        <f>IFERROR(VLOOKUP($D60,'Adient Arendal (Malzia) WK.12'!$B:TC,UG$1,0),0)</f>
        <v>0</v>
      </c>
      <c r="UH60" s="140">
        <f>IFERROR(VLOOKUP($D60,'Adient Taizhou (China) WK.16'!$B:TF,UG$1,0),0)</f>
        <v>0</v>
      </c>
      <c r="UI60" s="128">
        <v>0</v>
      </c>
      <c r="UJ60" s="32">
        <v>0</v>
      </c>
      <c r="UK60" s="100">
        <f t="shared" si="526"/>
        <v>20</v>
      </c>
      <c r="UM60" s="37">
        <f t="shared" si="527"/>
        <v>20</v>
      </c>
      <c r="UN60" s="141">
        <f>IFERROR(VLOOKUP($D60,'Adient Assende (Belgium) WK.17'!$B:TJ,UO$1,0),0)</f>
        <v>20</v>
      </c>
      <c r="UO60" s="140">
        <f>IFERROR(VLOOKUP($D60,'Adient Arendal (Malzia) WK.12'!$B:TK,UO$1,0),0)</f>
        <v>0</v>
      </c>
      <c r="UP60" s="140">
        <f>IFERROR(VLOOKUP($D60,'Adient Taizhou (China) WK.16'!$B:TN,UO$1,0),0)</f>
        <v>0</v>
      </c>
      <c r="UQ60" s="128">
        <v>0</v>
      </c>
      <c r="UR60" s="32">
        <v>0</v>
      </c>
      <c r="US60" s="100">
        <f t="shared" si="528"/>
        <v>0</v>
      </c>
      <c r="UU60" s="37">
        <f t="shared" si="529"/>
        <v>0</v>
      </c>
      <c r="UV60" s="141">
        <f>IFERROR(VLOOKUP($D60,'Adient Assende (Belgium) WK.17'!$B:TR,UW$1,0),0)</f>
        <v>0</v>
      </c>
      <c r="UW60" s="140">
        <f>IFERROR(VLOOKUP($D60,'Adient Arendal (Malzia) WK.12'!$B:TS,UW$1,0),0)</f>
        <v>0</v>
      </c>
      <c r="UX60" s="140">
        <f>IFERROR(VLOOKUP($D60,'Adient Taizhou (China) WK.16'!$B:TV,UW$1,0),0)</f>
        <v>0</v>
      </c>
      <c r="UY60" s="128">
        <v>0</v>
      </c>
      <c r="UZ60" s="32">
        <v>0</v>
      </c>
      <c r="VA60" s="100">
        <f t="shared" si="530"/>
        <v>0</v>
      </c>
      <c r="VC60" s="37">
        <f t="shared" si="531"/>
        <v>0</v>
      </c>
      <c r="VD60" s="141">
        <f>IFERROR(VLOOKUP($D60,'Adient Assende (Belgium) WK.17'!$B:TZ,VE$1,0),0)</f>
        <v>0</v>
      </c>
      <c r="VE60" s="140">
        <f>IFERROR(VLOOKUP($D60,'Adient Arendal (Malzia) WK.12'!$B:UA,VE$1,0),0)</f>
        <v>0</v>
      </c>
      <c r="VF60" s="140">
        <f>IFERROR(VLOOKUP($D60,'Adient Taizhou (China) WK.16'!$B:UD,VE$1,0),0)</f>
        <v>0</v>
      </c>
      <c r="VG60" s="128">
        <v>0</v>
      </c>
      <c r="VH60" s="32">
        <v>0</v>
      </c>
      <c r="VI60" s="100">
        <f t="shared" si="532"/>
        <v>0</v>
      </c>
      <c r="VK60" s="37">
        <f t="shared" si="533"/>
        <v>0</v>
      </c>
      <c r="VL60" s="141">
        <f>IFERROR(VLOOKUP($D60,'Adient Assende (Belgium) WK.17'!$B:UH,VM$1,0),0)</f>
        <v>0</v>
      </c>
      <c r="VM60" s="140">
        <f>IFERROR(VLOOKUP($D60,'Adient Arendal (Malzia) WK.12'!$B:UI,VM$1,0),0)</f>
        <v>0</v>
      </c>
      <c r="VN60" s="140">
        <f>IFERROR(VLOOKUP($D60,'Adient Taizhou (China) WK.16'!$B:UL,VM$1,0),0)</f>
        <v>0</v>
      </c>
      <c r="VO60" s="128">
        <v>0</v>
      </c>
      <c r="VP60" s="32">
        <v>0</v>
      </c>
      <c r="VQ60" s="100">
        <f t="shared" si="534"/>
        <v>0</v>
      </c>
    </row>
    <row r="61" spans="1:589" x14ac:dyDescent="0.25">
      <c r="A61" s="10" t="s">
        <v>18</v>
      </c>
      <c r="B61" s="11" t="s">
        <v>17</v>
      </c>
      <c r="C61" s="87">
        <v>32482094</v>
      </c>
      <c r="D61" s="81">
        <v>7506627</v>
      </c>
      <c r="E61" s="11">
        <v>20</v>
      </c>
      <c r="F61" s="168"/>
      <c r="H61" s="122">
        <v>0</v>
      </c>
      <c r="I61" s="125">
        <f>IFERROR(VLOOKUP($D61,'Adient Assende (Belgium) WK.17'!$B:C,J$1,0),0)</f>
        <v>0</v>
      </c>
      <c r="J61" s="55">
        <f>IFERROR(VLOOKUP($D61,'Adient Arendal (Malzia) WK.12'!$B:C,J$1,0),0)</f>
        <v>0</v>
      </c>
      <c r="K61" s="55">
        <f>IFERROR(VLOOKUP($D61,'Adient Taizhou (China) WK.16'!$B:C,J$1,0),0)</f>
        <v>0</v>
      </c>
      <c r="L61" s="128">
        <v>0</v>
      </c>
      <c r="M61" s="32">
        <v>0</v>
      </c>
      <c r="N61" s="106">
        <f t="shared" si="535"/>
        <v>0</v>
      </c>
      <c r="P61" s="37">
        <f t="shared" si="536"/>
        <v>0</v>
      </c>
      <c r="Q61" s="125">
        <f>IFERROR(VLOOKUP($D61,'Adient Assende (Belgium) WK.17'!$B:K,R$1,0),0)</f>
        <v>0</v>
      </c>
      <c r="R61" s="55">
        <f>IFERROR(VLOOKUP($D61,'Adient Arendal (Malzia) WK.12'!$B:K,R$1,0),0)</f>
        <v>0</v>
      </c>
      <c r="S61" s="55">
        <f>IFERROR(VLOOKUP($D61,'Adient Taizhou (China) WK.16'!$B:K,R$1,0),0)</f>
        <v>0</v>
      </c>
      <c r="T61" s="41">
        <v>0</v>
      </c>
      <c r="U61" s="32">
        <v>0</v>
      </c>
      <c r="V61" s="106">
        <f t="shared" si="537"/>
        <v>0</v>
      </c>
      <c r="X61" s="37">
        <f t="shared" si="538"/>
        <v>0</v>
      </c>
      <c r="Y61" s="125">
        <f>IFERROR(VLOOKUP($D61,'Adient Assende (Belgium) WK.17'!$B:S,Z$1,0),0)</f>
        <v>0</v>
      </c>
      <c r="Z61" s="55">
        <f>IFERROR(VLOOKUP($D61,'Adient Arendal (Malzia) WK.12'!$B:S,Z$1,0),0)</f>
        <v>0</v>
      </c>
      <c r="AA61" s="55">
        <f>IFERROR(VLOOKUP($D61,'Adient Taizhou (China) WK.16'!$B:S,Z$1,0),0)</f>
        <v>0</v>
      </c>
      <c r="AB61" s="41">
        <v>0</v>
      </c>
      <c r="AC61" s="32">
        <v>0</v>
      </c>
      <c r="AD61" s="106">
        <f t="shared" si="539"/>
        <v>0</v>
      </c>
      <c r="AF61" s="37">
        <f t="shared" si="540"/>
        <v>0</v>
      </c>
      <c r="AG61" s="125">
        <f>IFERROR(VLOOKUP($D61,'Adient Assende (Belgium) WK.17'!$B:AA,AH$1,0),0)</f>
        <v>0</v>
      </c>
      <c r="AH61" s="55">
        <f>IFERROR(VLOOKUP($D61,'Adient Arendal (Malzia) WK.12'!$B:AA,AH$1,0),0)</f>
        <v>0</v>
      </c>
      <c r="AI61" s="55">
        <f>IFERROR(VLOOKUP($D61,'Adient Taizhou (China) WK.16'!$B:AA,AH$1,0),0)</f>
        <v>0</v>
      </c>
      <c r="AJ61" s="41">
        <v>0</v>
      </c>
      <c r="AK61" s="32">
        <v>0</v>
      </c>
      <c r="AL61" s="106">
        <f t="shared" si="541"/>
        <v>0</v>
      </c>
      <c r="AN61" s="37">
        <f t="shared" si="432"/>
        <v>0</v>
      </c>
      <c r="AO61" s="125">
        <f>IFERROR(VLOOKUP($D61,'Adient Assende (Belgium) WK.17'!$B:AI,AP$1,0),0)</f>
        <v>0</v>
      </c>
      <c r="AP61" s="55">
        <f>IFERROR(VLOOKUP($D61,'Adient Arendal (Malzia) WK.12'!$B:AI,AP$1,0),0)</f>
        <v>0</v>
      </c>
      <c r="AQ61" s="55">
        <f>IFERROR(VLOOKUP($D61,'Adient Taizhou (China) WK.16'!$B:AI,AP$1,0),0)</f>
        <v>0</v>
      </c>
      <c r="AR61" s="60">
        <v>0</v>
      </c>
      <c r="AS61" s="41">
        <v>0</v>
      </c>
      <c r="AT61" s="32">
        <v>0</v>
      </c>
      <c r="AU61" s="106">
        <f t="shared" si="240"/>
        <v>0</v>
      </c>
      <c r="AW61" s="37">
        <f t="shared" si="433"/>
        <v>0</v>
      </c>
      <c r="AX61" s="125">
        <f>IFERROR(VLOOKUP($D61,'Adient Assende (Belgium) WK.17'!$B:AR,AY$1,0),0)</f>
        <v>0</v>
      </c>
      <c r="AY61" s="55">
        <f>IFERROR(VLOOKUP($D61,'Adient Arendal (Malzia) WK.12'!$B:AR,AY$1,0),0)</f>
        <v>0</v>
      </c>
      <c r="AZ61" s="55">
        <f>IFERROR(VLOOKUP($D61,'Adient Taizhou (China) WK.16'!$B:AU,AY$1,0),0)</f>
        <v>0</v>
      </c>
      <c r="BA61" s="41">
        <v>0</v>
      </c>
      <c r="BB61" s="32">
        <v>0</v>
      </c>
      <c r="BC61" s="106">
        <f t="shared" si="542"/>
        <v>0</v>
      </c>
      <c r="BE61" s="37">
        <f t="shared" si="434"/>
        <v>0</v>
      </c>
      <c r="BF61" s="125">
        <f>IFERROR(VLOOKUP($D61,'Adient Assende (Belgium) WK.17'!$B:AX,BG$1,0),0)</f>
        <v>0</v>
      </c>
      <c r="BG61" s="55">
        <f>IFERROR(VLOOKUP($D61,'Adient Arendal (Malzia) WK.12'!$B:AZ,BG$1,0),0)</f>
        <v>0</v>
      </c>
      <c r="BH61" s="55">
        <f>IFERROR(VLOOKUP($D61,'Adient Taizhou (China) WK.16'!$B:BB,BG$1,0),0)</f>
        <v>0</v>
      </c>
      <c r="BI61" s="60">
        <v>0</v>
      </c>
      <c r="BJ61" s="60">
        <v>0</v>
      </c>
      <c r="BK61" s="41">
        <v>0</v>
      </c>
      <c r="BL61" s="32">
        <v>0</v>
      </c>
      <c r="BM61" s="106">
        <f t="shared" si="242"/>
        <v>0</v>
      </c>
      <c r="BN61" s="8"/>
      <c r="BO61" s="37">
        <f t="shared" si="435"/>
        <v>0</v>
      </c>
      <c r="BP61" s="125">
        <f>IFERROR(VLOOKUP($D61,'Adient Assende (Belgium) WK.17'!$B:BH,BQ$1,0),0)</f>
        <v>0</v>
      </c>
      <c r="BQ61" s="55">
        <f>IFERROR(VLOOKUP($D61,'Adient Arendal (Malzia) WK.12'!$B:BI,BQ$1,0),0)</f>
        <v>0</v>
      </c>
      <c r="BR61" s="55">
        <f>IFERROR(VLOOKUP($D61,'Adient Taizhou (China) WK.16'!$B:BL,BQ$1,0),0)</f>
        <v>0</v>
      </c>
      <c r="BS61" s="60">
        <v>0</v>
      </c>
      <c r="BT61" s="60">
        <v>0</v>
      </c>
      <c r="BU61" s="60">
        <v>0</v>
      </c>
      <c r="BV61" s="41">
        <v>0</v>
      </c>
      <c r="BW61" s="32">
        <v>0</v>
      </c>
      <c r="BX61" s="106">
        <f t="shared" si="243"/>
        <v>0</v>
      </c>
      <c r="BY61" s="8"/>
      <c r="BZ61" s="37">
        <f t="shared" si="436"/>
        <v>0</v>
      </c>
      <c r="CA61" s="125">
        <f>IFERROR(VLOOKUP($D61,'Adient Assende (Belgium) WK.17'!$B:BS,CB$1,0),0)</f>
        <v>0</v>
      </c>
      <c r="CB61" s="55">
        <f>IFERROR(VLOOKUP($D61,'Adient Arendal (Malzia) WK.12'!$B:BT,CB$1,0),0)</f>
        <v>0</v>
      </c>
      <c r="CC61" s="55">
        <f>IFERROR(VLOOKUP($D61,'Adient Taizhou (China) WK.16'!$B:BW,CB$1,0),0)</f>
        <v>0</v>
      </c>
      <c r="CD61" s="60">
        <v>0</v>
      </c>
      <c r="CE61" s="60">
        <v>0</v>
      </c>
      <c r="CF61" s="41">
        <v>0</v>
      </c>
      <c r="CG61" s="32">
        <v>0</v>
      </c>
      <c r="CH61" s="106">
        <f t="shared" si="244"/>
        <v>0</v>
      </c>
      <c r="CI61" s="8"/>
      <c r="CJ61" s="37">
        <f t="shared" si="437"/>
        <v>0</v>
      </c>
      <c r="CK61" s="125">
        <f>IFERROR(VLOOKUP($D61,'Adient Assende (Belgium) WK.17'!$B:CC,CL$1,0),0)</f>
        <v>0</v>
      </c>
      <c r="CL61" s="55">
        <f>IFERROR(VLOOKUP($D61,'Adient Arendal (Malzia) WK.12'!$B:CD,CL$1,0),0)</f>
        <v>0</v>
      </c>
      <c r="CM61" s="55">
        <f>IFERROR(VLOOKUP($D61,'Adient Taizhou (China) WK.16'!$B:CG,CL$1,0),0)</f>
        <v>0</v>
      </c>
      <c r="CN61" s="60">
        <v>0</v>
      </c>
      <c r="CO61" s="149">
        <v>0</v>
      </c>
      <c r="CP61" s="32">
        <v>0</v>
      </c>
      <c r="CQ61" s="106">
        <f t="shared" si="245"/>
        <v>0</v>
      </c>
      <c r="CR61" s="8"/>
      <c r="CS61" s="122">
        <f t="shared" si="438"/>
        <v>0</v>
      </c>
      <c r="CT61" s="154">
        <f>IFERROR(VLOOKUP($D61,'Adient Assende (Belgium) WK.17'!$B:CL,CU$1,0),0)</f>
        <v>0</v>
      </c>
      <c r="CU61" s="55">
        <f>IFERROR(VLOOKUP($D61,'Adient Arendal (Malzia) WK.12'!$B:CM,CU$1,0),0)</f>
        <v>0</v>
      </c>
      <c r="CV61" s="55">
        <f>IFERROR(VLOOKUP($D61,'Adient Taizhou (China) WK.16'!$B:CP,CU$1,0),0)</f>
        <v>0</v>
      </c>
      <c r="CW61" s="60">
        <v>0</v>
      </c>
      <c r="CX61" s="60">
        <v>0</v>
      </c>
      <c r="CY61" s="128">
        <v>0</v>
      </c>
      <c r="CZ61" s="32">
        <v>0</v>
      </c>
      <c r="DA61" s="106">
        <f t="shared" si="246"/>
        <v>0</v>
      </c>
      <c r="DB61" s="8"/>
      <c r="DC61" s="37">
        <f t="shared" si="439"/>
        <v>0</v>
      </c>
      <c r="DD61" s="125">
        <f>IFERROR(VLOOKUP($D61,'Adient Assende (Belgium) WK.17'!$B:CS,DE$1,0),0)</f>
        <v>0</v>
      </c>
      <c r="DE61" s="55">
        <f>IFERROR(VLOOKUP($D61,'Adient Arendal (Malzia) WK.12'!$B:CU,DE$1,0),0)</f>
        <v>0</v>
      </c>
      <c r="DF61" s="55">
        <f>IFERROR(VLOOKUP($D61,'Adient Taizhou (China) WK.16'!$B:CX,DE$1,0),0)</f>
        <v>0</v>
      </c>
      <c r="DG61" s="60">
        <v>0</v>
      </c>
      <c r="DH61" s="128">
        <v>0</v>
      </c>
      <c r="DI61" s="32">
        <v>0</v>
      </c>
      <c r="DJ61" s="106">
        <f t="shared" si="247"/>
        <v>0</v>
      </c>
      <c r="DL61" s="37">
        <f t="shared" si="440"/>
        <v>0</v>
      </c>
      <c r="DM61" s="125">
        <f>IFERROR(VLOOKUP($D61,'Adient Assende (Belgium) WK.17'!$B:DB,DN$1,0),0)</f>
        <v>0</v>
      </c>
      <c r="DN61" s="55">
        <f>IFERROR(VLOOKUP($D61,'Adient Arendal (Malzia) WK.12'!$B:DC,DN$1,0),0)</f>
        <v>0</v>
      </c>
      <c r="DO61" s="55">
        <f>IFERROR(VLOOKUP($D61,'Adient Taizhou (China) WK.16'!$B:DF,DN$1,0),0)</f>
        <v>0</v>
      </c>
      <c r="DP61" s="128">
        <v>0</v>
      </c>
      <c r="DQ61" s="32">
        <v>0</v>
      </c>
      <c r="DR61" s="106">
        <f t="shared" si="441"/>
        <v>0</v>
      </c>
      <c r="DS61" s="8"/>
      <c r="DT61" s="37">
        <f t="shared" si="442"/>
        <v>0</v>
      </c>
      <c r="DU61" s="125">
        <f>IFERROR(VLOOKUP($D61,'Adient Assende (Belgium) WK.17'!$B:DJ,DV$1,0),0)</f>
        <v>0</v>
      </c>
      <c r="DV61" s="55">
        <f>IFERROR(VLOOKUP($D61,'Adient Arendal (Malzia) WK.12'!$B:DK,DV$1,0),0)</f>
        <v>0</v>
      </c>
      <c r="DW61" s="55">
        <f>IFERROR(VLOOKUP($D61,'Adient Taizhou (China) WK.16'!$B:DN,DV$1,0),0)</f>
        <v>0</v>
      </c>
      <c r="DX61" s="60">
        <v>0</v>
      </c>
      <c r="DY61" s="60">
        <v>0</v>
      </c>
      <c r="DZ61" s="128">
        <v>0</v>
      </c>
      <c r="EA61" s="32">
        <v>0</v>
      </c>
      <c r="EB61" s="106">
        <f t="shared" si="248"/>
        <v>0</v>
      </c>
      <c r="EC61" s="8"/>
      <c r="ED61" s="37">
        <f t="shared" si="443"/>
        <v>0</v>
      </c>
      <c r="EE61" s="125">
        <f>IFERROR(VLOOKUP($D61,'Adient Assende (Belgium) WK.17'!$B:DR,EF$1,0),0)</f>
        <v>0</v>
      </c>
      <c r="EF61" s="55">
        <f>IFERROR(VLOOKUP($D61,'Adient Arendal (Malzia) WK.12'!$B:DS,EF$1,0),0)</f>
        <v>0</v>
      </c>
      <c r="EG61" s="55">
        <f>IFERROR(VLOOKUP($D61,'Adient Taizhou (China) WK.16'!$B:DV,EF$1,0),0)</f>
        <v>0</v>
      </c>
      <c r="EH61" s="60">
        <v>0</v>
      </c>
      <c r="EI61" s="128">
        <v>0</v>
      </c>
      <c r="EJ61" s="32">
        <v>0</v>
      </c>
      <c r="EK61" s="106">
        <f t="shared" si="249"/>
        <v>0</v>
      </c>
      <c r="EM61" s="37">
        <f t="shared" si="444"/>
        <v>0</v>
      </c>
      <c r="EN61" s="125">
        <f>IFERROR(VLOOKUP($D61,'Adient Assende (Belgium) WK.17'!$B:DZ,EO$1,0),0)</f>
        <v>0</v>
      </c>
      <c r="EO61" s="55">
        <f>IFERROR(VLOOKUP($D61,'Adient Arendal (Malzia) WK.12'!$B:EA,EO$1,0),0)</f>
        <v>0</v>
      </c>
      <c r="EP61" s="55">
        <f>IFERROR(VLOOKUP($D61,'Adient Taizhou (China) WK.16'!$B:ED,EO$1,0),0)</f>
        <v>0</v>
      </c>
      <c r="EQ61" s="128">
        <v>0</v>
      </c>
      <c r="ER61" s="32">
        <v>0</v>
      </c>
      <c r="ES61" s="106">
        <f t="shared" si="543"/>
        <v>0</v>
      </c>
      <c r="EU61" s="37">
        <f t="shared" si="445"/>
        <v>0</v>
      </c>
      <c r="EV61" s="125">
        <f>IFERROR(VLOOKUP($D61,'Adient Assende (Belgium) WK.17'!$B:EH,EW$1,0),0)</f>
        <v>0</v>
      </c>
      <c r="EW61" s="55">
        <f>IFERROR(VLOOKUP($D61,'Adient Arendal (Malzia) WK.12'!$B:EI,EW$1,0),0)</f>
        <v>0</v>
      </c>
      <c r="EX61" s="55">
        <f>IFERROR(VLOOKUP($D61,'Adient Taizhou (China) WK.16'!$B:EL,EW$1,0),0)</f>
        <v>0</v>
      </c>
      <c r="EY61" s="128">
        <v>0</v>
      </c>
      <c r="EZ61" s="32">
        <v>0</v>
      </c>
      <c r="FA61" s="106">
        <f t="shared" si="251"/>
        <v>0</v>
      </c>
      <c r="FC61" s="37">
        <f t="shared" si="446"/>
        <v>0</v>
      </c>
      <c r="FD61" s="154">
        <f>IFERROR(VLOOKUP($D61,'Adient Assende (Belgium) WK.17'!$B:EP,FE$1,0),0)</f>
        <v>0</v>
      </c>
      <c r="FE61" s="154">
        <f>IFERROR(VLOOKUP($D61,'Adient Arendal (Malzia) WK.12'!$B:EQ,FE$1,0),0)</f>
        <v>0</v>
      </c>
      <c r="FF61" s="154">
        <f>IFERROR(VLOOKUP($D61,'Adient Taizhou (China) WK.16'!$B:ET,FE$1,0),0)</f>
        <v>0</v>
      </c>
      <c r="FG61" s="128">
        <v>0</v>
      </c>
      <c r="FH61" s="32">
        <v>0</v>
      </c>
      <c r="FI61" s="106">
        <f t="shared" si="252"/>
        <v>0</v>
      </c>
      <c r="FK61" s="37">
        <f t="shared" si="447"/>
        <v>0</v>
      </c>
      <c r="FL61" s="125">
        <f>IFERROR(VLOOKUP($D61,'Adient Assende (Belgium) WK.17'!$B:EX,FM$1,0),0)</f>
        <v>0</v>
      </c>
      <c r="FM61" s="55">
        <f>IFERROR(VLOOKUP($D61,'Adient Arendal (Malzia) WK.12'!$B:EY,FM$1,0),0)</f>
        <v>0</v>
      </c>
      <c r="FN61" s="55">
        <f>IFERROR(VLOOKUP($D61,'Adient Taizhou (China) WK.16'!$B:FB,FM$1,0),0)</f>
        <v>0</v>
      </c>
      <c r="FO61" s="128">
        <v>0</v>
      </c>
      <c r="FP61" s="32">
        <v>0</v>
      </c>
      <c r="FQ61" s="106">
        <f t="shared" si="253"/>
        <v>0</v>
      </c>
      <c r="FR61" s="8"/>
      <c r="FS61" s="37">
        <f t="shared" si="448"/>
        <v>0</v>
      </c>
      <c r="FT61" s="125">
        <f>IFERROR(VLOOKUP($D61,'Adient Assende (Belgium) WK.17'!$B:FF,FU$1,0),0)</f>
        <v>0</v>
      </c>
      <c r="FU61" s="55">
        <f>IFERROR(VLOOKUP($D61,'Adient Arendal (Malzia) WK.12'!$B:FG,FU$1,0),0)</f>
        <v>0</v>
      </c>
      <c r="FV61" s="55">
        <f>IFERROR(VLOOKUP($D61,'Adient Taizhou (China) WK.16'!$B:FJ,FU$1,0),0)</f>
        <v>0</v>
      </c>
      <c r="FW61" s="60">
        <v>0</v>
      </c>
      <c r="FX61" s="60">
        <v>0</v>
      </c>
      <c r="FY61" s="60">
        <v>0</v>
      </c>
      <c r="FZ61" s="60">
        <v>0</v>
      </c>
      <c r="GA61" s="60">
        <v>0</v>
      </c>
      <c r="GB61" s="128">
        <v>0</v>
      </c>
      <c r="GC61" s="32">
        <v>0</v>
      </c>
      <c r="GD61" s="106">
        <f t="shared" si="254"/>
        <v>0</v>
      </c>
      <c r="GF61" s="37">
        <f t="shared" si="449"/>
        <v>0</v>
      </c>
      <c r="GG61" s="125">
        <f>IFERROR(VLOOKUP($D61,'Adient Assende (Belgium) WK.17'!$B:FN,GH$1,0),0)</f>
        <v>0</v>
      </c>
      <c r="GH61" s="55">
        <f>IFERROR(VLOOKUP($D61,'Adient Arendal (Malzia) WK.12'!$B:FO,GH$1,0),0)</f>
        <v>0</v>
      </c>
      <c r="GI61" s="55">
        <f>IFERROR(VLOOKUP($D61,'Adient Taizhou (China) WK.16'!$B:FR,GH$1,0),0)</f>
        <v>0</v>
      </c>
      <c r="GJ61" s="60">
        <v>0</v>
      </c>
      <c r="GK61" s="128">
        <v>0</v>
      </c>
      <c r="GL61" s="32">
        <v>0</v>
      </c>
      <c r="GM61" s="106">
        <f t="shared" si="255"/>
        <v>0</v>
      </c>
      <c r="GO61" s="37">
        <f t="shared" si="450"/>
        <v>0</v>
      </c>
      <c r="GP61" s="125">
        <f>IFERROR(VLOOKUP($D61,'Adient Assende (Belgium) WK.17'!$B:FV,GQ$1,0),0)</f>
        <v>0</v>
      </c>
      <c r="GQ61" s="55">
        <f>IFERROR(VLOOKUP($D61,'Adient Arendal (Malzia) WK.12'!$B:FW,GQ$1,0),0)</f>
        <v>0</v>
      </c>
      <c r="GR61" s="55">
        <f>IFERROR(VLOOKUP($D61,'Adient Taizhou (China) WK.16'!$B:FZ,GQ$1,0),0)</f>
        <v>0</v>
      </c>
      <c r="GS61" s="60">
        <v>0</v>
      </c>
      <c r="GT61" s="128">
        <v>0</v>
      </c>
      <c r="GU61" s="32">
        <v>0</v>
      </c>
      <c r="GV61" s="106">
        <f t="shared" si="256"/>
        <v>0</v>
      </c>
      <c r="GW61" s="8"/>
      <c r="GX61" s="37">
        <f t="shared" si="451"/>
        <v>0</v>
      </c>
      <c r="GY61" s="125">
        <f>IFERROR(VLOOKUP($D61,'Adient Assende (Belgium) WK.17'!$B:GD,GZ$1,0),0)</f>
        <v>0</v>
      </c>
      <c r="GZ61" s="55">
        <f>IFERROR(VLOOKUP($D61,'Adient Arendal (Malzia) WK.12'!$B:GE,GZ$1,0),0)</f>
        <v>0</v>
      </c>
      <c r="HA61" s="55">
        <f>IFERROR(VLOOKUP($D61,'Adient Taizhou (China) WK.16'!$B:GH,GZ$1,0),0)</f>
        <v>0</v>
      </c>
      <c r="HB61" s="60">
        <v>0</v>
      </c>
      <c r="HC61" s="128">
        <v>0</v>
      </c>
      <c r="HD61" s="32">
        <v>0</v>
      </c>
      <c r="HE61" s="106">
        <f t="shared" si="257"/>
        <v>0</v>
      </c>
      <c r="HF61" s="8"/>
      <c r="HG61" s="37">
        <f t="shared" si="452"/>
        <v>0</v>
      </c>
      <c r="HH61" s="125">
        <f>IFERROR(VLOOKUP($D61,'Adient Assende (Belgium) WK.17'!$B:GL,HI$1,0),0)</f>
        <v>0</v>
      </c>
      <c r="HI61" s="55">
        <f>IFERROR(VLOOKUP($D61,'Adient Arendal (Malzia) WK.12'!$B:GM,HI$1,0),0)</f>
        <v>0</v>
      </c>
      <c r="HJ61" s="55">
        <f>IFERROR(VLOOKUP($D61,'Adient Taizhou (China) WK.16'!$B:GP,HI$1,0),0)</f>
        <v>0</v>
      </c>
      <c r="HK61" s="60">
        <v>0</v>
      </c>
      <c r="HL61" s="128">
        <v>0</v>
      </c>
      <c r="HM61" s="32">
        <v>0</v>
      </c>
      <c r="HN61" s="106">
        <f t="shared" si="258"/>
        <v>0</v>
      </c>
      <c r="HO61" s="8"/>
      <c r="HP61" s="37">
        <f t="shared" si="453"/>
        <v>0</v>
      </c>
      <c r="HQ61" s="125">
        <f>IFERROR(VLOOKUP($D61,'Adient Assende (Belgium) WK.17'!$B:GT,HR$1,0),0)</f>
        <v>0</v>
      </c>
      <c r="HR61" s="55">
        <f>IFERROR(VLOOKUP($D61,'Adient Arendal (Malzia) WK.12'!$B:GU,HR$1,0),0)</f>
        <v>0</v>
      </c>
      <c r="HS61" s="55">
        <f>IFERROR(VLOOKUP($D61,'Adient Taizhou (China) WK.16'!$B:GX,HR$1,0),0)</f>
        <v>0</v>
      </c>
      <c r="HT61" s="60">
        <v>400</v>
      </c>
      <c r="HU61" s="128">
        <v>0</v>
      </c>
      <c r="HV61" s="32">
        <v>0</v>
      </c>
      <c r="HW61" s="106">
        <f t="shared" si="259"/>
        <v>400</v>
      </c>
      <c r="HX61" s="8"/>
      <c r="HY61" s="37">
        <f t="shared" si="454"/>
        <v>400</v>
      </c>
      <c r="HZ61" s="125">
        <f>IFERROR(VLOOKUP($D61,'Adient Assende (Belgium) WK.17'!$B:HB,IA$1,0),0)</f>
        <v>0</v>
      </c>
      <c r="IA61" s="55">
        <f>IFERROR(VLOOKUP($D61,'Adient Arendal (Malzia) WK.12'!$B:HC,IA$1,0),0)</f>
        <v>0</v>
      </c>
      <c r="IB61" s="55">
        <f>IFERROR(VLOOKUP($D61,'Adient Taizhou (China) WK.16'!$B:HF,IA$1,0),0)</f>
        <v>0</v>
      </c>
      <c r="IC61" s="60">
        <v>0</v>
      </c>
      <c r="ID61" s="128">
        <v>0</v>
      </c>
      <c r="IE61" s="32">
        <v>0</v>
      </c>
      <c r="IF61" s="106">
        <f t="shared" si="260"/>
        <v>400</v>
      </c>
      <c r="IG61" s="8"/>
      <c r="IH61" s="37">
        <f t="shared" si="455"/>
        <v>400</v>
      </c>
      <c r="II61" s="125">
        <f>IFERROR(VLOOKUP($D61,'Adient Assende (Belgium) WK.17'!$B:HJ,IJ$1,0),0)</f>
        <v>0</v>
      </c>
      <c r="IJ61" s="55">
        <f>IFERROR(VLOOKUP($D61,'Adient Arendal (Malzia) WK.12'!$B:HK,IJ$1,0),0)</f>
        <v>0</v>
      </c>
      <c r="IK61" s="55">
        <f>IFERROR(VLOOKUP($D61,'Adient Taizhou (China) WK.16'!$B:HN,IJ$1,0),0)</f>
        <v>0</v>
      </c>
      <c r="IL61" s="128">
        <v>0</v>
      </c>
      <c r="IM61" s="32">
        <v>0</v>
      </c>
      <c r="IN61" s="106">
        <f t="shared" si="456"/>
        <v>400</v>
      </c>
      <c r="IO61" s="8"/>
      <c r="IP61" s="37">
        <f t="shared" si="457"/>
        <v>400</v>
      </c>
      <c r="IQ61" s="125">
        <f>IFERROR(VLOOKUP($D61,'Adient Assende (Belgium) WK.17'!$B:HR,IR$1,0),0)</f>
        <v>0</v>
      </c>
      <c r="IR61" s="55">
        <f>IFERROR(VLOOKUP($D61,'Adient Arendal (Malzia) WK.12'!$B:HS,IR$1,0),0)</f>
        <v>0</v>
      </c>
      <c r="IS61" s="55">
        <f>IFERROR(VLOOKUP($D61,'Adient Taizhou (China) WK.16'!$B:HV,IR$1,0),0)</f>
        <v>0</v>
      </c>
      <c r="IT61" s="60">
        <v>0</v>
      </c>
      <c r="IU61" s="128">
        <v>0</v>
      </c>
      <c r="IV61" s="32">
        <v>0</v>
      </c>
      <c r="IW61" s="106">
        <f t="shared" si="261"/>
        <v>400</v>
      </c>
      <c r="IX61" s="8"/>
      <c r="IY61" s="37">
        <f t="shared" si="458"/>
        <v>400</v>
      </c>
      <c r="IZ61" s="125">
        <f>IFERROR(VLOOKUP($D61,'Adient Assende (Belgium) WK.17'!$B:HZ,JA$1,0),0)</f>
        <v>0</v>
      </c>
      <c r="JA61" s="55">
        <f>IFERROR(VLOOKUP($D61,'Adient Arendal (Malzia) WK.12'!$B:IA,JA$1,0),0)</f>
        <v>0</v>
      </c>
      <c r="JB61" s="55">
        <f>IFERROR(VLOOKUP($D61,'Adient Taizhou (China) WK.16'!$B:ID,JA$1,0),0)</f>
        <v>0</v>
      </c>
      <c r="JC61" s="128">
        <v>0</v>
      </c>
      <c r="JD61" s="32">
        <v>0</v>
      </c>
      <c r="JE61" s="106">
        <f t="shared" si="459"/>
        <v>400</v>
      </c>
      <c r="JF61" s="8"/>
      <c r="JG61" s="37">
        <f t="shared" si="460"/>
        <v>400</v>
      </c>
      <c r="JH61" s="125">
        <f>IFERROR(VLOOKUP($D61,'Adient Assende (Belgium) WK.17'!$B:IH,JI$1,0),0)</f>
        <v>0</v>
      </c>
      <c r="JI61" s="55">
        <f>IFERROR(VLOOKUP($D61,'Adient Arendal (Malzia) WK.12'!$B:II,JI$1,0),0)</f>
        <v>0</v>
      </c>
      <c r="JJ61" s="55">
        <f>IFERROR(VLOOKUP($D61,'Adient Taizhou (China) WK.16'!$B:IL,JI$1,0),0)</f>
        <v>0</v>
      </c>
      <c r="JK61" s="60">
        <v>0</v>
      </c>
      <c r="JL61" s="128">
        <v>0</v>
      </c>
      <c r="JM61" s="32">
        <v>0</v>
      </c>
      <c r="JN61" s="106">
        <f t="shared" si="262"/>
        <v>400</v>
      </c>
      <c r="JO61" s="8"/>
      <c r="JP61" s="37">
        <f t="shared" si="461"/>
        <v>400</v>
      </c>
      <c r="JQ61" s="125">
        <f>IFERROR(VLOOKUP($D61,'Adient Assende (Belgium) WK.17'!$B:IP,JR$1,0),0)</f>
        <v>0</v>
      </c>
      <c r="JR61" s="55">
        <f>IFERROR(VLOOKUP($D61,'Adient Arendal (Malzia) WK.12'!$B:IQ,JR$1,0),0)</f>
        <v>0</v>
      </c>
      <c r="JS61" s="55">
        <f>IFERROR(VLOOKUP($D61,'Adient Taizhou (China) WK.16'!$B:IT,JR$1,0),0)</f>
        <v>0</v>
      </c>
      <c r="JT61" s="128">
        <v>0</v>
      </c>
      <c r="JU61" s="32">
        <v>0</v>
      </c>
      <c r="JV61" s="106">
        <f t="shared" si="462"/>
        <v>400</v>
      </c>
      <c r="JW61" s="8"/>
      <c r="JX61" s="37">
        <f t="shared" si="463"/>
        <v>400</v>
      </c>
      <c r="JY61" s="154">
        <f>IFERROR(VLOOKUP($D61,'Adient Assende (Belgium) WK.17'!$B:IX,JZ$1,0),0)</f>
        <v>0</v>
      </c>
      <c r="JZ61" s="55">
        <f>IFERROR(VLOOKUP($D61,'Adient Arendal (Malzia) WK.12'!$B:IY,JZ$1,0),0)</f>
        <v>0</v>
      </c>
      <c r="KA61" s="55">
        <f>IFERROR(VLOOKUP($D61,'Adient Taizhou (China) WK.16'!$B:JB,JZ$1,0),0)</f>
        <v>0</v>
      </c>
      <c r="KB61" s="128">
        <v>80</v>
      </c>
      <c r="KC61" s="32">
        <v>0</v>
      </c>
      <c r="KD61" s="106">
        <f t="shared" si="263"/>
        <v>320</v>
      </c>
      <c r="KE61" s="8"/>
      <c r="KF61" s="37">
        <f t="shared" si="464"/>
        <v>320</v>
      </c>
      <c r="KG61" s="125">
        <f>IFERROR(VLOOKUP($D61,'Adient Assende (Belgium) WK.17'!$B:JF,KH$1,0),0)</f>
        <v>80</v>
      </c>
      <c r="KH61" s="55">
        <f>IFERROR(VLOOKUP($D61,'Adient Arendal (Malzia) WK.12'!$B:JG,KH$1,0),0)</f>
        <v>0</v>
      </c>
      <c r="KI61" s="55">
        <f>IFERROR(VLOOKUP($D61,'Adient Taizhou (China) WK.16'!$B:JJ,KH$1,0),0)</f>
        <v>0</v>
      </c>
      <c r="KJ61" s="60">
        <v>0</v>
      </c>
      <c r="KK61" s="128">
        <v>0</v>
      </c>
      <c r="KL61" s="32">
        <v>0</v>
      </c>
      <c r="KM61" s="106">
        <f t="shared" si="264"/>
        <v>320</v>
      </c>
      <c r="KN61" s="8"/>
      <c r="KO61" s="37">
        <f t="shared" si="465"/>
        <v>320</v>
      </c>
      <c r="KP61" s="141">
        <f>IFERROR(VLOOKUP($D61,'Adient Assende (Belgium) WK.17'!$B:JN,KQ$1,0),0)</f>
        <v>0</v>
      </c>
      <c r="KQ61" s="140">
        <f>IFERROR(VLOOKUP($D61,'Adient Arendal (Malzia) WK.12'!$B:JO,KQ$1,0),0)</f>
        <v>0</v>
      </c>
      <c r="KR61" s="140">
        <f>IFERROR(VLOOKUP($D61,'Adient Taizhou (China) WK.16'!$B:JR,KQ$1,0),0)</f>
        <v>0</v>
      </c>
      <c r="KS61" s="60">
        <v>0</v>
      </c>
      <c r="KT61" s="128">
        <v>0</v>
      </c>
      <c r="KU61" s="32">
        <v>0</v>
      </c>
      <c r="KV61" s="106">
        <f t="shared" si="265"/>
        <v>320</v>
      </c>
      <c r="KX61" s="37">
        <f t="shared" si="466"/>
        <v>320</v>
      </c>
      <c r="KY61" s="141">
        <f>IFERROR(VLOOKUP($D61,'Adient Assende (Belgium) WK.17'!$B:JV,KZ$1,0),0)</f>
        <v>0</v>
      </c>
      <c r="KZ61" s="140">
        <f>IFERROR(VLOOKUP($D61,'Adient Arendal (Malzia) WK.12'!$B:JW,KZ$1,0),0)</f>
        <v>0</v>
      </c>
      <c r="LA61" s="140">
        <f>IFERROR(VLOOKUP($D61,'Adient Taizhou (China) WK.16'!$B:JZ,KZ$1,0),0)</f>
        <v>0</v>
      </c>
      <c r="LB61" s="128">
        <v>0</v>
      </c>
      <c r="LC61" s="32">
        <v>0</v>
      </c>
      <c r="LD61" s="106">
        <f t="shared" si="467"/>
        <v>320</v>
      </c>
      <c r="LF61" s="37">
        <f t="shared" si="468"/>
        <v>320</v>
      </c>
      <c r="LG61" s="141">
        <f>IFERROR(VLOOKUP($D61,'Adient Assende (Belgium) WK.17'!$B:KD,LH$1,0),0)</f>
        <v>80</v>
      </c>
      <c r="LH61" s="140">
        <f>IFERROR(VLOOKUP($D61,'Adient Arendal (Malzia) WK.12'!$B:KE,LH$1,0),0)</f>
        <v>0</v>
      </c>
      <c r="LI61" s="140">
        <f>IFERROR(VLOOKUP($D61,'Adient Taizhou (China) WK.16'!$B:KH,LH$1,0),0)</f>
        <v>0</v>
      </c>
      <c r="LJ61" s="60">
        <v>0</v>
      </c>
      <c r="LK61" s="128">
        <v>0</v>
      </c>
      <c r="LL61" s="32">
        <v>0</v>
      </c>
      <c r="LM61" s="100">
        <f t="shared" si="267"/>
        <v>240</v>
      </c>
      <c r="LO61" s="37">
        <f t="shared" si="469"/>
        <v>240</v>
      </c>
      <c r="LP61" s="141">
        <f>IFERROR(VLOOKUP($D61,'Adient Assende (Belgium) WK.17'!$B:KL,LQ$1,0),0)</f>
        <v>0</v>
      </c>
      <c r="LQ61" s="140">
        <f>IFERROR(VLOOKUP($D61,'Adient Arendal (Malzia) WK.12'!$B:KM,LQ$1,0),0)</f>
        <v>0</v>
      </c>
      <c r="LR61" s="140">
        <f>IFERROR(VLOOKUP($D61,'Adient Taizhou (China) WK.16'!$B:KP,LQ$1,0),0)</f>
        <v>0</v>
      </c>
      <c r="LS61" s="128">
        <v>0</v>
      </c>
      <c r="LT61" s="32">
        <v>0</v>
      </c>
      <c r="LU61" s="100">
        <f t="shared" si="470"/>
        <v>240</v>
      </c>
      <c r="LW61" s="37">
        <f t="shared" si="471"/>
        <v>240</v>
      </c>
      <c r="LX61" s="141">
        <f>IFERROR(VLOOKUP($D61,'Adient Assende (Belgium) WK.17'!$B:KT,LY$1,0),0)</f>
        <v>160</v>
      </c>
      <c r="LY61" s="140">
        <f>IFERROR(VLOOKUP($D61,'Adient Arendal (Malzia) WK.12'!$B:KU,LY$1,0),0)</f>
        <v>0</v>
      </c>
      <c r="LZ61" s="140">
        <f>IFERROR(VLOOKUP($D61,'Adient Taizhou (China) WK.16'!$B:KX,LY$1,0),0)</f>
        <v>0</v>
      </c>
      <c r="MA61" s="128">
        <v>0</v>
      </c>
      <c r="MB61" s="32">
        <v>0</v>
      </c>
      <c r="MC61" s="100">
        <f t="shared" si="472"/>
        <v>80</v>
      </c>
      <c r="ME61" s="37">
        <f t="shared" si="473"/>
        <v>80</v>
      </c>
      <c r="MF61" s="154">
        <f>IFERROR(VLOOKUP($D61,'Adient Assende (Belgium) WK.17'!$B:LB,MG$1,0),0)</f>
        <v>0</v>
      </c>
      <c r="MG61" s="140">
        <f>IFERROR(VLOOKUP($D61,'Adient Arendal (Malzia) WK.12'!$B:LC,MG$1,0),0)</f>
        <v>0</v>
      </c>
      <c r="MH61" s="140">
        <f>IFERROR(VLOOKUP($D61,'Adient Taizhou (China) WK.16'!$B:LF,MG$1,0),0)</f>
        <v>0</v>
      </c>
      <c r="MI61" s="128">
        <v>0</v>
      </c>
      <c r="MJ61" s="32">
        <v>0</v>
      </c>
      <c r="MK61" s="100">
        <f t="shared" si="474"/>
        <v>80</v>
      </c>
      <c r="MM61" s="37">
        <f t="shared" si="475"/>
        <v>80</v>
      </c>
      <c r="MN61" s="141">
        <f>IFERROR(VLOOKUP($D61,'Adient Assende (Belgium) WK.17'!$B:LJ,MO$1,0),0)</f>
        <v>80</v>
      </c>
      <c r="MO61" s="140">
        <f>IFERROR(VLOOKUP($D61,'Adient Arendal (Malzia) WK.12'!$B:LK,MO$1,0),0)</f>
        <v>0</v>
      </c>
      <c r="MP61" s="140">
        <f>IFERROR(VLOOKUP($D61,'Adient Taizhou (China) WK.16'!$B:LN,MO$1,0),0)</f>
        <v>0</v>
      </c>
      <c r="MQ61" s="128">
        <v>0</v>
      </c>
      <c r="MR61" s="32">
        <v>0</v>
      </c>
      <c r="MS61" s="100">
        <f t="shared" si="476"/>
        <v>0</v>
      </c>
      <c r="MU61" s="37">
        <f t="shared" si="477"/>
        <v>0</v>
      </c>
      <c r="MV61" s="141">
        <f>IFERROR(VLOOKUP($D61,'Adient Assende (Belgium) WK.17'!$B:LR,MW$1,0),0)</f>
        <v>80</v>
      </c>
      <c r="MW61" s="140">
        <f>IFERROR(VLOOKUP($D61,'Adient Arendal (Malzia) WK.12'!$B:LS,MW$1,0),0)</f>
        <v>0</v>
      </c>
      <c r="MX61" s="140">
        <f>IFERROR(VLOOKUP($D61,'Adient Taizhou (China) WK.16'!$B:LV,MW$1,0),0)</f>
        <v>0</v>
      </c>
      <c r="MY61" s="128">
        <v>0</v>
      </c>
      <c r="MZ61" s="32">
        <v>0</v>
      </c>
      <c r="NA61" s="100">
        <f t="shared" si="478"/>
        <v>-80</v>
      </c>
      <c r="NC61" s="37">
        <f t="shared" si="479"/>
        <v>-80</v>
      </c>
      <c r="ND61" s="141">
        <f>IFERROR(VLOOKUP($D61,'Adient Assende (Belgium) WK.17'!$B:LZ,NE$1,0),0)</f>
        <v>0</v>
      </c>
      <c r="NE61" s="140">
        <f>IFERROR(VLOOKUP($D61,'Adient Arendal (Malzia) WK.12'!$B:MA,NE$1,0),0)</f>
        <v>0</v>
      </c>
      <c r="NF61" s="140">
        <f>IFERROR(VLOOKUP($D61,'Adient Taizhou (China) WK.16'!$B:MD,NE$1,0),0)</f>
        <v>0</v>
      </c>
      <c r="NG61" s="128">
        <v>0</v>
      </c>
      <c r="NH61" s="32">
        <v>0</v>
      </c>
      <c r="NI61" s="100">
        <f t="shared" si="480"/>
        <v>-80</v>
      </c>
      <c r="NK61" s="37">
        <f t="shared" si="481"/>
        <v>-80</v>
      </c>
      <c r="NL61" s="141">
        <f>IFERROR(VLOOKUP($D61,'Adient Assende (Belgium) WK.17'!$B:MH,NM$1,0),0)</f>
        <v>80</v>
      </c>
      <c r="NM61" s="140">
        <f>IFERROR(VLOOKUP($D61,'Adient Arendal (Malzia) WK.12'!$B:MI,NM$1,0),0)</f>
        <v>0</v>
      </c>
      <c r="NN61" s="140">
        <f>IFERROR(VLOOKUP($D61,'Adient Taizhou (China) WK.16'!$B:ML,NM$1,0),0)</f>
        <v>0</v>
      </c>
      <c r="NO61" s="128">
        <v>0</v>
      </c>
      <c r="NP61" s="32">
        <v>0</v>
      </c>
      <c r="NQ61" s="100">
        <f t="shared" si="482"/>
        <v>-160</v>
      </c>
      <c r="NS61" s="37">
        <f t="shared" si="483"/>
        <v>-160</v>
      </c>
      <c r="NT61" s="141">
        <f>IFERROR(VLOOKUP($D61,'Adient Assende (Belgium) WK.17'!$B:MP,NU$1,0),0)</f>
        <v>80</v>
      </c>
      <c r="NU61" s="140">
        <f>IFERROR(VLOOKUP($D61,'Adient Arendal (Malzia) WK.12'!$B:MQ,NU$1,0),0)</f>
        <v>0</v>
      </c>
      <c r="NV61" s="140">
        <f>IFERROR(VLOOKUP($D61,'Adient Taizhou (China) WK.16'!$B:MT,NU$1,0),0)</f>
        <v>0</v>
      </c>
      <c r="NW61" s="128">
        <v>0</v>
      </c>
      <c r="NX61" s="32">
        <v>0</v>
      </c>
      <c r="NY61" s="100">
        <f t="shared" si="484"/>
        <v>-240</v>
      </c>
      <c r="OA61" s="37">
        <f t="shared" si="485"/>
        <v>-240</v>
      </c>
      <c r="OB61" s="141">
        <f>IFERROR(VLOOKUP($D61,'Adient Assende (Belgium) WK.17'!$B:MX,OC$1,0),0)</f>
        <v>0</v>
      </c>
      <c r="OC61" s="140">
        <f>IFERROR(VLOOKUP($D61,'Adient Arendal (Malzia) WK.12'!$B:MY,OC$1,0),0)</f>
        <v>0</v>
      </c>
      <c r="OD61" s="140">
        <f>IFERROR(VLOOKUP($D61,'Adient Taizhou (China) WK.16'!$B:NB,OC$1,0),0)</f>
        <v>0</v>
      </c>
      <c r="OE61" s="128">
        <v>0</v>
      </c>
      <c r="OF61" s="32">
        <v>0</v>
      </c>
      <c r="OG61" s="100">
        <f t="shared" si="486"/>
        <v>-240</v>
      </c>
      <c r="OI61" s="37">
        <f t="shared" si="487"/>
        <v>-240</v>
      </c>
      <c r="OJ61" s="141">
        <f>IFERROR(VLOOKUP($D61,'Adient Assende (Belgium) WK.17'!$B:NF,OK$1,0),0)</f>
        <v>80</v>
      </c>
      <c r="OK61" s="140">
        <f>IFERROR(VLOOKUP($D61,'Adient Arendal (Malzia) WK.12'!$B:NG,OK$1,0),0)</f>
        <v>0</v>
      </c>
      <c r="OL61" s="140">
        <f>IFERROR(VLOOKUP($D61,'Adient Taizhou (China) WK.16'!$B:NJ,OK$1,0),0)</f>
        <v>0</v>
      </c>
      <c r="OM61" s="128">
        <v>0</v>
      </c>
      <c r="ON61" s="32">
        <v>0</v>
      </c>
      <c r="OO61" s="100">
        <f t="shared" si="488"/>
        <v>-320</v>
      </c>
      <c r="OQ61" s="37">
        <f t="shared" si="489"/>
        <v>-320</v>
      </c>
      <c r="OR61" s="141">
        <f>IFERROR(VLOOKUP($D61,'Adient Assende (Belgium) WK.17'!$B:NN,OS$1,0),0)</f>
        <v>0</v>
      </c>
      <c r="OS61" s="140">
        <f>IFERROR(VLOOKUP($D61,'Adient Arendal (Malzia) WK.12'!$B:NO,OS$1,0),0)</f>
        <v>0</v>
      </c>
      <c r="OT61" s="140">
        <f>IFERROR(VLOOKUP($D61,'Adient Taizhou (China) WK.16'!$B:NR,OS$1,0),0)</f>
        <v>0</v>
      </c>
      <c r="OU61" s="128">
        <v>0</v>
      </c>
      <c r="OV61" s="32">
        <v>0</v>
      </c>
      <c r="OW61" s="100">
        <f t="shared" si="490"/>
        <v>-320</v>
      </c>
      <c r="OY61" s="37">
        <f t="shared" si="491"/>
        <v>-320</v>
      </c>
      <c r="OZ61" s="141">
        <f>IFERROR(VLOOKUP($D61,'Adient Assende (Belgium) WK.17'!$B:NV,PA$1,0),0)</f>
        <v>0</v>
      </c>
      <c r="PA61" s="140">
        <f>IFERROR(VLOOKUP($D61,'Adient Arendal (Malzia) WK.12'!$B:NW,PA$1,0),0)</f>
        <v>0</v>
      </c>
      <c r="PB61" s="140">
        <f>IFERROR(VLOOKUP($D61,'Adient Taizhou (China) WK.16'!$B:NZ,PA$1,0),0)</f>
        <v>0</v>
      </c>
      <c r="PC61" s="128">
        <v>0</v>
      </c>
      <c r="PD61" s="32">
        <v>0</v>
      </c>
      <c r="PE61" s="100">
        <f t="shared" si="492"/>
        <v>-320</v>
      </c>
      <c r="PG61" s="37">
        <f t="shared" si="493"/>
        <v>-320</v>
      </c>
      <c r="PH61" s="141">
        <f>IFERROR(VLOOKUP($D61,'Adient Assende (Belgium) WK.17'!$B:OD,PI$1,0),0)</f>
        <v>0</v>
      </c>
      <c r="PI61" s="140">
        <f>IFERROR(VLOOKUP($D61,'Adient Arendal (Malzia) WK.12'!$B:OE,PI$1,0),0)</f>
        <v>0</v>
      </c>
      <c r="PJ61" s="140">
        <f>IFERROR(VLOOKUP($D61,'Adient Taizhou (China) WK.16'!$B:OH,PI$1,0),0)</f>
        <v>0</v>
      </c>
      <c r="PK61" s="128">
        <v>0</v>
      </c>
      <c r="PL61" s="32">
        <v>0</v>
      </c>
      <c r="PM61" s="100">
        <f t="shared" si="494"/>
        <v>-320</v>
      </c>
      <c r="PO61" s="37">
        <f t="shared" si="495"/>
        <v>-320</v>
      </c>
      <c r="PP61" s="141">
        <f>IFERROR(VLOOKUP($D61,'Adient Assende (Belgium) WK.17'!$B:OL,PQ$1,0),0)</f>
        <v>0</v>
      </c>
      <c r="PQ61" s="140">
        <f>IFERROR(VLOOKUP($D61,'Adient Arendal (Malzia) WK.12'!$B:OM,PQ$1,0),0)</f>
        <v>0</v>
      </c>
      <c r="PR61" s="140">
        <f>IFERROR(VLOOKUP($D61,'Adient Taizhou (China) WK.16'!$B:OP,PQ$1,0),0)</f>
        <v>0</v>
      </c>
      <c r="PS61" s="128">
        <v>0</v>
      </c>
      <c r="PT61" s="32">
        <v>0</v>
      </c>
      <c r="PU61" s="100">
        <f t="shared" si="496"/>
        <v>-320</v>
      </c>
      <c r="PW61" s="37">
        <f t="shared" si="497"/>
        <v>-320</v>
      </c>
      <c r="PX61" s="141">
        <f>IFERROR(VLOOKUP($D61,'Adient Assende (Belgium) WK.17'!$B:OT,PY$1,0),0)</f>
        <v>80</v>
      </c>
      <c r="PY61" s="140">
        <f>IFERROR(VLOOKUP($D61,'Adient Arendal (Malzia) WK.12'!$B:OU,PY$1,0),0)</f>
        <v>0</v>
      </c>
      <c r="PZ61" s="140">
        <f>IFERROR(VLOOKUP($D61,'Adient Taizhou (China) WK.16'!$B:OX,PY$1,0),0)</f>
        <v>0</v>
      </c>
      <c r="QA61" s="128">
        <v>0</v>
      </c>
      <c r="QB61" s="32">
        <v>0</v>
      </c>
      <c r="QC61" s="100">
        <f t="shared" si="498"/>
        <v>-400</v>
      </c>
      <c r="QE61" s="37">
        <f t="shared" si="499"/>
        <v>-400</v>
      </c>
      <c r="QF61" s="141">
        <f>IFERROR(VLOOKUP($D61,'Adient Assende (Belgium) WK.17'!$B:PB,QG$1,0),0)</f>
        <v>80</v>
      </c>
      <c r="QG61" s="140">
        <f>IFERROR(VLOOKUP($D61,'Adient Arendal (Malzia) WK.12'!$B:PC,QG$1,0),0)</f>
        <v>0</v>
      </c>
      <c r="QH61" s="140">
        <f>IFERROR(VLOOKUP($D61,'Adient Taizhou (China) WK.16'!$B:PF,QG$1,0),0)</f>
        <v>0</v>
      </c>
      <c r="QI61" s="128">
        <v>0</v>
      </c>
      <c r="QJ61" s="32">
        <v>0</v>
      </c>
      <c r="QK61" s="100">
        <f t="shared" si="500"/>
        <v>-480</v>
      </c>
      <c r="QM61" s="37">
        <f t="shared" si="501"/>
        <v>-480</v>
      </c>
      <c r="QN61" s="141">
        <f>IFERROR(VLOOKUP($D61,'Adient Assende (Belgium) WK.17'!$B:PJ,QO$1,0),0)</f>
        <v>80</v>
      </c>
      <c r="QO61" s="140">
        <f>IFERROR(VLOOKUP($D61,'Adient Arendal (Malzia) WK.12'!$B:PK,QO$1,0),0)</f>
        <v>0</v>
      </c>
      <c r="QP61" s="140">
        <f>IFERROR(VLOOKUP($D61,'Adient Taizhou (China) WK.16'!$B:PN,QO$1,0),0)</f>
        <v>0</v>
      </c>
      <c r="QQ61" s="128">
        <v>0</v>
      </c>
      <c r="QR61" s="32">
        <v>0</v>
      </c>
      <c r="QS61" s="100">
        <f t="shared" si="502"/>
        <v>-560</v>
      </c>
      <c r="QU61" s="37">
        <f t="shared" si="503"/>
        <v>-560</v>
      </c>
      <c r="QV61" s="141">
        <f>IFERROR(VLOOKUP($D61,'Adient Assende (Belgium) WK.17'!$B:PR,QW$1,0),0)</f>
        <v>60</v>
      </c>
      <c r="QW61" s="140">
        <f>IFERROR(VLOOKUP($D61,'Adient Arendal (Malzia) WK.12'!$B:PS,QW$1,0),0)</f>
        <v>0</v>
      </c>
      <c r="QX61" s="140">
        <f>IFERROR(VLOOKUP($D61,'Adient Taizhou (China) WK.16'!$B:PV,QW$1,0),0)</f>
        <v>0</v>
      </c>
      <c r="QY61" s="128">
        <v>0</v>
      </c>
      <c r="QZ61" s="32">
        <v>0</v>
      </c>
      <c r="RA61" s="100">
        <f t="shared" si="504"/>
        <v>-620</v>
      </c>
      <c r="RC61" s="37">
        <f t="shared" si="505"/>
        <v>-620</v>
      </c>
      <c r="RD61" s="141">
        <f>IFERROR(VLOOKUP($D61,'Adient Assende (Belgium) WK.17'!$B:PZ,RE$1,0),0)</f>
        <v>60</v>
      </c>
      <c r="RE61" s="140">
        <f>IFERROR(VLOOKUP($D61,'Adient Arendal (Malzia) WK.12'!$B:QA,RE$1,0),0)</f>
        <v>0</v>
      </c>
      <c r="RF61" s="140">
        <f>IFERROR(VLOOKUP($D61,'Adient Taizhou (China) WK.16'!$B:QD,RE$1,0),0)</f>
        <v>0</v>
      </c>
      <c r="RG61" s="128">
        <v>0</v>
      </c>
      <c r="RH61" s="32">
        <v>0</v>
      </c>
      <c r="RI61" s="100">
        <f t="shared" si="506"/>
        <v>-680</v>
      </c>
      <c r="RK61" s="37">
        <f t="shared" si="507"/>
        <v>-680</v>
      </c>
      <c r="RL61" s="141">
        <f>IFERROR(VLOOKUP($D61,'Adient Assende (Belgium) WK.17'!$B:QH,RM$1,0),0)</f>
        <v>60</v>
      </c>
      <c r="RM61" s="140">
        <f>IFERROR(VLOOKUP($D61,'Adient Arendal (Malzia) WK.12'!$B:QI,RM$1,0),0)</f>
        <v>0</v>
      </c>
      <c r="RN61" s="140">
        <f>IFERROR(VLOOKUP($D61,'Adient Taizhou (China) WK.16'!$B:QL,RM$1,0),0)</f>
        <v>0</v>
      </c>
      <c r="RO61" s="128">
        <v>0</v>
      </c>
      <c r="RP61" s="32">
        <v>0</v>
      </c>
      <c r="RQ61" s="100">
        <f t="shared" si="508"/>
        <v>-740</v>
      </c>
      <c r="RS61" s="37">
        <f t="shared" si="509"/>
        <v>-740</v>
      </c>
      <c r="RT61" s="141">
        <f>IFERROR(VLOOKUP($D61,'Adient Assende (Belgium) WK.17'!$B:QP,RU$1,0),0)</f>
        <v>60</v>
      </c>
      <c r="RU61" s="140">
        <f>IFERROR(VLOOKUP($D61,'Adient Arendal (Malzia) WK.12'!$B:QQ,RU$1,0),0)</f>
        <v>0</v>
      </c>
      <c r="RV61" s="140">
        <f>IFERROR(VLOOKUP($D61,'Adient Taizhou (China) WK.16'!$B:QT,RU$1,0),0)</f>
        <v>0</v>
      </c>
      <c r="RW61" s="128">
        <v>0</v>
      </c>
      <c r="RX61" s="32">
        <v>0</v>
      </c>
      <c r="RY61" s="100">
        <f t="shared" si="510"/>
        <v>-800</v>
      </c>
      <c r="SA61" s="37">
        <f t="shared" si="511"/>
        <v>-800</v>
      </c>
      <c r="SB61" s="141">
        <f>IFERROR(VLOOKUP($D61,'Adient Assende (Belgium) WK.17'!$B:QX,SC$1,0),0)</f>
        <v>20</v>
      </c>
      <c r="SC61" s="140">
        <f>IFERROR(VLOOKUP($D61,'Adient Arendal (Malzia) WK.12'!$B:QY,SC$1,0),0)</f>
        <v>0</v>
      </c>
      <c r="SD61" s="140">
        <f>IFERROR(VLOOKUP($D61,'Adient Taizhou (China) WK.16'!$B:RB,SC$1,0),0)</f>
        <v>0</v>
      </c>
      <c r="SE61" s="128">
        <v>0</v>
      </c>
      <c r="SF61" s="32">
        <v>0</v>
      </c>
      <c r="SG61" s="100">
        <f t="shared" si="512"/>
        <v>-820</v>
      </c>
      <c r="SI61" s="37">
        <f t="shared" si="513"/>
        <v>-820</v>
      </c>
      <c r="SJ61" s="141">
        <f>IFERROR(VLOOKUP($D61,'Adient Assende (Belgium) WK.17'!$B:RF,SK$1,0),0)</f>
        <v>20</v>
      </c>
      <c r="SK61" s="140">
        <f>IFERROR(VLOOKUP($D61,'Adient Arendal (Malzia) WK.12'!$B:RG,SK$1,0),0)</f>
        <v>0</v>
      </c>
      <c r="SL61" s="140">
        <f>IFERROR(VLOOKUP($D61,'Adient Taizhou (China) WK.16'!$B:RJ,SK$1,0),0)</f>
        <v>0</v>
      </c>
      <c r="SM61" s="128">
        <v>0</v>
      </c>
      <c r="SN61" s="32">
        <v>0</v>
      </c>
      <c r="SO61" s="100">
        <f t="shared" si="514"/>
        <v>-840</v>
      </c>
      <c r="SQ61" s="37">
        <f t="shared" si="515"/>
        <v>-840</v>
      </c>
      <c r="SR61" s="141">
        <f>IFERROR(VLOOKUP($D61,'Adient Assende (Belgium) WK.17'!$B:RN,SS$1,0),0)</f>
        <v>20</v>
      </c>
      <c r="SS61" s="140">
        <f>IFERROR(VLOOKUP($D61,'Adient Arendal (Malzia) WK.12'!$B:RO,SS$1,0),0)</f>
        <v>0</v>
      </c>
      <c r="ST61" s="140">
        <f>IFERROR(VLOOKUP($D61,'Adient Taizhou (China) WK.16'!$B:RR,SS$1,0),0)</f>
        <v>0</v>
      </c>
      <c r="SU61" s="128">
        <v>0</v>
      </c>
      <c r="SV61" s="32">
        <v>0</v>
      </c>
      <c r="SW61" s="100">
        <f t="shared" si="516"/>
        <v>-860</v>
      </c>
      <c r="SY61" s="37">
        <f t="shared" si="517"/>
        <v>-860</v>
      </c>
      <c r="SZ61" s="141">
        <f>IFERROR(VLOOKUP($D61,'Adient Assende (Belgium) WK.17'!$B:RV,TA$1,0),0)</f>
        <v>20</v>
      </c>
      <c r="TA61" s="140">
        <f>IFERROR(VLOOKUP($D61,'Adient Arendal (Malzia) WK.12'!$B:RW,TA$1,0),0)</f>
        <v>0</v>
      </c>
      <c r="TB61" s="140">
        <f>IFERROR(VLOOKUP($D61,'Adient Taizhou (China) WK.16'!$B:RZ,TA$1,0),0)</f>
        <v>0</v>
      </c>
      <c r="TC61" s="128">
        <v>0</v>
      </c>
      <c r="TD61" s="32">
        <v>0</v>
      </c>
      <c r="TE61" s="100">
        <f t="shared" si="518"/>
        <v>-880</v>
      </c>
      <c r="TG61" s="37">
        <f t="shared" si="519"/>
        <v>-880</v>
      </c>
      <c r="TH61" s="141">
        <f>IFERROR(VLOOKUP($D61,'Adient Assende (Belgium) WK.17'!$B:SD,TI$1,0),0)</f>
        <v>50</v>
      </c>
      <c r="TI61" s="140">
        <f>IFERROR(VLOOKUP($D61,'Adient Arendal (Malzia) WK.12'!$B:SE,TI$1,0),0)</f>
        <v>0</v>
      </c>
      <c r="TJ61" s="140">
        <f>IFERROR(VLOOKUP($D61,'Adient Taizhou (China) WK.16'!$B:SH,TI$1,0),0)</f>
        <v>0</v>
      </c>
      <c r="TK61" s="128">
        <v>0</v>
      </c>
      <c r="TL61" s="32">
        <v>0</v>
      </c>
      <c r="TM61" s="100">
        <f t="shared" si="520"/>
        <v>-930</v>
      </c>
      <c r="TO61" s="37">
        <f t="shared" si="521"/>
        <v>-930</v>
      </c>
      <c r="TP61" s="141">
        <f>IFERROR(VLOOKUP($D61,'Adient Assende (Belgium) WK.17'!$B:SL,TQ$1,0),0)</f>
        <v>50</v>
      </c>
      <c r="TQ61" s="140">
        <f>IFERROR(VLOOKUP($D61,'Adient Arendal (Malzia) WK.12'!$B:SM,TQ$1,0),0)</f>
        <v>0</v>
      </c>
      <c r="TR61" s="140">
        <f>IFERROR(VLOOKUP($D61,'Adient Taizhou (China) WK.16'!$B:SP,TQ$1,0),0)</f>
        <v>0</v>
      </c>
      <c r="TS61" s="128">
        <v>0</v>
      </c>
      <c r="TT61" s="32">
        <v>0</v>
      </c>
      <c r="TU61" s="100">
        <f t="shared" si="522"/>
        <v>-980</v>
      </c>
      <c r="TW61" s="37">
        <f t="shared" si="523"/>
        <v>-980</v>
      </c>
      <c r="TX61" s="141">
        <f>IFERROR(VLOOKUP($D61,'Adient Assende (Belgium) WK.17'!$B:ST,TY$1,0),0)</f>
        <v>50</v>
      </c>
      <c r="TY61" s="140">
        <f>IFERROR(VLOOKUP($D61,'Adient Arendal (Malzia) WK.12'!$B:SU,TY$1,0),0)</f>
        <v>0</v>
      </c>
      <c r="TZ61" s="140">
        <f>IFERROR(VLOOKUP($D61,'Adient Taizhou (China) WK.16'!$B:SX,TY$1,0),0)</f>
        <v>0</v>
      </c>
      <c r="UA61" s="128">
        <v>0</v>
      </c>
      <c r="UB61" s="32">
        <v>0</v>
      </c>
      <c r="UC61" s="100">
        <f t="shared" si="524"/>
        <v>-1030</v>
      </c>
      <c r="UE61" s="37">
        <f t="shared" si="525"/>
        <v>-1030</v>
      </c>
      <c r="UF61" s="141">
        <f>IFERROR(VLOOKUP($D61,'Adient Assende (Belgium) WK.17'!$B:TB,UG$1,0),0)</f>
        <v>50</v>
      </c>
      <c r="UG61" s="140">
        <f>IFERROR(VLOOKUP($D61,'Adient Arendal (Malzia) WK.12'!$B:TC,UG$1,0),0)</f>
        <v>0</v>
      </c>
      <c r="UH61" s="140">
        <f>IFERROR(VLOOKUP($D61,'Adient Taizhou (China) WK.16'!$B:TF,UG$1,0),0)</f>
        <v>0</v>
      </c>
      <c r="UI61" s="128">
        <v>0</v>
      </c>
      <c r="UJ61" s="32">
        <v>0</v>
      </c>
      <c r="UK61" s="100">
        <f t="shared" si="526"/>
        <v>-1080</v>
      </c>
      <c r="UM61" s="37">
        <f t="shared" si="527"/>
        <v>-1080</v>
      </c>
      <c r="UN61" s="141">
        <f>IFERROR(VLOOKUP($D61,'Adient Assende (Belgium) WK.17'!$B:TJ,UO$1,0),0)</f>
        <v>40</v>
      </c>
      <c r="UO61" s="140">
        <f>IFERROR(VLOOKUP($D61,'Adient Arendal (Malzia) WK.12'!$B:TK,UO$1,0),0)</f>
        <v>0</v>
      </c>
      <c r="UP61" s="140">
        <f>IFERROR(VLOOKUP($D61,'Adient Taizhou (China) WK.16'!$B:TN,UO$1,0),0)</f>
        <v>0</v>
      </c>
      <c r="UQ61" s="128">
        <v>0</v>
      </c>
      <c r="UR61" s="32">
        <v>0</v>
      </c>
      <c r="US61" s="100">
        <f t="shared" si="528"/>
        <v>-1120</v>
      </c>
      <c r="UU61" s="37">
        <f t="shared" si="529"/>
        <v>-1120</v>
      </c>
      <c r="UV61" s="141">
        <f>IFERROR(VLOOKUP($D61,'Adient Assende (Belgium) WK.17'!$B:TR,UW$1,0),0)</f>
        <v>40</v>
      </c>
      <c r="UW61" s="140">
        <f>IFERROR(VLOOKUP($D61,'Adient Arendal (Malzia) WK.12'!$B:TS,UW$1,0),0)</f>
        <v>0</v>
      </c>
      <c r="UX61" s="140">
        <f>IFERROR(VLOOKUP($D61,'Adient Taizhou (China) WK.16'!$B:TV,UW$1,0),0)</f>
        <v>0</v>
      </c>
      <c r="UY61" s="128">
        <v>0</v>
      </c>
      <c r="UZ61" s="32">
        <v>0</v>
      </c>
      <c r="VA61" s="100">
        <f t="shared" si="530"/>
        <v>-1160</v>
      </c>
      <c r="VC61" s="37">
        <f t="shared" si="531"/>
        <v>-1160</v>
      </c>
      <c r="VD61" s="141">
        <f>IFERROR(VLOOKUP($D61,'Adient Assende (Belgium) WK.17'!$B:TZ,VE$1,0),0)</f>
        <v>40</v>
      </c>
      <c r="VE61" s="140">
        <f>IFERROR(VLOOKUP($D61,'Adient Arendal (Malzia) WK.12'!$B:UA,VE$1,0),0)</f>
        <v>0</v>
      </c>
      <c r="VF61" s="140">
        <f>IFERROR(VLOOKUP($D61,'Adient Taizhou (China) WK.16'!$B:UD,VE$1,0),0)</f>
        <v>0</v>
      </c>
      <c r="VG61" s="128">
        <v>0</v>
      </c>
      <c r="VH61" s="32">
        <v>0</v>
      </c>
      <c r="VI61" s="100">
        <f t="shared" si="532"/>
        <v>-1200</v>
      </c>
      <c r="VK61" s="37">
        <f t="shared" si="533"/>
        <v>-1200</v>
      </c>
      <c r="VL61" s="141">
        <f>IFERROR(VLOOKUP($D61,'Adient Assende (Belgium) WK.17'!$B:UH,VM$1,0),0)</f>
        <v>0</v>
      </c>
      <c r="VM61" s="140">
        <f>IFERROR(VLOOKUP($D61,'Adient Arendal (Malzia) WK.12'!$B:UI,VM$1,0),0)</f>
        <v>0</v>
      </c>
      <c r="VN61" s="140">
        <f>IFERROR(VLOOKUP($D61,'Adient Taizhou (China) WK.16'!$B:UL,VM$1,0),0)</f>
        <v>0</v>
      </c>
      <c r="VO61" s="128">
        <v>0</v>
      </c>
      <c r="VP61" s="32">
        <v>0</v>
      </c>
      <c r="VQ61" s="100">
        <f t="shared" si="534"/>
        <v>-1200</v>
      </c>
    </row>
    <row r="62" spans="1:589" x14ac:dyDescent="0.25">
      <c r="A62" s="10" t="s">
        <v>18</v>
      </c>
      <c r="B62" s="11" t="s">
        <v>17</v>
      </c>
      <c r="C62" s="87">
        <v>32248365</v>
      </c>
      <c r="D62" s="81">
        <v>4172790</v>
      </c>
      <c r="E62" s="11">
        <v>20</v>
      </c>
      <c r="F62" s="168"/>
      <c r="H62" s="122">
        <v>40</v>
      </c>
      <c r="I62" s="125">
        <f>IFERROR(VLOOKUP($D62,'Adient Assende (Belgium) WK.17'!$B:C,J$1,0),0)</f>
        <v>0</v>
      </c>
      <c r="J62" s="55">
        <f>IFERROR(VLOOKUP($D62,'Adient Arendal (Malzia) WK.12'!$B:C,J$1,0),0)</f>
        <v>0</v>
      </c>
      <c r="K62" s="55">
        <f>IFERROR(VLOOKUP($D62,'Adient Taizhou (China) WK.16'!$B:C,J$1,0),0)</f>
        <v>0</v>
      </c>
      <c r="L62" s="128">
        <v>0</v>
      </c>
      <c r="M62" s="32">
        <v>0</v>
      </c>
      <c r="N62" s="106">
        <f t="shared" ref="N62:N66" si="544">((H62-(L62+J62+K62))+M62)</f>
        <v>40</v>
      </c>
      <c r="P62" s="37">
        <f t="shared" ref="P62:P66" si="545">N62</f>
        <v>40</v>
      </c>
      <c r="Q62" s="125">
        <f>IFERROR(VLOOKUP($D62,'Adient Assende (Belgium) WK.17'!$B:K,R$1,0),0)</f>
        <v>0</v>
      </c>
      <c r="R62" s="55">
        <f>IFERROR(VLOOKUP($D62,'Adient Arendal (Malzia) WK.12'!$B:K,R$1,0),0)</f>
        <v>0</v>
      </c>
      <c r="S62" s="55">
        <f>IFERROR(VLOOKUP($D62,'Adient Taizhou (China) WK.16'!$B:K,R$1,0),0)</f>
        <v>0</v>
      </c>
      <c r="T62" s="41">
        <v>0</v>
      </c>
      <c r="U62" s="32">
        <v>0</v>
      </c>
      <c r="V62" s="106">
        <f t="shared" ref="V62:V66" si="546">((P62-(T62+R62+S62))+U62)</f>
        <v>40</v>
      </c>
      <c r="X62" s="37">
        <f t="shared" ref="X62:X66" si="547">V62</f>
        <v>40</v>
      </c>
      <c r="Y62" s="125">
        <f>IFERROR(VLOOKUP($D62,'Adient Assende (Belgium) WK.17'!$B:S,Z$1,0),0)</f>
        <v>0</v>
      </c>
      <c r="Z62" s="55">
        <f>IFERROR(VLOOKUP($D62,'Adient Arendal (Malzia) WK.12'!$B:S,Z$1,0),0)</f>
        <v>0</v>
      </c>
      <c r="AA62" s="55">
        <f>IFERROR(VLOOKUP($D62,'Adient Taizhou (China) WK.16'!$B:S,Z$1,0),0)</f>
        <v>0</v>
      </c>
      <c r="AB62" s="41">
        <v>0</v>
      </c>
      <c r="AC62" s="32">
        <v>0</v>
      </c>
      <c r="AD62" s="106">
        <f t="shared" ref="AD62:AD66" si="548">((X62-(AB62+Z62+AA62))+AC62)</f>
        <v>40</v>
      </c>
      <c r="AF62" s="37">
        <f t="shared" ref="AF62:AF66" si="549">AD62</f>
        <v>40</v>
      </c>
      <c r="AG62" s="125">
        <f>IFERROR(VLOOKUP($D62,'Adient Assende (Belgium) WK.17'!$B:AA,AH$1,0),0)</f>
        <v>0</v>
      </c>
      <c r="AH62" s="55">
        <f>IFERROR(VLOOKUP($D62,'Adient Arendal (Malzia) WK.12'!$B:AA,AH$1,0),0)</f>
        <v>0</v>
      </c>
      <c r="AI62" s="55">
        <f>IFERROR(VLOOKUP($D62,'Adient Taizhou (China) WK.16'!$B:AA,AH$1,0),0)</f>
        <v>0</v>
      </c>
      <c r="AJ62" s="41">
        <v>0</v>
      </c>
      <c r="AK62" s="32">
        <v>0</v>
      </c>
      <c r="AL62" s="106">
        <f t="shared" ref="AL62:AL66" si="550">((AF62-(AJ62+AH62+AI62))+AK62)</f>
        <v>40</v>
      </c>
      <c r="AN62" s="37">
        <f t="shared" ref="AN62:AN66" si="551">AL62</f>
        <v>40</v>
      </c>
      <c r="AO62" s="125">
        <f>IFERROR(VLOOKUP($D62,'Adient Assende (Belgium) WK.17'!$B:AI,AP$1,0),0)</f>
        <v>0</v>
      </c>
      <c r="AP62" s="55">
        <f>IFERROR(VLOOKUP($D62,'Adient Arendal (Malzia) WK.12'!$B:AI,AP$1,0),0)</f>
        <v>0</v>
      </c>
      <c r="AQ62" s="55">
        <f>IFERROR(VLOOKUP($D62,'Adient Taizhou (China) WK.16'!$B:AI,AP$1,0),0)</f>
        <v>0</v>
      </c>
      <c r="AR62" s="60">
        <v>0</v>
      </c>
      <c r="AS62" s="41">
        <v>0</v>
      </c>
      <c r="AT62" s="32">
        <v>0</v>
      </c>
      <c r="AU62" s="106">
        <f t="shared" ref="AU62:AU66" si="552">((AN62-(AS62+AP62+AQ62))+AT62)+AR62</f>
        <v>40</v>
      </c>
      <c r="AW62" s="37">
        <f t="shared" ref="AW62:AW66" si="553">AU62</f>
        <v>40</v>
      </c>
      <c r="AX62" s="125">
        <f>IFERROR(VLOOKUP($D62,'Adient Assende (Belgium) WK.17'!$B:AR,AY$1,0),0)</f>
        <v>0</v>
      </c>
      <c r="AY62" s="55">
        <f>IFERROR(VLOOKUP($D62,'Adient Arendal (Malzia) WK.12'!$B:AR,AY$1,0),0)</f>
        <v>0</v>
      </c>
      <c r="AZ62" s="55">
        <f>IFERROR(VLOOKUP($D62,'Adient Taizhou (China) WK.16'!$B:AU,AY$1,0),0)</f>
        <v>0</v>
      </c>
      <c r="BA62" s="41">
        <v>0</v>
      </c>
      <c r="BB62" s="32">
        <v>0</v>
      </c>
      <c r="BC62" s="106">
        <f t="shared" ref="BC62:BC66" si="554">((AW62-(BA62+AY62+AZ62))+BB62)</f>
        <v>40</v>
      </c>
      <c r="BE62" s="37">
        <f t="shared" ref="BE62:BE66" si="555">BC62</f>
        <v>40</v>
      </c>
      <c r="BF62" s="125">
        <f>IFERROR(VLOOKUP($D62,'Adient Assende (Belgium) WK.17'!$B:AX,BG$1,0),0)</f>
        <v>0</v>
      </c>
      <c r="BG62" s="55">
        <f>IFERROR(VLOOKUP($D62,'Adient Arendal (Malzia) WK.12'!$B:AZ,BG$1,0),0)</f>
        <v>0</v>
      </c>
      <c r="BH62" s="55">
        <f>IFERROR(VLOOKUP($D62,'Adient Taizhou (China) WK.16'!$B:BB,BG$1,0),0)</f>
        <v>0</v>
      </c>
      <c r="BI62" s="60">
        <v>0</v>
      </c>
      <c r="BJ62" s="60">
        <v>0</v>
      </c>
      <c r="BK62" s="41">
        <v>0</v>
      </c>
      <c r="BL62" s="32">
        <v>0</v>
      </c>
      <c r="BM62" s="106">
        <f t="shared" ref="BM62:BM66" si="556">((BE62-(BK62+BG62+BH62))+BL62)+BI62+BJ62</f>
        <v>40</v>
      </c>
      <c r="BN62" s="8"/>
      <c r="BO62" s="37">
        <f t="shared" ref="BO62:BO66" si="557">BM62</f>
        <v>40</v>
      </c>
      <c r="BP62" s="125">
        <f>IFERROR(VLOOKUP($D62,'Adient Assende (Belgium) WK.17'!$B:BH,BQ$1,0),0)</f>
        <v>0</v>
      </c>
      <c r="BQ62" s="55">
        <f>IFERROR(VLOOKUP($D62,'Adient Arendal (Malzia) WK.12'!$B:BI,BQ$1,0),0)</f>
        <v>0</v>
      </c>
      <c r="BR62" s="55">
        <f>IFERROR(VLOOKUP($D62,'Adient Taizhou (China) WK.16'!$B:BL,BQ$1,0),0)</f>
        <v>0</v>
      </c>
      <c r="BS62" s="60">
        <v>0</v>
      </c>
      <c r="BT62" s="60">
        <v>0</v>
      </c>
      <c r="BU62" s="60">
        <v>0</v>
      </c>
      <c r="BV62" s="41">
        <v>0</v>
      </c>
      <c r="BW62" s="32">
        <v>0</v>
      </c>
      <c r="BX62" s="106">
        <f t="shared" ref="BX62:BX66" si="558">((BO62-(BV62+BQ62+BR62))+BW62)+BS62+BT62+BU62</f>
        <v>40</v>
      </c>
      <c r="BY62" s="8"/>
      <c r="BZ62" s="37">
        <f t="shared" ref="BZ62:BZ66" si="559">BX62</f>
        <v>40</v>
      </c>
      <c r="CA62" s="125">
        <f>IFERROR(VLOOKUP($D62,'Adient Assende (Belgium) WK.17'!$B:BS,CB$1,0),0)</f>
        <v>0</v>
      </c>
      <c r="CB62" s="55">
        <f>IFERROR(VLOOKUP($D62,'Adient Arendal (Malzia) WK.12'!$B:BT,CB$1,0),0)</f>
        <v>0</v>
      </c>
      <c r="CC62" s="55">
        <f>IFERROR(VLOOKUP($D62,'Adient Taizhou (China) WK.16'!$B:BW,CB$1,0),0)</f>
        <v>0</v>
      </c>
      <c r="CD62" s="60">
        <v>0</v>
      </c>
      <c r="CE62" s="60">
        <v>0</v>
      </c>
      <c r="CF62" s="41">
        <v>0</v>
      </c>
      <c r="CG62" s="32">
        <v>0</v>
      </c>
      <c r="CH62" s="106">
        <f t="shared" ref="CH62:CH66" si="560">((BZ62-(CF62+CB62+CC62))+CG62)+CD62+CE62</f>
        <v>40</v>
      </c>
      <c r="CI62" s="8"/>
      <c r="CJ62" s="37">
        <f t="shared" ref="CJ62:CJ66" si="561">CH62</f>
        <v>40</v>
      </c>
      <c r="CK62" s="125">
        <f>IFERROR(VLOOKUP($D62,'Adient Assende (Belgium) WK.17'!$B:CC,CL$1,0),0)</f>
        <v>0</v>
      </c>
      <c r="CL62" s="55">
        <f>IFERROR(VLOOKUP($D62,'Adient Arendal (Malzia) WK.12'!$B:CD,CL$1,0),0)</f>
        <v>0</v>
      </c>
      <c r="CM62" s="55">
        <f>IFERROR(VLOOKUP($D62,'Adient Taizhou (China) WK.16'!$B:CG,CL$1,0),0)</f>
        <v>0</v>
      </c>
      <c r="CN62" s="60">
        <v>0</v>
      </c>
      <c r="CO62" s="149">
        <v>0</v>
      </c>
      <c r="CP62" s="32">
        <v>0</v>
      </c>
      <c r="CQ62" s="106">
        <f t="shared" ref="CQ62:CQ66" si="562">((CJ62-(CO62+CL62+CM62))+CP62)+CN62</f>
        <v>40</v>
      </c>
      <c r="CR62" s="8"/>
      <c r="CS62" s="122">
        <f t="shared" ref="CS62:CS66" si="563">CQ62</f>
        <v>40</v>
      </c>
      <c r="CT62" s="154">
        <f>IFERROR(VLOOKUP($D62,'Adient Assende (Belgium) WK.17'!$B:CL,CU$1,0),0)</f>
        <v>0</v>
      </c>
      <c r="CU62" s="55">
        <f>IFERROR(VLOOKUP($D62,'Adient Arendal (Malzia) WK.12'!$B:CM,CU$1,0),0)</f>
        <v>0</v>
      </c>
      <c r="CV62" s="55">
        <f>IFERROR(VLOOKUP($D62,'Adient Taizhou (China) WK.16'!$B:CP,CU$1,0),0)</f>
        <v>0</v>
      </c>
      <c r="CW62" s="60">
        <v>0</v>
      </c>
      <c r="CX62" s="60">
        <v>0</v>
      </c>
      <c r="CY62" s="128">
        <v>0</v>
      </c>
      <c r="CZ62" s="32">
        <v>0</v>
      </c>
      <c r="DA62" s="106">
        <f t="shared" ref="DA62:DA66" si="564">((CS62-(CY62+CU62+CV62))+CZ62)+CW62+CX62</f>
        <v>40</v>
      </c>
      <c r="DB62" s="8"/>
      <c r="DC62" s="37">
        <f t="shared" ref="DC62:DC66" si="565">DA62</f>
        <v>40</v>
      </c>
      <c r="DD62" s="125">
        <f>IFERROR(VLOOKUP($D62,'Adient Assende (Belgium) WK.17'!$B:CS,DE$1,0),0)</f>
        <v>0</v>
      </c>
      <c r="DE62" s="55">
        <f>IFERROR(VLOOKUP($D62,'Adient Arendal (Malzia) WK.12'!$B:CU,DE$1,0),0)</f>
        <v>0</v>
      </c>
      <c r="DF62" s="55">
        <f>IFERROR(VLOOKUP($D62,'Adient Taizhou (China) WK.16'!$B:CX,DE$1,0),0)</f>
        <v>0</v>
      </c>
      <c r="DG62" s="60">
        <v>0</v>
      </c>
      <c r="DH62" s="128">
        <v>0</v>
      </c>
      <c r="DI62" s="32">
        <v>0</v>
      </c>
      <c r="DJ62" s="106">
        <f t="shared" ref="DJ62:DJ66" si="566">((DC62-(DH62+DE62+DF62))+DI62)+DG62</f>
        <v>40</v>
      </c>
      <c r="DL62" s="37">
        <f t="shared" ref="DL62:DL66" si="567">DJ62</f>
        <v>40</v>
      </c>
      <c r="DM62" s="125">
        <f>IFERROR(VLOOKUP($D62,'Adient Assende (Belgium) WK.17'!$B:DB,DN$1,0),0)</f>
        <v>0</v>
      </c>
      <c r="DN62" s="55">
        <f>IFERROR(VLOOKUP($D62,'Adient Arendal (Malzia) WK.12'!$B:DC,DN$1,0),0)</f>
        <v>0</v>
      </c>
      <c r="DO62" s="55">
        <f>IFERROR(VLOOKUP($D62,'Adient Taizhou (China) WK.16'!$B:DF,DN$1,0),0)</f>
        <v>0</v>
      </c>
      <c r="DP62" s="128">
        <v>0</v>
      </c>
      <c r="DQ62" s="32">
        <v>0</v>
      </c>
      <c r="DR62" s="106">
        <f t="shared" ref="DR62:DR66" si="568">((DL62-(DN62+DO62+DP62)+DQ62))</f>
        <v>40</v>
      </c>
      <c r="DS62" s="8"/>
      <c r="DT62" s="37">
        <f t="shared" ref="DT62:DT66" si="569">DR62</f>
        <v>40</v>
      </c>
      <c r="DU62" s="125">
        <f>IFERROR(VLOOKUP($D62,'Adient Assende (Belgium) WK.17'!$B:DJ,DV$1,0),0)</f>
        <v>0</v>
      </c>
      <c r="DV62" s="55">
        <f>IFERROR(VLOOKUP($D62,'Adient Arendal (Malzia) WK.12'!$B:DK,DV$1,0),0)</f>
        <v>0</v>
      </c>
      <c r="DW62" s="55">
        <f>IFERROR(VLOOKUP($D62,'Adient Taizhou (China) WK.16'!$B:DN,DV$1,0),0)</f>
        <v>0</v>
      </c>
      <c r="DX62" s="60">
        <v>0</v>
      </c>
      <c r="DY62" s="60">
        <v>0</v>
      </c>
      <c r="DZ62" s="128">
        <v>0</v>
      </c>
      <c r="EA62" s="32">
        <v>0</v>
      </c>
      <c r="EB62" s="106">
        <f t="shared" ref="EB62:EB66" si="570">((DT62-(DV62+DW62+DZ62)+EA62))+DX62+DY62</f>
        <v>40</v>
      </c>
      <c r="EC62" s="8"/>
      <c r="ED62" s="37">
        <f t="shared" ref="ED62:ED66" si="571">EB62</f>
        <v>40</v>
      </c>
      <c r="EE62" s="125">
        <f>IFERROR(VLOOKUP($D62,'Adient Assende (Belgium) WK.17'!$B:DR,EF$1,0),0)</f>
        <v>0</v>
      </c>
      <c r="EF62" s="55">
        <f>IFERROR(VLOOKUP($D62,'Adient Arendal (Malzia) WK.12'!$B:DS,EF$1,0),0)</f>
        <v>0</v>
      </c>
      <c r="EG62" s="55">
        <f>IFERROR(VLOOKUP($D62,'Adient Taizhou (China) WK.16'!$B:DV,EF$1,0),0)</f>
        <v>0</v>
      </c>
      <c r="EH62" s="60">
        <v>0</v>
      </c>
      <c r="EI62" s="128">
        <v>0</v>
      </c>
      <c r="EJ62" s="32">
        <v>0</v>
      </c>
      <c r="EK62" s="106">
        <f t="shared" ref="EK62:EK66" si="572">((ED62-(EF62+EG62+EI62)+EJ62))+EH62</f>
        <v>40</v>
      </c>
      <c r="EM62" s="37">
        <f t="shared" ref="EM62:EM66" si="573">EK62</f>
        <v>40</v>
      </c>
      <c r="EN62" s="125">
        <f>IFERROR(VLOOKUP($D62,'Adient Assende (Belgium) WK.17'!$B:DZ,EO$1,0),0)</f>
        <v>0</v>
      </c>
      <c r="EO62" s="55">
        <f>IFERROR(VLOOKUP($D62,'Adient Arendal (Malzia) WK.12'!$B:EA,EO$1,0),0)</f>
        <v>0</v>
      </c>
      <c r="EP62" s="55">
        <f>IFERROR(VLOOKUP($D62,'Adient Taizhou (China) WK.16'!$B:ED,EO$1,0),0)</f>
        <v>0</v>
      </c>
      <c r="EQ62" s="128">
        <v>0</v>
      </c>
      <c r="ER62" s="32">
        <v>0</v>
      </c>
      <c r="ES62" s="106">
        <f t="shared" ref="ES62:ES66" si="574">((EM62-(EO62+EP62+EQ62)+ER62))</f>
        <v>40</v>
      </c>
      <c r="EU62" s="37">
        <f t="shared" ref="EU62:EU66" si="575">ES62</f>
        <v>40</v>
      </c>
      <c r="EV62" s="125">
        <f>IFERROR(VLOOKUP($D62,'Adient Assende (Belgium) WK.17'!$B:EH,EW$1,0),0)</f>
        <v>0</v>
      </c>
      <c r="EW62" s="55">
        <f>IFERROR(VLOOKUP($D62,'Adient Arendal (Malzia) WK.12'!$B:EI,EW$1,0),0)</f>
        <v>0</v>
      </c>
      <c r="EX62" s="55">
        <f>IFERROR(VLOOKUP($D62,'Adient Taizhou (China) WK.16'!$B:EL,EW$1,0),0)</f>
        <v>0</v>
      </c>
      <c r="EY62" s="128">
        <v>0</v>
      </c>
      <c r="EZ62" s="32">
        <v>0</v>
      </c>
      <c r="FA62" s="106">
        <f t="shared" ref="FA62:FA66" si="576">((EU62-(EW62+EX62+EY62)+EZ62))</f>
        <v>40</v>
      </c>
      <c r="FC62" s="37">
        <f t="shared" ref="FC62:FC66" si="577">FA62</f>
        <v>40</v>
      </c>
      <c r="FD62" s="154">
        <f>IFERROR(VLOOKUP($D62,'Adient Assende (Belgium) WK.17'!$B:EP,FE$1,0),0)</f>
        <v>0</v>
      </c>
      <c r="FE62" s="154">
        <f>IFERROR(VLOOKUP($D62,'Adient Arendal (Malzia) WK.12'!$B:EQ,FE$1,0),0)</f>
        <v>0</v>
      </c>
      <c r="FF62" s="154">
        <f>IFERROR(VLOOKUP($D62,'Adient Taizhou (China) WK.16'!$B:ET,FE$1,0),0)</f>
        <v>0</v>
      </c>
      <c r="FG62" s="128">
        <v>0</v>
      </c>
      <c r="FH62" s="32">
        <v>0</v>
      </c>
      <c r="FI62" s="106">
        <f t="shared" ref="FI62:FI66" si="578">((FC62-(FE62+FF62+FG62)+FH62))</f>
        <v>40</v>
      </c>
      <c r="FK62" s="37">
        <f t="shared" ref="FK62:FK66" si="579">FI62</f>
        <v>40</v>
      </c>
      <c r="FL62" s="125">
        <f>IFERROR(VLOOKUP($D62,'Adient Assende (Belgium) WK.17'!$B:EX,FM$1,0),0)</f>
        <v>0</v>
      </c>
      <c r="FM62" s="55">
        <f>IFERROR(VLOOKUP($D62,'Adient Arendal (Malzia) WK.12'!$B:EY,FM$1,0),0)</f>
        <v>0</v>
      </c>
      <c r="FN62" s="55">
        <f>IFERROR(VLOOKUP($D62,'Adient Taizhou (China) WK.16'!$B:FB,FM$1,0),0)</f>
        <v>0</v>
      </c>
      <c r="FO62" s="128">
        <v>0</v>
      </c>
      <c r="FP62" s="32">
        <v>0</v>
      </c>
      <c r="FQ62" s="106">
        <f t="shared" ref="FQ62:FQ66" si="580">((FK62-(FM62+FN62+FO62)+FP62))</f>
        <v>40</v>
      </c>
      <c r="FR62" s="8"/>
      <c r="FS62" s="37">
        <f t="shared" ref="FS62:FS66" si="581">FQ62</f>
        <v>40</v>
      </c>
      <c r="FT62" s="125">
        <f>IFERROR(VLOOKUP($D62,'Adient Assende (Belgium) WK.17'!$B:FF,FU$1,0),0)</f>
        <v>0</v>
      </c>
      <c r="FU62" s="55">
        <f>IFERROR(VLOOKUP($D62,'Adient Arendal (Malzia) WK.12'!$B:FG,FU$1,0),0)</f>
        <v>0</v>
      </c>
      <c r="FV62" s="55">
        <f>IFERROR(VLOOKUP($D62,'Adient Taizhou (China) WK.16'!$B:FJ,FU$1,0),0)</f>
        <v>0</v>
      </c>
      <c r="FW62" s="60">
        <v>0</v>
      </c>
      <c r="FX62" s="60">
        <v>0</v>
      </c>
      <c r="FY62" s="60">
        <v>0</v>
      </c>
      <c r="FZ62" s="60">
        <v>0</v>
      </c>
      <c r="GA62" s="60">
        <v>0</v>
      </c>
      <c r="GB62" s="128">
        <v>0</v>
      </c>
      <c r="GC62" s="32">
        <v>0</v>
      </c>
      <c r="GD62" s="106">
        <f t="shared" ref="GD62:GD66" si="582">((FS62-(FU62+FV62+GB62)+GC62))+FW62+FX62+FY62+FZ62+GA62</f>
        <v>40</v>
      </c>
      <c r="GF62" s="37">
        <f t="shared" ref="GF62:GF66" si="583">GD62</f>
        <v>40</v>
      </c>
      <c r="GG62" s="125">
        <f>IFERROR(VLOOKUP($D62,'Adient Assende (Belgium) WK.17'!$B:FN,GH$1,0),0)</f>
        <v>0</v>
      </c>
      <c r="GH62" s="55">
        <f>IFERROR(VLOOKUP($D62,'Adient Arendal (Malzia) WK.12'!$B:FO,GH$1,0),0)</f>
        <v>0</v>
      </c>
      <c r="GI62" s="55">
        <f>IFERROR(VLOOKUP($D62,'Adient Taizhou (China) WK.16'!$B:FR,GH$1,0),0)</f>
        <v>0</v>
      </c>
      <c r="GJ62" s="60">
        <v>0</v>
      </c>
      <c r="GK62" s="128">
        <v>0</v>
      </c>
      <c r="GL62" s="32">
        <v>0</v>
      </c>
      <c r="GM62" s="106">
        <f t="shared" ref="GM62:GM66" si="584">((GF62-(GH62+GI62+GK62)+GL62))+GJ62</f>
        <v>40</v>
      </c>
      <c r="GO62" s="37">
        <f t="shared" ref="GO62:GO66" si="585">GM62</f>
        <v>40</v>
      </c>
      <c r="GP62" s="125">
        <f>IFERROR(VLOOKUP($D62,'Adient Assende (Belgium) WK.17'!$B:FV,GQ$1,0),0)</f>
        <v>0</v>
      </c>
      <c r="GQ62" s="55">
        <f>IFERROR(VLOOKUP($D62,'Adient Arendal (Malzia) WK.12'!$B:FW,GQ$1,0),0)</f>
        <v>0</v>
      </c>
      <c r="GR62" s="55">
        <f>IFERROR(VLOOKUP($D62,'Adient Taizhou (China) WK.16'!$B:FZ,GQ$1,0),0)</f>
        <v>0</v>
      </c>
      <c r="GS62" s="60">
        <v>0</v>
      </c>
      <c r="GT62" s="128">
        <v>0</v>
      </c>
      <c r="GU62" s="32">
        <v>0</v>
      </c>
      <c r="GV62" s="106">
        <f t="shared" ref="GV62:GV66" si="586">((GO62-(GQ62+GR62+GT62)+GU62))+GS62</f>
        <v>40</v>
      </c>
      <c r="GW62" s="8"/>
      <c r="GX62" s="37">
        <f t="shared" ref="GX62:GX66" si="587">GV62</f>
        <v>40</v>
      </c>
      <c r="GY62" s="125">
        <f>IFERROR(VLOOKUP($D62,'Adient Assende (Belgium) WK.17'!$B:GD,GZ$1,0),0)</f>
        <v>0</v>
      </c>
      <c r="GZ62" s="55">
        <f>IFERROR(VLOOKUP($D62,'Adient Arendal (Malzia) WK.12'!$B:GE,GZ$1,0),0)</f>
        <v>0</v>
      </c>
      <c r="HA62" s="55">
        <f>IFERROR(VLOOKUP($D62,'Adient Taizhou (China) WK.16'!$B:GH,GZ$1,0),0)</f>
        <v>0</v>
      </c>
      <c r="HB62" s="60">
        <v>0</v>
      </c>
      <c r="HC62" s="128">
        <v>0</v>
      </c>
      <c r="HD62" s="32">
        <v>0</v>
      </c>
      <c r="HE62" s="106">
        <f t="shared" ref="HE62:HE66" si="588">((GX62-(GZ62+HA62+HC62)+HD62))+HB62</f>
        <v>40</v>
      </c>
      <c r="HF62" s="8"/>
      <c r="HG62" s="37">
        <f t="shared" ref="HG62:HG66" si="589">HE62</f>
        <v>40</v>
      </c>
      <c r="HH62" s="125">
        <f>IFERROR(VLOOKUP($D62,'Adient Assende (Belgium) WK.17'!$B:GL,HI$1,0),0)</f>
        <v>0</v>
      </c>
      <c r="HI62" s="55">
        <f>IFERROR(VLOOKUP($D62,'Adient Arendal (Malzia) WK.12'!$B:GM,HI$1,0),0)</f>
        <v>0</v>
      </c>
      <c r="HJ62" s="55">
        <f>IFERROR(VLOOKUP($D62,'Adient Taizhou (China) WK.16'!$B:GP,HI$1,0),0)</f>
        <v>0</v>
      </c>
      <c r="HK62" s="60">
        <v>0</v>
      </c>
      <c r="HL62" s="128">
        <v>0</v>
      </c>
      <c r="HM62" s="32">
        <v>0</v>
      </c>
      <c r="HN62" s="106">
        <f t="shared" ref="HN62:HN66" si="590">((HG62-(HI62+HJ62+HL62)+HM62))+HK62</f>
        <v>40</v>
      </c>
      <c r="HO62" s="8"/>
      <c r="HP62" s="37">
        <f t="shared" ref="HP62:HP66" si="591">HN62</f>
        <v>40</v>
      </c>
      <c r="HQ62" s="125">
        <f>IFERROR(VLOOKUP($D62,'Adient Assende (Belgium) WK.17'!$B:GT,HR$1,0),0)</f>
        <v>0</v>
      </c>
      <c r="HR62" s="55">
        <f>IFERROR(VLOOKUP($D62,'Adient Arendal (Malzia) WK.12'!$B:GU,HR$1,0),0)</f>
        <v>0</v>
      </c>
      <c r="HS62" s="55">
        <f>IFERROR(VLOOKUP($D62,'Adient Taizhou (China) WK.16'!$B:GX,HR$1,0),0)</f>
        <v>0</v>
      </c>
      <c r="HT62" s="60">
        <v>0</v>
      </c>
      <c r="HU62" s="128">
        <v>0</v>
      </c>
      <c r="HV62" s="32">
        <v>0</v>
      </c>
      <c r="HW62" s="106">
        <f t="shared" ref="HW62:HW66" si="592">((HP62-(HR62+HS62+HU62)+HV62))+HT62</f>
        <v>40</v>
      </c>
      <c r="HX62" s="8"/>
      <c r="HY62" s="37">
        <f t="shared" ref="HY62:HY66" si="593">HW62</f>
        <v>40</v>
      </c>
      <c r="HZ62" s="125">
        <f>IFERROR(VLOOKUP($D62,'Adient Assende (Belgium) WK.17'!$B:HB,IA$1,0),0)</f>
        <v>0</v>
      </c>
      <c r="IA62" s="55">
        <f>IFERROR(VLOOKUP($D62,'Adient Arendal (Malzia) WK.12'!$B:HC,IA$1,0),0)</f>
        <v>0</v>
      </c>
      <c r="IB62" s="55">
        <f>IFERROR(VLOOKUP($D62,'Adient Taizhou (China) WK.16'!$B:HF,IA$1,0),0)</f>
        <v>0</v>
      </c>
      <c r="IC62" s="60">
        <v>0</v>
      </c>
      <c r="ID62" s="128">
        <v>0</v>
      </c>
      <c r="IE62" s="32">
        <v>0</v>
      </c>
      <c r="IF62" s="106">
        <f t="shared" ref="IF62:IF66" si="594">((HY62-(IA62+IB62+ID62)+IE62))+IC62</f>
        <v>40</v>
      </c>
      <c r="IG62" s="8"/>
      <c r="IH62" s="37">
        <f t="shared" ref="IH62:IH66" si="595">IF62</f>
        <v>40</v>
      </c>
      <c r="II62" s="125">
        <f>IFERROR(VLOOKUP($D62,'Adient Assende (Belgium) WK.17'!$B:HJ,IJ$1,0),0)</f>
        <v>0</v>
      </c>
      <c r="IJ62" s="55">
        <f>IFERROR(VLOOKUP($D62,'Adient Arendal (Malzia) WK.12'!$B:HK,IJ$1,0),0)</f>
        <v>0</v>
      </c>
      <c r="IK62" s="55">
        <f>IFERROR(VLOOKUP($D62,'Adient Taizhou (China) WK.16'!$B:HN,IJ$1,0),0)</f>
        <v>0</v>
      </c>
      <c r="IL62" s="128">
        <v>0</v>
      </c>
      <c r="IM62" s="32">
        <v>0</v>
      </c>
      <c r="IN62" s="106">
        <f t="shared" ref="IN62:IN66" si="596">((IH62-(IJ62+IK62+IL62)+IM62))</f>
        <v>40</v>
      </c>
      <c r="IO62" s="8"/>
      <c r="IP62" s="37">
        <f t="shared" ref="IP62:IP66" si="597">IN62</f>
        <v>40</v>
      </c>
      <c r="IQ62" s="125">
        <f>IFERROR(VLOOKUP($D62,'Adient Assende (Belgium) WK.17'!$B:HR,IR$1,0),0)</f>
        <v>0</v>
      </c>
      <c r="IR62" s="55">
        <f>IFERROR(VLOOKUP($D62,'Adient Arendal (Malzia) WK.12'!$B:HS,IR$1,0),0)</f>
        <v>0</v>
      </c>
      <c r="IS62" s="55">
        <f>IFERROR(VLOOKUP($D62,'Adient Taizhou (China) WK.16'!$B:HV,IR$1,0),0)</f>
        <v>0</v>
      </c>
      <c r="IT62" s="60">
        <v>0</v>
      </c>
      <c r="IU62" s="128">
        <v>0</v>
      </c>
      <c r="IV62" s="32">
        <v>0</v>
      </c>
      <c r="IW62" s="106">
        <f t="shared" ref="IW62:IW66" si="598">((IP62-(IR62+IS62+IU62)+IV62))+IT62</f>
        <v>40</v>
      </c>
      <c r="IX62" s="8"/>
      <c r="IY62" s="37">
        <f t="shared" ref="IY62:IY66" si="599">IW62</f>
        <v>40</v>
      </c>
      <c r="IZ62" s="125">
        <f>IFERROR(VLOOKUP($D62,'Adient Assende (Belgium) WK.17'!$B:HZ,JA$1,0),0)</f>
        <v>0</v>
      </c>
      <c r="JA62" s="55">
        <f>IFERROR(VLOOKUP($D62,'Adient Arendal (Malzia) WK.12'!$B:IA,JA$1,0),0)</f>
        <v>0</v>
      </c>
      <c r="JB62" s="55">
        <f>IFERROR(VLOOKUP($D62,'Adient Taizhou (China) WK.16'!$B:ID,JA$1,0),0)</f>
        <v>0</v>
      </c>
      <c r="JC62" s="128">
        <v>0</v>
      </c>
      <c r="JD62" s="32">
        <v>0</v>
      </c>
      <c r="JE62" s="106">
        <f t="shared" ref="JE62:JE66" si="600">((IY62-(JA62+JB62+JC62)+JD62))</f>
        <v>40</v>
      </c>
      <c r="JF62" s="8"/>
      <c r="JG62" s="37">
        <f t="shared" ref="JG62:JG66" si="601">JE62</f>
        <v>40</v>
      </c>
      <c r="JH62" s="125">
        <f>IFERROR(VLOOKUP($D62,'Adient Assende (Belgium) WK.17'!$B:IH,JI$1,0),0)</f>
        <v>0</v>
      </c>
      <c r="JI62" s="55">
        <f>IFERROR(VLOOKUP($D62,'Adient Arendal (Malzia) WK.12'!$B:II,JI$1,0),0)</f>
        <v>0</v>
      </c>
      <c r="JJ62" s="55">
        <f>IFERROR(VLOOKUP($D62,'Adient Taizhou (China) WK.16'!$B:IL,JI$1,0),0)</f>
        <v>0</v>
      </c>
      <c r="JK62" s="60">
        <v>0</v>
      </c>
      <c r="JL62" s="128">
        <v>0</v>
      </c>
      <c r="JM62" s="32">
        <v>0</v>
      </c>
      <c r="JN62" s="106">
        <f t="shared" ref="JN62:JN66" si="602">((JG62-(JI62+JJ62+JL62)+JM62))+JK62</f>
        <v>40</v>
      </c>
      <c r="JO62" s="8"/>
      <c r="JP62" s="37">
        <f t="shared" ref="JP62:JP66" si="603">JN62</f>
        <v>40</v>
      </c>
      <c r="JQ62" s="125">
        <f>IFERROR(VLOOKUP($D62,'Adient Assende (Belgium) WK.17'!$B:IP,JR$1,0),0)</f>
        <v>0</v>
      </c>
      <c r="JR62" s="55">
        <f>IFERROR(VLOOKUP($D62,'Adient Arendal (Malzia) WK.12'!$B:IQ,JR$1,0),0)</f>
        <v>0</v>
      </c>
      <c r="JS62" s="55">
        <f>IFERROR(VLOOKUP($D62,'Adient Taizhou (China) WK.16'!$B:IT,JR$1,0),0)</f>
        <v>0</v>
      </c>
      <c r="JT62" s="128">
        <v>0</v>
      </c>
      <c r="JU62" s="32">
        <v>0</v>
      </c>
      <c r="JV62" s="106">
        <f t="shared" si="462"/>
        <v>40</v>
      </c>
      <c r="JW62" s="8"/>
      <c r="JX62" s="37">
        <f t="shared" ref="JX62:JX66" si="604">JV62</f>
        <v>40</v>
      </c>
      <c r="JY62" s="154">
        <f>IFERROR(VLOOKUP($D62,'Adient Assende (Belgium) WK.17'!$B:IX,JZ$1,0),0)</f>
        <v>0</v>
      </c>
      <c r="JZ62" s="55">
        <f>IFERROR(VLOOKUP($D62,'Adient Arendal (Malzia) WK.12'!$B:IY,JZ$1,0),0)</f>
        <v>0</v>
      </c>
      <c r="KA62" s="55">
        <f>IFERROR(VLOOKUP($D62,'Adient Taizhou (China) WK.16'!$B:JB,JZ$1,0),0)</f>
        <v>0</v>
      </c>
      <c r="KB62" s="128">
        <v>0</v>
      </c>
      <c r="KC62" s="32">
        <v>0</v>
      </c>
      <c r="KD62" s="106">
        <f t="shared" si="263"/>
        <v>40</v>
      </c>
      <c r="KE62" s="8"/>
      <c r="KF62" s="37">
        <f t="shared" ref="KF62:KF66" si="605">KD62</f>
        <v>40</v>
      </c>
      <c r="KG62" s="125">
        <f>IFERROR(VLOOKUP($D62,'Adient Assende (Belgium) WK.17'!$B:JF,KH$1,0),0)</f>
        <v>0</v>
      </c>
      <c r="KH62" s="55">
        <f>IFERROR(VLOOKUP($D62,'Adient Arendal (Malzia) WK.12'!$B:JG,KH$1,0),0)</f>
        <v>0</v>
      </c>
      <c r="KI62" s="55">
        <f>IFERROR(VLOOKUP($D62,'Adient Taizhou (China) WK.16'!$B:JJ,KH$1,0),0)</f>
        <v>0</v>
      </c>
      <c r="KJ62" s="60">
        <v>0</v>
      </c>
      <c r="KK62" s="128">
        <v>0</v>
      </c>
      <c r="KL62" s="32">
        <v>0</v>
      </c>
      <c r="KM62" s="106">
        <f t="shared" si="264"/>
        <v>40</v>
      </c>
      <c r="KN62" s="8"/>
      <c r="KO62" s="37">
        <f t="shared" ref="KO62:KO66" si="606">KM62</f>
        <v>40</v>
      </c>
      <c r="KP62" s="141">
        <f>IFERROR(VLOOKUP($D62,'Adient Assende (Belgium) WK.17'!$B:JN,KQ$1,0),0)</f>
        <v>0</v>
      </c>
      <c r="KQ62" s="140">
        <f>IFERROR(VLOOKUP($D62,'Adient Arendal (Malzia) WK.12'!$B:JO,KQ$1,0),0)</f>
        <v>0</v>
      </c>
      <c r="KR62" s="140">
        <f>IFERROR(VLOOKUP($D62,'Adient Taizhou (China) WK.16'!$B:JR,KQ$1,0),0)</f>
        <v>0</v>
      </c>
      <c r="KS62" s="60">
        <v>0</v>
      </c>
      <c r="KT62" s="128">
        <v>0</v>
      </c>
      <c r="KU62" s="32">
        <v>0</v>
      </c>
      <c r="KV62" s="106">
        <f t="shared" si="265"/>
        <v>40</v>
      </c>
      <c r="KX62" s="37">
        <f t="shared" ref="KX62:KX66" si="607">KV62</f>
        <v>40</v>
      </c>
      <c r="KY62" s="141">
        <f>IFERROR(VLOOKUP($D62,'Adient Assende (Belgium) WK.17'!$B:JV,KZ$1,0),0)</f>
        <v>0</v>
      </c>
      <c r="KZ62" s="140">
        <f>IFERROR(VLOOKUP($D62,'Adient Arendal (Malzia) WK.12'!$B:JW,KZ$1,0),0)</f>
        <v>0</v>
      </c>
      <c r="LA62" s="140">
        <f>IFERROR(VLOOKUP($D62,'Adient Taizhou (China) WK.16'!$B:JZ,KZ$1,0),0)</f>
        <v>0</v>
      </c>
      <c r="LB62" s="128">
        <v>0</v>
      </c>
      <c r="LC62" s="32">
        <v>0</v>
      </c>
      <c r="LD62" s="106">
        <f t="shared" si="467"/>
        <v>40</v>
      </c>
      <c r="LF62" s="37">
        <f t="shared" ref="LF62:LF66" si="608">LD62</f>
        <v>40</v>
      </c>
      <c r="LG62" s="141">
        <f>IFERROR(VLOOKUP($D62,'Adient Assende (Belgium) WK.17'!$B:KD,LH$1,0),0)</f>
        <v>0</v>
      </c>
      <c r="LH62" s="140">
        <f>IFERROR(VLOOKUP($D62,'Adient Arendal (Malzia) WK.12'!$B:KE,LH$1,0),0)</f>
        <v>0</v>
      </c>
      <c r="LI62" s="140">
        <f>IFERROR(VLOOKUP($D62,'Adient Taizhou (China) WK.16'!$B:KH,LH$1,0),0)</f>
        <v>0</v>
      </c>
      <c r="LJ62" s="60">
        <v>0</v>
      </c>
      <c r="LK62" s="128">
        <v>0</v>
      </c>
      <c r="LL62" s="32">
        <v>0</v>
      </c>
      <c r="LM62" s="100">
        <f t="shared" si="267"/>
        <v>40</v>
      </c>
      <c r="LO62" s="37">
        <f t="shared" ref="LO62:LO66" si="609">LM62</f>
        <v>40</v>
      </c>
      <c r="LP62" s="141">
        <f>IFERROR(VLOOKUP($D62,'Adient Assende (Belgium) WK.17'!$B:KL,LQ$1,0),0)</f>
        <v>0</v>
      </c>
      <c r="LQ62" s="140">
        <f>IFERROR(VLOOKUP($D62,'Adient Arendal (Malzia) WK.12'!$B:KM,LQ$1,0),0)</f>
        <v>0</v>
      </c>
      <c r="LR62" s="140">
        <f>IFERROR(VLOOKUP($D62,'Adient Taizhou (China) WK.16'!$B:KP,LQ$1,0),0)</f>
        <v>0</v>
      </c>
      <c r="LS62" s="128">
        <v>0</v>
      </c>
      <c r="LT62" s="32">
        <v>0</v>
      </c>
      <c r="LU62" s="100">
        <f t="shared" ref="LU62:LU66" si="610">((LO62-(LP62+LQ62+LR62)+LT62))</f>
        <v>40</v>
      </c>
      <c r="LW62" s="37">
        <f t="shared" ref="LW62:LW66" si="611">LU62</f>
        <v>40</v>
      </c>
      <c r="LX62" s="141">
        <f>IFERROR(VLOOKUP($D62,'Adient Assende (Belgium) WK.17'!$B:KT,LY$1,0),0)</f>
        <v>0</v>
      </c>
      <c r="LY62" s="140">
        <f>IFERROR(VLOOKUP($D62,'Adient Arendal (Malzia) WK.12'!$B:KU,LY$1,0),0)</f>
        <v>0</v>
      </c>
      <c r="LZ62" s="140">
        <f>IFERROR(VLOOKUP($D62,'Adient Taizhou (China) WK.16'!$B:KX,LY$1,0),0)</f>
        <v>0</v>
      </c>
      <c r="MA62" s="128">
        <v>0</v>
      </c>
      <c r="MB62" s="32">
        <v>0</v>
      </c>
      <c r="MC62" s="100">
        <f t="shared" ref="MC62:MC66" si="612">((LW62-(LX62+LY62+LZ62)+MB62))</f>
        <v>40</v>
      </c>
      <c r="ME62" s="37">
        <f t="shared" ref="ME62:ME66" si="613">MC62</f>
        <v>40</v>
      </c>
      <c r="MF62" s="154">
        <f>IFERROR(VLOOKUP($D62,'Adient Assende (Belgium) WK.17'!$B:LB,MG$1,0),0)</f>
        <v>0</v>
      </c>
      <c r="MG62" s="140">
        <f>IFERROR(VLOOKUP($D62,'Adient Arendal (Malzia) WK.12'!$B:LC,MG$1,0),0)</f>
        <v>0</v>
      </c>
      <c r="MH62" s="140">
        <f>IFERROR(VLOOKUP($D62,'Adient Taizhou (China) WK.16'!$B:LF,MG$1,0),0)</f>
        <v>0</v>
      </c>
      <c r="MI62" s="128">
        <v>0</v>
      </c>
      <c r="MJ62" s="32">
        <v>0</v>
      </c>
      <c r="MK62" s="100">
        <f t="shared" ref="MK62:MK66" si="614">((ME62-(MF62+MG62+MH62)+MJ62))</f>
        <v>40</v>
      </c>
      <c r="MM62" s="37">
        <f t="shared" ref="MM62:MM66" si="615">MK62</f>
        <v>40</v>
      </c>
      <c r="MN62" s="141">
        <f>IFERROR(VLOOKUP($D62,'Adient Assende (Belgium) WK.17'!$B:LJ,MO$1,0),0)</f>
        <v>0</v>
      </c>
      <c r="MO62" s="140">
        <f>IFERROR(VLOOKUP($D62,'Adient Arendal (Malzia) WK.12'!$B:LK,MO$1,0),0)</f>
        <v>0</v>
      </c>
      <c r="MP62" s="140">
        <f>IFERROR(VLOOKUP($D62,'Adient Taizhou (China) WK.16'!$B:LN,MO$1,0),0)</f>
        <v>0</v>
      </c>
      <c r="MQ62" s="128">
        <v>0</v>
      </c>
      <c r="MR62" s="32">
        <v>0</v>
      </c>
      <c r="MS62" s="100">
        <f t="shared" ref="MS62:MS66" si="616">((MM62-(MN62+MO62+MP62)+MR62))</f>
        <v>40</v>
      </c>
      <c r="MU62" s="37">
        <f t="shared" ref="MU62:MU66" si="617">MS62</f>
        <v>40</v>
      </c>
      <c r="MV62" s="141">
        <f>IFERROR(VLOOKUP($D62,'Adient Assende (Belgium) WK.17'!$B:LR,MW$1,0),0)</f>
        <v>0</v>
      </c>
      <c r="MW62" s="140">
        <f>IFERROR(VLOOKUP($D62,'Adient Arendal (Malzia) WK.12'!$B:LS,MW$1,0),0)</f>
        <v>0</v>
      </c>
      <c r="MX62" s="140">
        <f>IFERROR(VLOOKUP($D62,'Adient Taizhou (China) WK.16'!$B:LV,MW$1,0),0)</f>
        <v>0</v>
      </c>
      <c r="MY62" s="128">
        <v>0</v>
      </c>
      <c r="MZ62" s="32">
        <v>0</v>
      </c>
      <c r="NA62" s="100">
        <f t="shared" ref="NA62:NA66" si="618">((MU62-(MV62+MW62+MX62)+MZ62))</f>
        <v>40</v>
      </c>
      <c r="NC62" s="37">
        <f t="shared" ref="NC62:NC66" si="619">NA62</f>
        <v>40</v>
      </c>
      <c r="ND62" s="141">
        <f>IFERROR(VLOOKUP($D62,'Adient Assende (Belgium) WK.17'!$B:LZ,NE$1,0),0)</f>
        <v>0</v>
      </c>
      <c r="NE62" s="140">
        <f>IFERROR(VLOOKUP($D62,'Adient Arendal (Malzia) WK.12'!$B:MA,NE$1,0),0)</f>
        <v>0</v>
      </c>
      <c r="NF62" s="140">
        <f>IFERROR(VLOOKUP($D62,'Adient Taizhou (China) WK.16'!$B:MD,NE$1,0),0)</f>
        <v>0</v>
      </c>
      <c r="NG62" s="128">
        <v>0</v>
      </c>
      <c r="NH62" s="32">
        <v>0</v>
      </c>
      <c r="NI62" s="100">
        <f t="shared" ref="NI62:NI66" si="620">((NC62-(ND62+NE62+NF62)+NH62))</f>
        <v>40</v>
      </c>
      <c r="NK62" s="37">
        <f t="shared" ref="NK62:NK66" si="621">NI62</f>
        <v>40</v>
      </c>
      <c r="NL62" s="141">
        <f>IFERROR(VLOOKUP($D62,'Adient Assende (Belgium) WK.17'!$B:MH,NM$1,0),0)</f>
        <v>0</v>
      </c>
      <c r="NM62" s="140">
        <f>IFERROR(VLOOKUP($D62,'Adient Arendal (Malzia) WK.12'!$B:MI,NM$1,0),0)</f>
        <v>0</v>
      </c>
      <c r="NN62" s="140">
        <f>IFERROR(VLOOKUP($D62,'Adient Taizhou (China) WK.16'!$B:ML,NM$1,0),0)</f>
        <v>0</v>
      </c>
      <c r="NO62" s="128">
        <v>0</v>
      </c>
      <c r="NP62" s="32">
        <v>0</v>
      </c>
      <c r="NQ62" s="100">
        <f t="shared" ref="NQ62:NQ66" si="622">((NK62-(NL62+NM62+NN62)+NP62))</f>
        <v>40</v>
      </c>
      <c r="NS62" s="37">
        <f t="shared" ref="NS62:NS66" si="623">NQ62</f>
        <v>40</v>
      </c>
      <c r="NT62" s="141">
        <f>IFERROR(VLOOKUP($D62,'Adient Assende (Belgium) WK.17'!$B:MP,NU$1,0),0)</f>
        <v>0</v>
      </c>
      <c r="NU62" s="140">
        <f>IFERROR(VLOOKUP($D62,'Adient Arendal (Malzia) WK.12'!$B:MQ,NU$1,0),0)</f>
        <v>0</v>
      </c>
      <c r="NV62" s="140">
        <f>IFERROR(VLOOKUP($D62,'Adient Taizhou (China) WK.16'!$B:MT,NU$1,0),0)</f>
        <v>0</v>
      </c>
      <c r="NW62" s="128">
        <v>0</v>
      </c>
      <c r="NX62" s="32">
        <v>0</v>
      </c>
      <c r="NY62" s="100">
        <f t="shared" ref="NY62:NY66" si="624">((NS62-(NT62+NU62+NV62)+NX62))</f>
        <v>40</v>
      </c>
      <c r="OA62" s="37">
        <f t="shared" ref="OA62:OA66" si="625">NY62</f>
        <v>40</v>
      </c>
      <c r="OB62" s="141">
        <f>IFERROR(VLOOKUP($D62,'Adient Assende (Belgium) WK.17'!$B:MX,OC$1,0),0)</f>
        <v>0</v>
      </c>
      <c r="OC62" s="140">
        <f>IFERROR(VLOOKUP($D62,'Adient Arendal (Malzia) WK.12'!$B:MY,OC$1,0),0)</f>
        <v>0</v>
      </c>
      <c r="OD62" s="140">
        <f>IFERROR(VLOOKUP($D62,'Adient Taizhou (China) WK.16'!$B:NB,OC$1,0),0)</f>
        <v>0</v>
      </c>
      <c r="OE62" s="128">
        <v>0</v>
      </c>
      <c r="OF62" s="32">
        <v>0</v>
      </c>
      <c r="OG62" s="100">
        <f t="shared" ref="OG62:OG66" si="626">((OA62-(OB62+OC62+OD62)+OF62))</f>
        <v>40</v>
      </c>
      <c r="OI62" s="37">
        <f t="shared" ref="OI62:OI66" si="627">OG62</f>
        <v>40</v>
      </c>
      <c r="OJ62" s="141">
        <f>IFERROR(VLOOKUP($D62,'Adient Assende (Belgium) WK.17'!$B:NF,OK$1,0),0)</f>
        <v>0</v>
      </c>
      <c r="OK62" s="140">
        <f>IFERROR(VLOOKUP($D62,'Adient Arendal (Malzia) WK.12'!$B:NG,OK$1,0),0)</f>
        <v>0</v>
      </c>
      <c r="OL62" s="140">
        <f>IFERROR(VLOOKUP($D62,'Adient Taizhou (China) WK.16'!$B:NJ,OK$1,0),0)</f>
        <v>0</v>
      </c>
      <c r="OM62" s="128">
        <v>0</v>
      </c>
      <c r="ON62" s="32">
        <v>0</v>
      </c>
      <c r="OO62" s="100">
        <f t="shared" ref="OO62:OO66" si="628">((OI62-(OJ62+OK62+OL62)+ON62))</f>
        <v>40</v>
      </c>
      <c r="OQ62" s="37">
        <f t="shared" ref="OQ62:OQ66" si="629">OO62</f>
        <v>40</v>
      </c>
      <c r="OR62" s="141">
        <f>IFERROR(VLOOKUP($D62,'Adient Assende (Belgium) WK.17'!$B:NN,OS$1,0),0)</f>
        <v>0</v>
      </c>
      <c r="OS62" s="140">
        <f>IFERROR(VLOOKUP($D62,'Adient Arendal (Malzia) WK.12'!$B:NO,OS$1,0),0)</f>
        <v>0</v>
      </c>
      <c r="OT62" s="140">
        <f>IFERROR(VLOOKUP($D62,'Adient Taizhou (China) WK.16'!$B:NR,OS$1,0),0)</f>
        <v>0</v>
      </c>
      <c r="OU62" s="128">
        <v>0</v>
      </c>
      <c r="OV62" s="32">
        <v>0</v>
      </c>
      <c r="OW62" s="100">
        <f t="shared" ref="OW62:OW66" si="630">((OQ62-(OR62+OS62+OT62)+OV62))</f>
        <v>40</v>
      </c>
      <c r="OY62" s="37">
        <f t="shared" ref="OY62:OY66" si="631">OW62</f>
        <v>40</v>
      </c>
      <c r="OZ62" s="141">
        <f>IFERROR(VLOOKUP($D62,'Adient Assende (Belgium) WK.17'!$B:NV,PA$1,0),0)</f>
        <v>0</v>
      </c>
      <c r="PA62" s="140">
        <f>IFERROR(VLOOKUP($D62,'Adient Arendal (Malzia) WK.12'!$B:NW,PA$1,0),0)</f>
        <v>0</v>
      </c>
      <c r="PB62" s="140">
        <f>IFERROR(VLOOKUP($D62,'Adient Taizhou (China) WK.16'!$B:NZ,PA$1,0),0)</f>
        <v>0</v>
      </c>
      <c r="PC62" s="128">
        <v>0</v>
      </c>
      <c r="PD62" s="32">
        <v>0</v>
      </c>
      <c r="PE62" s="100">
        <f t="shared" ref="PE62:PE66" si="632">((OY62-(OZ62+PA62+PB62)+PD62))</f>
        <v>40</v>
      </c>
      <c r="PG62" s="37">
        <f t="shared" ref="PG62:PG66" si="633">PE62</f>
        <v>40</v>
      </c>
      <c r="PH62" s="141">
        <f>IFERROR(VLOOKUP($D62,'Adient Assende (Belgium) WK.17'!$B:OD,PI$1,0),0)</f>
        <v>0</v>
      </c>
      <c r="PI62" s="140">
        <f>IFERROR(VLOOKUP($D62,'Adient Arendal (Malzia) WK.12'!$B:OE,PI$1,0),0)</f>
        <v>0</v>
      </c>
      <c r="PJ62" s="140">
        <f>IFERROR(VLOOKUP($D62,'Adient Taizhou (China) WK.16'!$B:OH,PI$1,0),0)</f>
        <v>0</v>
      </c>
      <c r="PK62" s="128">
        <v>0</v>
      </c>
      <c r="PL62" s="32">
        <v>0</v>
      </c>
      <c r="PM62" s="100">
        <f t="shared" ref="PM62:PM66" si="634">((PG62-(PH62+PI62+PJ62)+PL62))</f>
        <v>40</v>
      </c>
      <c r="PO62" s="37">
        <f t="shared" ref="PO62:PO66" si="635">PM62</f>
        <v>40</v>
      </c>
      <c r="PP62" s="141">
        <f>IFERROR(VLOOKUP($D62,'Adient Assende (Belgium) WK.17'!$B:OL,PQ$1,0),0)</f>
        <v>0</v>
      </c>
      <c r="PQ62" s="140">
        <f>IFERROR(VLOOKUP($D62,'Adient Arendal (Malzia) WK.12'!$B:OM,PQ$1,0),0)</f>
        <v>0</v>
      </c>
      <c r="PR62" s="140">
        <f>IFERROR(VLOOKUP($D62,'Adient Taizhou (China) WK.16'!$B:OP,PQ$1,0),0)</f>
        <v>0</v>
      </c>
      <c r="PS62" s="128">
        <v>0</v>
      </c>
      <c r="PT62" s="32">
        <v>0</v>
      </c>
      <c r="PU62" s="100">
        <f t="shared" ref="PU62:PU66" si="636">((PO62-(PP62+PQ62+PR62)+PT62))</f>
        <v>40</v>
      </c>
      <c r="PW62" s="37">
        <f t="shared" ref="PW62:PW66" si="637">PU62</f>
        <v>40</v>
      </c>
      <c r="PX62" s="141">
        <f>IFERROR(VLOOKUP($D62,'Adient Assende (Belgium) WK.17'!$B:OT,PY$1,0),0)</f>
        <v>0</v>
      </c>
      <c r="PY62" s="140">
        <f>IFERROR(VLOOKUP($D62,'Adient Arendal (Malzia) WK.12'!$B:OU,PY$1,0),0)</f>
        <v>0</v>
      </c>
      <c r="PZ62" s="140">
        <f>IFERROR(VLOOKUP($D62,'Adient Taizhou (China) WK.16'!$B:OX,PY$1,0),0)</f>
        <v>0</v>
      </c>
      <c r="QA62" s="128">
        <v>0</v>
      </c>
      <c r="QB62" s="32">
        <v>0</v>
      </c>
      <c r="QC62" s="100">
        <f t="shared" ref="QC62:QC66" si="638">((PW62-(PX62+PY62+PZ62)+QB62))</f>
        <v>40</v>
      </c>
      <c r="QE62" s="37">
        <f t="shared" ref="QE62:QE66" si="639">QC62</f>
        <v>40</v>
      </c>
      <c r="QF62" s="141">
        <f>IFERROR(VLOOKUP($D62,'Adient Assende (Belgium) WK.17'!$B:PB,QG$1,0),0)</f>
        <v>0</v>
      </c>
      <c r="QG62" s="140">
        <f>IFERROR(VLOOKUP($D62,'Adient Arendal (Malzia) WK.12'!$B:PC,QG$1,0),0)</f>
        <v>0</v>
      </c>
      <c r="QH62" s="140">
        <f>IFERROR(VLOOKUP($D62,'Adient Taizhou (China) WK.16'!$B:PF,QG$1,0),0)</f>
        <v>0</v>
      </c>
      <c r="QI62" s="128">
        <v>0</v>
      </c>
      <c r="QJ62" s="32">
        <v>0</v>
      </c>
      <c r="QK62" s="100">
        <f t="shared" ref="QK62:QK66" si="640">((QE62-(QF62+QG62+QH62)+QJ62))</f>
        <v>40</v>
      </c>
      <c r="QM62" s="37">
        <f t="shared" ref="QM62:QM66" si="641">QK62</f>
        <v>40</v>
      </c>
      <c r="QN62" s="141">
        <f>IFERROR(VLOOKUP($D62,'Adient Assende (Belgium) WK.17'!$B:PJ,QO$1,0),0)</f>
        <v>0</v>
      </c>
      <c r="QO62" s="140">
        <f>IFERROR(VLOOKUP($D62,'Adient Arendal (Malzia) WK.12'!$B:PK,QO$1,0),0)</f>
        <v>0</v>
      </c>
      <c r="QP62" s="140">
        <f>IFERROR(VLOOKUP($D62,'Adient Taizhou (China) WK.16'!$B:PN,QO$1,0),0)</f>
        <v>0</v>
      </c>
      <c r="QQ62" s="128">
        <v>0</v>
      </c>
      <c r="QR62" s="32">
        <v>0</v>
      </c>
      <c r="QS62" s="100">
        <f t="shared" ref="QS62:QS66" si="642">((QM62-(QN62+QO62+QP62)+QR62))</f>
        <v>40</v>
      </c>
      <c r="QU62" s="37">
        <f t="shared" ref="QU62:QU66" si="643">QS62</f>
        <v>40</v>
      </c>
      <c r="QV62" s="141">
        <f>IFERROR(VLOOKUP($D62,'Adient Assende (Belgium) WK.17'!$B:PR,QW$1,0),0)</f>
        <v>0</v>
      </c>
      <c r="QW62" s="140">
        <f>IFERROR(VLOOKUP($D62,'Adient Arendal (Malzia) WK.12'!$B:PS,QW$1,0),0)</f>
        <v>0</v>
      </c>
      <c r="QX62" s="140">
        <f>IFERROR(VLOOKUP($D62,'Adient Taizhou (China) WK.16'!$B:PV,QW$1,0),0)</f>
        <v>0</v>
      </c>
      <c r="QY62" s="128">
        <v>0</v>
      </c>
      <c r="QZ62" s="32">
        <v>0</v>
      </c>
      <c r="RA62" s="100">
        <f t="shared" ref="RA62:RA66" si="644">((QU62-(QV62+QW62+QX62)+QZ62))</f>
        <v>40</v>
      </c>
      <c r="RC62" s="37">
        <f t="shared" ref="RC62:RC66" si="645">RA62</f>
        <v>40</v>
      </c>
      <c r="RD62" s="141">
        <f>IFERROR(VLOOKUP($D62,'Adient Assende (Belgium) WK.17'!$B:PZ,RE$1,0),0)</f>
        <v>0</v>
      </c>
      <c r="RE62" s="140">
        <f>IFERROR(VLOOKUP($D62,'Adient Arendal (Malzia) WK.12'!$B:QA,RE$1,0),0)</f>
        <v>0</v>
      </c>
      <c r="RF62" s="140">
        <f>IFERROR(VLOOKUP($D62,'Adient Taizhou (China) WK.16'!$B:QD,RE$1,0),0)</f>
        <v>0</v>
      </c>
      <c r="RG62" s="128">
        <v>0</v>
      </c>
      <c r="RH62" s="32">
        <v>0</v>
      </c>
      <c r="RI62" s="100">
        <f t="shared" ref="RI62:RI66" si="646">((RC62-(RD62+RE62+RF62)+RH62))</f>
        <v>40</v>
      </c>
      <c r="RK62" s="37">
        <f t="shared" ref="RK62:RK66" si="647">RI62</f>
        <v>40</v>
      </c>
      <c r="RL62" s="141">
        <f>IFERROR(VLOOKUP($D62,'Adient Assende (Belgium) WK.17'!$B:QH,RM$1,0),0)</f>
        <v>0</v>
      </c>
      <c r="RM62" s="140">
        <f>IFERROR(VLOOKUP($D62,'Adient Arendal (Malzia) WK.12'!$B:QI,RM$1,0),0)</f>
        <v>0</v>
      </c>
      <c r="RN62" s="140">
        <f>IFERROR(VLOOKUP($D62,'Adient Taizhou (China) WK.16'!$B:QL,RM$1,0),0)</f>
        <v>0</v>
      </c>
      <c r="RO62" s="128">
        <v>0</v>
      </c>
      <c r="RP62" s="32">
        <v>0</v>
      </c>
      <c r="RQ62" s="100">
        <f t="shared" ref="RQ62:RQ66" si="648">((RK62-(RL62+RM62+RN62)+RP62))</f>
        <v>40</v>
      </c>
      <c r="RS62" s="37">
        <f t="shared" ref="RS62:RS66" si="649">RQ62</f>
        <v>40</v>
      </c>
      <c r="RT62" s="141">
        <f>IFERROR(VLOOKUP($D62,'Adient Assende (Belgium) WK.17'!$B:QP,RU$1,0),0)</f>
        <v>0</v>
      </c>
      <c r="RU62" s="140">
        <f>IFERROR(VLOOKUP($D62,'Adient Arendal (Malzia) WK.12'!$B:QQ,RU$1,0),0)</f>
        <v>0</v>
      </c>
      <c r="RV62" s="140">
        <f>IFERROR(VLOOKUP($D62,'Adient Taizhou (China) WK.16'!$B:QT,RU$1,0),0)</f>
        <v>0</v>
      </c>
      <c r="RW62" s="128">
        <v>0</v>
      </c>
      <c r="RX62" s="32">
        <v>0</v>
      </c>
      <c r="RY62" s="100">
        <f t="shared" ref="RY62:RY66" si="650">((RS62-(RT62+RU62+RV62)+RX62))</f>
        <v>40</v>
      </c>
      <c r="SA62" s="37">
        <f t="shared" ref="SA62:SA66" si="651">RY62</f>
        <v>40</v>
      </c>
      <c r="SB62" s="141">
        <f>IFERROR(VLOOKUP($D62,'Adient Assende (Belgium) WK.17'!$B:QX,SC$1,0),0)</f>
        <v>40</v>
      </c>
      <c r="SC62" s="140">
        <f>IFERROR(VLOOKUP($D62,'Adient Arendal (Malzia) WK.12'!$B:QY,SC$1,0),0)</f>
        <v>0</v>
      </c>
      <c r="SD62" s="140">
        <f>IFERROR(VLOOKUP($D62,'Adient Taizhou (China) WK.16'!$B:RB,SC$1,0),0)</f>
        <v>0</v>
      </c>
      <c r="SE62" s="128">
        <v>0</v>
      </c>
      <c r="SF62" s="32">
        <v>0</v>
      </c>
      <c r="SG62" s="100">
        <f t="shared" ref="SG62:SG66" si="652">((SA62-(SB62+SC62+SD62)+SF62))</f>
        <v>0</v>
      </c>
      <c r="SI62" s="37">
        <f t="shared" ref="SI62:SI66" si="653">SG62</f>
        <v>0</v>
      </c>
      <c r="SJ62" s="141">
        <f>IFERROR(VLOOKUP($D62,'Adient Assende (Belgium) WK.17'!$B:RF,SK$1,0),0)</f>
        <v>40</v>
      </c>
      <c r="SK62" s="140">
        <f>IFERROR(VLOOKUP($D62,'Adient Arendal (Malzia) WK.12'!$B:RG,SK$1,0),0)</f>
        <v>0</v>
      </c>
      <c r="SL62" s="140">
        <f>IFERROR(VLOOKUP($D62,'Adient Taizhou (China) WK.16'!$B:RJ,SK$1,0),0)</f>
        <v>0</v>
      </c>
      <c r="SM62" s="128">
        <v>0</v>
      </c>
      <c r="SN62" s="32">
        <v>0</v>
      </c>
      <c r="SO62" s="100">
        <f t="shared" ref="SO62:SO66" si="654">((SI62-(SJ62+SK62+SL62)+SN62))</f>
        <v>-40</v>
      </c>
      <c r="SQ62" s="37">
        <f t="shared" ref="SQ62:SQ66" si="655">SO62</f>
        <v>-40</v>
      </c>
      <c r="SR62" s="141">
        <f>IFERROR(VLOOKUP($D62,'Adient Assende (Belgium) WK.17'!$B:RN,SS$1,0),0)</f>
        <v>40</v>
      </c>
      <c r="SS62" s="140">
        <f>IFERROR(VLOOKUP($D62,'Adient Arendal (Malzia) WK.12'!$B:RO,SS$1,0),0)</f>
        <v>0</v>
      </c>
      <c r="ST62" s="140">
        <f>IFERROR(VLOOKUP($D62,'Adient Taizhou (China) WK.16'!$B:RR,SS$1,0),0)</f>
        <v>0</v>
      </c>
      <c r="SU62" s="128">
        <v>0</v>
      </c>
      <c r="SV62" s="32">
        <v>0</v>
      </c>
      <c r="SW62" s="100">
        <f t="shared" ref="SW62:SW66" si="656">((SQ62-(SR62+SS62+ST62)+SV62))</f>
        <v>-80</v>
      </c>
      <c r="SY62" s="37">
        <f t="shared" ref="SY62:SY66" si="657">SW62</f>
        <v>-80</v>
      </c>
      <c r="SZ62" s="141">
        <f>IFERROR(VLOOKUP($D62,'Adient Assende (Belgium) WK.17'!$B:RV,TA$1,0),0)</f>
        <v>40</v>
      </c>
      <c r="TA62" s="140">
        <f>IFERROR(VLOOKUP($D62,'Adient Arendal (Malzia) WK.12'!$B:RW,TA$1,0),0)</f>
        <v>0</v>
      </c>
      <c r="TB62" s="140">
        <f>IFERROR(VLOOKUP($D62,'Adient Taizhou (China) WK.16'!$B:RZ,TA$1,0),0)</f>
        <v>0</v>
      </c>
      <c r="TC62" s="128">
        <v>0</v>
      </c>
      <c r="TD62" s="32">
        <v>0</v>
      </c>
      <c r="TE62" s="100">
        <f t="shared" ref="TE62:TE66" si="658">((SY62-(SZ62+TA62+TB62)+TD62))</f>
        <v>-120</v>
      </c>
      <c r="TG62" s="37">
        <f t="shared" ref="TG62:TG66" si="659">TE62</f>
        <v>-120</v>
      </c>
      <c r="TH62" s="141">
        <f>IFERROR(VLOOKUP($D62,'Adient Assende (Belgium) WK.17'!$B:SD,TI$1,0),0)</f>
        <v>0</v>
      </c>
      <c r="TI62" s="140">
        <f>IFERROR(VLOOKUP($D62,'Adient Arendal (Malzia) WK.12'!$B:SE,TI$1,0),0)</f>
        <v>0</v>
      </c>
      <c r="TJ62" s="140">
        <f>IFERROR(VLOOKUP($D62,'Adient Taizhou (China) WK.16'!$B:SH,TI$1,0),0)</f>
        <v>0</v>
      </c>
      <c r="TK62" s="128">
        <v>0</v>
      </c>
      <c r="TL62" s="32">
        <v>0</v>
      </c>
      <c r="TM62" s="100">
        <f t="shared" ref="TM62:TM66" si="660">((TG62-(TH62+TI62+TJ62)+TL62))</f>
        <v>-120</v>
      </c>
      <c r="TO62" s="37">
        <f t="shared" ref="TO62:TO66" si="661">TM62</f>
        <v>-120</v>
      </c>
      <c r="TP62" s="141">
        <f>IFERROR(VLOOKUP($D62,'Adient Assende (Belgium) WK.17'!$B:SL,TQ$1,0),0)</f>
        <v>0</v>
      </c>
      <c r="TQ62" s="140">
        <f>IFERROR(VLOOKUP($D62,'Adient Arendal (Malzia) WK.12'!$B:SM,TQ$1,0),0)</f>
        <v>0</v>
      </c>
      <c r="TR62" s="140">
        <f>IFERROR(VLOOKUP($D62,'Adient Taizhou (China) WK.16'!$B:SP,TQ$1,0),0)</f>
        <v>0</v>
      </c>
      <c r="TS62" s="128">
        <v>0</v>
      </c>
      <c r="TT62" s="32">
        <v>0</v>
      </c>
      <c r="TU62" s="100">
        <f t="shared" ref="TU62:TU66" si="662">((TO62-(TP62+TQ62+TR62)+TT62))</f>
        <v>-120</v>
      </c>
      <c r="TW62" s="37">
        <f t="shared" ref="TW62:TW66" si="663">TU62</f>
        <v>-120</v>
      </c>
      <c r="TX62" s="141">
        <f>IFERROR(VLOOKUP($D62,'Adient Assende (Belgium) WK.17'!$B:ST,TY$1,0),0)</f>
        <v>0</v>
      </c>
      <c r="TY62" s="140">
        <f>IFERROR(VLOOKUP($D62,'Adient Arendal (Malzia) WK.12'!$B:SU,TY$1,0),0)</f>
        <v>0</v>
      </c>
      <c r="TZ62" s="140">
        <f>IFERROR(VLOOKUP($D62,'Adient Taizhou (China) WK.16'!$B:SX,TY$1,0),0)</f>
        <v>0</v>
      </c>
      <c r="UA62" s="128">
        <v>0</v>
      </c>
      <c r="UB62" s="32">
        <v>0</v>
      </c>
      <c r="UC62" s="100">
        <f t="shared" ref="UC62:UC66" si="664">((TW62-(TX62+TY62+TZ62)+UB62))</f>
        <v>-120</v>
      </c>
      <c r="UE62" s="37">
        <f t="shared" ref="UE62:UE66" si="665">UC62</f>
        <v>-120</v>
      </c>
      <c r="UF62" s="141">
        <f>IFERROR(VLOOKUP($D62,'Adient Assende (Belgium) WK.17'!$B:TB,UG$1,0),0)</f>
        <v>0</v>
      </c>
      <c r="UG62" s="140">
        <f>IFERROR(VLOOKUP($D62,'Adient Arendal (Malzia) WK.12'!$B:TC,UG$1,0),0)</f>
        <v>0</v>
      </c>
      <c r="UH62" s="140">
        <f>IFERROR(VLOOKUP($D62,'Adient Taizhou (China) WK.16'!$B:TF,UG$1,0),0)</f>
        <v>0</v>
      </c>
      <c r="UI62" s="128">
        <v>0</v>
      </c>
      <c r="UJ62" s="32">
        <v>0</v>
      </c>
      <c r="UK62" s="100">
        <f t="shared" ref="UK62:UK66" si="666">((UE62-(UF62+UG62+UH62)+UJ62))</f>
        <v>-120</v>
      </c>
      <c r="UM62" s="37">
        <f t="shared" si="527"/>
        <v>-120</v>
      </c>
      <c r="UN62" s="141">
        <f>IFERROR(VLOOKUP($D62,'Adient Assende (Belgium) WK.17'!$B:TJ,UO$1,0),0)</f>
        <v>0</v>
      </c>
      <c r="UO62" s="140">
        <f>IFERROR(VLOOKUP($D62,'Adient Arendal (Malzia) WK.12'!$B:TK,UO$1,0),0)</f>
        <v>0</v>
      </c>
      <c r="UP62" s="140">
        <f>IFERROR(VLOOKUP($D62,'Adient Taizhou (China) WK.16'!$B:TN,UO$1,0),0)</f>
        <v>0</v>
      </c>
      <c r="UQ62" s="128">
        <v>0</v>
      </c>
      <c r="UR62" s="32">
        <v>0</v>
      </c>
      <c r="US62" s="100">
        <f t="shared" si="528"/>
        <v>-120</v>
      </c>
      <c r="UU62" s="37">
        <f t="shared" si="529"/>
        <v>-120</v>
      </c>
      <c r="UV62" s="141">
        <f>IFERROR(VLOOKUP($D62,'Adient Assende (Belgium) WK.17'!$B:TR,UW$1,0),0)</f>
        <v>0</v>
      </c>
      <c r="UW62" s="140">
        <f>IFERROR(VLOOKUP($D62,'Adient Arendal (Malzia) WK.12'!$B:TS,UW$1,0),0)</f>
        <v>0</v>
      </c>
      <c r="UX62" s="140">
        <f>IFERROR(VLOOKUP($D62,'Adient Taizhou (China) WK.16'!$B:TV,UW$1,0),0)</f>
        <v>0</v>
      </c>
      <c r="UY62" s="128">
        <v>0</v>
      </c>
      <c r="UZ62" s="32">
        <v>0</v>
      </c>
      <c r="VA62" s="100">
        <f t="shared" si="530"/>
        <v>-120</v>
      </c>
      <c r="VC62" s="37">
        <f t="shared" si="531"/>
        <v>-120</v>
      </c>
      <c r="VD62" s="141">
        <f>IFERROR(VLOOKUP($D62,'Adient Assende (Belgium) WK.17'!$B:TZ,VE$1,0),0)</f>
        <v>0</v>
      </c>
      <c r="VE62" s="140">
        <f>IFERROR(VLOOKUP($D62,'Adient Arendal (Malzia) WK.12'!$B:UA,VE$1,0),0)</f>
        <v>0</v>
      </c>
      <c r="VF62" s="140">
        <f>IFERROR(VLOOKUP($D62,'Adient Taizhou (China) WK.16'!$B:UD,VE$1,0),0)</f>
        <v>0</v>
      </c>
      <c r="VG62" s="128">
        <v>0</v>
      </c>
      <c r="VH62" s="32">
        <v>0</v>
      </c>
      <c r="VI62" s="100">
        <f t="shared" si="532"/>
        <v>-120</v>
      </c>
      <c r="VK62" s="37">
        <f t="shared" si="533"/>
        <v>-120</v>
      </c>
      <c r="VL62" s="141">
        <f>IFERROR(VLOOKUP($D62,'Adient Assende (Belgium) WK.17'!$B:UH,VM$1,0),0)</f>
        <v>0</v>
      </c>
      <c r="VM62" s="140">
        <f>IFERROR(VLOOKUP($D62,'Adient Arendal (Malzia) WK.12'!$B:UI,VM$1,0),0)</f>
        <v>0</v>
      </c>
      <c r="VN62" s="140">
        <f>IFERROR(VLOOKUP($D62,'Adient Taizhou (China) WK.16'!$B:UL,VM$1,0),0)</f>
        <v>0</v>
      </c>
      <c r="VO62" s="128">
        <v>0</v>
      </c>
      <c r="VP62" s="32">
        <v>0</v>
      </c>
      <c r="VQ62" s="100">
        <f t="shared" si="534"/>
        <v>-120</v>
      </c>
    </row>
    <row r="63" spans="1:589" x14ac:dyDescent="0.25">
      <c r="A63" s="10" t="s">
        <v>18</v>
      </c>
      <c r="B63" s="11" t="s">
        <v>17</v>
      </c>
      <c r="C63" s="87">
        <v>32272086</v>
      </c>
      <c r="D63" s="81">
        <v>4264994</v>
      </c>
      <c r="E63" s="11">
        <v>20</v>
      </c>
      <c r="F63" s="168"/>
      <c r="H63" s="122">
        <v>0</v>
      </c>
      <c r="I63" s="125">
        <f>IFERROR(VLOOKUP($D63,'Adient Assende (Belgium) WK.17'!$B:C,J$1,0),0)</f>
        <v>0</v>
      </c>
      <c r="J63" s="55">
        <f>IFERROR(VLOOKUP($D63,'Adient Arendal (Malzia) WK.12'!$B:C,J$1,0),0)</f>
        <v>0</v>
      </c>
      <c r="K63" s="55">
        <f>IFERROR(VLOOKUP($D63,'Adient Taizhou (China) WK.16'!$B:C,J$1,0),0)</f>
        <v>0</v>
      </c>
      <c r="L63" s="128">
        <v>0</v>
      </c>
      <c r="M63" s="32">
        <v>0</v>
      </c>
      <c r="N63" s="106">
        <f t="shared" si="544"/>
        <v>0</v>
      </c>
      <c r="P63" s="37">
        <f t="shared" si="545"/>
        <v>0</v>
      </c>
      <c r="Q63" s="125">
        <f>IFERROR(VLOOKUP($D63,'Adient Assende (Belgium) WK.17'!$B:K,R$1,0),0)</f>
        <v>0</v>
      </c>
      <c r="R63" s="55">
        <f>IFERROR(VLOOKUP($D63,'Adient Arendal (Malzia) WK.12'!$B:K,R$1,0),0)</f>
        <v>0</v>
      </c>
      <c r="S63" s="55">
        <f>IFERROR(VLOOKUP($D63,'Adient Taizhou (China) WK.16'!$B:K,R$1,0),0)</f>
        <v>0</v>
      </c>
      <c r="T63" s="41">
        <v>0</v>
      </c>
      <c r="U63" s="32">
        <v>0</v>
      </c>
      <c r="V63" s="106">
        <f t="shared" si="546"/>
        <v>0</v>
      </c>
      <c r="X63" s="37">
        <f t="shared" si="547"/>
        <v>0</v>
      </c>
      <c r="Y63" s="125">
        <f>IFERROR(VLOOKUP($D63,'Adient Assende (Belgium) WK.17'!$B:S,Z$1,0),0)</f>
        <v>0</v>
      </c>
      <c r="Z63" s="55">
        <f>IFERROR(VLOOKUP($D63,'Adient Arendal (Malzia) WK.12'!$B:S,Z$1,0),0)</f>
        <v>0</v>
      </c>
      <c r="AA63" s="55">
        <f>IFERROR(VLOOKUP($D63,'Adient Taizhou (China) WK.16'!$B:S,Z$1,0),0)</f>
        <v>0</v>
      </c>
      <c r="AB63" s="41">
        <v>0</v>
      </c>
      <c r="AC63" s="32">
        <v>0</v>
      </c>
      <c r="AD63" s="106">
        <f t="shared" si="548"/>
        <v>0</v>
      </c>
      <c r="AF63" s="37">
        <f t="shared" si="549"/>
        <v>0</v>
      </c>
      <c r="AG63" s="125">
        <f>IFERROR(VLOOKUP($D63,'Adient Assende (Belgium) WK.17'!$B:AA,AH$1,0),0)</f>
        <v>0</v>
      </c>
      <c r="AH63" s="55">
        <f>IFERROR(VLOOKUP($D63,'Adient Arendal (Malzia) WK.12'!$B:AA,AH$1,0),0)</f>
        <v>0</v>
      </c>
      <c r="AI63" s="55">
        <f>IFERROR(VLOOKUP($D63,'Adient Taizhou (China) WK.16'!$B:AA,AH$1,0),0)</f>
        <v>0</v>
      </c>
      <c r="AJ63" s="41">
        <v>0</v>
      </c>
      <c r="AK63" s="32">
        <v>0</v>
      </c>
      <c r="AL63" s="106">
        <f t="shared" si="550"/>
        <v>0</v>
      </c>
      <c r="AN63" s="37">
        <f t="shared" si="551"/>
        <v>0</v>
      </c>
      <c r="AO63" s="125">
        <f>IFERROR(VLOOKUP($D63,'Adient Assende (Belgium) WK.17'!$B:AI,AP$1,0),0)</f>
        <v>0</v>
      </c>
      <c r="AP63" s="55">
        <f>IFERROR(VLOOKUP($D63,'Adient Arendal (Malzia) WK.12'!$B:AI,AP$1,0),0)</f>
        <v>0</v>
      </c>
      <c r="AQ63" s="55">
        <f>IFERROR(VLOOKUP($D63,'Adient Taizhou (China) WK.16'!$B:AI,AP$1,0),0)</f>
        <v>0</v>
      </c>
      <c r="AR63" s="60">
        <v>0</v>
      </c>
      <c r="AS63" s="41">
        <v>0</v>
      </c>
      <c r="AT63" s="32">
        <v>0</v>
      </c>
      <c r="AU63" s="106">
        <f t="shared" si="552"/>
        <v>0</v>
      </c>
      <c r="AW63" s="37">
        <f t="shared" si="553"/>
        <v>0</v>
      </c>
      <c r="AX63" s="125">
        <f>IFERROR(VLOOKUP($D63,'Adient Assende (Belgium) WK.17'!$B:AR,AY$1,0),0)</f>
        <v>0</v>
      </c>
      <c r="AY63" s="55">
        <f>IFERROR(VLOOKUP($D63,'Adient Arendal (Malzia) WK.12'!$B:AR,AY$1,0),0)</f>
        <v>0</v>
      </c>
      <c r="AZ63" s="55">
        <f>IFERROR(VLOOKUP($D63,'Adient Taizhou (China) WK.16'!$B:AU,AY$1,0),0)</f>
        <v>0</v>
      </c>
      <c r="BA63" s="41">
        <v>0</v>
      </c>
      <c r="BB63" s="32">
        <v>0</v>
      </c>
      <c r="BC63" s="106">
        <f t="shared" si="554"/>
        <v>0</v>
      </c>
      <c r="BE63" s="37">
        <f t="shared" si="555"/>
        <v>0</v>
      </c>
      <c r="BF63" s="125">
        <f>IFERROR(VLOOKUP($D63,'Adient Assende (Belgium) WK.17'!$B:AX,BG$1,0),0)</f>
        <v>0</v>
      </c>
      <c r="BG63" s="55">
        <f>IFERROR(VLOOKUP($D63,'Adient Arendal (Malzia) WK.12'!$B:AZ,BG$1,0),0)</f>
        <v>0</v>
      </c>
      <c r="BH63" s="55">
        <f>IFERROR(VLOOKUP($D63,'Adient Taizhou (China) WK.16'!$B:BB,BG$1,0),0)</f>
        <v>0</v>
      </c>
      <c r="BI63" s="60">
        <v>0</v>
      </c>
      <c r="BJ63" s="60">
        <v>0</v>
      </c>
      <c r="BK63" s="41">
        <v>0</v>
      </c>
      <c r="BL63" s="32">
        <v>0</v>
      </c>
      <c r="BM63" s="106">
        <f t="shared" si="556"/>
        <v>0</v>
      </c>
      <c r="BN63" s="8"/>
      <c r="BO63" s="37">
        <f t="shared" si="557"/>
        <v>0</v>
      </c>
      <c r="BP63" s="125">
        <f>IFERROR(VLOOKUP($D63,'Adient Assende (Belgium) WK.17'!$B:BH,BQ$1,0),0)</f>
        <v>0</v>
      </c>
      <c r="BQ63" s="55">
        <f>IFERROR(VLOOKUP($D63,'Adient Arendal (Malzia) WK.12'!$B:BI,BQ$1,0),0)</f>
        <v>0</v>
      </c>
      <c r="BR63" s="55">
        <f>IFERROR(VLOOKUP($D63,'Adient Taizhou (China) WK.16'!$B:BL,BQ$1,0),0)</f>
        <v>0</v>
      </c>
      <c r="BS63" s="60">
        <v>0</v>
      </c>
      <c r="BT63" s="60">
        <v>0</v>
      </c>
      <c r="BU63" s="60">
        <v>0</v>
      </c>
      <c r="BV63" s="41">
        <v>0</v>
      </c>
      <c r="BW63" s="32">
        <v>0</v>
      </c>
      <c r="BX63" s="106">
        <f t="shared" si="558"/>
        <v>0</v>
      </c>
      <c r="BY63" s="8"/>
      <c r="BZ63" s="37">
        <f t="shared" si="559"/>
        <v>0</v>
      </c>
      <c r="CA63" s="125">
        <f>IFERROR(VLOOKUP($D63,'Adient Assende (Belgium) WK.17'!$B:BS,CB$1,0),0)</f>
        <v>0</v>
      </c>
      <c r="CB63" s="55">
        <f>IFERROR(VLOOKUP($D63,'Adient Arendal (Malzia) WK.12'!$B:BT,CB$1,0),0)</f>
        <v>0</v>
      </c>
      <c r="CC63" s="55">
        <f>IFERROR(VLOOKUP($D63,'Adient Taizhou (China) WK.16'!$B:BW,CB$1,0),0)</f>
        <v>0</v>
      </c>
      <c r="CD63" s="60">
        <v>0</v>
      </c>
      <c r="CE63" s="60">
        <v>0</v>
      </c>
      <c r="CF63" s="41">
        <v>0</v>
      </c>
      <c r="CG63" s="32">
        <v>0</v>
      </c>
      <c r="CH63" s="106">
        <f t="shared" si="560"/>
        <v>0</v>
      </c>
      <c r="CI63" s="8"/>
      <c r="CJ63" s="37">
        <f t="shared" si="561"/>
        <v>0</v>
      </c>
      <c r="CK63" s="125">
        <f>IFERROR(VLOOKUP($D63,'Adient Assende (Belgium) WK.17'!$B:CC,CL$1,0),0)</f>
        <v>0</v>
      </c>
      <c r="CL63" s="55">
        <f>IFERROR(VLOOKUP($D63,'Adient Arendal (Malzia) WK.12'!$B:CD,CL$1,0),0)</f>
        <v>0</v>
      </c>
      <c r="CM63" s="55">
        <f>IFERROR(VLOOKUP($D63,'Adient Taizhou (China) WK.16'!$B:CG,CL$1,0),0)</f>
        <v>0</v>
      </c>
      <c r="CN63" s="60">
        <v>0</v>
      </c>
      <c r="CO63" s="149">
        <v>0</v>
      </c>
      <c r="CP63" s="32">
        <v>0</v>
      </c>
      <c r="CQ63" s="106">
        <f t="shared" si="562"/>
        <v>0</v>
      </c>
      <c r="CR63" s="8"/>
      <c r="CS63" s="122">
        <f t="shared" si="563"/>
        <v>0</v>
      </c>
      <c r="CT63" s="154">
        <f>IFERROR(VLOOKUP($D63,'Adient Assende (Belgium) WK.17'!$B:CL,CU$1,0),0)</f>
        <v>0</v>
      </c>
      <c r="CU63" s="55">
        <f>IFERROR(VLOOKUP($D63,'Adient Arendal (Malzia) WK.12'!$B:CM,CU$1,0),0)</f>
        <v>0</v>
      </c>
      <c r="CV63" s="55">
        <f>IFERROR(VLOOKUP($D63,'Adient Taizhou (China) WK.16'!$B:CP,CU$1,0),0)</f>
        <v>0</v>
      </c>
      <c r="CW63" s="60">
        <v>0</v>
      </c>
      <c r="CX63" s="60">
        <v>0</v>
      </c>
      <c r="CY63" s="128">
        <v>0</v>
      </c>
      <c r="CZ63" s="32">
        <v>0</v>
      </c>
      <c r="DA63" s="106">
        <f t="shared" si="564"/>
        <v>0</v>
      </c>
      <c r="DB63" s="8"/>
      <c r="DC63" s="37">
        <f t="shared" si="565"/>
        <v>0</v>
      </c>
      <c r="DD63" s="125">
        <f>IFERROR(VLOOKUP($D63,'Adient Assende (Belgium) WK.17'!$B:CS,DE$1,0),0)</f>
        <v>0</v>
      </c>
      <c r="DE63" s="55">
        <f>IFERROR(VLOOKUP($D63,'Adient Arendal (Malzia) WK.12'!$B:CU,DE$1,0),0)</f>
        <v>0</v>
      </c>
      <c r="DF63" s="55">
        <f>IFERROR(VLOOKUP($D63,'Adient Taizhou (China) WK.16'!$B:CX,DE$1,0),0)</f>
        <v>0</v>
      </c>
      <c r="DG63" s="60">
        <v>0</v>
      </c>
      <c r="DH63" s="128">
        <v>0</v>
      </c>
      <c r="DI63" s="32">
        <v>0</v>
      </c>
      <c r="DJ63" s="106">
        <f t="shared" si="566"/>
        <v>0</v>
      </c>
      <c r="DL63" s="37">
        <f t="shared" si="567"/>
        <v>0</v>
      </c>
      <c r="DM63" s="125">
        <f>IFERROR(VLOOKUP($D63,'Adient Assende (Belgium) WK.17'!$B:DB,DN$1,0),0)</f>
        <v>0</v>
      </c>
      <c r="DN63" s="55">
        <f>IFERROR(VLOOKUP($D63,'Adient Arendal (Malzia) WK.12'!$B:DC,DN$1,0),0)</f>
        <v>0</v>
      </c>
      <c r="DO63" s="55">
        <f>IFERROR(VLOOKUP($D63,'Adient Taizhou (China) WK.16'!$B:DF,DN$1,0),0)</f>
        <v>0</v>
      </c>
      <c r="DP63" s="128">
        <v>0</v>
      </c>
      <c r="DQ63" s="32">
        <v>0</v>
      </c>
      <c r="DR63" s="106">
        <f t="shared" si="568"/>
        <v>0</v>
      </c>
      <c r="DS63" s="8"/>
      <c r="DT63" s="37">
        <f t="shared" si="569"/>
        <v>0</v>
      </c>
      <c r="DU63" s="125">
        <f>IFERROR(VLOOKUP($D63,'Adient Assende (Belgium) WK.17'!$B:DJ,DV$1,0),0)</f>
        <v>0</v>
      </c>
      <c r="DV63" s="55">
        <f>IFERROR(VLOOKUP($D63,'Adient Arendal (Malzia) WK.12'!$B:DK,DV$1,0),0)</f>
        <v>0</v>
      </c>
      <c r="DW63" s="55">
        <f>IFERROR(VLOOKUP($D63,'Adient Taizhou (China) WK.16'!$B:DN,DV$1,0),0)</f>
        <v>0</v>
      </c>
      <c r="DX63" s="60">
        <v>0</v>
      </c>
      <c r="DY63" s="60">
        <v>0</v>
      </c>
      <c r="DZ63" s="128">
        <v>0</v>
      </c>
      <c r="EA63" s="32">
        <v>0</v>
      </c>
      <c r="EB63" s="106">
        <f t="shared" si="570"/>
        <v>0</v>
      </c>
      <c r="EC63" s="8"/>
      <c r="ED63" s="37">
        <f t="shared" si="571"/>
        <v>0</v>
      </c>
      <c r="EE63" s="125">
        <f>IFERROR(VLOOKUP($D63,'Adient Assende (Belgium) WK.17'!$B:DR,EF$1,0),0)</f>
        <v>0</v>
      </c>
      <c r="EF63" s="55">
        <f>IFERROR(VLOOKUP($D63,'Adient Arendal (Malzia) WK.12'!$B:DS,EF$1,0),0)</f>
        <v>0</v>
      </c>
      <c r="EG63" s="55">
        <f>IFERROR(VLOOKUP($D63,'Adient Taizhou (China) WK.16'!$B:DV,EF$1,0),0)</f>
        <v>0</v>
      </c>
      <c r="EH63" s="60">
        <v>0</v>
      </c>
      <c r="EI63" s="128">
        <v>0</v>
      </c>
      <c r="EJ63" s="32">
        <v>0</v>
      </c>
      <c r="EK63" s="106">
        <f t="shared" si="572"/>
        <v>0</v>
      </c>
      <c r="EM63" s="37">
        <f t="shared" si="573"/>
        <v>0</v>
      </c>
      <c r="EN63" s="125">
        <f>IFERROR(VLOOKUP($D63,'Adient Assende (Belgium) WK.17'!$B:DZ,EO$1,0),0)</f>
        <v>0</v>
      </c>
      <c r="EO63" s="55">
        <f>IFERROR(VLOOKUP($D63,'Adient Arendal (Malzia) WK.12'!$B:EA,EO$1,0),0)</f>
        <v>0</v>
      </c>
      <c r="EP63" s="55">
        <f>IFERROR(VLOOKUP($D63,'Adient Taizhou (China) WK.16'!$B:ED,EO$1,0),0)</f>
        <v>0</v>
      </c>
      <c r="EQ63" s="128">
        <v>0</v>
      </c>
      <c r="ER63" s="32">
        <v>0</v>
      </c>
      <c r="ES63" s="106">
        <f t="shared" si="574"/>
        <v>0</v>
      </c>
      <c r="EU63" s="37">
        <f t="shared" si="575"/>
        <v>0</v>
      </c>
      <c r="EV63" s="125">
        <f>IFERROR(VLOOKUP($D63,'Adient Assende (Belgium) WK.17'!$B:EH,EW$1,0),0)</f>
        <v>0</v>
      </c>
      <c r="EW63" s="55">
        <f>IFERROR(VLOOKUP($D63,'Adient Arendal (Malzia) WK.12'!$B:EI,EW$1,0),0)</f>
        <v>0</v>
      </c>
      <c r="EX63" s="55">
        <f>IFERROR(VLOOKUP($D63,'Adient Taizhou (China) WK.16'!$B:EL,EW$1,0),0)</f>
        <v>0</v>
      </c>
      <c r="EY63" s="128">
        <v>0</v>
      </c>
      <c r="EZ63" s="32">
        <v>0</v>
      </c>
      <c r="FA63" s="106">
        <f t="shared" si="576"/>
        <v>0</v>
      </c>
      <c r="FC63" s="37">
        <f t="shared" si="577"/>
        <v>0</v>
      </c>
      <c r="FD63" s="154">
        <f>IFERROR(VLOOKUP($D63,'Adient Assende (Belgium) WK.17'!$B:EP,FE$1,0),0)</f>
        <v>0</v>
      </c>
      <c r="FE63" s="154">
        <f>IFERROR(VLOOKUP($D63,'Adient Arendal (Malzia) WK.12'!$B:EQ,FE$1,0),0)</f>
        <v>0</v>
      </c>
      <c r="FF63" s="154">
        <f>IFERROR(VLOOKUP($D63,'Adient Taizhou (China) WK.16'!$B:ET,FE$1,0),0)</f>
        <v>0</v>
      </c>
      <c r="FG63" s="128">
        <v>0</v>
      </c>
      <c r="FH63" s="32">
        <v>0</v>
      </c>
      <c r="FI63" s="106">
        <f t="shared" si="578"/>
        <v>0</v>
      </c>
      <c r="FK63" s="37">
        <f t="shared" si="579"/>
        <v>0</v>
      </c>
      <c r="FL63" s="125">
        <f>IFERROR(VLOOKUP($D63,'Adient Assende (Belgium) WK.17'!$B:EX,FM$1,0),0)</f>
        <v>0</v>
      </c>
      <c r="FM63" s="55">
        <f>IFERROR(VLOOKUP($D63,'Adient Arendal (Malzia) WK.12'!$B:EY,FM$1,0),0)</f>
        <v>0</v>
      </c>
      <c r="FN63" s="55">
        <f>IFERROR(VLOOKUP($D63,'Adient Taizhou (China) WK.16'!$B:FB,FM$1,0),0)</f>
        <v>0</v>
      </c>
      <c r="FO63" s="128">
        <v>0</v>
      </c>
      <c r="FP63" s="32">
        <v>0</v>
      </c>
      <c r="FQ63" s="106">
        <f t="shared" si="580"/>
        <v>0</v>
      </c>
      <c r="FR63" s="8"/>
      <c r="FS63" s="37">
        <f t="shared" si="581"/>
        <v>0</v>
      </c>
      <c r="FT63" s="125">
        <f>IFERROR(VLOOKUP($D63,'Adient Assende (Belgium) WK.17'!$B:FF,FU$1,0),0)</f>
        <v>0</v>
      </c>
      <c r="FU63" s="55">
        <f>IFERROR(VLOOKUP($D63,'Adient Arendal (Malzia) WK.12'!$B:FG,FU$1,0),0)</f>
        <v>0</v>
      </c>
      <c r="FV63" s="55">
        <f>IFERROR(VLOOKUP($D63,'Adient Taizhou (China) WK.16'!$B:FJ,FU$1,0),0)</f>
        <v>0</v>
      </c>
      <c r="FW63" s="60">
        <v>0</v>
      </c>
      <c r="FX63" s="60">
        <v>0</v>
      </c>
      <c r="FY63" s="60">
        <v>0</v>
      </c>
      <c r="FZ63" s="60">
        <v>0</v>
      </c>
      <c r="GA63" s="60">
        <v>0</v>
      </c>
      <c r="GB63" s="128">
        <v>0</v>
      </c>
      <c r="GC63" s="32">
        <v>0</v>
      </c>
      <c r="GD63" s="106">
        <f t="shared" si="582"/>
        <v>0</v>
      </c>
      <c r="GF63" s="37">
        <f t="shared" si="583"/>
        <v>0</v>
      </c>
      <c r="GG63" s="125">
        <f>IFERROR(VLOOKUP($D63,'Adient Assende (Belgium) WK.17'!$B:FN,GH$1,0),0)</f>
        <v>0</v>
      </c>
      <c r="GH63" s="55">
        <f>IFERROR(VLOOKUP($D63,'Adient Arendal (Malzia) WK.12'!$B:FO,GH$1,0),0)</f>
        <v>0</v>
      </c>
      <c r="GI63" s="55">
        <f>IFERROR(VLOOKUP($D63,'Adient Taizhou (China) WK.16'!$B:FR,GH$1,0),0)</f>
        <v>0</v>
      </c>
      <c r="GJ63" s="60">
        <v>0</v>
      </c>
      <c r="GK63" s="128">
        <v>0</v>
      </c>
      <c r="GL63" s="32">
        <v>0</v>
      </c>
      <c r="GM63" s="106">
        <f t="shared" si="584"/>
        <v>0</v>
      </c>
      <c r="GO63" s="37">
        <f t="shared" si="585"/>
        <v>0</v>
      </c>
      <c r="GP63" s="125">
        <f>IFERROR(VLOOKUP($D63,'Adient Assende (Belgium) WK.17'!$B:FV,GQ$1,0),0)</f>
        <v>0</v>
      </c>
      <c r="GQ63" s="55">
        <f>IFERROR(VLOOKUP($D63,'Adient Arendal (Malzia) WK.12'!$B:FW,GQ$1,0),0)</f>
        <v>0</v>
      </c>
      <c r="GR63" s="55">
        <f>IFERROR(VLOOKUP($D63,'Adient Taizhou (China) WK.16'!$B:FZ,GQ$1,0),0)</f>
        <v>0</v>
      </c>
      <c r="GS63" s="60">
        <v>0</v>
      </c>
      <c r="GT63" s="128">
        <v>0</v>
      </c>
      <c r="GU63" s="32">
        <v>0</v>
      </c>
      <c r="GV63" s="106">
        <f t="shared" si="586"/>
        <v>0</v>
      </c>
      <c r="GW63" s="8"/>
      <c r="GX63" s="37">
        <f t="shared" si="587"/>
        <v>0</v>
      </c>
      <c r="GY63" s="125">
        <f>IFERROR(VLOOKUP($D63,'Adient Assende (Belgium) WK.17'!$B:GD,GZ$1,0),0)</f>
        <v>0</v>
      </c>
      <c r="GZ63" s="55">
        <f>IFERROR(VLOOKUP($D63,'Adient Arendal (Malzia) WK.12'!$B:GE,GZ$1,0),0)</f>
        <v>0</v>
      </c>
      <c r="HA63" s="55">
        <f>IFERROR(VLOOKUP($D63,'Adient Taizhou (China) WK.16'!$B:GH,GZ$1,0),0)</f>
        <v>0</v>
      </c>
      <c r="HB63" s="60">
        <v>0</v>
      </c>
      <c r="HC63" s="128">
        <v>0</v>
      </c>
      <c r="HD63" s="32">
        <v>0</v>
      </c>
      <c r="HE63" s="106">
        <f t="shared" si="588"/>
        <v>0</v>
      </c>
      <c r="HF63" s="8"/>
      <c r="HG63" s="37">
        <f t="shared" si="589"/>
        <v>0</v>
      </c>
      <c r="HH63" s="125">
        <f>IFERROR(VLOOKUP($D63,'Adient Assende (Belgium) WK.17'!$B:GL,HI$1,0),0)</f>
        <v>0</v>
      </c>
      <c r="HI63" s="55">
        <f>IFERROR(VLOOKUP($D63,'Adient Arendal (Malzia) WK.12'!$B:GM,HI$1,0),0)</f>
        <v>0</v>
      </c>
      <c r="HJ63" s="55">
        <f>IFERROR(VLOOKUP($D63,'Adient Taizhou (China) WK.16'!$B:GP,HI$1,0),0)</f>
        <v>0</v>
      </c>
      <c r="HK63" s="60">
        <v>0</v>
      </c>
      <c r="HL63" s="128">
        <v>0</v>
      </c>
      <c r="HM63" s="32">
        <v>0</v>
      </c>
      <c r="HN63" s="106">
        <f t="shared" si="590"/>
        <v>0</v>
      </c>
      <c r="HO63" s="8"/>
      <c r="HP63" s="37">
        <f t="shared" si="591"/>
        <v>0</v>
      </c>
      <c r="HQ63" s="125">
        <f>IFERROR(VLOOKUP($D63,'Adient Assende (Belgium) WK.17'!$B:GT,HR$1,0),0)</f>
        <v>0</v>
      </c>
      <c r="HR63" s="55">
        <f>IFERROR(VLOOKUP($D63,'Adient Arendal (Malzia) WK.12'!$B:GU,HR$1,0),0)</f>
        <v>0</v>
      </c>
      <c r="HS63" s="55">
        <f>IFERROR(VLOOKUP($D63,'Adient Taizhou (China) WK.16'!$B:GX,HR$1,0),0)</f>
        <v>0</v>
      </c>
      <c r="HT63" s="60">
        <v>0</v>
      </c>
      <c r="HU63" s="128">
        <v>0</v>
      </c>
      <c r="HV63" s="32">
        <v>0</v>
      </c>
      <c r="HW63" s="106">
        <f t="shared" si="592"/>
        <v>0</v>
      </c>
      <c r="HX63" s="8"/>
      <c r="HY63" s="37">
        <f t="shared" si="593"/>
        <v>0</v>
      </c>
      <c r="HZ63" s="125">
        <f>IFERROR(VLOOKUP($D63,'Adient Assende (Belgium) WK.17'!$B:HB,IA$1,0),0)</f>
        <v>0</v>
      </c>
      <c r="IA63" s="55">
        <f>IFERROR(VLOOKUP($D63,'Adient Arendal (Malzia) WK.12'!$B:HC,IA$1,0),0)</f>
        <v>0</v>
      </c>
      <c r="IB63" s="55">
        <f>IFERROR(VLOOKUP($D63,'Adient Taizhou (China) WK.16'!$B:HF,IA$1,0),0)</f>
        <v>0</v>
      </c>
      <c r="IC63" s="60">
        <v>0</v>
      </c>
      <c r="ID63" s="128">
        <v>0</v>
      </c>
      <c r="IE63" s="32">
        <v>0</v>
      </c>
      <c r="IF63" s="106">
        <f t="shared" si="594"/>
        <v>0</v>
      </c>
      <c r="IG63" s="8"/>
      <c r="IH63" s="37">
        <f t="shared" si="595"/>
        <v>0</v>
      </c>
      <c r="II63" s="125">
        <f>IFERROR(VLOOKUP($D63,'Adient Assende (Belgium) WK.17'!$B:HJ,IJ$1,0),0)</f>
        <v>0</v>
      </c>
      <c r="IJ63" s="55">
        <f>IFERROR(VLOOKUP($D63,'Adient Arendal (Malzia) WK.12'!$B:HK,IJ$1,0),0)</f>
        <v>0</v>
      </c>
      <c r="IK63" s="55">
        <f>IFERROR(VLOOKUP($D63,'Adient Taizhou (China) WK.16'!$B:HN,IJ$1,0),0)</f>
        <v>0</v>
      </c>
      <c r="IL63" s="128">
        <v>0</v>
      </c>
      <c r="IM63" s="32">
        <v>0</v>
      </c>
      <c r="IN63" s="106">
        <f t="shared" si="596"/>
        <v>0</v>
      </c>
      <c r="IO63" s="8"/>
      <c r="IP63" s="37">
        <f t="shared" si="597"/>
        <v>0</v>
      </c>
      <c r="IQ63" s="125">
        <f>IFERROR(VLOOKUP($D63,'Adient Assende (Belgium) WK.17'!$B:HR,IR$1,0),0)</f>
        <v>0</v>
      </c>
      <c r="IR63" s="55">
        <f>IFERROR(VLOOKUP($D63,'Adient Arendal (Malzia) WK.12'!$B:HS,IR$1,0),0)</f>
        <v>0</v>
      </c>
      <c r="IS63" s="55">
        <f>IFERROR(VLOOKUP($D63,'Adient Taizhou (China) WK.16'!$B:HV,IR$1,0),0)</f>
        <v>0</v>
      </c>
      <c r="IT63" s="60">
        <v>0</v>
      </c>
      <c r="IU63" s="128">
        <v>0</v>
      </c>
      <c r="IV63" s="32">
        <v>0</v>
      </c>
      <c r="IW63" s="106">
        <f t="shared" si="598"/>
        <v>0</v>
      </c>
      <c r="IX63" s="8"/>
      <c r="IY63" s="37">
        <f t="shared" si="599"/>
        <v>0</v>
      </c>
      <c r="IZ63" s="125">
        <f>IFERROR(VLOOKUP($D63,'Adient Assende (Belgium) WK.17'!$B:HZ,JA$1,0),0)</f>
        <v>0</v>
      </c>
      <c r="JA63" s="55">
        <f>IFERROR(VLOOKUP($D63,'Adient Arendal (Malzia) WK.12'!$B:IA,JA$1,0),0)</f>
        <v>0</v>
      </c>
      <c r="JB63" s="55">
        <f>IFERROR(VLOOKUP($D63,'Adient Taizhou (China) WK.16'!$B:ID,JA$1,0),0)</f>
        <v>0</v>
      </c>
      <c r="JC63" s="128">
        <v>0</v>
      </c>
      <c r="JD63" s="32">
        <v>0</v>
      </c>
      <c r="JE63" s="106">
        <f t="shared" si="600"/>
        <v>0</v>
      </c>
      <c r="JF63" s="8"/>
      <c r="JG63" s="37">
        <f t="shared" si="601"/>
        <v>0</v>
      </c>
      <c r="JH63" s="125">
        <f>IFERROR(VLOOKUP($D63,'Adient Assende (Belgium) WK.17'!$B:IH,JI$1,0),0)</f>
        <v>0</v>
      </c>
      <c r="JI63" s="55">
        <f>IFERROR(VLOOKUP($D63,'Adient Arendal (Malzia) WK.12'!$B:II,JI$1,0),0)</f>
        <v>0</v>
      </c>
      <c r="JJ63" s="55">
        <f>IFERROR(VLOOKUP($D63,'Adient Taizhou (China) WK.16'!$B:IL,JI$1,0),0)</f>
        <v>0</v>
      </c>
      <c r="JK63" s="60">
        <v>0</v>
      </c>
      <c r="JL63" s="128">
        <v>0</v>
      </c>
      <c r="JM63" s="32">
        <v>0</v>
      </c>
      <c r="JN63" s="106">
        <f t="shared" si="602"/>
        <v>0</v>
      </c>
      <c r="JO63" s="8"/>
      <c r="JP63" s="37">
        <f t="shared" si="603"/>
        <v>0</v>
      </c>
      <c r="JQ63" s="125">
        <f>IFERROR(VLOOKUP($D63,'Adient Assende (Belgium) WK.17'!$B:IP,JR$1,0),0)</f>
        <v>0</v>
      </c>
      <c r="JR63" s="55">
        <f>IFERROR(VLOOKUP($D63,'Adient Arendal (Malzia) WK.12'!$B:IQ,JR$1,0),0)</f>
        <v>0</v>
      </c>
      <c r="JS63" s="55">
        <f>IFERROR(VLOOKUP($D63,'Adient Taizhou (China) WK.16'!$B:IT,JR$1,0),0)</f>
        <v>0</v>
      </c>
      <c r="JT63" s="128">
        <v>0</v>
      </c>
      <c r="JU63" s="32">
        <v>0</v>
      </c>
      <c r="JV63" s="106">
        <f t="shared" si="462"/>
        <v>0</v>
      </c>
      <c r="JW63" s="8"/>
      <c r="JX63" s="37">
        <f t="shared" si="604"/>
        <v>0</v>
      </c>
      <c r="JY63" s="154">
        <f>IFERROR(VLOOKUP($D63,'Adient Assende (Belgium) WK.17'!$B:IX,JZ$1,0),0)</f>
        <v>0</v>
      </c>
      <c r="JZ63" s="55">
        <f>IFERROR(VLOOKUP($D63,'Adient Arendal (Malzia) WK.12'!$B:IY,JZ$1,0),0)</f>
        <v>0</v>
      </c>
      <c r="KA63" s="55">
        <f>IFERROR(VLOOKUP($D63,'Adient Taizhou (China) WK.16'!$B:JB,JZ$1,0),0)</f>
        <v>0</v>
      </c>
      <c r="KB63" s="128">
        <v>0</v>
      </c>
      <c r="KC63" s="32">
        <v>0</v>
      </c>
      <c r="KD63" s="106">
        <f t="shared" si="263"/>
        <v>0</v>
      </c>
      <c r="KE63" s="8"/>
      <c r="KF63" s="37">
        <f t="shared" si="605"/>
        <v>0</v>
      </c>
      <c r="KG63" s="125">
        <f>IFERROR(VLOOKUP($D63,'Adient Assende (Belgium) WK.17'!$B:JF,KH$1,0),0)</f>
        <v>0</v>
      </c>
      <c r="KH63" s="55">
        <f>IFERROR(VLOOKUP($D63,'Adient Arendal (Malzia) WK.12'!$B:JG,KH$1,0),0)</f>
        <v>0</v>
      </c>
      <c r="KI63" s="55">
        <f>IFERROR(VLOOKUP($D63,'Adient Taizhou (China) WK.16'!$B:JJ,KH$1,0),0)</f>
        <v>0</v>
      </c>
      <c r="KJ63" s="60">
        <v>100</v>
      </c>
      <c r="KK63" s="128">
        <v>0</v>
      </c>
      <c r="KL63" s="32">
        <v>0</v>
      </c>
      <c r="KM63" s="106">
        <f t="shared" si="264"/>
        <v>100</v>
      </c>
      <c r="KN63" s="8"/>
      <c r="KO63" s="37">
        <f t="shared" si="606"/>
        <v>100</v>
      </c>
      <c r="KP63" s="141">
        <f>IFERROR(VLOOKUP($D63,'Adient Assende (Belgium) WK.17'!$B:JN,KQ$1,0),0)</f>
        <v>0</v>
      </c>
      <c r="KQ63" s="140">
        <f>IFERROR(VLOOKUP($D63,'Adient Arendal (Malzia) WK.12'!$B:JO,KQ$1,0),0)</f>
        <v>0</v>
      </c>
      <c r="KR63" s="140">
        <f>IFERROR(VLOOKUP($D63,'Adient Taizhou (China) WK.16'!$B:JR,KQ$1,0),0)</f>
        <v>0</v>
      </c>
      <c r="KS63" s="60">
        <v>0</v>
      </c>
      <c r="KT63" s="128">
        <v>0</v>
      </c>
      <c r="KU63" s="32">
        <v>0</v>
      </c>
      <c r="KV63" s="106">
        <f t="shared" si="265"/>
        <v>100</v>
      </c>
      <c r="KX63" s="37">
        <f t="shared" si="607"/>
        <v>100</v>
      </c>
      <c r="KY63" s="141">
        <f>IFERROR(VLOOKUP($D63,'Adient Assende (Belgium) WK.17'!$B:JV,KZ$1,0),0)</f>
        <v>0</v>
      </c>
      <c r="KZ63" s="140">
        <f>IFERROR(VLOOKUP($D63,'Adient Arendal (Malzia) WK.12'!$B:JW,KZ$1,0),0)</f>
        <v>0</v>
      </c>
      <c r="LA63" s="140">
        <f>IFERROR(VLOOKUP($D63,'Adient Taizhou (China) WK.16'!$B:JZ,KZ$1,0),0)</f>
        <v>0</v>
      </c>
      <c r="LB63" s="128">
        <v>0</v>
      </c>
      <c r="LC63" s="32">
        <v>0</v>
      </c>
      <c r="LD63" s="106">
        <f t="shared" si="467"/>
        <v>100</v>
      </c>
      <c r="LF63" s="37">
        <f t="shared" si="608"/>
        <v>100</v>
      </c>
      <c r="LG63" s="141">
        <f>IFERROR(VLOOKUP($D63,'Adient Assende (Belgium) WK.17'!$B:KD,LH$1,0),0)</f>
        <v>0</v>
      </c>
      <c r="LH63" s="140">
        <f>IFERROR(VLOOKUP($D63,'Adient Arendal (Malzia) WK.12'!$B:KE,LH$1,0),0)</f>
        <v>0</v>
      </c>
      <c r="LI63" s="140">
        <f>IFERROR(VLOOKUP($D63,'Adient Taizhou (China) WK.16'!$B:KH,LH$1,0),0)</f>
        <v>0</v>
      </c>
      <c r="LJ63" s="60">
        <v>0</v>
      </c>
      <c r="LK63" s="128">
        <v>0</v>
      </c>
      <c r="LL63" s="32">
        <v>0</v>
      </c>
      <c r="LM63" s="100">
        <f t="shared" si="267"/>
        <v>100</v>
      </c>
      <c r="LO63" s="37">
        <f t="shared" si="609"/>
        <v>100</v>
      </c>
      <c r="LP63" s="141">
        <f>IFERROR(VLOOKUP($D63,'Adient Assende (Belgium) WK.17'!$B:KL,LQ$1,0),0)</f>
        <v>80</v>
      </c>
      <c r="LQ63" s="140">
        <f>IFERROR(VLOOKUP($D63,'Adient Arendal (Malzia) WK.12'!$B:KM,LQ$1,0),0)</f>
        <v>0</v>
      </c>
      <c r="LR63" s="140">
        <f>IFERROR(VLOOKUP($D63,'Adient Taizhou (China) WK.16'!$B:KP,LQ$1,0),0)</f>
        <v>0</v>
      </c>
      <c r="LS63" s="128">
        <v>0</v>
      </c>
      <c r="LT63" s="32">
        <v>0</v>
      </c>
      <c r="LU63" s="100">
        <f t="shared" si="610"/>
        <v>20</v>
      </c>
      <c r="LW63" s="37">
        <f t="shared" si="611"/>
        <v>20</v>
      </c>
      <c r="LX63" s="141">
        <f>IFERROR(VLOOKUP($D63,'Adient Assende (Belgium) WK.17'!$B:KT,LY$1,0),0)</f>
        <v>0</v>
      </c>
      <c r="LY63" s="140">
        <f>IFERROR(VLOOKUP($D63,'Adient Arendal (Malzia) WK.12'!$B:KU,LY$1,0),0)</f>
        <v>0</v>
      </c>
      <c r="LZ63" s="140">
        <f>IFERROR(VLOOKUP($D63,'Adient Taizhou (China) WK.16'!$B:KX,LY$1,0),0)</f>
        <v>0</v>
      </c>
      <c r="MA63" s="128">
        <v>0</v>
      </c>
      <c r="MB63" s="32">
        <v>0</v>
      </c>
      <c r="MC63" s="100">
        <f t="shared" si="612"/>
        <v>20</v>
      </c>
      <c r="ME63" s="37">
        <f t="shared" si="613"/>
        <v>20</v>
      </c>
      <c r="MF63" s="154">
        <f>IFERROR(VLOOKUP($D63,'Adient Assende (Belgium) WK.17'!$B:LB,MG$1,0),0)</f>
        <v>0</v>
      </c>
      <c r="MG63" s="140">
        <f>IFERROR(VLOOKUP($D63,'Adient Arendal (Malzia) WK.12'!$B:LC,MG$1,0),0)</f>
        <v>0</v>
      </c>
      <c r="MH63" s="140">
        <f>IFERROR(VLOOKUP($D63,'Adient Taizhou (China) WK.16'!$B:LF,MG$1,0),0)</f>
        <v>0</v>
      </c>
      <c r="MI63" s="128">
        <v>0</v>
      </c>
      <c r="MJ63" s="32">
        <v>0</v>
      </c>
      <c r="MK63" s="100">
        <f t="shared" si="614"/>
        <v>20</v>
      </c>
      <c r="MM63" s="37">
        <f t="shared" si="615"/>
        <v>20</v>
      </c>
      <c r="MN63" s="141">
        <f>IFERROR(VLOOKUP($D63,'Adient Assende (Belgium) WK.17'!$B:LJ,MO$1,0),0)</f>
        <v>0</v>
      </c>
      <c r="MO63" s="140">
        <f>IFERROR(VLOOKUP($D63,'Adient Arendal (Malzia) WK.12'!$B:LK,MO$1,0),0)</f>
        <v>0</v>
      </c>
      <c r="MP63" s="140">
        <f>IFERROR(VLOOKUP($D63,'Adient Taizhou (China) WK.16'!$B:LN,MO$1,0),0)</f>
        <v>0</v>
      </c>
      <c r="MQ63" s="128">
        <v>0</v>
      </c>
      <c r="MR63" s="32">
        <v>0</v>
      </c>
      <c r="MS63" s="100">
        <f t="shared" si="616"/>
        <v>20</v>
      </c>
      <c r="MU63" s="37">
        <f t="shared" si="617"/>
        <v>20</v>
      </c>
      <c r="MV63" s="141">
        <f>IFERROR(VLOOKUP($D63,'Adient Assende (Belgium) WK.17'!$B:LR,MW$1,0),0)</f>
        <v>0</v>
      </c>
      <c r="MW63" s="140">
        <f>IFERROR(VLOOKUP($D63,'Adient Arendal (Malzia) WK.12'!$B:LS,MW$1,0),0)</f>
        <v>0</v>
      </c>
      <c r="MX63" s="140">
        <f>IFERROR(VLOOKUP($D63,'Adient Taizhou (China) WK.16'!$B:LV,MW$1,0),0)</f>
        <v>0</v>
      </c>
      <c r="MY63" s="128">
        <v>0</v>
      </c>
      <c r="MZ63" s="32">
        <v>0</v>
      </c>
      <c r="NA63" s="100">
        <f t="shared" si="618"/>
        <v>20</v>
      </c>
      <c r="NC63" s="37">
        <f t="shared" si="619"/>
        <v>20</v>
      </c>
      <c r="ND63" s="141">
        <f>IFERROR(VLOOKUP($D63,'Adient Assende (Belgium) WK.17'!$B:LZ,NE$1,0),0)</f>
        <v>0</v>
      </c>
      <c r="NE63" s="140">
        <f>IFERROR(VLOOKUP($D63,'Adient Arendal (Malzia) WK.12'!$B:MA,NE$1,0),0)</f>
        <v>0</v>
      </c>
      <c r="NF63" s="140">
        <f>IFERROR(VLOOKUP($D63,'Adient Taizhou (China) WK.16'!$B:MD,NE$1,0),0)</f>
        <v>0</v>
      </c>
      <c r="NG63" s="128">
        <v>0</v>
      </c>
      <c r="NH63" s="32">
        <v>0</v>
      </c>
      <c r="NI63" s="100">
        <f t="shared" si="620"/>
        <v>20</v>
      </c>
      <c r="NK63" s="37">
        <f t="shared" si="621"/>
        <v>20</v>
      </c>
      <c r="NL63" s="141">
        <f>IFERROR(VLOOKUP($D63,'Adient Assende (Belgium) WK.17'!$B:MH,NM$1,0),0)</f>
        <v>0</v>
      </c>
      <c r="NM63" s="140">
        <f>IFERROR(VLOOKUP($D63,'Adient Arendal (Malzia) WK.12'!$B:MI,NM$1,0),0)</f>
        <v>0</v>
      </c>
      <c r="NN63" s="140">
        <f>IFERROR(VLOOKUP($D63,'Adient Taizhou (China) WK.16'!$B:ML,NM$1,0),0)</f>
        <v>0</v>
      </c>
      <c r="NO63" s="128">
        <v>0</v>
      </c>
      <c r="NP63" s="32">
        <v>0</v>
      </c>
      <c r="NQ63" s="100">
        <f t="shared" si="622"/>
        <v>20</v>
      </c>
      <c r="NS63" s="37">
        <f t="shared" si="623"/>
        <v>20</v>
      </c>
      <c r="NT63" s="141">
        <f>IFERROR(VLOOKUP($D63,'Adient Assende (Belgium) WK.17'!$B:MP,NU$1,0),0)</f>
        <v>0</v>
      </c>
      <c r="NU63" s="140">
        <f>IFERROR(VLOOKUP($D63,'Adient Arendal (Malzia) WK.12'!$B:MQ,NU$1,0),0)</f>
        <v>0</v>
      </c>
      <c r="NV63" s="140">
        <f>IFERROR(VLOOKUP($D63,'Adient Taizhou (China) WK.16'!$B:MT,NU$1,0),0)</f>
        <v>0</v>
      </c>
      <c r="NW63" s="128">
        <v>0</v>
      </c>
      <c r="NX63" s="32">
        <v>0</v>
      </c>
      <c r="NY63" s="100">
        <f t="shared" si="624"/>
        <v>20</v>
      </c>
      <c r="OA63" s="37">
        <f t="shared" si="625"/>
        <v>20</v>
      </c>
      <c r="OB63" s="141">
        <f>IFERROR(VLOOKUP($D63,'Adient Assende (Belgium) WK.17'!$B:MX,OC$1,0),0)</f>
        <v>0</v>
      </c>
      <c r="OC63" s="140">
        <f>IFERROR(VLOOKUP($D63,'Adient Arendal (Malzia) WK.12'!$B:MY,OC$1,0),0)</f>
        <v>0</v>
      </c>
      <c r="OD63" s="140">
        <f>IFERROR(VLOOKUP($D63,'Adient Taizhou (China) WK.16'!$B:NB,OC$1,0),0)</f>
        <v>0</v>
      </c>
      <c r="OE63" s="128">
        <v>0</v>
      </c>
      <c r="OF63" s="32">
        <v>0</v>
      </c>
      <c r="OG63" s="100">
        <f t="shared" si="626"/>
        <v>20</v>
      </c>
      <c r="OI63" s="37">
        <f t="shared" si="627"/>
        <v>20</v>
      </c>
      <c r="OJ63" s="141">
        <f>IFERROR(VLOOKUP($D63,'Adient Assende (Belgium) WK.17'!$B:NF,OK$1,0),0)</f>
        <v>0</v>
      </c>
      <c r="OK63" s="140">
        <f>IFERROR(VLOOKUP($D63,'Adient Arendal (Malzia) WK.12'!$B:NG,OK$1,0),0)</f>
        <v>0</v>
      </c>
      <c r="OL63" s="140">
        <f>IFERROR(VLOOKUP($D63,'Adient Taizhou (China) WK.16'!$B:NJ,OK$1,0),0)</f>
        <v>0</v>
      </c>
      <c r="OM63" s="128">
        <v>0</v>
      </c>
      <c r="ON63" s="32">
        <v>0</v>
      </c>
      <c r="OO63" s="100">
        <f t="shared" si="628"/>
        <v>20</v>
      </c>
      <c r="OQ63" s="37">
        <f t="shared" si="629"/>
        <v>20</v>
      </c>
      <c r="OR63" s="141">
        <f>IFERROR(VLOOKUP($D63,'Adient Assende (Belgium) WK.17'!$B:NN,OS$1,0),0)</f>
        <v>0</v>
      </c>
      <c r="OS63" s="140">
        <f>IFERROR(VLOOKUP($D63,'Adient Arendal (Malzia) WK.12'!$B:NO,OS$1,0),0)</f>
        <v>0</v>
      </c>
      <c r="OT63" s="140">
        <f>IFERROR(VLOOKUP($D63,'Adient Taizhou (China) WK.16'!$B:NR,OS$1,0),0)</f>
        <v>0</v>
      </c>
      <c r="OU63" s="128">
        <v>0</v>
      </c>
      <c r="OV63" s="32">
        <v>0</v>
      </c>
      <c r="OW63" s="100">
        <f t="shared" si="630"/>
        <v>20</v>
      </c>
      <c r="OY63" s="37">
        <f t="shared" si="631"/>
        <v>20</v>
      </c>
      <c r="OZ63" s="141">
        <f>IFERROR(VLOOKUP($D63,'Adient Assende (Belgium) WK.17'!$B:NV,PA$1,0),0)</f>
        <v>0</v>
      </c>
      <c r="PA63" s="140">
        <f>IFERROR(VLOOKUP($D63,'Adient Arendal (Malzia) WK.12'!$B:NW,PA$1,0),0)</f>
        <v>0</v>
      </c>
      <c r="PB63" s="140">
        <f>IFERROR(VLOOKUP($D63,'Adient Taizhou (China) WK.16'!$B:NZ,PA$1,0),0)</f>
        <v>0</v>
      </c>
      <c r="PC63" s="128">
        <v>0</v>
      </c>
      <c r="PD63" s="32">
        <v>0</v>
      </c>
      <c r="PE63" s="100">
        <f t="shared" si="632"/>
        <v>20</v>
      </c>
      <c r="PG63" s="37">
        <f t="shared" si="633"/>
        <v>20</v>
      </c>
      <c r="PH63" s="141">
        <f>IFERROR(VLOOKUP($D63,'Adient Assende (Belgium) WK.17'!$B:OD,PI$1,0),0)</f>
        <v>0</v>
      </c>
      <c r="PI63" s="140">
        <f>IFERROR(VLOOKUP($D63,'Adient Arendal (Malzia) WK.12'!$B:OE,PI$1,0),0)</f>
        <v>0</v>
      </c>
      <c r="PJ63" s="140">
        <f>IFERROR(VLOOKUP($D63,'Adient Taizhou (China) WK.16'!$B:OH,PI$1,0),0)</f>
        <v>0</v>
      </c>
      <c r="PK63" s="128">
        <v>0</v>
      </c>
      <c r="PL63" s="32">
        <v>0</v>
      </c>
      <c r="PM63" s="100">
        <f t="shared" si="634"/>
        <v>20</v>
      </c>
      <c r="PO63" s="37">
        <f t="shared" si="635"/>
        <v>20</v>
      </c>
      <c r="PP63" s="141">
        <f>IFERROR(VLOOKUP($D63,'Adient Assende (Belgium) WK.17'!$B:OL,PQ$1,0),0)</f>
        <v>0</v>
      </c>
      <c r="PQ63" s="140">
        <f>IFERROR(VLOOKUP($D63,'Adient Arendal (Malzia) WK.12'!$B:OM,PQ$1,0),0)</f>
        <v>0</v>
      </c>
      <c r="PR63" s="140">
        <f>IFERROR(VLOOKUP($D63,'Adient Taizhou (China) WK.16'!$B:OP,PQ$1,0),0)</f>
        <v>0</v>
      </c>
      <c r="PS63" s="128">
        <v>0</v>
      </c>
      <c r="PT63" s="32">
        <v>0</v>
      </c>
      <c r="PU63" s="100">
        <f t="shared" si="636"/>
        <v>20</v>
      </c>
      <c r="PW63" s="37">
        <f t="shared" si="637"/>
        <v>20</v>
      </c>
      <c r="PX63" s="141">
        <f>IFERROR(VLOOKUP($D63,'Adient Assende (Belgium) WK.17'!$B:OT,PY$1,0),0)</f>
        <v>0</v>
      </c>
      <c r="PY63" s="140">
        <f>IFERROR(VLOOKUP($D63,'Adient Arendal (Malzia) WK.12'!$B:OU,PY$1,0),0)</f>
        <v>0</v>
      </c>
      <c r="PZ63" s="140">
        <f>IFERROR(VLOOKUP($D63,'Adient Taizhou (China) WK.16'!$B:OX,PY$1,0),0)</f>
        <v>0</v>
      </c>
      <c r="QA63" s="128">
        <v>0</v>
      </c>
      <c r="QB63" s="32">
        <v>0</v>
      </c>
      <c r="QC63" s="100">
        <f t="shared" si="638"/>
        <v>20</v>
      </c>
      <c r="QE63" s="37">
        <f t="shared" si="639"/>
        <v>20</v>
      </c>
      <c r="QF63" s="141">
        <f>IFERROR(VLOOKUP($D63,'Adient Assende (Belgium) WK.17'!$B:PB,QG$1,0),0)</f>
        <v>0</v>
      </c>
      <c r="QG63" s="140">
        <f>IFERROR(VLOOKUP($D63,'Adient Arendal (Malzia) WK.12'!$B:PC,QG$1,0),0)</f>
        <v>0</v>
      </c>
      <c r="QH63" s="140">
        <f>IFERROR(VLOOKUP($D63,'Adient Taizhou (China) WK.16'!$B:PF,QG$1,0),0)</f>
        <v>0</v>
      </c>
      <c r="QI63" s="128">
        <v>0</v>
      </c>
      <c r="QJ63" s="32">
        <v>0</v>
      </c>
      <c r="QK63" s="100">
        <f t="shared" si="640"/>
        <v>20</v>
      </c>
      <c r="QM63" s="37">
        <f t="shared" si="641"/>
        <v>20</v>
      </c>
      <c r="QN63" s="141">
        <f>IFERROR(VLOOKUP($D63,'Adient Assende (Belgium) WK.17'!$B:PJ,QO$1,0),0)</f>
        <v>0</v>
      </c>
      <c r="QO63" s="140">
        <f>IFERROR(VLOOKUP($D63,'Adient Arendal (Malzia) WK.12'!$B:PK,QO$1,0),0)</f>
        <v>0</v>
      </c>
      <c r="QP63" s="140">
        <f>IFERROR(VLOOKUP($D63,'Adient Taizhou (China) WK.16'!$B:PN,QO$1,0),0)</f>
        <v>0</v>
      </c>
      <c r="QQ63" s="128">
        <v>0</v>
      </c>
      <c r="QR63" s="32">
        <v>0</v>
      </c>
      <c r="QS63" s="100">
        <f t="shared" si="642"/>
        <v>20</v>
      </c>
      <c r="QU63" s="37">
        <f t="shared" si="643"/>
        <v>20</v>
      </c>
      <c r="QV63" s="141">
        <f>IFERROR(VLOOKUP($D63,'Adient Assende (Belgium) WK.17'!$B:PR,QW$1,0),0)</f>
        <v>0</v>
      </c>
      <c r="QW63" s="140">
        <f>IFERROR(VLOOKUP($D63,'Adient Arendal (Malzia) WK.12'!$B:PS,QW$1,0),0)</f>
        <v>0</v>
      </c>
      <c r="QX63" s="140">
        <f>IFERROR(VLOOKUP($D63,'Adient Taizhou (China) WK.16'!$B:PV,QW$1,0),0)</f>
        <v>0</v>
      </c>
      <c r="QY63" s="128">
        <v>0</v>
      </c>
      <c r="QZ63" s="32">
        <v>0</v>
      </c>
      <c r="RA63" s="100">
        <f t="shared" si="644"/>
        <v>20</v>
      </c>
      <c r="RC63" s="37">
        <f t="shared" si="645"/>
        <v>20</v>
      </c>
      <c r="RD63" s="141">
        <f>IFERROR(VLOOKUP($D63,'Adient Assende (Belgium) WK.17'!$B:PZ,RE$1,0),0)</f>
        <v>0</v>
      </c>
      <c r="RE63" s="140">
        <f>IFERROR(VLOOKUP($D63,'Adient Arendal (Malzia) WK.12'!$B:QA,RE$1,0),0)</f>
        <v>0</v>
      </c>
      <c r="RF63" s="140">
        <f>IFERROR(VLOOKUP($D63,'Adient Taizhou (China) WK.16'!$B:QD,RE$1,0),0)</f>
        <v>0</v>
      </c>
      <c r="RG63" s="128">
        <v>0</v>
      </c>
      <c r="RH63" s="32">
        <v>0</v>
      </c>
      <c r="RI63" s="100">
        <f t="shared" si="646"/>
        <v>20</v>
      </c>
      <c r="RK63" s="37">
        <f t="shared" si="647"/>
        <v>20</v>
      </c>
      <c r="RL63" s="141">
        <f>IFERROR(VLOOKUP($D63,'Adient Assende (Belgium) WK.17'!$B:QH,RM$1,0),0)</f>
        <v>0</v>
      </c>
      <c r="RM63" s="140">
        <f>IFERROR(VLOOKUP($D63,'Adient Arendal (Malzia) WK.12'!$B:QI,RM$1,0),0)</f>
        <v>0</v>
      </c>
      <c r="RN63" s="140">
        <f>IFERROR(VLOOKUP($D63,'Adient Taizhou (China) WK.16'!$B:QL,RM$1,0),0)</f>
        <v>0</v>
      </c>
      <c r="RO63" s="128">
        <v>0</v>
      </c>
      <c r="RP63" s="32">
        <v>0</v>
      </c>
      <c r="RQ63" s="100">
        <f t="shared" si="648"/>
        <v>20</v>
      </c>
      <c r="RS63" s="37">
        <f t="shared" si="649"/>
        <v>20</v>
      </c>
      <c r="RT63" s="141">
        <f>IFERROR(VLOOKUP($D63,'Adient Assende (Belgium) WK.17'!$B:QP,RU$1,0),0)</f>
        <v>0</v>
      </c>
      <c r="RU63" s="140">
        <f>IFERROR(VLOOKUP($D63,'Adient Arendal (Malzia) WK.12'!$B:QQ,RU$1,0),0)</f>
        <v>0</v>
      </c>
      <c r="RV63" s="140">
        <f>IFERROR(VLOOKUP($D63,'Adient Taizhou (China) WK.16'!$B:QT,RU$1,0),0)</f>
        <v>0</v>
      </c>
      <c r="RW63" s="128">
        <v>0</v>
      </c>
      <c r="RX63" s="32">
        <v>0</v>
      </c>
      <c r="RY63" s="100">
        <f t="shared" si="650"/>
        <v>20</v>
      </c>
      <c r="SA63" s="37">
        <f t="shared" si="651"/>
        <v>20</v>
      </c>
      <c r="SB63" s="141">
        <f>IFERROR(VLOOKUP($D63,'Adient Assende (Belgium) WK.17'!$B:QX,SC$1,0),0)</f>
        <v>0</v>
      </c>
      <c r="SC63" s="140">
        <f>IFERROR(VLOOKUP($D63,'Adient Arendal (Malzia) WK.12'!$B:QY,SC$1,0),0)</f>
        <v>0</v>
      </c>
      <c r="SD63" s="140">
        <f>IFERROR(VLOOKUP($D63,'Adient Taizhou (China) WK.16'!$B:RB,SC$1,0),0)</f>
        <v>0</v>
      </c>
      <c r="SE63" s="128">
        <v>0</v>
      </c>
      <c r="SF63" s="32">
        <v>0</v>
      </c>
      <c r="SG63" s="100">
        <f t="shared" si="652"/>
        <v>20</v>
      </c>
      <c r="SI63" s="37">
        <f t="shared" si="653"/>
        <v>20</v>
      </c>
      <c r="SJ63" s="141">
        <f>IFERROR(VLOOKUP($D63,'Adient Assende (Belgium) WK.17'!$B:RF,SK$1,0),0)</f>
        <v>0</v>
      </c>
      <c r="SK63" s="140">
        <f>IFERROR(VLOOKUP($D63,'Adient Arendal (Malzia) WK.12'!$B:RG,SK$1,0),0)</f>
        <v>0</v>
      </c>
      <c r="SL63" s="140">
        <f>IFERROR(VLOOKUP($D63,'Adient Taizhou (China) WK.16'!$B:RJ,SK$1,0),0)</f>
        <v>0</v>
      </c>
      <c r="SM63" s="128">
        <v>0</v>
      </c>
      <c r="SN63" s="32">
        <v>0</v>
      </c>
      <c r="SO63" s="100">
        <f t="shared" si="654"/>
        <v>20</v>
      </c>
      <c r="SQ63" s="37">
        <f t="shared" si="655"/>
        <v>20</v>
      </c>
      <c r="SR63" s="141">
        <f>IFERROR(VLOOKUP($D63,'Adient Assende (Belgium) WK.17'!$B:RN,SS$1,0),0)</f>
        <v>0</v>
      </c>
      <c r="SS63" s="140">
        <f>IFERROR(VLOOKUP($D63,'Adient Arendal (Malzia) WK.12'!$B:RO,SS$1,0),0)</f>
        <v>0</v>
      </c>
      <c r="ST63" s="140">
        <f>IFERROR(VLOOKUP($D63,'Adient Taizhou (China) WK.16'!$B:RR,SS$1,0),0)</f>
        <v>0</v>
      </c>
      <c r="SU63" s="128">
        <v>0</v>
      </c>
      <c r="SV63" s="32">
        <v>0</v>
      </c>
      <c r="SW63" s="100">
        <f t="shared" si="656"/>
        <v>20</v>
      </c>
      <c r="SY63" s="37">
        <f t="shared" si="657"/>
        <v>20</v>
      </c>
      <c r="SZ63" s="141">
        <f>IFERROR(VLOOKUP($D63,'Adient Assende (Belgium) WK.17'!$B:RV,TA$1,0),0)</f>
        <v>0</v>
      </c>
      <c r="TA63" s="140">
        <f>IFERROR(VLOOKUP($D63,'Adient Arendal (Malzia) WK.12'!$B:RW,TA$1,0),0)</f>
        <v>0</v>
      </c>
      <c r="TB63" s="140">
        <f>IFERROR(VLOOKUP($D63,'Adient Taizhou (China) WK.16'!$B:RZ,TA$1,0),0)</f>
        <v>0</v>
      </c>
      <c r="TC63" s="128">
        <v>0</v>
      </c>
      <c r="TD63" s="32">
        <v>0</v>
      </c>
      <c r="TE63" s="100">
        <f t="shared" si="658"/>
        <v>20</v>
      </c>
      <c r="TG63" s="37">
        <f t="shared" si="659"/>
        <v>20</v>
      </c>
      <c r="TH63" s="141">
        <f>IFERROR(VLOOKUP($D63,'Adient Assende (Belgium) WK.17'!$B:SD,TI$1,0),0)</f>
        <v>50</v>
      </c>
      <c r="TI63" s="140">
        <f>IFERROR(VLOOKUP($D63,'Adient Arendal (Malzia) WK.12'!$B:SE,TI$1,0),0)</f>
        <v>0</v>
      </c>
      <c r="TJ63" s="140">
        <f>IFERROR(VLOOKUP($D63,'Adient Taizhou (China) WK.16'!$B:SH,TI$1,0),0)</f>
        <v>0</v>
      </c>
      <c r="TK63" s="128">
        <v>0</v>
      </c>
      <c r="TL63" s="32">
        <v>0</v>
      </c>
      <c r="TM63" s="100">
        <f t="shared" si="660"/>
        <v>-30</v>
      </c>
      <c r="TO63" s="37">
        <f t="shared" si="661"/>
        <v>-30</v>
      </c>
      <c r="TP63" s="141">
        <f>IFERROR(VLOOKUP($D63,'Adient Assende (Belgium) WK.17'!$B:SL,TQ$1,0),0)</f>
        <v>50</v>
      </c>
      <c r="TQ63" s="140">
        <f>IFERROR(VLOOKUP($D63,'Adient Arendal (Malzia) WK.12'!$B:SM,TQ$1,0),0)</f>
        <v>0</v>
      </c>
      <c r="TR63" s="140">
        <f>IFERROR(VLOOKUP($D63,'Adient Taizhou (China) WK.16'!$B:SP,TQ$1,0),0)</f>
        <v>0</v>
      </c>
      <c r="TS63" s="128">
        <v>0</v>
      </c>
      <c r="TT63" s="32">
        <v>0</v>
      </c>
      <c r="TU63" s="100">
        <f t="shared" si="662"/>
        <v>-80</v>
      </c>
      <c r="TW63" s="37">
        <f t="shared" si="663"/>
        <v>-80</v>
      </c>
      <c r="TX63" s="141">
        <f>IFERROR(VLOOKUP($D63,'Adient Assende (Belgium) WK.17'!$B:ST,TY$1,0),0)</f>
        <v>50</v>
      </c>
      <c r="TY63" s="140">
        <f>IFERROR(VLOOKUP($D63,'Adient Arendal (Malzia) WK.12'!$B:SU,TY$1,0),0)</f>
        <v>0</v>
      </c>
      <c r="TZ63" s="140">
        <f>IFERROR(VLOOKUP($D63,'Adient Taizhou (China) WK.16'!$B:SX,TY$1,0),0)</f>
        <v>0</v>
      </c>
      <c r="UA63" s="128">
        <v>0</v>
      </c>
      <c r="UB63" s="32">
        <v>0</v>
      </c>
      <c r="UC63" s="100">
        <f t="shared" si="664"/>
        <v>-130</v>
      </c>
      <c r="UE63" s="37">
        <f t="shared" si="665"/>
        <v>-130</v>
      </c>
      <c r="UF63" s="141">
        <f>IFERROR(VLOOKUP($D63,'Adient Assende (Belgium) WK.17'!$B:TB,UG$1,0),0)</f>
        <v>50</v>
      </c>
      <c r="UG63" s="140">
        <f>IFERROR(VLOOKUP($D63,'Adient Arendal (Malzia) WK.12'!$B:TC,UG$1,0),0)</f>
        <v>0</v>
      </c>
      <c r="UH63" s="140">
        <f>IFERROR(VLOOKUP($D63,'Adient Taizhou (China) WK.16'!$B:TF,UG$1,0),0)</f>
        <v>0</v>
      </c>
      <c r="UI63" s="128">
        <v>0</v>
      </c>
      <c r="UJ63" s="32">
        <v>0</v>
      </c>
      <c r="UK63" s="100">
        <f t="shared" si="666"/>
        <v>-180</v>
      </c>
      <c r="UM63" s="37">
        <f t="shared" si="527"/>
        <v>-180</v>
      </c>
      <c r="UN63" s="141">
        <f>IFERROR(VLOOKUP($D63,'Adient Assende (Belgium) WK.17'!$B:TJ,UO$1,0),0)</f>
        <v>40</v>
      </c>
      <c r="UO63" s="140">
        <f>IFERROR(VLOOKUP($D63,'Adient Arendal (Malzia) WK.12'!$B:TK,UO$1,0),0)</f>
        <v>0</v>
      </c>
      <c r="UP63" s="140">
        <f>IFERROR(VLOOKUP($D63,'Adient Taizhou (China) WK.16'!$B:TN,UO$1,0),0)</f>
        <v>0</v>
      </c>
      <c r="UQ63" s="128">
        <v>0</v>
      </c>
      <c r="UR63" s="32">
        <v>0</v>
      </c>
      <c r="US63" s="100">
        <f t="shared" si="528"/>
        <v>-220</v>
      </c>
      <c r="UU63" s="37">
        <f t="shared" si="529"/>
        <v>-220</v>
      </c>
      <c r="UV63" s="141">
        <f>IFERROR(VLOOKUP($D63,'Adient Assende (Belgium) WK.17'!$B:TR,UW$1,0),0)</f>
        <v>40</v>
      </c>
      <c r="UW63" s="140">
        <f>IFERROR(VLOOKUP($D63,'Adient Arendal (Malzia) WK.12'!$B:TS,UW$1,0),0)</f>
        <v>0</v>
      </c>
      <c r="UX63" s="140">
        <f>IFERROR(VLOOKUP($D63,'Adient Taizhou (China) WK.16'!$B:TV,UW$1,0),0)</f>
        <v>0</v>
      </c>
      <c r="UY63" s="128">
        <v>0</v>
      </c>
      <c r="UZ63" s="32">
        <v>0</v>
      </c>
      <c r="VA63" s="100">
        <f t="shared" si="530"/>
        <v>-260</v>
      </c>
      <c r="VC63" s="37">
        <f t="shared" si="531"/>
        <v>-260</v>
      </c>
      <c r="VD63" s="141">
        <f>IFERROR(VLOOKUP($D63,'Adient Assende (Belgium) WK.17'!$B:TZ,VE$1,0),0)</f>
        <v>40</v>
      </c>
      <c r="VE63" s="140">
        <f>IFERROR(VLOOKUP($D63,'Adient Arendal (Malzia) WK.12'!$B:UA,VE$1,0),0)</f>
        <v>0</v>
      </c>
      <c r="VF63" s="140">
        <f>IFERROR(VLOOKUP($D63,'Adient Taizhou (China) WK.16'!$B:UD,VE$1,0),0)</f>
        <v>0</v>
      </c>
      <c r="VG63" s="128">
        <v>0</v>
      </c>
      <c r="VH63" s="32">
        <v>0</v>
      </c>
      <c r="VI63" s="100">
        <f t="shared" si="532"/>
        <v>-300</v>
      </c>
      <c r="VK63" s="37">
        <f t="shared" si="533"/>
        <v>-300</v>
      </c>
      <c r="VL63" s="141">
        <f>IFERROR(VLOOKUP($D63,'Adient Assende (Belgium) WK.17'!$B:UH,VM$1,0),0)</f>
        <v>0</v>
      </c>
      <c r="VM63" s="140">
        <f>IFERROR(VLOOKUP($D63,'Adient Arendal (Malzia) WK.12'!$B:UI,VM$1,0),0)</f>
        <v>0</v>
      </c>
      <c r="VN63" s="140">
        <f>IFERROR(VLOOKUP($D63,'Adient Taizhou (China) WK.16'!$B:UL,VM$1,0),0)</f>
        <v>0</v>
      </c>
      <c r="VO63" s="128">
        <v>0</v>
      </c>
      <c r="VP63" s="32">
        <v>0</v>
      </c>
      <c r="VQ63" s="100">
        <f t="shared" si="534"/>
        <v>-300</v>
      </c>
    </row>
    <row r="64" spans="1:589" x14ac:dyDescent="0.25">
      <c r="A64" s="10" t="s">
        <v>18</v>
      </c>
      <c r="B64" s="11" t="s">
        <v>17</v>
      </c>
      <c r="C64" s="87">
        <v>32272715</v>
      </c>
      <c r="D64" s="81">
        <v>4817115</v>
      </c>
      <c r="E64" s="11">
        <v>20</v>
      </c>
      <c r="F64" s="168"/>
      <c r="H64" s="122">
        <v>0</v>
      </c>
      <c r="I64" s="125">
        <f>IFERROR(VLOOKUP($D64,'Adient Assende (Belgium) WK.17'!$B:C,J$1,0),0)</f>
        <v>0</v>
      </c>
      <c r="J64" s="55">
        <f>IFERROR(VLOOKUP($D64,'Adient Arendal (Malzia) WK.12'!$B:C,J$1,0),0)</f>
        <v>0</v>
      </c>
      <c r="K64" s="55">
        <f>IFERROR(VLOOKUP($D64,'Adient Taizhou (China) WK.16'!$B:C,J$1,0),0)</f>
        <v>0</v>
      </c>
      <c r="L64" s="128">
        <v>0</v>
      </c>
      <c r="M64" s="32">
        <v>0</v>
      </c>
      <c r="N64" s="106">
        <f t="shared" si="544"/>
        <v>0</v>
      </c>
      <c r="P64" s="37">
        <f t="shared" si="545"/>
        <v>0</v>
      </c>
      <c r="Q64" s="125">
        <f>IFERROR(VLOOKUP($D64,'Adient Assende (Belgium) WK.17'!$B:K,R$1,0),0)</f>
        <v>0</v>
      </c>
      <c r="R64" s="55">
        <f>IFERROR(VLOOKUP($D64,'Adient Arendal (Malzia) WK.12'!$B:K,R$1,0),0)</f>
        <v>0</v>
      </c>
      <c r="S64" s="55">
        <f>IFERROR(VLOOKUP($D64,'Adient Taizhou (China) WK.16'!$B:K,R$1,0),0)</f>
        <v>0</v>
      </c>
      <c r="T64" s="41">
        <v>0</v>
      </c>
      <c r="U64" s="32">
        <v>0</v>
      </c>
      <c r="V64" s="106">
        <f t="shared" si="546"/>
        <v>0</v>
      </c>
      <c r="X64" s="37">
        <f t="shared" si="547"/>
        <v>0</v>
      </c>
      <c r="Y64" s="125">
        <f>IFERROR(VLOOKUP($D64,'Adient Assende (Belgium) WK.17'!$B:S,Z$1,0),0)</f>
        <v>0</v>
      </c>
      <c r="Z64" s="55">
        <f>IFERROR(VLOOKUP($D64,'Adient Arendal (Malzia) WK.12'!$B:S,Z$1,0),0)</f>
        <v>0</v>
      </c>
      <c r="AA64" s="55">
        <f>IFERROR(VLOOKUP($D64,'Adient Taizhou (China) WK.16'!$B:S,Z$1,0),0)</f>
        <v>0</v>
      </c>
      <c r="AB64" s="41">
        <v>0</v>
      </c>
      <c r="AC64" s="32">
        <v>0</v>
      </c>
      <c r="AD64" s="106">
        <f t="shared" si="548"/>
        <v>0</v>
      </c>
      <c r="AF64" s="37">
        <f t="shared" si="549"/>
        <v>0</v>
      </c>
      <c r="AG64" s="125">
        <f>IFERROR(VLOOKUP($D64,'Adient Assende (Belgium) WK.17'!$B:AA,AH$1,0),0)</f>
        <v>0</v>
      </c>
      <c r="AH64" s="55">
        <f>IFERROR(VLOOKUP($D64,'Adient Arendal (Malzia) WK.12'!$B:AA,AH$1,0),0)</f>
        <v>0</v>
      </c>
      <c r="AI64" s="55">
        <f>IFERROR(VLOOKUP($D64,'Adient Taizhou (China) WK.16'!$B:AA,AH$1,0),0)</f>
        <v>0</v>
      </c>
      <c r="AJ64" s="41">
        <v>0</v>
      </c>
      <c r="AK64" s="32">
        <v>0</v>
      </c>
      <c r="AL64" s="106">
        <f t="shared" si="550"/>
        <v>0</v>
      </c>
      <c r="AN64" s="37">
        <f t="shared" si="551"/>
        <v>0</v>
      </c>
      <c r="AO64" s="125">
        <f>IFERROR(VLOOKUP($D64,'Adient Assende (Belgium) WK.17'!$B:AI,AP$1,0),0)</f>
        <v>0</v>
      </c>
      <c r="AP64" s="55">
        <f>IFERROR(VLOOKUP($D64,'Adient Arendal (Malzia) WK.12'!$B:AI,AP$1,0),0)</f>
        <v>0</v>
      </c>
      <c r="AQ64" s="55">
        <f>IFERROR(VLOOKUP($D64,'Adient Taizhou (China) WK.16'!$B:AI,AP$1,0),0)</f>
        <v>0</v>
      </c>
      <c r="AR64" s="60">
        <v>0</v>
      </c>
      <c r="AS64" s="41">
        <v>0</v>
      </c>
      <c r="AT64" s="32">
        <v>0</v>
      </c>
      <c r="AU64" s="106">
        <f t="shared" si="552"/>
        <v>0</v>
      </c>
      <c r="AW64" s="37">
        <f t="shared" si="553"/>
        <v>0</v>
      </c>
      <c r="AX64" s="125">
        <f>IFERROR(VLOOKUP($D64,'Adient Assende (Belgium) WK.17'!$B:AR,AY$1,0),0)</f>
        <v>0</v>
      </c>
      <c r="AY64" s="55">
        <f>IFERROR(VLOOKUP($D64,'Adient Arendal (Malzia) WK.12'!$B:AR,AY$1,0),0)</f>
        <v>0</v>
      </c>
      <c r="AZ64" s="55">
        <f>IFERROR(VLOOKUP($D64,'Adient Taizhou (China) WK.16'!$B:AU,AY$1,0),0)</f>
        <v>0</v>
      </c>
      <c r="BA64" s="41">
        <v>0</v>
      </c>
      <c r="BB64" s="32">
        <v>0</v>
      </c>
      <c r="BC64" s="106">
        <f t="shared" si="554"/>
        <v>0</v>
      </c>
      <c r="BE64" s="37">
        <f t="shared" si="555"/>
        <v>0</v>
      </c>
      <c r="BF64" s="125">
        <f>IFERROR(VLOOKUP($D64,'Adient Assende (Belgium) WK.17'!$B:AX,BG$1,0),0)</f>
        <v>0</v>
      </c>
      <c r="BG64" s="55">
        <f>IFERROR(VLOOKUP($D64,'Adient Arendal (Malzia) WK.12'!$B:AZ,BG$1,0),0)</f>
        <v>0</v>
      </c>
      <c r="BH64" s="55">
        <f>IFERROR(VLOOKUP($D64,'Adient Taizhou (China) WK.16'!$B:BB,BG$1,0),0)</f>
        <v>0</v>
      </c>
      <c r="BI64" s="60">
        <v>0</v>
      </c>
      <c r="BJ64" s="60">
        <v>0</v>
      </c>
      <c r="BK64" s="41">
        <v>0</v>
      </c>
      <c r="BL64" s="32">
        <v>0</v>
      </c>
      <c r="BM64" s="106">
        <f t="shared" si="556"/>
        <v>0</v>
      </c>
      <c r="BN64" s="8"/>
      <c r="BO64" s="37">
        <f t="shared" si="557"/>
        <v>0</v>
      </c>
      <c r="BP64" s="125">
        <f>IFERROR(VLOOKUP($D64,'Adient Assende (Belgium) WK.17'!$B:BH,BQ$1,0),0)</f>
        <v>0</v>
      </c>
      <c r="BQ64" s="55">
        <f>IFERROR(VLOOKUP($D64,'Adient Arendal (Malzia) WK.12'!$B:BI,BQ$1,0),0)</f>
        <v>0</v>
      </c>
      <c r="BR64" s="55">
        <f>IFERROR(VLOOKUP($D64,'Adient Taizhou (China) WK.16'!$B:BL,BQ$1,0),0)</f>
        <v>0</v>
      </c>
      <c r="BS64" s="60">
        <v>0</v>
      </c>
      <c r="BT64" s="60">
        <v>0</v>
      </c>
      <c r="BU64" s="60">
        <v>0</v>
      </c>
      <c r="BV64" s="41">
        <v>0</v>
      </c>
      <c r="BW64" s="32">
        <v>0</v>
      </c>
      <c r="BX64" s="106">
        <f t="shared" si="558"/>
        <v>0</v>
      </c>
      <c r="BY64" s="8"/>
      <c r="BZ64" s="37">
        <f t="shared" si="559"/>
        <v>0</v>
      </c>
      <c r="CA64" s="125">
        <f>IFERROR(VLOOKUP($D64,'Adient Assende (Belgium) WK.17'!$B:BS,CB$1,0),0)</f>
        <v>0</v>
      </c>
      <c r="CB64" s="55">
        <f>IFERROR(VLOOKUP($D64,'Adient Arendal (Malzia) WK.12'!$B:BT,CB$1,0),0)</f>
        <v>0</v>
      </c>
      <c r="CC64" s="55">
        <f>IFERROR(VLOOKUP($D64,'Adient Taizhou (China) WK.16'!$B:BW,CB$1,0),0)</f>
        <v>0</v>
      </c>
      <c r="CD64" s="60">
        <v>0</v>
      </c>
      <c r="CE64" s="60">
        <v>0</v>
      </c>
      <c r="CF64" s="41">
        <v>0</v>
      </c>
      <c r="CG64" s="32">
        <v>0</v>
      </c>
      <c r="CH64" s="106">
        <f t="shared" si="560"/>
        <v>0</v>
      </c>
      <c r="CI64" s="8"/>
      <c r="CJ64" s="37">
        <f t="shared" si="561"/>
        <v>0</v>
      </c>
      <c r="CK64" s="125">
        <f>IFERROR(VLOOKUP($D64,'Adient Assende (Belgium) WK.17'!$B:CC,CL$1,0),0)</f>
        <v>0</v>
      </c>
      <c r="CL64" s="55">
        <f>IFERROR(VLOOKUP($D64,'Adient Arendal (Malzia) WK.12'!$B:CD,CL$1,0),0)</f>
        <v>0</v>
      </c>
      <c r="CM64" s="55">
        <f>IFERROR(VLOOKUP($D64,'Adient Taizhou (China) WK.16'!$B:CG,CL$1,0),0)</f>
        <v>0</v>
      </c>
      <c r="CN64" s="60">
        <v>0</v>
      </c>
      <c r="CO64" s="149">
        <v>0</v>
      </c>
      <c r="CP64" s="32">
        <v>0</v>
      </c>
      <c r="CQ64" s="106">
        <f t="shared" si="562"/>
        <v>0</v>
      </c>
      <c r="CR64" s="8"/>
      <c r="CS64" s="122">
        <f t="shared" si="563"/>
        <v>0</v>
      </c>
      <c r="CT64" s="154">
        <f>IFERROR(VLOOKUP($D64,'Adient Assende (Belgium) WK.17'!$B:CL,CU$1,0),0)</f>
        <v>0</v>
      </c>
      <c r="CU64" s="55">
        <f>IFERROR(VLOOKUP($D64,'Adient Arendal (Malzia) WK.12'!$B:CM,CU$1,0),0)</f>
        <v>0</v>
      </c>
      <c r="CV64" s="55">
        <f>IFERROR(VLOOKUP($D64,'Adient Taizhou (China) WK.16'!$B:CP,CU$1,0),0)</f>
        <v>0</v>
      </c>
      <c r="CW64" s="60">
        <v>0</v>
      </c>
      <c r="CX64" s="60">
        <v>0</v>
      </c>
      <c r="CY64" s="128">
        <v>0</v>
      </c>
      <c r="CZ64" s="32">
        <v>0</v>
      </c>
      <c r="DA64" s="106">
        <f t="shared" si="564"/>
        <v>0</v>
      </c>
      <c r="DB64" s="8"/>
      <c r="DC64" s="37">
        <f t="shared" si="565"/>
        <v>0</v>
      </c>
      <c r="DD64" s="125">
        <f>IFERROR(VLOOKUP($D64,'Adient Assende (Belgium) WK.17'!$B:CS,DE$1,0),0)</f>
        <v>0</v>
      </c>
      <c r="DE64" s="55">
        <f>IFERROR(VLOOKUP($D64,'Adient Arendal (Malzia) WK.12'!$B:CU,DE$1,0),0)</f>
        <v>0</v>
      </c>
      <c r="DF64" s="55">
        <f>IFERROR(VLOOKUP($D64,'Adient Taizhou (China) WK.16'!$B:CX,DE$1,0),0)</f>
        <v>0</v>
      </c>
      <c r="DG64" s="60">
        <v>0</v>
      </c>
      <c r="DH64" s="128">
        <v>0</v>
      </c>
      <c r="DI64" s="32">
        <v>0</v>
      </c>
      <c r="DJ64" s="106">
        <f t="shared" si="566"/>
        <v>0</v>
      </c>
      <c r="DL64" s="37">
        <f t="shared" si="567"/>
        <v>0</v>
      </c>
      <c r="DM64" s="125">
        <f>IFERROR(VLOOKUP($D64,'Adient Assende (Belgium) WK.17'!$B:DB,DN$1,0),0)</f>
        <v>0</v>
      </c>
      <c r="DN64" s="55">
        <f>IFERROR(VLOOKUP($D64,'Adient Arendal (Malzia) WK.12'!$B:DC,DN$1,0),0)</f>
        <v>0</v>
      </c>
      <c r="DO64" s="55">
        <f>IFERROR(VLOOKUP($D64,'Adient Taizhou (China) WK.16'!$B:DF,DN$1,0),0)</f>
        <v>0</v>
      </c>
      <c r="DP64" s="128">
        <v>0</v>
      </c>
      <c r="DQ64" s="32">
        <v>0</v>
      </c>
      <c r="DR64" s="106">
        <f t="shared" si="568"/>
        <v>0</v>
      </c>
      <c r="DS64" s="8"/>
      <c r="DT64" s="37">
        <f t="shared" si="569"/>
        <v>0</v>
      </c>
      <c r="DU64" s="125">
        <f>IFERROR(VLOOKUP($D64,'Adient Assende (Belgium) WK.17'!$B:DJ,DV$1,0),0)</f>
        <v>0</v>
      </c>
      <c r="DV64" s="55">
        <f>IFERROR(VLOOKUP($D64,'Adient Arendal (Malzia) WK.12'!$B:DK,DV$1,0),0)</f>
        <v>0</v>
      </c>
      <c r="DW64" s="55">
        <f>IFERROR(VLOOKUP($D64,'Adient Taizhou (China) WK.16'!$B:DN,DV$1,0),0)</f>
        <v>0</v>
      </c>
      <c r="DX64" s="60">
        <v>0</v>
      </c>
      <c r="DY64" s="60">
        <v>0</v>
      </c>
      <c r="DZ64" s="128">
        <v>0</v>
      </c>
      <c r="EA64" s="32">
        <v>0</v>
      </c>
      <c r="EB64" s="106">
        <f t="shared" si="570"/>
        <v>0</v>
      </c>
      <c r="EC64" s="8"/>
      <c r="ED64" s="37">
        <f t="shared" si="571"/>
        <v>0</v>
      </c>
      <c r="EE64" s="125">
        <f>IFERROR(VLOOKUP($D64,'Adient Assende (Belgium) WK.17'!$B:DR,EF$1,0),0)</f>
        <v>0</v>
      </c>
      <c r="EF64" s="55">
        <f>IFERROR(VLOOKUP($D64,'Adient Arendal (Malzia) WK.12'!$B:DS,EF$1,0),0)</f>
        <v>0</v>
      </c>
      <c r="EG64" s="55">
        <f>IFERROR(VLOOKUP($D64,'Adient Taizhou (China) WK.16'!$B:DV,EF$1,0),0)</f>
        <v>0</v>
      </c>
      <c r="EH64" s="60">
        <v>0</v>
      </c>
      <c r="EI64" s="128">
        <v>0</v>
      </c>
      <c r="EJ64" s="32">
        <v>0</v>
      </c>
      <c r="EK64" s="106">
        <f t="shared" si="572"/>
        <v>0</v>
      </c>
      <c r="EM64" s="37">
        <f t="shared" si="573"/>
        <v>0</v>
      </c>
      <c r="EN64" s="125">
        <f>IFERROR(VLOOKUP($D64,'Adient Assende (Belgium) WK.17'!$B:DZ,EO$1,0),0)</f>
        <v>0</v>
      </c>
      <c r="EO64" s="55">
        <f>IFERROR(VLOOKUP($D64,'Adient Arendal (Malzia) WK.12'!$B:EA,EO$1,0),0)</f>
        <v>0</v>
      </c>
      <c r="EP64" s="55">
        <f>IFERROR(VLOOKUP($D64,'Adient Taizhou (China) WK.16'!$B:ED,EO$1,0),0)</f>
        <v>0</v>
      </c>
      <c r="EQ64" s="128">
        <v>0</v>
      </c>
      <c r="ER64" s="32">
        <v>0</v>
      </c>
      <c r="ES64" s="106">
        <f t="shared" si="574"/>
        <v>0</v>
      </c>
      <c r="EU64" s="37">
        <f t="shared" si="575"/>
        <v>0</v>
      </c>
      <c r="EV64" s="125">
        <f>IFERROR(VLOOKUP($D64,'Adient Assende (Belgium) WK.17'!$B:EH,EW$1,0),0)</f>
        <v>0</v>
      </c>
      <c r="EW64" s="55">
        <f>IFERROR(VLOOKUP($D64,'Adient Arendal (Malzia) WK.12'!$B:EI,EW$1,0),0)</f>
        <v>0</v>
      </c>
      <c r="EX64" s="55">
        <f>IFERROR(VLOOKUP($D64,'Adient Taizhou (China) WK.16'!$B:EL,EW$1,0),0)</f>
        <v>0</v>
      </c>
      <c r="EY64" s="128">
        <v>0</v>
      </c>
      <c r="EZ64" s="32">
        <v>0</v>
      </c>
      <c r="FA64" s="106">
        <f t="shared" si="576"/>
        <v>0</v>
      </c>
      <c r="FC64" s="37">
        <f t="shared" si="577"/>
        <v>0</v>
      </c>
      <c r="FD64" s="154">
        <f>IFERROR(VLOOKUP($D64,'Adient Assende (Belgium) WK.17'!$B:EP,FE$1,0),0)</f>
        <v>0</v>
      </c>
      <c r="FE64" s="154">
        <f>IFERROR(VLOOKUP($D64,'Adient Arendal (Malzia) WK.12'!$B:EQ,FE$1,0),0)</f>
        <v>0</v>
      </c>
      <c r="FF64" s="154">
        <f>IFERROR(VLOOKUP($D64,'Adient Taizhou (China) WK.16'!$B:ET,FE$1,0),0)</f>
        <v>0</v>
      </c>
      <c r="FG64" s="128">
        <v>0</v>
      </c>
      <c r="FH64" s="32">
        <v>0</v>
      </c>
      <c r="FI64" s="106">
        <f t="shared" si="578"/>
        <v>0</v>
      </c>
      <c r="FK64" s="37">
        <f t="shared" si="579"/>
        <v>0</v>
      </c>
      <c r="FL64" s="125">
        <f>IFERROR(VLOOKUP($D64,'Adient Assende (Belgium) WK.17'!$B:EX,FM$1,0),0)</f>
        <v>0</v>
      </c>
      <c r="FM64" s="55">
        <f>IFERROR(VLOOKUP($D64,'Adient Arendal (Malzia) WK.12'!$B:EY,FM$1,0),0)</f>
        <v>0</v>
      </c>
      <c r="FN64" s="55">
        <f>IFERROR(VLOOKUP($D64,'Adient Taizhou (China) WK.16'!$B:FB,FM$1,0),0)</f>
        <v>0</v>
      </c>
      <c r="FO64" s="128">
        <v>0</v>
      </c>
      <c r="FP64" s="32">
        <v>0</v>
      </c>
      <c r="FQ64" s="106">
        <f t="shared" si="580"/>
        <v>0</v>
      </c>
      <c r="FR64" s="8"/>
      <c r="FS64" s="37">
        <f t="shared" si="581"/>
        <v>0</v>
      </c>
      <c r="FT64" s="125">
        <f>IFERROR(VLOOKUP($D64,'Adient Assende (Belgium) WK.17'!$B:FF,FU$1,0),0)</f>
        <v>0</v>
      </c>
      <c r="FU64" s="55">
        <f>IFERROR(VLOOKUP($D64,'Adient Arendal (Malzia) WK.12'!$B:FG,FU$1,0),0)</f>
        <v>0</v>
      </c>
      <c r="FV64" s="55">
        <f>IFERROR(VLOOKUP($D64,'Adient Taizhou (China) WK.16'!$B:FJ,FU$1,0),0)</f>
        <v>0</v>
      </c>
      <c r="FW64" s="60">
        <v>0</v>
      </c>
      <c r="FX64" s="60">
        <v>0</v>
      </c>
      <c r="FY64" s="60">
        <v>0</v>
      </c>
      <c r="FZ64" s="60">
        <v>0</v>
      </c>
      <c r="GA64" s="60">
        <v>0</v>
      </c>
      <c r="GB64" s="128">
        <v>0</v>
      </c>
      <c r="GC64" s="32">
        <v>0</v>
      </c>
      <c r="GD64" s="106">
        <f t="shared" si="582"/>
        <v>0</v>
      </c>
      <c r="GF64" s="37">
        <f t="shared" si="583"/>
        <v>0</v>
      </c>
      <c r="GG64" s="125">
        <f>IFERROR(VLOOKUP($D64,'Adient Assende (Belgium) WK.17'!$B:FN,GH$1,0),0)</f>
        <v>0</v>
      </c>
      <c r="GH64" s="55">
        <f>IFERROR(VLOOKUP($D64,'Adient Arendal (Malzia) WK.12'!$B:FO,GH$1,0),0)</f>
        <v>0</v>
      </c>
      <c r="GI64" s="55">
        <f>IFERROR(VLOOKUP($D64,'Adient Taizhou (China) WK.16'!$B:FR,GH$1,0),0)</f>
        <v>0</v>
      </c>
      <c r="GJ64" s="60">
        <v>0</v>
      </c>
      <c r="GK64" s="128">
        <v>0</v>
      </c>
      <c r="GL64" s="32">
        <v>0</v>
      </c>
      <c r="GM64" s="106">
        <f t="shared" si="584"/>
        <v>0</v>
      </c>
      <c r="GO64" s="37">
        <f t="shared" si="585"/>
        <v>0</v>
      </c>
      <c r="GP64" s="125">
        <f>IFERROR(VLOOKUP($D64,'Adient Assende (Belgium) WK.17'!$B:FV,GQ$1,0),0)</f>
        <v>0</v>
      </c>
      <c r="GQ64" s="55">
        <f>IFERROR(VLOOKUP($D64,'Adient Arendal (Malzia) WK.12'!$B:FW,GQ$1,0),0)</f>
        <v>0</v>
      </c>
      <c r="GR64" s="55">
        <f>IFERROR(VLOOKUP($D64,'Adient Taizhou (China) WK.16'!$B:FZ,GQ$1,0),0)</f>
        <v>0</v>
      </c>
      <c r="GS64" s="60">
        <v>0</v>
      </c>
      <c r="GT64" s="128">
        <v>0</v>
      </c>
      <c r="GU64" s="32">
        <v>0</v>
      </c>
      <c r="GV64" s="106">
        <f t="shared" si="586"/>
        <v>0</v>
      </c>
      <c r="GW64" s="8"/>
      <c r="GX64" s="37">
        <f t="shared" si="587"/>
        <v>0</v>
      </c>
      <c r="GY64" s="125">
        <f>IFERROR(VLOOKUP($D64,'Adient Assende (Belgium) WK.17'!$B:GD,GZ$1,0),0)</f>
        <v>0</v>
      </c>
      <c r="GZ64" s="55">
        <f>IFERROR(VLOOKUP($D64,'Adient Arendal (Malzia) WK.12'!$B:GE,GZ$1,0),0)</f>
        <v>0</v>
      </c>
      <c r="HA64" s="55">
        <f>IFERROR(VLOOKUP($D64,'Adient Taizhou (China) WK.16'!$B:GH,GZ$1,0),0)</f>
        <v>0</v>
      </c>
      <c r="HB64" s="60">
        <v>0</v>
      </c>
      <c r="HC64" s="128">
        <v>0</v>
      </c>
      <c r="HD64" s="32">
        <v>0</v>
      </c>
      <c r="HE64" s="106">
        <f t="shared" si="588"/>
        <v>0</v>
      </c>
      <c r="HF64" s="8"/>
      <c r="HG64" s="37">
        <f t="shared" si="589"/>
        <v>0</v>
      </c>
      <c r="HH64" s="125">
        <f>IFERROR(VLOOKUP($D64,'Adient Assende (Belgium) WK.17'!$B:GL,HI$1,0),0)</f>
        <v>0</v>
      </c>
      <c r="HI64" s="55">
        <f>IFERROR(VLOOKUP($D64,'Adient Arendal (Malzia) WK.12'!$B:GM,HI$1,0),0)</f>
        <v>0</v>
      </c>
      <c r="HJ64" s="55">
        <f>IFERROR(VLOOKUP($D64,'Adient Taizhou (China) WK.16'!$B:GP,HI$1,0),0)</f>
        <v>0</v>
      </c>
      <c r="HK64" s="60">
        <v>0</v>
      </c>
      <c r="HL64" s="128">
        <v>0</v>
      </c>
      <c r="HM64" s="32">
        <v>0</v>
      </c>
      <c r="HN64" s="106">
        <f t="shared" si="590"/>
        <v>0</v>
      </c>
      <c r="HO64" s="8"/>
      <c r="HP64" s="37">
        <f t="shared" si="591"/>
        <v>0</v>
      </c>
      <c r="HQ64" s="125">
        <f>IFERROR(VLOOKUP($D64,'Adient Assende (Belgium) WK.17'!$B:GT,HR$1,0),0)</f>
        <v>0</v>
      </c>
      <c r="HR64" s="55">
        <f>IFERROR(VLOOKUP($D64,'Adient Arendal (Malzia) WK.12'!$B:GU,HR$1,0),0)</f>
        <v>0</v>
      </c>
      <c r="HS64" s="55">
        <f>IFERROR(VLOOKUP($D64,'Adient Taizhou (China) WK.16'!$B:GX,HR$1,0),0)</f>
        <v>0</v>
      </c>
      <c r="HT64" s="60">
        <v>0</v>
      </c>
      <c r="HU64" s="128">
        <v>0</v>
      </c>
      <c r="HV64" s="32">
        <v>0</v>
      </c>
      <c r="HW64" s="106">
        <f t="shared" si="592"/>
        <v>0</v>
      </c>
      <c r="HX64" s="8"/>
      <c r="HY64" s="37">
        <f t="shared" si="593"/>
        <v>0</v>
      </c>
      <c r="HZ64" s="125">
        <f>IFERROR(VLOOKUP($D64,'Adient Assende (Belgium) WK.17'!$B:HB,IA$1,0),0)</f>
        <v>0</v>
      </c>
      <c r="IA64" s="55">
        <f>IFERROR(VLOOKUP($D64,'Adient Arendal (Malzia) WK.12'!$B:HC,IA$1,0),0)</f>
        <v>0</v>
      </c>
      <c r="IB64" s="55">
        <f>IFERROR(VLOOKUP($D64,'Adient Taizhou (China) WK.16'!$B:HF,IA$1,0),0)</f>
        <v>0</v>
      </c>
      <c r="IC64" s="60">
        <v>0</v>
      </c>
      <c r="ID64" s="128">
        <v>0</v>
      </c>
      <c r="IE64" s="32">
        <v>0</v>
      </c>
      <c r="IF64" s="106">
        <f t="shared" si="594"/>
        <v>0</v>
      </c>
      <c r="IG64" s="8"/>
      <c r="IH64" s="37">
        <f t="shared" si="595"/>
        <v>0</v>
      </c>
      <c r="II64" s="125">
        <f>IFERROR(VLOOKUP($D64,'Adient Assende (Belgium) WK.17'!$B:HJ,IJ$1,0),0)</f>
        <v>0</v>
      </c>
      <c r="IJ64" s="55">
        <f>IFERROR(VLOOKUP($D64,'Adient Arendal (Malzia) WK.12'!$B:HK,IJ$1,0),0)</f>
        <v>0</v>
      </c>
      <c r="IK64" s="55">
        <f>IFERROR(VLOOKUP($D64,'Adient Taizhou (China) WK.16'!$B:HN,IJ$1,0),0)</f>
        <v>0</v>
      </c>
      <c r="IL64" s="128">
        <v>0</v>
      </c>
      <c r="IM64" s="32">
        <v>0</v>
      </c>
      <c r="IN64" s="106">
        <f t="shared" si="596"/>
        <v>0</v>
      </c>
      <c r="IO64" s="8"/>
      <c r="IP64" s="37">
        <f t="shared" si="597"/>
        <v>0</v>
      </c>
      <c r="IQ64" s="125">
        <f>IFERROR(VLOOKUP($D64,'Adient Assende (Belgium) WK.17'!$B:HR,IR$1,0),0)</f>
        <v>0</v>
      </c>
      <c r="IR64" s="55">
        <f>IFERROR(VLOOKUP($D64,'Adient Arendal (Malzia) WK.12'!$B:HS,IR$1,0),0)</f>
        <v>0</v>
      </c>
      <c r="IS64" s="55">
        <f>IFERROR(VLOOKUP($D64,'Adient Taizhou (China) WK.16'!$B:HV,IR$1,0),0)</f>
        <v>0</v>
      </c>
      <c r="IT64" s="60">
        <v>0</v>
      </c>
      <c r="IU64" s="128">
        <v>0</v>
      </c>
      <c r="IV64" s="32">
        <v>0</v>
      </c>
      <c r="IW64" s="106">
        <f t="shared" si="598"/>
        <v>0</v>
      </c>
      <c r="IX64" s="8"/>
      <c r="IY64" s="37">
        <f t="shared" si="599"/>
        <v>0</v>
      </c>
      <c r="IZ64" s="125">
        <f>IFERROR(VLOOKUP($D64,'Adient Assende (Belgium) WK.17'!$B:HZ,JA$1,0),0)</f>
        <v>0</v>
      </c>
      <c r="JA64" s="55">
        <f>IFERROR(VLOOKUP($D64,'Adient Arendal (Malzia) WK.12'!$B:IA,JA$1,0),0)</f>
        <v>0</v>
      </c>
      <c r="JB64" s="55">
        <f>IFERROR(VLOOKUP($D64,'Adient Taizhou (China) WK.16'!$B:ID,JA$1,0),0)</f>
        <v>0</v>
      </c>
      <c r="JC64" s="128">
        <v>0</v>
      </c>
      <c r="JD64" s="32">
        <v>0</v>
      </c>
      <c r="JE64" s="106">
        <f t="shared" si="600"/>
        <v>0</v>
      </c>
      <c r="JF64" s="8"/>
      <c r="JG64" s="37">
        <f t="shared" si="601"/>
        <v>0</v>
      </c>
      <c r="JH64" s="125">
        <f>IFERROR(VLOOKUP($D64,'Adient Assende (Belgium) WK.17'!$B:IH,JI$1,0),0)</f>
        <v>0</v>
      </c>
      <c r="JI64" s="55">
        <f>IFERROR(VLOOKUP($D64,'Adient Arendal (Malzia) WK.12'!$B:II,JI$1,0),0)</f>
        <v>0</v>
      </c>
      <c r="JJ64" s="55">
        <f>IFERROR(VLOOKUP($D64,'Adient Taizhou (China) WK.16'!$B:IL,JI$1,0),0)</f>
        <v>0</v>
      </c>
      <c r="JK64" s="60">
        <v>0</v>
      </c>
      <c r="JL64" s="128">
        <v>0</v>
      </c>
      <c r="JM64" s="32">
        <v>0</v>
      </c>
      <c r="JN64" s="106">
        <f t="shared" si="602"/>
        <v>0</v>
      </c>
      <c r="JO64" s="8"/>
      <c r="JP64" s="37">
        <f t="shared" si="603"/>
        <v>0</v>
      </c>
      <c r="JQ64" s="125">
        <f>IFERROR(VLOOKUP($D64,'Adient Assende (Belgium) WK.17'!$B:IP,JR$1,0),0)</f>
        <v>0</v>
      </c>
      <c r="JR64" s="55">
        <f>IFERROR(VLOOKUP($D64,'Adient Arendal (Malzia) WK.12'!$B:IQ,JR$1,0),0)</f>
        <v>0</v>
      </c>
      <c r="JS64" s="55">
        <f>IFERROR(VLOOKUP($D64,'Adient Taizhou (China) WK.16'!$B:IT,JR$1,0),0)</f>
        <v>0</v>
      </c>
      <c r="JT64" s="128">
        <v>0</v>
      </c>
      <c r="JU64" s="32">
        <v>0</v>
      </c>
      <c r="JV64" s="106">
        <f t="shared" si="462"/>
        <v>0</v>
      </c>
      <c r="JW64" s="8"/>
      <c r="JX64" s="37">
        <f t="shared" si="604"/>
        <v>0</v>
      </c>
      <c r="JY64" s="154">
        <f>IFERROR(VLOOKUP($D64,'Adient Assende (Belgium) WK.17'!$B:IX,JZ$1,0),0)</f>
        <v>0</v>
      </c>
      <c r="JZ64" s="55">
        <f>IFERROR(VLOOKUP($D64,'Adient Arendal (Malzia) WK.12'!$B:IY,JZ$1,0),0)</f>
        <v>0</v>
      </c>
      <c r="KA64" s="55">
        <f>IFERROR(VLOOKUP($D64,'Adient Taizhou (China) WK.16'!$B:JB,JZ$1,0),0)</f>
        <v>0</v>
      </c>
      <c r="KB64" s="128">
        <v>0</v>
      </c>
      <c r="KC64" s="32">
        <v>0</v>
      </c>
      <c r="KD64" s="106">
        <f t="shared" si="263"/>
        <v>0</v>
      </c>
      <c r="KE64" s="8"/>
      <c r="KF64" s="37">
        <f t="shared" si="605"/>
        <v>0</v>
      </c>
      <c r="KG64" s="125">
        <f>IFERROR(VLOOKUP($D64,'Adient Assende (Belgium) WK.17'!$B:JF,KH$1,0),0)</f>
        <v>0</v>
      </c>
      <c r="KH64" s="55">
        <f>IFERROR(VLOOKUP($D64,'Adient Arendal (Malzia) WK.12'!$B:JG,KH$1,0),0)</f>
        <v>0</v>
      </c>
      <c r="KI64" s="55">
        <f>IFERROR(VLOOKUP($D64,'Adient Taizhou (China) WK.16'!$B:JJ,KH$1,0),0)</f>
        <v>0</v>
      </c>
      <c r="KJ64" s="60">
        <v>0</v>
      </c>
      <c r="KK64" s="128">
        <v>0</v>
      </c>
      <c r="KL64" s="32">
        <v>0</v>
      </c>
      <c r="KM64" s="106">
        <f t="shared" si="264"/>
        <v>0</v>
      </c>
      <c r="KN64" s="8"/>
      <c r="KO64" s="37">
        <f t="shared" si="606"/>
        <v>0</v>
      </c>
      <c r="KP64" s="141">
        <f>IFERROR(VLOOKUP($D64,'Adient Assende (Belgium) WK.17'!$B:JN,KQ$1,0),0)</f>
        <v>0</v>
      </c>
      <c r="KQ64" s="140">
        <f>IFERROR(VLOOKUP($D64,'Adient Arendal (Malzia) WK.12'!$B:JO,KQ$1,0),0)</f>
        <v>0</v>
      </c>
      <c r="KR64" s="140">
        <f>IFERROR(VLOOKUP($D64,'Adient Taizhou (China) WK.16'!$B:JR,KQ$1,0),0)</f>
        <v>0</v>
      </c>
      <c r="KS64" s="60">
        <v>0</v>
      </c>
      <c r="KT64" s="128">
        <v>0</v>
      </c>
      <c r="KU64" s="32">
        <v>0</v>
      </c>
      <c r="KV64" s="106">
        <f t="shared" si="265"/>
        <v>0</v>
      </c>
      <c r="KX64" s="37">
        <f t="shared" si="607"/>
        <v>0</v>
      </c>
      <c r="KY64" s="141">
        <f>IFERROR(VLOOKUP($D64,'Adient Assende (Belgium) WK.17'!$B:JV,KZ$1,0),0)</f>
        <v>0</v>
      </c>
      <c r="KZ64" s="140">
        <f>IFERROR(VLOOKUP($D64,'Adient Arendal (Malzia) WK.12'!$B:JW,KZ$1,0),0)</f>
        <v>0</v>
      </c>
      <c r="LA64" s="140">
        <f>IFERROR(VLOOKUP($D64,'Adient Taizhou (China) WK.16'!$B:JZ,KZ$1,0),0)</f>
        <v>0</v>
      </c>
      <c r="LB64" s="128">
        <v>0</v>
      </c>
      <c r="LC64" s="32">
        <v>0</v>
      </c>
      <c r="LD64" s="106">
        <f t="shared" si="467"/>
        <v>0</v>
      </c>
      <c r="LF64" s="37">
        <f t="shared" si="608"/>
        <v>0</v>
      </c>
      <c r="LG64" s="141">
        <f>IFERROR(VLOOKUP($D64,'Adient Assende (Belgium) WK.17'!$B:KD,LH$1,0),0)</f>
        <v>0</v>
      </c>
      <c r="LH64" s="140">
        <f>IFERROR(VLOOKUP($D64,'Adient Arendal (Malzia) WK.12'!$B:KE,LH$1,0),0)</f>
        <v>0</v>
      </c>
      <c r="LI64" s="140">
        <f>IFERROR(VLOOKUP($D64,'Adient Taizhou (China) WK.16'!$B:KH,LH$1,0),0)</f>
        <v>0</v>
      </c>
      <c r="LJ64" s="60">
        <v>0</v>
      </c>
      <c r="LK64" s="128">
        <v>0</v>
      </c>
      <c r="LL64" s="32">
        <v>0</v>
      </c>
      <c r="LM64" s="100">
        <f t="shared" si="267"/>
        <v>0</v>
      </c>
      <c r="LO64" s="37">
        <f t="shared" si="609"/>
        <v>0</v>
      </c>
      <c r="LP64" s="141">
        <f>IFERROR(VLOOKUP($D64,'Adient Assende (Belgium) WK.17'!$B:KL,LQ$1,0),0)</f>
        <v>0</v>
      </c>
      <c r="LQ64" s="140">
        <f>IFERROR(VLOOKUP($D64,'Adient Arendal (Malzia) WK.12'!$B:KM,LQ$1,0),0)</f>
        <v>0</v>
      </c>
      <c r="LR64" s="140">
        <f>IFERROR(VLOOKUP($D64,'Adient Taizhou (China) WK.16'!$B:KP,LQ$1,0),0)</f>
        <v>0</v>
      </c>
      <c r="LS64" s="128">
        <v>0</v>
      </c>
      <c r="LT64" s="32">
        <v>0</v>
      </c>
      <c r="LU64" s="100">
        <f t="shared" si="610"/>
        <v>0</v>
      </c>
      <c r="LW64" s="37">
        <f t="shared" si="611"/>
        <v>0</v>
      </c>
      <c r="LX64" s="141">
        <f>IFERROR(VLOOKUP($D64,'Adient Assende (Belgium) WK.17'!$B:KT,LY$1,0),0)</f>
        <v>0</v>
      </c>
      <c r="LY64" s="140">
        <f>IFERROR(VLOOKUP($D64,'Adient Arendal (Malzia) WK.12'!$B:KU,LY$1,0),0)</f>
        <v>0</v>
      </c>
      <c r="LZ64" s="140">
        <f>IFERROR(VLOOKUP($D64,'Adient Taizhou (China) WK.16'!$B:KX,LY$1,0),0)</f>
        <v>0</v>
      </c>
      <c r="MA64" s="128">
        <v>0</v>
      </c>
      <c r="MB64" s="32">
        <v>0</v>
      </c>
      <c r="MC64" s="100">
        <f t="shared" si="612"/>
        <v>0</v>
      </c>
      <c r="ME64" s="37">
        <f t="shared" si="613"/>
        <v>0</v>
      </c>
      <c r="MF64" s="154">
        <f>IFERROR(VLOOKUP($D64,'Adient Assende (Belgium) WK.17'!$B:LB,MG$1,0),0)</f>
        <v>0</v>
      </c>
      <c r="MG64" s="140">
        <f>IFERROR(VLOOKUP($D64,'Adient Arendal (Malzia) WK.12'!$B:LC,MG$1,0),0)</f>
        <v>0</v>
      </c>
      <c r="MH64" s="140">
        <f>IFERROR(VLOOKUP($D64,'Adient Taizhou (China) WK.16'!$B:LF,MG$1,0),0)</f>
        <v>0</v>
      </c>
      <c r="MI64" s="128">
        <v>0</v>
      </c>
      <c r="MJ64" s="32">
        <v>0</v>
      </c>
      <c r="MK64" s="100">
        <f t="shared" si="614"/>
        <v>0</v>
      </c>
      <c r="MM64" s="37">
        <f t="shared" si="615"/>
        <v>0</v>
      </c>
      <c r="MN64" s="141">
        <f>IFERROR(VLOOKUP($D64,'Adient Assende (Belgium) WK.17'!$B:LJ,MO$1,0),0)</f>
        <v>0</v>
      </c>
      <c r="MO64" s="140">
        <f>IFERROR(VLOOKUP($D64,'Adient Arendal (Malzia) WK.12'!$B:LK,MO$1,0),0)</f>
        <v>0</v>
      </c>
      <c r="MP64" s="140">
        <f>IFERROR(VLOOKUP($D64,'Adient Taizhou (China) WK.16'!$B:LN,MO$1,0),0)</f>
        <v>0</v>
      </c>
      <c r="MQ64" s="128">
        <v>0</v>
      </c>
      <c r="MR64" s="32">
        <v>0</v>
      </c>
      <c r="MS64" s="100">
        <f t="shared" si="616"/>
        <v>0</v>
      </c>
      <c r="MU64" s="37">
        <f t="shared" si="617"/>
        <v>0</v>
      </c>
      <c r="MV64" s="141">
        <f>IFERROR(VLOOKUP($D64,'Adient Assende (Belgium) WK.17'!$B:LR,MW$1,0),0)</f>
        <v>0</v>
      </c>
      <c r="MW64" s="140">
        <f>IFERROR(VLOOKUP($D64,'Adient Arendal (Malzia) WK.12'!$B:LS,MW$1,0),0)</f>
        <v>0</v>
      </c>
      <c r="MX64" s="140">
        <f>IFERROR(VLOOKUP($D64,'Adient Taizhou (China) WK.16'!$B:LV,MW$1,0),0)</f>
        <v>0</v>
      </c>
      <c r="MY64" s="128">
        <v>0</v>
      </c>
      <c r="MZ64" s="32">
        <v>0</v>
      </c>
      <c r="NA64" s="100">
        <f t="shared" si="618"/>
        <v>0</v>
      </c>
      <c r="NC64" s="37">
        <f t="shared" si="619"/>
        <v>0</v>
      </c>
      <c r="ND64" s="141">
        <f>IFERROR(VLOOKUP($D64,'Adient Assende (Belgium) WK.17'!$B:LZ,NE$1,0),0)</f>
        <v>0</v>
      </c>
      <c r="NE64" s="140">
        <f>IFERROR(VLOOKUP($D64,'Adient Arendal (Malzia) WK.12'!$B:MA,NE$1,0),0)</f>
        <v>0</v>
      </c>
      <c r="NF64" s="140">
        <f>IFERROR(VLOOKUP($D64,'Adient Taizhou (China) WK.16'!$B:MD,NE$1,0),0)</f>
        <v>0</v>
      </c>
      <c r="NG64" s="128">
        <v>0</v>
      </c>
      <c r="NH64" s="32">
        <v>0</v>
      </c>
      <c r="NI64" s="100">
        <f t="shared" si="620"/>
        <v>0</v>
      </c>
      <c r="NK64" s="37">
        <f t="shared" si="621"/>
        <v>0</v>
      </c>
      <c r="NL64" s="141">
        <f>IFERROR(VLOOKUP($D64,'Adient Assende (Belgium) WK.17'!$B:MH,NM$1,0),0)</f>
        <v>0</v>
      </c>
      <c r="NM64" s="140">
        <f>IFERROR(VLOOKUP($D64,'Adient Arendal (Malzia) WK.12'!$B:MI,NM$1,0),0)</f>
        <v>0</v>
      </c>
      <c r="NN64" s="140">
        <f>IFERROR(VLOOKUP($D64,'Adient Taizhou (China) WK.16'!$B:ML,NM$1,0),0)</f>
        <v>0</v>
      </c>
      <c r="NO64" s="128">
        <v>0</v>
      </c>
      <c r="NP64" s="32">
        <v>0</v>
      </c>
      <c r="NQ64" s="100">
        <f t="shared" si="622"/>
        <v>0</v>
      </c>
      <c r="NS64" s="37">
        <f t="shared" si="623"/>
        <v>0</v>
      </c>
      <c r="NT64" s="141">
        <f>IFERROR(VLOOKUP($D64,'Adient Assende (Belgium) WK.17'!$B:MP,NU$1,0),0)</f>
        <v>0</v>
      </c>
      <c r="NU64" s="140">
        <f>IFERROR(VLOOKUP($D64,'Adient Arendal (Malzia) WK.12'!$B:MQ,NU$1,0),0)</f>
        <v>0</v>
      </c>
      <c r="NV64" s="140">
        <f>IFERROR(VLOOKUP($D64,'Adient Taizhou (China) WK.16'!$B:MT,NU$1,0),0)</f>
        <v>0</v>
      </c>
      <c r="NW64" s="128">
        <v>0</v>
      </c>
      <c r="NX64" s="32">
        <v>0</v>
      </c>
      <c r="NY64" s="100">
        <f t="shared" si="624"/>
        <v>0</v>
      </c>
      <c r="OA64" s="37">
        <f t="shared" si="625"/>
        <v>0</v>
      </c>
      <c r="OB64" s="141">
        <f>IFERROR(VLOOKUP($D64,'Adient Assende (Belgium) WK.17'!$B:MX,OC$1,0),0)</f>
        <v>0</v>
      </c>
      <c r="OC64" s="140">
        <f>IFERROR(VLOOKUP($D64,'Adient Arendal (Malzia) WK.12'!$B:MY,OC$1,0),0)</f>
        <v>0</v>
      </c>
      <c r="OD64" s="140">
        <f>IFERROR(VLOOKUP($D64,'Adient Taizhou (China) WK.16'!$B:NB,OC$1,0),0)</f>
        <v>0</v>
      </c>
      <c r="OE64" s="128">
        <v>0</v>
      </c>
      <c r="OF64" s="32">
        <v>0</v>
      </c>
      <c r="OG64" s="100">
        <f t="shared" si="626"/>
        <v>0</v>
      </c>
      <c r="OI64" s="37">
        <f t="shared" si="627"/>
        <v>0</v>
      </c>
      <c r="OJ64" s="141">
        <f>IFERROR(VLOOKUP($D64,'Adient Assende (Belgium) WK.17'!$B:NF,OK$1,0),0)</f>
        <v>0</v>
      </c>
      <c r="OK64" s="140">
        <f>IFERROR(VLOOKUP($D64,'Adient Arendal (Malzia) WK.12'!$B:NG,OK$1,0),0)</f>
        <v>0</v>
      </c>
      <c r="OL64" s="140">
        <f>IFERROR(VLOOKUP($D64,'Adient Taizhou (China) WK.16'!$B:NJ,OK$1,0),0)</f>
        <v>0</v>
      </c>
      <c r="OM64" s="128">
        <v>0</v>
      </c>
      <c r="ON64" s="32">
        <v>0</v>
      </c>
      <c r="OO64" s="100">
        <f t="shared" si="628"/>
        <v>0</v>
      </c>
      <c r="OQ64" s="37">
        <f t="shared" si="629"/>
        <v>0</v>
      </c>
      <c r="OR64" s="141">
        <f>IFERROR(VLOOKUP($D64,'Adient Assende (Belgium) WK.17'!$B:NN,OS$1,0),0)</f>
        <v>0</v>
      </c>
      <c r="OS64" s="140">
        <f>IFERROR(VLOOKUP($D64,'Adient Arendal (Malzia) WK.12'!$B:NO,OS$1,0),0)</f>
        <v>0</v>
      </c>
      <c r="OT64" s="140">
        <f>IFERROR(VLOOKUP($D64,'Adient Taizhou (China) WK.16'!$B:NR,OS$1,0),0)</f>
        <v>0</v>
      </c>
      <c r="OU64" s="128">
        <v>0</v>
      </c>
      <c r="OV64" s="32">
        <v>0</v>
      </c>
      <c r="OW64" s="100">
        <f t="shared" si="630"/>
        <v>0</v>
      </c>
      <c r="OY64" s="37">
        <f t="shared" si="631"/>
        <v>0</v>
      </c>
      <c r="OZ64" s="141">
        <f>IFERROR(VLOOKUP($D64,'Adient Assende (Belgium) WK.17'!$B:NV,PA$1,0),0)</f>
        <v>0</v>
      </c>
      <c r="PA64" s="140">
        <f>IFERROR(VLOOKUP($D64,'Adient Arendal (Malzia) WK.12'!$B:NW,PA$1,0),0)</f>
        <v>0</v>
      </c>
      <c r="PB64" s="140">
        <f>IFERROR(VLOOKUP($D64,'Adient Taizhou (China) WK.16'!$B:NZ,PA$1,0),0)</f>
        <v>0</v>
      </c>
      <c r="PC64" s="128">
        <v>0</v>
      </c>
      <c r="PD64" s="32">
        <v>0</v>
      </c>
      <c r="PE64" s="100">
        <f t="shared" si="632"/>
        <v>0</v>
      </c>
      <c r="PG64" s="37">
        <f t="shared" si="633"/>
        <v>0</v>
      </c>
      <c r="PH64" s="141">
        <f>IFERROR(VLOOKUP($D64,'Adient Assende (Belgium) WK.17'!$B:OD,PI$1,0),0)</f>
        <v>0</v>
      </c>
      <c r="PI64" s="140">
        <f>IFERROR(VLOOKUP($D64,'Adient Arendal (Malzia) WK.12'!$B:OE,PI$1,0),0)</f>
        <v>0</v>
      </c>
      <c r="PJ64" s="140">
        <f>IFERROR(VLOOKUP($D64,'Adient Taizhou (China) WK.16'!$B:OH,PI$1,0),0)</f>
        <v>0</v>
      </c>
      <c r="PK64" s="128">
        <v>0</v>
      </c>
      <c r="PL64" s="32">
        <v>0</v>
      </c>
      <c r="PM64" s="100">
        <f t="shared" si="634"/>
        <v>0</v>
      </c>
      <c r="PO64" s="37">
        <f t="shared" si="635"/>
        <v>0</v>
      </c>
      <c r="PP64" s="141">
        <f>IFERROR(VLOOKUP($D64,'Adient Assende (Belgium) WK.17'!$B:OL,PQ$1,0),0)</f>
        <v>0</v>
      </c>
      <c r="PQ64" s="140">
        <f>IFERROR(VLOOKUP($D64,'Adient Arendal (Malzia) WK.12'!$B:OM,PQ$1,0),0)</f>
        <v>0</v>
      </c>
      <c r="PR64" s="140">
        <f>IFERROR(VLOOKUP($D64,'Adient Taizhou (China) WK.16'!$B:OP,PQ$1,0),0)</f>
        <v>0</v>
      </c>
      <c r="PS64" s="128">
        <v>0</v>
      </c>
      <c r="PT64" s="32">
        <v>0</v>
      </c>
      <c r="PU64" s="100">
        <f t="shared" si="636"/>
        <v>0</v>
      </c>
      <c r="PW64" s="37">
        <f t="shared" si="637"/>
        <v>0</v>
      </c>
      <c r="PX64" s="141">
        <f>IFERROR(VLOOKUP($D64,'Adient Assende (Belgium) WK.17'!$B:OT,PY$1,0),0)</f>
        <v>0</v>
      </c>
      <c r="PY64" s="140">
        <f>IFERROR(VLOOKUP($D64,'Adient Arendal (Malzia) WK.12'!$B:OU,PY$1,0),0)</f>
        <v>0</v>
      </c>
      <c r="PZ64" s="140">
        <f>IFERROR(VLOOKUP($D64,'Adient Taizhou (China) WK.16'!$B:OX,PY$1,0),0)</f>
        <v>0</v>
      </c>
      <c r="QA64" s="128">
        <v>0</v>
      </c>
      <c r="QB64" s="32">
        <v>0</v>
      </c>
      <c r="QC64" s="100">
        <f t="shared" si="638"/>
        <v>0</v>
      </c>
      <c r="QE64" s="37">
        <f t="shared" si="639"/>
        <v>0</v>
      </c>
      <c r="QF64" s="141">
        <f>IFERROR(VLOOKUP($D64,'Adient Assende (Belgium) WK.17'!$B:PB,QG$1,0),0)</f>
        <v>0</v>
      </c>
      <c r="QG64" s="140">
        <f>IFERROR(VLOOKUP($D64,'Adient Arendal (Malzia) WK.12'!$B:PC,QG$1,0),0)</f>
        <v>0</v>
      </c>
      <c r="QH64" s="140">
        <f>IFERROR(VLOOKUP($D64,'Adient Taizhou (China) WK.16'!$B:PF,QG$1,0),0)</f>
        <v>0</v>
      </c>
      <c r="QI64" s="128">
        <v>0</v>
      </c>
      <c r="QJ64" s="32">
        <v>0</v>
      </c>
      <c r="QK64" s="100">
        <f t="shared" si="640"/>
        <v>0</v>
      </c>
      <c r="QM64" s="37">
        <f t="shared" si="641"/>
        <v>0</v>
      </c>
      <c r="QN64" s="141">
        <f>IFERROR(VLOOKUP($D64,'Adient Assende (Belgium) WK.17'!$B:PJ,QO$1,0),0)</f>
        <v>0</v>
      </c>
      <c r="QO64" s="140">
        <f>IFERROR(VLOOKUP($D64,'Adient Arendal (Malzia) WK.12'!$B:PK,QO$1,0),0)</f>
        <v>0</v>
      </c>
      <c r="QP64" s="140">
        <f>IFERROR(VLOOKUP($D64,'Adient Taizhou (China) WK.16'!$B:PN,QO$1,0),0)</f>
        <v>0</v>
      </c>
      <c r="QQ64" s="128">
        <v>0</v>
      </c>
      <c r="QR64" s="32">
        <v>0</v>
      </c>
      <c r="QS64" s="100">
        <f t="shared" si="642"/>
        <v>0</v>
      </c>
      <c r="QU64" s="37">
        <f t="shared" si="643"/>
        <v>0</v>
      </c>
      <c r="QV64" s="141">
        <f>IFERROR(VLOOKUP($D64,'Adient Assende (Belgium) WK.17'!$B:PR,QW$1,0),0)</f>
        <v>0</v>
      </c>
      <c r="QW64" s="140">
        <f>IFERROR(VLOOKUP($D64,'Adient Arendal (Malzia) WK.12'!$B:PS,QW$1,0),0)</f>
        <v>0</v>
      </c>
      <c r="QX64" s="140">
        <f>IFERROR(VLOOKUP($D64,'Adient Taizhou (China) WK.16'!$B:PV,QW$1,0),0)</f>
        <v>0</v>
      </c>
      <c r="QY64" s="128">
        <v>0</v>
      </c>
      <c r="QZ64" s="32">
        <v>0</v>
      </c>
      <c r="RA64" s="100">
        <f t="shared" si="644"/>
        <v>0</v>
      </c>
      <c r="RC64" s="37">
        <f t="shared" si="645"/>
        <v>0</v>
      </c>
      <c r="RD64" s="141">
        <f>IFERROR(VLOOKUP($D64,'Adient Assende (Belgium) WK.17'!$B:PZ,RE$1,0),0)</f>
        <v>0</v>
      </c>
      <c r="RE64" s="140">
        <f>IFERROR(VLOOKUP($D64,'Adient Arendal (Malzia) WK.12'!$B:QA,RE$1,0),0)</f>
        <v>0</v>
      </c>
      <c r="RF64" s="140">
        <f>IFERROR(VLOOKUP($D64,'Adient Taizhou (China) WK.16'!$B:QD,RE$1,0),0)</f>
        <v>0</v>
      </c>
      <c r="RG64" s="128">
        <v>0</v>
      </c>
      <c r="RH64" s="32">
        <v>0</v>
      </c>
      <c r="RI64" s="100">
        <f t="shared" si="646"/>
        <v>0</v>
      </c>
      <c r="RK64" s="37">
        <f t="shared" si="647"/>
        <v>0</v>
      </c>
      <c r="RL64" s="141">
        <f>IFERROR(VLOOKUP($D64,'Adient Assende (Belgium) WK.17'!$B:QH,RM$1,0),0)</f>
        <v>0</v>
      </c>
      <c r="RM64" s="140">
        <f>IFERROR(VLOOKUP($D64,'Adient Arendal (Malzia) WK.12'!$B:QI,RM$1,0),0)</f>
        <v>0</v>
      </c>
      <c r="RN64" s="140">
        <f>IFERROR(VLOOKUP($D64,'Adient Taizhou (China) WK.16'!$B:QL,RM$1,0),0)</f>
        <v>0</v>
      </c>
      <c r="RO64" s="128">
        <v>0</v>
      </c>
      <c r="RP64" s="32">
        <v>0</v>
      </c>
      <c r="RQ64" s="100">
        <f t="shared" si="648"/>
        <v>0</v>
      </c>
      <c r="RS64" s="37">
        <f t="shared" si="649"/>
        <v>0</v>
      </c>
      <c r="RT64" s="141">
        <f>IFERROR(VLOOKUP($D64,'Adient Assende (Belgium) WK.17'!$B:QP,RU$1,0),0)</f>
        <v>0</v>
      </c>
      <c r="RU64" s="140">
        <f>IFERROR(VLOOKUP($D64,'Adient Arendal (Malzia) WK.12'!$B:QQ,RU$1,0),0)</f>
        <v>0</v>
      </c>
      <c r="RV64" s="140">
        <f>IFERROR(VLOOKUP($D64,'Adient Taizhou (China) WK.16'!$B:QT,RU$1,0),0)</f>
        <v>0</v>
      </c>
      <c r="RW64" s="128">
        <v>0</v>
      </c>
      <c r="RX64" s="32">
        <v>0</v>
      </c>
      <c r="RY64" s="100">
        <f t="shared" si="650"/>
        <v>0</v>
      </c>
      <c r="SA64" s="37">
        <f t="shared" si="651"/>
        <v>0</v>
      </c>
      <c r="SB64" s="141">
        <f>IFERROR(VLOOKUP($D64,'Adient Assende (Belgium) WK.17'!$B:QX,SC$1,0),0)</f>
        <v>0</v>
      </c>
      <c r="SC64" s="140">
        <f>IFERROR(VLOOKUP($D64,'Adient Arendal (Malzia) WK.12'!$B:QY,SC$1,0),0)</f>
        <v>0</v>
      </c>
      <c r="SD64" s="140">
        <f>IFERROR(VLOOKUP($D64,'Adient Taizhou (China) WK.16'!$B:RB,SC$1,0),0)</f>
        <v>0</v>
      </c>
      <c r="SE64" s="128">
        <v>0</v>
      </c>
      <c r="SF64" s="32">
        <v>0</v>
      </c>
      <c r="SG64" s="100">
        <f t="shared" si="652"/>
        <v>0</v>
      </c>
      <c r="SI64" s="37">
        <f t="shared" si="653"/>
        <v>0</v>
      </c>
      <c r="SJ64" s="141">
        <f>IFERROR(VLOOKUP($D64,'Adient Assende (Belgium) WK.17'!$B:RF,SK$1,0),0)</f>
        <v>0</v>
      </c>
      <c r="SK64" s="140">
        <f>IFERROR(VLOOKUP($D64,'Adient Arendal (Malzia) WK.12'!$B:RG,SK$1,0),0)</f>
        <v>0</v>
      </c>
      <c r="SL64" s="140">
        <f>IFERROR(VLOOKUP($D64,'Adient Taizhou (China) WK.16'!$B:RJ,SK$1,0),0)</f>
        <v>0</v>
      </c>
      <c r="SM64" s="128">
        <v>0</v>
      </c>
      <c r="SN64" s="32">
        <v>0</v>
      </c>
      <c r="SO64" s="100">
        <f t="shared" si="654"/>
        <v>0</v>
      </c>
      <c r="SQ64" s="37">
        <f t="shared" si="655"/>
        <v>0</v>
      </c>
      <c r="SR64" s="141">
        <f>IFERROR(VLOOKUP($D64,'Adient Assende (Belgium) WK.17'!$B:RN,SS$1,0),0)</f>
        <v>0</v>
      </c>
      <c r="SS64" s="140">
        <f>IFERROR(VLOOKUP($D64,'Adient Arendal (Malzia) WK.12'!$B:RO,SS$1,0),0)</f>
        <v>0</v>
      </c>
      <c r="ST64" s="140">
        <f>IFERROR(VLOOKUP($D64,'Adient Taizhou (China) WK.16'!$B:RR,SS$1,0),0)</f>
        <v>0</v>
      </c>
      <c r="SU64" s="128">
        <v>0</v>
      </c>
      <c r="SV64" s="32">
        <v>0</v>
      </c>
      <c r="SW64" s="100">
        <f t="shared" si="656"/>
        <v>0</v>
      </c>
      <c r="SY64" s="37">
        <f t="shared" si="657"/>
        <v>0</v>
      </c>
      <c r="SZ64" s="141">
        <f>IFERROR(VLOOKUP($D64,'Adient Assende (Belgium) WK.17'!$B:RV,TA$1,0),0)</f>
        <v>0</v>
      </c>
      <c r="TA64" s="140">
        <f>IFERROR(VLOOKUP($D64,'Adient Arendal (Malzia) WK.12'!$B:RW,TA$1,0),0)</f>
        <v>0</v>
      </c>
      <c r="TB64" s="140">
        <f>IFERROR(VLOOKUP($D64,'Adient Taizhou (China) WK.16'!$B:RZ,TA$1,0),0)</f>
        <v>0</v>
      </c>
      <c r="TC64" s="128">
        <v>0</v>
      </c>
      <c r="TD64" s="32">
        <v>0</v>
      </c>
      <c r="TE64" s="100">
        <f t="shared" si="658"/>
        <v>0</v>
      </c>
      <c r="TG64" s="37">
        <f t="shared" si="659"/>
        <v>0</v>
      </c>
      <c r="TH64" s="141">
        <f>IFERROR(VLOOKUP($D64,'Adient Assende (Belgium) WK.17'!$B:SD,TI$1,0),0)</f>
        <v>20</v>
      </c>
      <c r="TI64" s="140">
        <f>IFERROR(VLOOKUP($D64,'Adient Arendal (Malzia) WK.12'!$B:SE,TI$1,0),0)</f>
        <v>0</v>
      </c>
      <c r="TJ64" s="140">
        <f>IFERROR(VLOOKUP($D64,'Adient Taizhou (China) WK.16'!$B:SH,TI$1,0),0)</f>
        <v>0</v>
      </c>
      <c r="TK64" s="128">
        <v>0</v>
      </c>
      <c r="TL64" s="32">
        <v>0</v>
      </c>
      <c r="TM64" s="100">
        <f t="shared" si="660"/>
        <v>-20</v>
      </c>
      <c r="TO64" s="37">
        <f t="shared" si="661"/>
        <v>-20</v>
      </c>
      <c r="TP64" s="141">
        <f>IFERROR(VLOOKUP($D64,'Adient Assende (Belgium) WK.17'!$B:SL,TQ$1,0),0)</f>
        <v>20</v>
      </c>
      <c r="TQ64" s="140">
        <f>IFERROR(VLOOKUP($D64,'Adient Arendal (Malzia) WK.12'!$B:SM,TQ$1,0),0)</f>
        <v>0</v>
      </c>
      <c r="TR64" s="140">
        <f>IFERROR(VLOOKUP($D64,'Adient Taizhou (China) WK.16'!$B:SP,TQ$1,0),0)</f>
        <v>0</v>
      </c>
      <c r="TS64" s="128">
        <v>0</v>
      </c>
      <c r="TT64" s="32">
        <v>0</v>
      </c>
      <c r="TU64" s="100">
        <f t="shared" si="662"/>
        <v>-40</v>
      </c>
      <c r="TW64" s="37">
        <f t="shared" si="663"/>
        <v>-40</v>
      </c>
      <c r="TX64" s="141">
        <f>IFERROR(VLOOKUP($D64,'Adient Assende (Belgium) WK.17'!$B:ST,TY$1,0),0)</f>
        <v>20</v>
      </c>
      <c r="TY64" s="140">
        <f>IFERROR(VLOOKUP($D64,'Adient Arendal (Malzia) WK.12'!$B:SU,TY$1,0),0)</f>
        <v>0</v>
      </c>
      <c r="TZ64" s="140">
        <f>IFERROR(VLOOKUP($D64,'Adient Taizhou (China) WK.16'!$B:SX,TY$1,0),0)</f>
        <v>0</v>
      </c>
      <c r="UA64" s="128">
        <v>0</v>
      </c>
      <c r="UB64" s="32">
        <v>0</v>
      </c>
      <c r="UC64" s="100">
        <f t="shared" si="664"/>
        <v>-60</v>
      </c>
      <c r="UE64" s="37">
        <f t="shared" si="665"/>
        <v>-60</v>
      </c>
      <c r="UF64" s="141">
        <f>IFERROR(VLOOKUP($D64,'Adient Assende (Belgium) WK.17'!$B:TB,UG$1,0),0)</f>
        <v>20</v>
      </c>
      <c r="UG64" s="140">
        <f>IFERROR(VLOOKUP($D64,'Adient Arendal (Malzia) WK.12'!$B:TC,UG$1,0),0)</f>
        <v>0</v>
      </c>
      <c r="UH64" s="140">
        <f>IFERROR(VLOOKUP($D64,'Adient Taizhou (China) WK.16'!$B:TF,UG$1,0),0)</f>
        <v>0</v>
      </c>
      <c r="UI64" s="128">
        <v>0</v>
      </c>
      <c r="UJ64" s="32">
        <v>0</v>
      </c>
      <c r="UK64" s="100">
        <f t="shared" si="666"/>
        <v>-80</v>
      </c>
      <c r="UM64" s="37">
        <f t="shared" si="527"/>
        <v>-80</v>
      </c>
      <c r="UN64" s="141">
        <f>IFERROR(VLOOKUP($D64,'Adient Assende (Belgium) WK.17'!$B:TJ,UO$1,0),0)</f>
        <v>0</v>
      </c>
      <c r="UO64" s="140">
        <f>IFERROR(VLOOKUP($D64,'Adient Arendal (Malzia) WK.12'!$B:TK,UO$1,0),0)</f>
        <v>0</v>
      </c>
      <c r="UP64" s="140">
        <f>IFERROR(VLOOKUP($D64,'Adient Taizhou (China) WK.16'!$B:TN,UO$1,0),0)</f>
        <v>0</v>
      </c>
      <c r="UQ64" s="128">
        <v>0</v>
      </c>
      <c r="UR64" s="32">
        <v>0</v>
      </c>
      <c r="US64" s="100">
        <f t="shared" si="528"/>
        <v>-80</v>
      </c>
      <c r="UU64" s="37">
        <f t="shared" si="529"/>
        <v>-80</v>
      </c>
      <c r="UV64" s="141">
        <f>IFERROR(VLOOKUP($D64,'Adient Assende (Belgium) WK.17'!$B:TR,UW$1,0),0)</f>
        <v>0</v>
      </c>
      <c r="UW64" s="140">
        <f>IFERROR(VLOOKUP($D64,'Adient Arendal (Malzia) WK.12'!$B:TS,UW$1,0),0)</f>
        <v>0</v>
      </c>
      <c r="UX64" s="140">
        <f>IFERROR(VLOOKUP($D64,'Adient Taizhou (China) WK.16'!$B:TV,UW$1,0),0)</f>
        <v>0</v>
      </c>
      <c r="UY64" s="128">
        <v>0</v>
      </c>
      <c r="UZ64" s="32">
        <v>0</v>
      </c>
      <c r="VA64" s="100">
        <f t="shared" si="530"/>
        <v>-80</v>
      </c>
      <c r="VC64" s="37">
        <f t="shared" si="531"/>
        <v>-80</v>
      </c>
      <c r="VD64" s="141">
        <f>IFERROR(VLOOKUP($D64,'Adient Assende (Belgium) WK.17'!$B:TZ,VE$1,0),0)</f>
        <v>0</v>
      </c>
      <c r="VE64" s="140">
        <f>IFERROR(VLOOKUP($D64,'Adient Arendal (Malzia) WK.12'!$B:UA,VE$1,0),0)</f>
        <v>0</v>
      </c>
      <c r="VF64" s="140">
        <f>IFERROR(VLOOKUP($D64,'Adient Taizhou (China) WK.16'!$B:UD,VE$1,0),0)</f>
        <v>0</v>
      </c>
      <c r="VG64" s="128">
        <v>0</v>
      </c>
      <c r="VH64" s="32">
        <v>0</v>
      </c>
      <c r="VI64" s="100">
        <f t="shared" si="532"/>
        <v>-80</v>
      </c>
      <c r="VK64" s="37">
        <f t="shared" si="533"/>
        <v>-80</v>
      </c>
      <c r="VL64" s="141">
        <f>IFERROR(VLOOKUP($D64,'Adient Assende (Belgium) WK.17'!$B:UH,VM$1,0),0)</f>
        <v>0</v>
      </c>
      <c r="VM64" s="140">
        <f>IFERROR(VLOOKUP($D64,'Adient Arendal (Malzia) WK.12'!$B:UI,VM$1,0),0)</f>
        <v>0</v>
      </c>
      <c r="VN64" s="140">
        <f>IFERROR(VLOOKUP($D64,'Adient Taizhou (China) WK.16'!$B:UL,VM$1,0),0)</f>
        <v>0</v>
      </c>
      <c r="VO64" s="128">
        <v>0</v>
      </c>
      <c r="VP64" s="32">
        <v>0</v>
      </c>
      <c r="VQ64" s="100">
        <f t="shared" si="534"/>
        <v>-80</v>
      </c>
    </row>
    <row r="65" spans="1:589" x14ac:dyDescent="0.25">
      <c r="A65" s="10" t="s">
        <v>18</v>
      </c>
      <c r="B65" s="11" t="s">
        <v>17</v>
      </c>
      <c r="C65" s="87">
        <v>32272717</v>
      </c>
      <c r="D65" s="81">
        <v>4817125</v>
      </c>
      <c r="E65" s="11">
        <v>20</v>
      </c>
      <c r="F65" s="168"/>
      <c r="H65" s="122">
        <v>20</v>
      </c>
      <c r="I65" s="125">
        <f>IFERROR(VLOOKUP($D65,'Adient Assende (Belgium) WK.17'!$B:C,J$1,0),0)</f>
        <v>0</v>
      </c>
      <c r="J65" s="55">
        <f>IFERROR(VLOOKUP($D65,'Adient Arendal (Malzia) WK.12'!$B:C,J$1,0),0)</f>
        <v>0</v>
      </c>
      <c r="K65" s="55">
        <f>IFERROR(VLOOKUP($D65,'Adient Taizhou (China) WK.16'!$B:C,J$1,0),0)</f>
        <v>0</v>
      </c>
      <c r="L65" s="128">
        <v>0</v>
      </c>
      <c r="M65" s="32">
        <v>0</v>
      </c>
      <c r="N65" s="106">
        <f t="shared" si="544"/>
        <v>20</v>
      </c>
      <c r="P65" s="37">
        <f t="shared" si="545"/>
        <v>20</v>
      </c>
      <c r="Q65" s="125">
        <f>IFERROR(VLOOKUP($D65,'Adient Assende (Belgium) WK.17'!$B:K,R$1,0),0)</f>
        <v>0</v>
      </c>
      <c r="R65" s="55">
        <f>IFERROR(VLOOKUP($D65,'Adient Arendal (Malzia) WK.12'!$B:K,R$1,0),0)</f>
        <v>0</v>
      </c>
      <c r="S65" s="55">
        <f>IFERROR(VLOOKUP($D65,'Adient Taizhou (China) WK.16'!$B:K,R$1,0),0)</f>
        <v>0</v>
      </c>
      <c r="T65" s="41">
        <v>0</v>
      </c>
      <c r="U65" s="32">
        <v>0</v>
      </c>
      <c r="V65" s="106">
        <f t="shared" si="546"/>
        <v>20</v>
      </c>
      <c r="X65" s="37">
        <f t="shared" si="547"/>
        <v>20</v>
      </c>
      <c r="Y65" s="125">
        <f>IFERROR(VLOOKUP($D65,'Adient Assende (Belgium) WK.17'!$B:S,Z$1,0),0)</f>
        <v>0</v>
      </c>
      <c r="Z65" s="55">
        <f>IFERROR(VLOOKUP($D65,'Adient Arendal (Malzia) WK.12'!$B:S,Z$1,0),0)</f>
        <v>0</v>
      </c>
      <c r="AA65" s="55">
        <f>IFERROR(VLOOKUP($D65,'Adient Taizhou (China) WK.16'!$B:S,Z$1,0),0)</f>
        <v>0</v>
      </c>
      <c r="AB65" s="41">
        <v>0</v>
      </c>
      <c r="AC65" s="32">
        <v>0</v>
      </c>
      <c r="AD65" s="106">
        <f t="shared" si="548"/>
        <v>20</v>
      </c>
      <c r="AF65" s="37">
        <f t="shared" si="549"/>
        <v>20</v>
      </c>
      <c r="AG65" s="125">
        <f>IFERROR(VLOOKUP($D65,'Adient Assende (Belgium) WK.17'!$B:AA,AH$1,0),0)</f>
        <v>0</v>
      </c>
      <c r="AH65" s="55">
        <f>IFERROR(VLOOKUP($D65,'Adient Arendal (Malzia) WK.12'!$B:AA,AH$1,0),0)</f>
        <v>0</v>
      </c>
      <c r="AI65" s="55">
        <f>IFERROR(VLOOKUP($D65,'Adient Taizhou (China) WK.16'!$B:AA,AH$1,0),0)</f>
        <v>0</v>
      </c>
      <c r="AJ65" s="41">
        <v>0</v>
      </c>
      <c r="AK65" s="32">
        <v>0</v>
      </c>
      <c r="AL65" s="106">
        <f t="shared" si="550"/>
        <v>20</v>
      </c>
      <c r="AN65" s="37">
        <f t="shared" si="551"/>
        <v>20</v>
      </c>
      <c r="AO65" s="125">
        <f>IFERROR(VLOOKUP($D65,'Adient Assende (Belgium) WK.17'!$B:AI,AP$1,0),0)</f>
        <v>0</v>
      </c>
      <c r="AP65" s="55">
        <f>IFERROR(VLOOKUP($D65,'Adient Arendal (Malzia) WK.12'!$B:AI,AP$1,0),0)</f>
        <v>0</v>
      </c>
      <c r="AQ65" s="55">
        <f>IFERROR(VLOOKUP($D65,'Adient Taizhou (China) WK.16'!$B:AI,AP$1,0),0)</f>
        <v>0</v>
      </c>
      <c r="AR65" s="60">
        <v>0</v>
      </c>
      <c r="AS65" s="41">
        <v>0</v>
      </c>
      <c r="AT65" s="32">
        <v>0</v>
      </c>
      <c r="AU65" s="106">
        <f t="shared" si="552"/>
        <v>20</v>
      </c>
      <c r="AW65" s="37">
        <f t="shared" si="553"/>
        <v>20</v>
      </c>
      <c r="AX65" s="125">
        <f>IFERROR(VLOOKUP($D65,'Adient Assende (Belgium) WK.17'!$B:AR,AY$1,0),0)</f>
        <v>0</v>
      </c>
      <c r="AY65" s="55">
        <f>IFERROR(VLOOKUP($D65,'Adient Arendal (Malzia) WK.12'!$B:AR,AY$1,0),0)</f>
        <v>0</v>
      </c>
      <c r="AZ65" s="55">
        <f>IFERROR(VLOOKUP($D65,'Adient Taizhou (China) WK.16'!$B:AU,AY$1,0),0)</f>
        <v>0</v>
      </c>
      <c r="BA65" s="41">
        <v>0</v>
      </c>
      <c r="BB65" s="32">
        <v>0</v>
      </c>
      <c r="BC65" s="106">
        <f t="shared" si="554"/>
        <v>20</v>
      </c>
      <c r="BE65" s="37">
        <f t="shared" si="555"/>
        <v>20</v>
      </c>
      <c r="BF65" s="125">
        <f>IFERROR(VLOOKUP($D65,'Adient Assende (Belgium) WK.17'!$B:AX,BG$1,0),0)</f>
        <v>0</v>
      </c>
      <c r="BG65" s="55">
        <f>IFERROR(VLOOKUP($D65,'Adient Arendal (Malzia) WK.12'!$B:AZ,BG$1,0),0)</f>
        <v>0</v>
      </c>
      <c r="BH65" s="55">
        <f>IFERROR(VLOOKUP($D65,'Adient Taizhou (China) WK.16'!$B:BB,BG$1,0),0)</f>
        <v>0</v>
      </c>
      <c r="BI65" s="60">
        <v>0</v>
      </c>
      <c r="BJ65" s="60">
        <v>0</v>
      </c>
      <c r="BK65" s="41">
        <v>0</v>
      </c>
      <c r="BL65" s="32">
        <v>0</v>
      </c>
      <c r="BM65" s="106">
        <f t="shared" si="556"/>
        <v>20</v>
      </c>
      <c r="BN65" s="8"/>
      <c r="BO65" s="37">
        <f t="shared" si="557"/>
        <v>20</v>
      </c>
      <c r="BP65" s="125">
        <f>IFERROR(VLOOKUP($D65,'Adient Assende (Belgium) WK.17'!$B:BH,BQ$1,0),0)</f>
        <v>0</v>
      </c>
      <c r="BQ65" s="55">
        <f>IFERROR(VLOOKUP($D65,'Adient Arendal (Malzia) WK.12'!$B:BI,BQ$1,0),0)</f>
        <v>0</v>
      </c>
      <c r="BR65" s="55">
        <f>IFERROR(VLOOKUP($D65,'Adient Taizhou (China) WK.16'!$B:BL,BQ$1,0),0)</f>
        <v>0</v>
      </c>
      <c r="BS65" s="60">
        <v>0</v>
      </c>
      <c r="BT65" s="60">
        <v>0</v>
      </c>
      <c r="BU65" s="60">
        <v>0</v>
      </c>
      <c r="BV65" s="41">
        <v>0</v>
      </c>
      <c r="BW65" s="32">
        <v>0</v>
      </c>
      <c r="BX65" s="106">
        <f t="shared" si="558"/>
        <v>20</v>
      </c>
      <c r="BY65" s="8"/>
      <c r="BZ65" s="37">
        <f t="shared" si="559"/>
        <v>20</v>
      </c>
      <c r="CA65" s="125">
        <f>IFERROR(VLOOKUP($D65,'Adient Assende (Belgium) WK.17'!$B:BS,CB$1,0),0)</f>
        <v>0</v>
      </c>
      <c r="CB65" s="55">
        <f>IFERROR(VLOOKUP($D65,'Adient Arendal (Malzia) WK.12'!$B:BT,CB$1,0),0)</f>
        <v>0</v>
      </c>
      <c r="CC65" s="55">
        <f>IFERROR(VLOOKUP($D65,'Adient Taizhou (China) WK.16'!$B:BW,CB$1,0),0)</f>
        <v>0</v>
      </c>
      <c r="CD65" s="60">
        <v>0</v>
      </c>
      <c r="CE65" s="60">
        <v>0</v>
      </c>
      <c r="CF65" s="41">
        <v>0</v>
      </c>
      <c r="CG65" s="32">
        <v>0</v>
      </c>
      <c r="CH65" s="106">
        <f t="shared" si="560"/>
        <v>20</v>
      </c>
      <c r="CI65" s="8"/>
      <c r="CJ65" s="37">
        <f t="shared" si="561"/>
        <v>20</v>
      </c>
      <c r="CK65" s="125">
        <f>IFERROR(VLOOKUP($D65,'Adient Assende (Belgium) WK.17'!$B:CC,CL$1,0),0)</f>
        <v>0</v>
      </c>
      <c r="CL65" s="55">
        <f>IFERROR(VLOOKUP($D65,'Adient Arendal (Malzia) WK.12'!$B:CD,CL$1,0),0)</f>
        <v>0</v>
      </c>
      <c r="CM65" s="55">
        <f>IFERROR(VLOOKUP($D65,'Adient Taizhou (China) WK.16'!$B:CG,CL$1,0),0)</f>
        <v>0</v>
      </c>
      <c r="CN65" s="60">
        <v>0</v>
      </c>
      <c r="CO65" s="149">
        <v>0</v>
      </c>
      <c r="CP65" s="32">
        <v>0</v>
      </c>
      <c r="CQ65" s="106">
        <f t="shared" si="562"/>
        <v>20</v>
      </c>
      <c r="CR65" s="8"/>
      <c r="CS65" s="122">
        <f t="shared" si="563"/>
        <v>20</v>
      </c>
      <c r="CT65" s="154">
        <f>IFERROR(VLOOKUP($D65,'Adient Assende (Belgium) WK.17'!$B:CL,CU$1,0),0)</f>
        <v>0</v>
      </c>
      <c r="CU65" s="55">
        <f>IFERROR(VLOOKUP($D65,'Adient Arendal (Malzia) WK.12'!$B:CM,CU$1,0),0)</f>
        <v>0</v>
      </c>
      <c r="CV65" s="55">
        <f>IFERROR(VLOOKUP($D65,'Adient Taizhou (China) WK.16'!$B:CP,CU$1,0),0)</f>
        <v>0</v>
      </c>
      <c r="CW65" s="60">
        <v>0</v>
      </c>
      <c r="CX65" s="60">
        <v>0</v>
      </c>
      <c r="CY65" s="128">
        <v>0</v>
      </c>
      <c r="CZ65" s="32">
        <v>0</v>
      </c>
      <c r="DA65" s="106">
        <f t="shared" si="564"/>
        <v>20</v>
      </c>
      <c r="DB65" s="8"/>
      <c r="DC65" s="37">
        <f t="shared" si="565"/>
        <v>20</v>
      </c>
      <c r="DD65" s="125">
        <f>IFERROR(VLOOKUP($D65,'Adient Assende (Belgium) WK.17'!$B:CS,DE$1,0),0)</f>
        <v>0</v>
      </c>
      <c r="DE65" s="55">
        <f>IFERROR(VLOOKUP($D65,'Adient Arendal (Malzia) WK.12'!$B:CU,DE$1,0),0)</f>
        <v>0</v>
      </c>
      <c r="DF65" s="55">
        <f>IFERROR(VLOOKUP($D65,'Adient Taizhou (China) WK.16'!$B:CX,DE$1,0),0)</f>
        <v>0</v>
      </c>
      <c r="DG65" s="60">
        <v>0</v>
      </c>
      <c r="DH65" s="128">
        <v>0</v>
      </c>
      <c r="DI65" s="32">
        <v>0</v>
      </c>
      <c r="DJ65" s="106">
        <f t="shared" si="566"/>
        <v>20</v>
      </c>
      <c r="DL65" s="37">
        <f t="shared" si="567"/>
        <v>20</v>
      </c>
      <c r="DM65" s="125">
        <f>IFERROR(VLOOKUP($D65,'Adient Assende (Belgium) WK.17'!$B:DB,DN$1,0),0)</f>
        <v>0</v>
      </c>
      <c r="DN65" s="55">
        <f>IFERROR(VLOOKUP($D65,'Adient Arendal (Malzia) WK.12'!$B:DC,DN$1,0),0)</f>
        <v>0</v>
      </c>
      <c r="DO65" s="55">
        <f>IFERROR(VLOOKUP($D65,'Adient Taizhou (China) WK.16'!$B:DF,DN$1,0),0)</f>
        <v>0</v>
      </c>
      <c r="DP65" s="128">
        <v>0</v>
      </c>
      <c r="DQ65" s="32">
        <v>0</v>
      </c>
      <c r="DR65" s="106">
        <f t="shared" si="568"/>
        <v>20</v>
      </c>
      <c r="DS65" s="8"/>
      <c r="DT65" s="37">
        <f t="shared" si="569"/>
        <v>20</v>
      </c>
      <c r="DU65" s="125">
        <f>IFERROR(VLOOKUP($D65,'Adient Assende (Belgium) WK.17'!$B:DJ,DV$1,0),0)</f>
        <v>0</v>
      </c>
      <c r="DV65" s="55">
        <f>IFERROR(VLOOKUP($D65,'Adient Arendal (Malzia) WK.12'!$B:DK,DV$1,0),0)</f>
        <v>0</v>
      </c>
      <c r="DW65" s="55">
        <f>IFERROR(VLOOKUP($D65,'Adient Taizhou (China) WK.16'!$B:DN,DV$1,0),0)</f>
        <v>0</v>
      </c>
      <c r="DX65" s="60">
        <v>0</v>
      </c>
      <c r="DY65" s="60">
        <v>0</v>
      </c>
      <c r="DZ65" s="128">
        <v>0</v>
      </c>
      <c r="EA65" s="32">
        <v>0</v>
      </c>
      <c r="EB65" s="106">
        <f t="shared" si="570"/>
        <v>20</v>
      </c>
      <c r="EC65" s="8"/>
      <c r="ED65" s="37">
        <f t="shared" si="571"/>
        <v>20</v>
      </c>
      <c r="EE65" s="125">
        <f>IFERROR(VLOOKUP($D65,'Adient Assende (Belgium) WK.17'!$B:DR,EF$1,0),0)</f>
        <v>0</v>
      </c>
      <c r="EF65" s="55">
        <f>IFERROR(VLOOKUP($D65,'Adient Arendal (Malzia) WK.12'!$B:DS,EF$1,0),0)</f>
        <v>0</v>
      </c>
      <c r="EG65" s="55">
        <f>IFERROR(VLOOKUP($D65,'Adient Taizhou (China) WK.16'!$B:DV,EF$1,0),0)</f>
        <v>0</v>
      </c>
      <c r="EH65" s="60">
        <v>0</v>
      </c>
      <c r="EI65" s="128">
        <v>0</v>
      </c>
      <c r="EJ65" s="32">
        <v>0</v>
      </c>
      <c r="EK65" s="106">
        <f t="shared" si="572"/>
        <v>20</v>
      </c>
      <c r="EM65" s="37">
        <f t="shared" si="573"/>
        <v>20</v>
      </c>
      <c r="EN65" s="125">
        <f>IFERROR(VLOOKUP($D65,'Adient Assende (Belgium) WK.17'!$B:DZ,EO$1,0),0)</f>
        <v>0</v>
      </c>
      <c r="EO65" s="55">
        <f>IFERROR(VLOOKUP($D65,'Adient Arendal (Malzia) WK.12'!$B:EA,EO$1,0),0)</f>
        <v>0</v>
      </c>
      <c r="EP65" s="55">
        <f>IFERROR(VLOOKUP($D65,'Adient Taizhou (China) WK.16'!$B:ED,EO$1,0),0)</f>
        <v>0</v>
      </c>
      <c r="EQ65" s="128">
        <v>0</v>
      </c>
      <c r="ER65" s="32">
        <v>0</v>
      </c>
      <c r="ES65" s="106">
        <f t="shared" si="574"/>
        <v>20</v>
      </c>
      <c r="EU65" s="37">
        <f t="shared" si="575"/>
        <v>20</v>
      </c>
      <c r="EV65" s="125">
        <f>IFERROR(VLOOKUP($D65,'Adient Assende (Belgium) WK.17'!$B:EH,EW$1,0),0)</f>
        <v>0</v>
      </c>
      <c r="EW65" s="55">
        <f>IFERROR(VLOOKUP($D65,'Adient Arendal (Malzia) WK.12'!$B:EI,EW$1,0),0)</f>
        <v>0</v>
      </c>
      <c r="EX65" s="55">
        <f>IFERROR(VLOOKUP($D65,'Adient Taizhou (China) WK.16'!$B:EL,EW$1,0),0)</f>
        <v>0</v>
      </c>
      <c r="EY65" s="128">
        <v>0</v>
      </c>
      <c r="EZ65" s="32">
        <v>0</v>
      </c>
      <c r="FA65" s="106">
        <f t="shared" si="576"/>
        <v>20</v>
      </c>
      <c r="FC65" s="37">
        <f t="shared" si="577"/>
        <v>20</v>
      </c>
      <c r="FD65" s="154">
        <f>IFERROR(VLOOKUP($D65,'Adient Assende (Belgium) WK.17'!$B:EP,FE$1,0),0)</f>
        <v>0</v>
      </c>
      <c r="FE65" s="154">
        <f>IFERROR(VLOOKUP($D65,'Adient Arendal (Malzia) WK.12'!$B:EQ,FE$1,0),0)</f>
        <v>0</v>
      </c>
      <c r="FF65" s="154">
        <f>IFERROR(VLOOKUP($D65,'Adient Taizhou (China) WK.16'!$B:ET,FE$1,0),0)</f>
        <v>0</v>
      </c>
      <c r="FG65" s="128">
        <v>0</v>
      </c>
      <c r="FH65" s="32">
        <v>0</v>
      </c>
      <c r="FI65" s="106">
        <f t="shared" si="578"/>
        <v>20</v>
      </c>
      <c r="FK65" s="37">
        <f t="shared" si="579"/>
        <v>20</v>
      </c>
      <c r="FL65" s="125">
        <f>IFERROR(VLOOKUP($D65,'Adient Assende (Belgium) WK.17'!$B:EX,FM$1,0),0)</f>
        <v>0</v>
      </c>
      <c r="FM65" s="55">
        <f>IFERROR(VLOOKUP($D65,'Adient Arendal (Malzia) WK.12'!$B:EY,FM$1,0),0)</f>
        <v>0</v>
      </c>
      <c r="FN65" s="55">
        <f>IFERROR(VLOOKUP($D65,'Adient Taizhou (China) WK.16'!$B:FB,FM$1,0),0)</f>
        <v>0</v>
      </c>
      <c r="FO65" s="128">
        <v>0</v>
      </c>
      <c r="FP65" s="32">
        <v>0</v>
      </c>
      <c r="FQ65" s="106">
        <f t="shared" si="580"/>
        <v>20</v>
      </c>
      <c r="FR65" s="8"/>
      <c r="FS65" s="37">
        <f t="shared" si="581"/>
        <v>20</v>
      </c>
      <c r="FT65" s="125">
        <f>IFERROR(VLOOKUP($D65,'Adient Assende (Belgium) WK.17'!$B:FF,FU$1,0),0)</f>
        <v>0</v>
      </c>
      <c r="FU65" s="55">
        <f>IFERROR(VLOOKUP($D65,'Adient Arendal (Malzia) WK.12'!$B:FG,FU$1,0),0)</f>
        <v>0</v>
      </c>
      <c r="FV65" s="55">
        <f>IFERROR(VLOOKUP($D65,'Adient Taizhou (China) WK.16'!$B:FJ,FU$1,0),0)</f>
        <v>0</v>
      </c>
      <c r="FW65" s="60">
        <v>0</v>
      </c>
      <c r="FX65" s="60">
        <v>0</v>
      </c>
      <c r="FY65" s="60">
        <v>0</v>
      </c>
      <c r="FZ65" s="60">
        <v>0</v>
      </c>
      <c r="GA65" s="60">
        <v>0</v>
      </c>
      <c r="GB65" s="128">
        <v>0</v>
      </c>
      <c r="GC65" s="32">
        <v>0</v>
      </c>
      <c r="GD65" s="106">
        <f t="shared" si="582"/>
        <v>20</v>
      </c>
      <c r="GF65" s="37">
        <f t="shared" si="583"/>
        <v>20</v>
      </c>
      <c r="GG65" s="125">
        <f>IFERROR(VLOOKUP($D65,'Adient Assende (Belgium) WK.17'!$B:FN,GH$1,0),0)</f>
        <v>0</v>
      </c>
      <c r="GH65" s="55">
        <f>IFERROR(VLOOKUP($D65,'Adient Arendal (Malzia) WK.12'!$B:FO,GH$1,0),0)</f>
        <v>0</v>
      </c>
      <c r="GI65" s="55">
        <f>IFERROR(VLOOKUP($D65,'Adient Taizhou (China) WK.16'!$B:FR,GH$1,0),0)</f>
        <v>0</v>
      </c>
      <c r="GJ65" s="60">
        <v>0</v>
      </c>
      <c r="GK65" s="128">
        <v>0</v>
      </c>
      <c r="GL65" s="32">
        <v>0</v>
      </c>
      <c r="GM65" s="106">
        <f t="shared" si="584"/>
        <v>20</v>
      </c>
      <c r="GO65" s="37">
        <f t="shared" si="585"/>
        <v>20</v>
      </c>
      <c r="GP65" s="125">
        <f>IFERROR(VLOOKUP($D65,'Adient Assende (Belgium) WK.17'!$B:FV,GQ$1,0),0)</f>
        <v>0</v>
      </c>
      <c r="GQ65" s="55">
        <f>IFERROR(VLOOKUP($D65,'Adient Arendal (Malzia) WK.12'!$B:FW,GQ$1,0),0)</f>
        <v>0</v>
      </c>
      <c r="GR65" s="55">
        <f>IFERROR(VLOOKUP($D65,'Adient Taizhou (China) WK.16'!$B:FZ,GQ$1,0),0)</f>
        <v>0</v>
      </c>
      <c r="GS65" s="60">
        <v>0</v>
      </c>
      <c r="GT65" s="128">
        <v>0</v>
      </c>
      <c r="GU65" s="32">
        <v>0</v>
      </c>
      <c r="GV65" s="106">
        <f t="shared" si="586"/>
        <v>20</v>
      </c>
      <c r="GW65" s="8"/>
      <c r="GX65" s="37">
        <f t="shared" si="587"/>
        <v>20</v>
      </c>
      <c r="GY65" s="125">
        <f>IFERROR(VLOOKUP($D65,'Adient Assende (Belgium) WK.17'!$B:GD,GZ$1,0),0)</f>
        <v>0</v>
      </c>
      <c r="GZ65" s="55">
        <f>IFERROR(VLOOKUP($D65,'Adient Arendal (Malzia) WK.12'!$B:GE,GZ$1,0),0)</f>
        <v>0</v>
      </c>
      <c r="HA65" s="55">
        <f>IFERROR(VLOOKUP($D65,'Adient Taizhou (China) WK.16'!$B:GH,GZ$1,0),0)</f>
        <v>0</v>
      </c>
      <c r="HB65" s="60">
        <v>0</v>
      </c>
      <c r="HC65" s="128">
        <v>0</v>
      </c>
      <c r="HD65" s="32">
        <v>0</v>
      </c>
      <c r="HE65" s="106">
        <f t="shared" si="588"/>
        <v>20</v>
      </c>
      <c r="HF65" s="8"/>
      <c r="HG65" s="37">
        <f t="shared" si="589"/>
        <v>20</v>
      </c>
      <c r="HH65" s="125">
        <f>IFERROR(VLOOKUP($D65,'Adient Assende (Belgium) WK.17'!$B:GL,HI$1,0),0)</f>
        <v>0</v>
      </c>
      <c r="HI65" s="55">
        <f>IFERROR(VLOOKUP($D65,'Adient Arendal (Malzia) WK.12'!$B:GM,HI$1,0),0)</f>
        <v>0</v>
      </c>
      <c r="HJ65" s="55">
        <f>IFERROR(VLOOKUP($D65,'Adient Taizhou (China) WK.16'!$B:GP,HI$1,0),0)</f>
        <v>0</v>
      </c>
      <c r="HK65" s="60">
        <v>0</v>
      </c>
      <c r="HL65" s="128">
        <v>0</v>
      </c>
      <c r="HM65" s="32">
        <v>0</v>
      </c>
      <c r="HN65" s="106">
        <f t="shared" si="590"/>
        <v>20</v>
      </c>
      <c r="HO65" s="8"/>
      <c r="HP65" s="37">
        <f t="shared" si="591"/>
        <v>20</v>
      </c>
      <c r="HQ65" s="125">
        <f>IFERROR(VLOOKUP($D65,'Adient Assende (Belgium) WK.17'!$B:GT,HR$1,0),0)</f>
        <v>0</v>
      </c>
      <c r="HR65" s="55">
        <f>IFERROR(VLOOKUP($D65,'Adient Arendal (Malzia) WK.12'!$B:GU,HR$1,0),0)</f>
        <v>0</v>
      </c>
      <c r="HS65" s="55">
        <f>IFERROR(VLOOKUP($D65,'Adient Taizhou (China) WK.16'!$B:GX,HR$1,0),0)</f>
        <v>0</v>
      </c>
      <c r="HT65" s="60">
        <v>0</v>
      </c>
      <c r="HU65" s="128">
        <v>0</v>
      </c>
      <c r="HV65" s="32">
        <v>0</v>
      </c>
      <c r="HW65" s="106">
        <f t="shared" si="592"/>
        <v>20</v>
      </c>
      <c r="HX65" s="8"/>
      <c r="HY65" s="37">
        <f t="shared" si="593"/>
        <v>20</v>
      </c>
      <c r="HZ65" s="125">
        <f>IFERROR(VLOOKUP($D65,'Adient Assende (Belgium) WK.17'!$B:HB,IA$1,0),0)</f>
        <v>0</v>
      </c>
      <c r="IA65" s="55">
        <f>IFERROR(VLOOKUP($D65,'Adient Arendal (Malzia) WK.12'!$B:HC,IA$1,0),0)</f>
        <v>0</v>
      </c>
      <c r="IB65" s="55">
        <f>IFERROR(VLOOKUP($D65,'Adient Taizhou (China) WK.16'!$B:HF,IA$1,0),0)</f>
        <v>0</v>
      </c>
      <c r="IC65" s="60">
        <v>0</v>
      </c>
      <c r="ID65" s="128">
        <v>0</v>
      </c>
      <c r="IE65" s="32">
        <v>0</v>
      </c>
      <c r="IF65" s="106">
        <f t="shared" si="594"/>
        <v>20</v>
      </c>
      <c r="IG65" s="8"/>
      <c r="IH65" s="37">
        <f t="shared" si="595"/>
        <v>20</v>
      </c>
      <c r="II65" s="125">
        <f>IFERROR(VLOOKUP($D65,'Adient Assende (Belgium) WK.17'!$B:HJ,IJ$1,0),0)</f>
        <v>0</v>
      </c>
      <c r="IJ65" s="55">
        <f>IFERROR(VLOOKUP($D65,'Adient Arendal (Malzia) WK.12'!$B:HK,IJ$1,0),0)</f>
        <v>0</v>
      </c>
      <c r="IK65" s="55">
        <f>IFERROR(VLOOKUP($D65,'Adient Taizhou (China) WK.16'!$B:HN,IJ$1,0),0)</f>
        <v>0</v>
      </c>
      <c r="IL65" s="128">
        <v>0</v>
      </c>
      <c r="IM65" s="32">
        <v>0</v>
      </c>
      <c r="IN65" s="106">
        <f t="shared" si="596"/>
        <v>20</v>
      </c>
      <c r="IO65" s="8"/>
      <c r="IP65" s="37">
        <f t="shared" si="597"/>
        <v>20</v>
      </c>
      <c r="IQ65" s="125">
        <f>IFERROR(VLOOKUP($D65,'Adient Assende (Belgium) WK.17'!$B:HR,IR$1,0),0)</f>
        <v>0</v>
      </c>
      <c r="IR65" s="55">
        <f>IFERROR(VLOOKUP($D65,'Adient Arendal (Malzia) WK.12'!$B:HS,IR$1,0),0)</f>
        <v>0</v>
      </c>
      <c r="IS65" s="55">
        <f>IFERROR(VLOOKUP($D65,'Adient Taizhou (China) WK.16'!$B:HV,IR$1,0),0)</f>
        <v>0</v>
      </c>
      <c r="IT65" s="60">
        <v>0</v>
      </c>
      <c r="IU65" s="128">
        <v>0</v>
      </c>
      <c r="IV65" s="32">
        <v>0</v>
      </c>
      <c r="IW65" s="106">
        <f t="shared" si="598"/>
        <v>20</v>
      </c>
      <c r="IX65" s="8"/>
      <c r="IY65" s="37">
        <f t="shared" si="599"/>
        <v>20</v>
      </c>
      <c r="IZ65" s="125">
        <f>IFERROR(VLOOKUP($D65,'Adient Assende (Belgium) WK.17'!$B:HZ,JA$1,0),0)</f>
        <v>0</v>
      </c>
      <c r="JA65" s="55">
        <f>IFERROR(VLOOKUP($D65,'Adient Arendal (Malzia) WK.12'!$B:IA,JA$1,0),0)</f>
        <v>0</v>
      </c>
      <c r="JB65" s="55">
        <f>IFERROR(VLOOKUP($D65,'Adient Taizhou (China) WK.16'!$B:ID,JA$1,0),0)</f>
        <v>0</v>
      </c>
      <c r="JC65" s="128">
        <v>0</v>
      </c>
      <c r="JD65" s="32">
        <v>0</v>
      </c>
      <c r="JE65" s="106">
        <f t="shared" si="600"/>
        <v>20</v>
      </c>
      <c r="JF65" s="8"/>
      <c r="JG65" s="37">
        <f t="shared" si="601"/>
        <v>20</v>
      </c>
      <c r="JH65" s="125">
        <f>IFERROR(VLOOKUP($D65,'Adient Assende (Belgium) WK.17'!$B:IH,JI$1,0),0)</f>
        <v>0</v>
      </c>
      <c r="JI65" s="55">
        <f>IFERROR(VLOOKUP($D65,'Adient Arendal (Malzia) WK.12'!$B:II,JI$1,0),0)</f>
        <v>0</v>
      </c>
      <c r="JJ65" s="55">
        <f>IFERROR(VLOOKUP($D65,'Adient Taizhou (China) WK.16'!$B:IL,JI$1,0),0)</f>
        <v>0</v>
      </c>
      <c r="JK65" s="60">
        <v>0</v>
      </c>
      <c r="JL65" s="128">
        <v>0</v>
      </c>
      <c r="JM65" s="32">
        <v>0</v>
      </c>
      <c r="JN65" s="106">
        <f t="shared" si="602"/>
        <v>20</v>
      </c>
      <c r="JO65" s="8"/>
      <c r="JP65" s="37">
        <f t="shared" si="603"/>
        <v>20</v>
      </c>
      <c r="JQ65" s="125">
        <f>IFERROR(VLOOKUP($D65,'Adient Assende (Belgium) WK.17'!$B:IP,JR$1,0),0)</f>
        <v>0</v>
      </c>
      <c r="JR65" s="55">
        <f>IFERROR(VLOOKUP($D65,'Adient Arendal (Malzia) WK.12'!$B:IQ,JR$1,0),0)</f>
        <v>0</v>
      </c>
      <c r="JS65" s="55">
        <f>IFERROR(VLOOKUP($D65,'Adient Taizhou (China) WK.16'!$B:IT,JR$1,0),0)</f>
        <v>0</v>
      </c>
      <c r="JT65" s="128">
        <v>0</v>
      </c>
      <c r="JU65" s="32">
        <v>0</v>
      </c>
      <c r="JV65" s="106">
        <f t="shared" si="462"/>
        <v>20</v>
      </c>
      <c r="JW65" s="8"/>
      <c r="JX65" s="37">
        <f t="shared" si="604"/>
        <v>20</v>
      </c>
      <c r="JY65" s="154">
        <f>IFERROR(VLOOKUP($D65,'Adient Assende (Belgium) WK.17'!$B:IX,JZ$1,0),0)</f>
        <v>0</v>
      </c>
      <c r="JZ65" s="55">
        <f>IFERROR(VLOOKUP($D65,'Adient Arendal (Malzia) WK.12'!$B:IY,JZ$1,0),0)</f>
        <v>0</v>
      </c>
      <c r="KA65" s="55">
        <f>IFERROR(VLOOKUP($D65,'Adient Taizhou (China) WK.16'!$B:JB,JZ$1,0),0)</f>
        <v>0</v>
      </c>
      <c r="KB65" s="128">
        <v>0</v>
      </c>
      <c r="KC65" s="32">
        <v>0</v>
      </c>
      <c r="KD65" s="106">
        <f t="shared" si="263"/>
        <v>20</v>
      </c>
      <c r="KE65" s="8"/>
      <c r="KF65" s="37">
        <f t="shared" si="605"/>
        <v>20</v>
      </c>
      <c r="KG65" s="125">
        <f>IFERROR(VLOOKUP($D65,'Adient Assende (Belgium) WK.17'!$B:JF,KH$1,0),0)</f>
        <v>0</v>
      </c>
      <c r="KH65" s="55">
        <f>IFERROR(VLOOKUP($D65,'Adient Arendal (Malzia) WK.12'!$B:JG,KH$1,0),0)</f>
        <v>0</v>
      </c>
      <c r="KI65" s="55">
        <f>IFERROR(VLOOKUP($D65,'Adient Taizhou (China) WK.16'!$B:JJ,KH$1,0),0)</f>
        <v>0</v>
      </c>
      <c r="KJ65" s="60">
        <v>0</v>
      </c>
      <c r="KK65" s="128">
        <v>0</v>
      </c>
      <c r="KL65" s="32">
        <v>0</v>
      </c>
      <c r="KM65" s="106">
        <f t="shared" si="264"/>
        <v>20</v>
      </c>
      <c r="KN65" s="8"/>
      <c r="KO65" s="37">
        <f t="shared" si="606"/>
        <v>20</v>
      </c>
      <c r="KP65" s="141">
        <f>IFERROR(VLOOKUP($D65,'Adient Assende (Belgium) WK.17'!$B:JN,KQ$1,0),0)</f>
        <v>0</v>
      </c>
      <c r="KQ65" s="140">
        <f>IFERROR(VLOOKUP($D65,'Adient Arendal (Malzia) WK.12'!$B:JO,KQ$1,0),0)</f>
        <v>0</v>
      </c>
      <c r="KR65" s="140">
        <f>IFERROR(VLOOKUP($D65,'Adient Taizhou (China) WK.16'!$B:JR,KQ$1,0),0)</f>
        <v>0</v>
      </c>
      <c r="KS65" s="60">
        <v>0</v>
      </c>
      <c r="KT65" s="128">
        <v>0</v>
      </c>
      <c r="KU65" s="32">
        <v>0</v>
      </c>
      <c r="KV65" s="106">
        <f t="shared" si="265"/>
        <v>20</v>
      </c>
      <c r="KX65" s="37">
        <f t="shared" si="607"/>
        <v>20</v>
      </c>
      <c r="KY65" s="141">
        <f>IFERROR(VLOOKUP($D65,'Adient Assende (Belgium) WK.17'!$B:JV,KZ$1,0),0)</f>
        <v>0</v>
      </c>
      <c r="KZ65" s="140">
        <f>IFERROR(VLOOKUP($D65,'Adient Arendal (Malzia) WK.12'!$B:JW,KZ$1,0),0)</f>
        <v>0</v>
      </c>
      <c r="LA65" s="140">
        <f>IFERROR(VLOOKUP($D65,'Adient Taizhou (China) WK.16'!$B:JZ,KZ$1,0),0)</f>
        <v>0</v>
      </c>
      <c r="LB65" s="128">
        <v>0</v>
      </c>
      <c r="LC65" s="32">
        <v>0</v>
      </c>
      <c r="LD65" s="106">
        <f t="shared" si="467"/>
        <v>20</v>
      </c>
      <c r="LF65" s="37">
        <f t="shared" si="608"/>
        <v>20</v>
      </c>
      <c r="LG65" s="141">
        <f>IFERROR(VLOOKUP($D65,'Adient Assende (Belgium) WK.17'!$B:KD,LH$1,0),0)</f>
        <v>0</v>
      </c>
      <c r="LH65" s="140">
        <f>IFERROR(VLOOKUP($D65,'Adient Arendal (Malzia) WK.12'!$B:KE,LH$1,0),0)</f>
        <v>0</v>
      </c>
      <c r="LI65" s="140">
        <f>IFERROR(VLOOKUP($D65,'Adient Taizhou (China) WK.16'!$B:KH,LH$1,0),0)</f>
        <v>0</v>
      </c>
      <c r="LJ65" s="60">
        <v>0</v>
      </c>
      <c r="LK65" s="128">
        <v>0</v>
      </c>
      <c r="LL65" s="32">
        <v>0</v>
      </c>
      <c r="LM65" s="100">
        <f t="shared" si="267"/>
        <v>20</v>
      </c>
      <c r="LO65" s="37">
        <f t="shared" si="609"/>
        <v>20</v>
      </c>
      <c r="LP65" s="141">
        <f>IFERROR(VLOOKUP($D65,'Adient Assende (Belgium) WK.17'!$B:KL,LQ$1,0),0)</f>
        <v>0</v>
      </c>
      <c r="LQ65" s="140">
        <f>IFERROR(VLOOKUP($D65,'Adient Arendal (Malzia) WK.12'!$B:KM,LQ$1,0),0)</f>
        <v>0</v>
      </c>
      <c r="LR65" s="140">
        <f>IFERROR(VLOOKUP($D65,'Adient Taizhou (China) WK.16'!$B:KP,LQ$1,0),0)</f>
        <v>0</v>
      </c>
      <c r="LS65" s="128">
        <v>0</v>
      </c>
      <c r="LT65" s="32">
        <v>0</v>
      </c>
      <c r="LU65" s="100">
        <f t="shared" si="610"/>
        <v>20</v>
      </c>
      <c r="LW65" s="37">
        <f t="shared" si="611"/>
        <v>20</v>
      </c>
      <c r="LX65" s="141">
        <f>IFERROR(VLOOKUP($D65,'Adient Assende (Belgium) WK.17'!$B:KT,LY$1,0),0)</f>
        <v>0</v>
      </c>
      <c r="LY65" s="140">
        <f>IFERROR(VLOOKUP($D65,'Adient Arendal (Malzia) WK.12'!$B:KU,LY$1,0),0)</f>
        <v>0</v>
      </c>
      <c r="LZ65" s="140">
        <f>IFERROR(VLOOKUP($D65,'Adient Taizhou (China) WK.16'!$B:KX,LY$1,0),0)</f>
        <v>0</v>
      </c>
      <c r="MA65" s="128">
        <v>0</v>
      </c>
      <c r="MB65" s="32">
        <v>0</v>
      </c>
      <c r="MC65" s="100">
        <f t="shared" si="612"/>
        <v>20</v>
      </c>
      <c r="ME65" s="37">
        <f t="shared" si="613"/>
        <v>20</v>
      </c>
      <c r="MF65" s="154">
        <f>IFERROR(VLOOKUP($D65,'Adient Assende (Belgium) WK.17'!$B:LB,MG$1,0),0)</f>
        <v>0</v>
      </c>
      <c r="MG65" s="140">
        <f>IFERROR(VLOOKUP($D65,'Adient Arendal (Malzia) WK.12'!$B:LC,MG$1,0),0)</f>
        <v>0</v>
      </c>
      <c r="MH65" s="140">
        <f>IFERROR(VLOOKUP($D65,'Adient Taizhou (China) WK.16'!$B:LF,MG$1,0),0)</f>
        <v>0</v>
      </c>
      <c r="MI65" s="128">
        <v>0</v>
      </c>
      <c r="MJ65" s="32">
        <v>0</v>
      </c>
      <c r="MK65" s="100">
        <f t="shared" si="614"/>
        <v>20</v>
      </c>
      <c r="MM65" s="37">
        <f t="shared" si="615"/>
        <v>20</v>
      </c>
      <c r="MN65" s="141">
        <f>IFERROR(VLOOKUP($D65,'Adient Assende (Belgium) WK.17'!$B:LJ,MO$1,0),0)</f>
        <v>0</v>
      </c>
      <c r="MO65" s="140">
        <f>IFERROR(VLOOKUP($D65,'Adient Arendal (Malzia) WK.12'!$B:LK,MO$1,0),0)</f>
        <v>0</v>
      </c>
      <c r="MP65" s="140">
        <f>IFERROR(VLOOKUP($D65,'Adient Taizhou (China) WK.16'!$B:LN,MO$1,0),0)</f>
        <v>0</v>
      </c>
      <c r="MQ65" s="128">
        <v>0</v>
      </c>
      <c r="MR65" s="32">
        <v>0</v>
      </c>
      <c r="MS65" s="100">
        <f t="shared" si="616"/>
        <v>20</v>
      </c>
      <c r="MU65" s="37">
        <f t="shared" si="617"/>
        <v>20</v>
      </c>
      <c r="MV65" s="141">
        <f>IFERROR(VLOOKUP($D65,'Adient Assende (Belgium) WK.17'!$B:LR,MW$1,0),0)</f>
        <v>0</v>
      </c>
      <c r="MW65" s="140">
        <f>IFERROR(VLOOKUP($D65,'Adient Arendal (Malzia) WK.12'!$B:LS,MW$1,0),0)</f>
        <v>0</v>
      </c>
      <c r="MX65" s="140">
        <f>IFERROR(VLOOKUP($D65,'Adient Taizhou (China) WK.16'!$B:LV,MW$1,0),0)</f>
        <v>0</v>
      </c>
      <c r="MY65" s="128">
        <v>0</v>
      </c>
      <c r="MZ65" s="32">
        <v>0</v>
      </c>
      <c r="NA65" s="100">
        <f t="shared" si="618"/>
        <v>20</v>
      </c>
      <c r="NC65" s="37">
        <f t="shared" si="619"/>
        <v>20</v>
      </c>
      <c r="ND65" s="141">
        <f>IFERROR(VLOOKUP($D65,'Adient Assende (Belgium) WK.17'!$B:LZ,NE$1,0),0)</f>
        <v>0</v>
      </c>
      <c r="NE65" s="140">
        <f>IFERROR(VLOOKUP($D65,'Adient Arendal (Malzia) WK.12'!$B:MA,NE$1,0),0)</f>
        <v>0</v>
      </c>
      <c r="NF65" s="140">
        <f>IFERROR(VLOOKUP($D65,'Adient Taizhou (China) WK.16'!$B:MD,NE$1,0),0)</f>
        <v>0</v>
      </c>
      <c r="NG65" s="128">
        <v>0</v>
      </c>
      <c r="NH65" s="32">
        <v>0</v>
      </c>
      <c r="NI65" s="100">
        <f t="shared" si="620"/>
        <v>20</v>
      </c>
      <c r="NK65" s="37">
        <f t="shared" si="621"/>
        <v>20</v>
      </c>
      <c r="NL65" s="141">
        <f>IFERROR(VLOOKUP($D65,'Adient Assende (Belgium) WK.17'!$B:MH,NM$1,0),0)</f>
        <v>0</v>
      </c>
      <c r="NM65" s="140">
        <f>IFERROR(VLOOKUP($D65,'Adient Arendal (Malzia) WK.12'!$B:MI,NM$1,0),0)</f>
        <v>0</v>
      </c>
      <c r="NN65" s="140">
        <f>IFERROR(VLOOKUP($D65,'Adient Taizhou (China) WK.16'!$B:ML,NM$1,0),0)</f>
        <v>0</v>
      </c>
      <c r="NO65" s="128">
        <v>0</v>
      </c>
      <c r="NP65" s="32">
        <v>0</v>
      </c>
      <c r="NQ65" s="100">
        <f t="shared" si="622"/>
        <v>20</v>
      </c>
      <c r="NS65" s="37">
        <f t="shared" si="623"/>
        <v>20</v>
      </c>
      <c r="NT65" s="141">
        <f>IFERROR(VLOOKUP($D65,'Adient Assende (Belgium) WK.17'!$B:MP,NU$1,0),0)</f>
        <v>0</v>
      </c>
      <c r="NU65" s="140">
        <f>IFERROR(VLOOKUP($D65,'Adient Arendal (Malzia) WK.12'!$B:MQ,NU$1,0),0)</f>
        <v>0</v>
      </c>
      <c r="NV65" s="140">
        <f>IFERROR(VLOOKUP($D65,'Adient Taizhou (China) WK.16'!$B:MT,NU$1,0),0)</f>
        <v>0</v>
      </c>
      <c r="NW65" s="128">
        <v>0</v>
      </c>
      <c r="NX65" s="32">
        <v>0</v>
      </c>
      <c r="NY65" s="100">
        <f t="shared" si="624"/>
        <v>20</v>
      </c>
      <c r="OA65" s="37">
        <f t="shared" si="625"/>
        <v>20</v>
      </c>
      <c r="OB65" s="141">
        <f>IFERROR(VLOOKUP($D65,'Adient Assende (Belgium) WK.17'!$B:MX,OC$1,0),0)</f>
        <v>0</v>
      </c>
      <c r="OC65" s="140">
        <f>IFERROR(VLOOKUP($D65,'Adient Arendal (Malzia) WK.12'!$B:MY,OC$1,0),0)</f>
        <v>0</v>
      </c>
      <c r="OD65" s="140">
        <f>IFERROR(VLOOKUP($D65,'Adient Taizhou (China) WK.16'!$B:NB,OC$1,0),0)</f>
        <v>0</v>
      </c>
      <c r="OE65" s="128">
        <v>0</v>
      </c>
      <c r="OF65" s="32">
        <v>0</v>
      </c>
      <c r="OG65" s="100">
        <f t="shared" si="626"/>
        <v>20</v>
      </c>
      <c r="OI65" s="37">
        <f t="shared" si="627"/>
        <v>20</v>
      </c>
      <c r="OJ65" s="141">
        <f>IFERROR(VLOOKUP($D65,'Adient Assende (Belgium) WK.17'!$B:NF,OK$1,0),0)</f>
        <v>0</v>
      </c>
      <c r="OK65" s="140">
        <f>IFERROR(VLOOKUP($D65,'Adient Arendal (Malzia) WK.12'!$B:NG,OK$1,0),0)</f>
        <v>0</v>
      </c>
      <c r="OL65" s="140">
        <f>IFERROR(VLOOKUP($D65,'Adient Taizhou (China) WK.16'!$B:NJ,OK$1,0),0)</f>
        <v>0</v>
      </c>
      <c r="OM65" s="128">
        <v>0</v>
      </c>
      <c r="ON65" s="32">
        <v>0</v>
      </c>
      <c r="OO65" s="100">
        <f t="shared" si="628"/>
        <v>20</v>
      </c>
      <c r="OQ65" s="37">
        <f t="shared" si="629"/>
        <v>20</v>
      </c>
      <c r="OR65" s="141">
        <f>IFERROR(VLOOKUP($D65,'Adient Assende (Belgium) WK.17'!$B:NN,OS$1,0),0)</f>
        <v>0</v>
      </c>
      <c r="OS65" s="140">
        <f>IFERROR(VLOOKUP($D65,'Adient Arendal (Malzia) WK.12'!$B:NO,OS$1,0),0)</f>
        <v>0</v>
      </c>
      <c r="OT65" s="140">
        <f>IFERROR(VLOOKUP($D65,'Adient Taizhou (China) WK.16'!$B:NR,OS$1,0),0)</f>
        <v>0</v>
      </c>
      <c r="OU65" s="128">
        <v>0</v>
      </c>
      <c r="OV65" s="32">
        <v>0</v>
      </c>
      <c r="OW65" s="100">
        <f t="shared" si="630"/>
        <v>20</v>
      </c>
      <c r="OY65" s="37">
        <f t="shared" si="631"/>
        <v>20</v>
      </c>
      <c r="OZ65" s="141">
        <f>IFERROR(VLOOKUP($D65,'Adient Assende (Belgium) WK.17'!$B:NV,PA$1,0),0)</f>
        <v>0</v>
      </c>
      <c r="PA65" s="140">
        <f>IFERROR(VLOOKUP($D65,'Adient Arendal (Malzia) WK.12'!$B:NW,PA$1,0),0)</f>
        <v>0</v>
      </c>
      <c r="PB65" s="140">
        <f>IFERROR(VLOOKUP($D65,'Adient Taizhou (China) WK.16'!$B:NZ,PA$1,0),0)</f>
        <v>0</v>
      </c>
      <c r="PC65" s="128">
        <v>0</v>
      </c>
      <c r="PD65" s="32">
        <v>0</v>
      </c>
      <c r="PE65" s="100">
        <f t="shared" si="632"/>
        <v>20</v>
      </c>
      <c r="PG65" s="37">
        <f t="shared" si="633"/>
        <v>20</v>
      </c>
      <c r="PH65" s="141">
        <f>IFERROR(VLOOKUP($D65,'Adient Assende (Belgium) WK.17'!$B:OD,PI$1,0),0)</f>
        <v>0</v>
      </c>
      <c r="PI65" s="140">
        <f>IFERROR(VLOOKUP($D65,'Adient Arendal (Malzia) WK.12'!$B:OE,PI$1,0),0)</f>
        <v>0</v>
      </c>
      <c r="PJ65" s="140">
        <f>IFERROR(VLOOKUP($D65,'Adient Taizhou (China) WK.16'!$B:OH,PI$1,0),0)</f>
        <v>0</v>
      </c>
      <c r="PK65" s="128">
        <v>0</v>
      </c>
      <c r="PL65" s="32">
        <v>0</v>
      </c>
      <c r="PM65" s="100">
        <f t="shared" si="634"/>
        <v>20</v>
      </c>
      <c r="PO65" s="37">
        <f t="shared" si="635"/>
        <v>20</v>
      </c>
      <c r="PP65" s="141">
        <f>IFERROR(VLOOKUP($D65,'Adient Assende (Belgium) WK.17'!$B:OL,PQ$1,0),0)</f>
        <v>0</v>
      </c>
      <c r="PQ65" s="140">
        <f>IFERROR(VLOOKUP($D65,'Adient Arendal (Malzia) WK.12'!$B:OM,PQ$1,0),0)</f>
        <v>0</v>
      </c>
      <c r="PR65" s="140">
        <f>IFERROR(VLOOKUP($D65,'Adient Taizhou (China) WK.16'!$B:OP,PQ$1,0),0)</f>
        <v>0</v>
      </c>
      <c r="PS65" s="128">
        <v>0</v>
      </c>
      <c r="PT65" s="32">
        <v>0</v>
      </c>
      <c r="PU65" s="100">
        <f t="shared" si="636"/>
        <v>20</v>
      </c>
      <c r="PW65" s="37">
        <f t="shared" si="637"/>
        <v>20</v>
      </c>
      <c r="PX65" s="141">
        <f>IFERROR(VLOOKUP($D65,'Adient Assende (Belgium) WK.17'!$B:OT,PY$1,0),0)</f>
        <v>0</v>
      </c>
      <c r="PY65" s="140">
        <f>IFERROR(VLOOKUP($D65,'Adient Arendal (Malzia) WK.12'!$B:OU,PY$1,0),0)</f>
        <v>0</v>
      </c>
      <c r="PZ65" s="140">
        <f>IFERROR(VLOOKUP($D65,'Adient Taizhou (China) WK.16'!$B:OX,PY$1,0),0)</f>
        <v>0</v>
      </c>
      <c r="QA65" s="128">
        <v>0</v>
      </c>
      <c r="QB65" s="32">
        <v>0</v>
      </c>
      <c r="QC65" s="100">
        <f t="shared" si="638"/>
        <v>20</v>
      </c>
      <c r="QE65" s="37">
        <f t="shared" si="639"/>
        <v>20</v>
      </c>
      <c r="QF65" s="141">
        <f>IFERROR(VLOOKUP($D65,'Adient Assende (Belgium) WK.17'!$B:PB,QG$1,0),0)</f>
        <v>0</v>
      </c>
      <c r="QG65" s="140">
        <f>IFERROR(VLOOKUP($D65,'Adient Arendal (Malzia) WK.12'!$B:PC,QG$1,0),0)</f>
        <v>0</v>
      </c>
      <c r="QH65" s="140">
        <f>IFERROR(VLOOKUP($D65,'Adient Taizhou (China) WK.16'!$B:PF,QG$1,0),0)</f>
        <v>0</v>
      </c>
      <c r="QI65" s="128">
        <v>0</v>
      </c>
      <c r="QJ65" s="32">
        <v>0</v>
      </c>
      <c r="QK65" s="100">
        <f t="shared" si="640"/>
        <v>20</v>
      </c>
      <c r="QM65" s="37">
        <f t="shared" si="641"/>
        <v>20</v>
      </c>
      <c r="QN65" s="141">
        <f>IFERROR(VLOOKUP($D65,'Adient Assende (Belgium) WK.17'!$B:PJ,QO$1,0),0)</f>
        <v>0</v>
      </c>
      <c r="QO65" s="140">
        <f>IFERROR(VLOOKUP($D65,'Adient Arendal (Malzia) WK.12'!$B:PK,QO$1,0),0)</f>
        <v>0</v>
      </c>
      <c r="QP65" s="140">
        <f>IFERROR(VLOOKUP($D65,'Adient Taizhou (China) WK.16'!$B:PN,QO$1,0),0)</f>
        <v>0</v>
      </c>
      <c r="QQ65" s="128">
        <v>0</v>
      </c>
      <c r="QR65" s="32">
        <v>0</v>
      </c>
      <c r="QS65" s="100">
        <f t="shared" si="642"/>
        <v>20</v>
      </c>
      <c r="QU65" s="37">
        <f t="shared" si="643"/>
        <v>20</v>
      </c>
      <c r="QV65" s="141">
        <f>IFERROR(VLOOKUP($D65,'Adient Assende (Belgium) WK.17'!$B:PR,QW$1,0),0)</f>
        <v>0</v>
      </c>
      <c r="QW65" s="140">
        <f>IFERROR(VLOOKUP($D65,'Adient Arendal (Malzia) WK.12'!$B:PS,QW$1,0),0)</f>
        <v>0</v>
      </c>
      <c r="QX65" s="140">
        <f>IFERROR(VLOOKUP($D65,'Adient Taizhou (China) WK.16'!$B:PV,QW$1,0),0)</f>
        <v>0</v>
      </c>
      <c r="QY65" s="128">
        <v>0</v>
      </c>
      <c r="QZ65" s="32">
        <v>0</v>
      </c>
      <c r="RA65" s="100">
        <f t="shared" si="644"/>
        <v>20</v>
      </c>
      <c r="RC65" s="37">
        <f t="shared" si="645"/>
        <v>20</v>
      </c>
      <c r="RD65" s="141">
        <f>IFERROR(VLOOKUP($D65,'Adient Assende (Belgium) WK.17'!$B:PZ,RE$1,0),0)</f>
        <v>0</v>
      </c>
      <c r="RE65" s="140">
        <f>IFERROR(VLOOKUP($D65,'Adient Arendal (Malzia) WK.12'!$B:QA,RE$1,0),0)</f>
        <v>0</v>
      </c>
      <c r="RF65" s="140">
        <f>IFERROR(VLOOKUP($D65,'Adient Taizhou (China) WK.16'!$B:QD,RE$1,0),0)</f>
        <v>0</v>
      </c>
      <c r="RG65" s="128">
        <v>0</v>
      </c>
      <c r="RH65" s="32">
        <v>0</v>
      </c>
      <c r="RI65" s="100">
        <f t="shared" si="646"/>
        <v>20</v>
      </c>
      <c r="RK65" s="37">
        <f t="shared" si="647"/>
        <v>20</v>
      </c>
      <c r="RL65" s="141">
        <f>IFERROR(VLOOKUP($D65,'Adient Assende (Belgium) WK.17'!$B:QH,RM$1,0),0)</f>
        <v>0</v>
      </c>
      <c r="RM65" s="140">
        <f>IFERROR(VLOOKUP($D65,'Adient Arendal (Malzia) WK.12'!$B:QI,RM$1,0),0)</f>
        <v>0</v>
      </c>
      <c r="RN65" s="140">
        <f>IFERROR(VLOOKUP($D65,'Adient Taizhou (China) WK.16'!$B:QL,RM$1,0),0)</f>
        <v>0</v>
      </c>
      <c r="RO65" s="128">
        <v>0</v>
      </c>
      <c r="RP65" s="32">
        <v>0</v>
      </c>
      <c r="RQ65" s="100">
        <f t="shared" si="648"/>
        <v>20</v>
      </c>
      <c r="RS65" s="37">
        <f t="shared" si="649"/>
        <v>20</v>
      </c>
      <c r="RT65" s="141">
        <f>IFERROR(VLOOKUP($D65,'Adient Assende (Belgium) WK.17'!$B:QP,RU$1,0),0)</f>
        <v>0</v>
      </c>
      <c r="RU65" s="140">
        <f>IFERROR(VLOOKUP($D65,'Adient Arendal (Malzia) WK.12'!$B:QQ,RU$1,0),0)</f>
        <v>0</v>
      </c>
      <c r="RV65" s="140">
        <f>IFERROR(VLOOKUP($D65,'Adient Taizhou (China) WK.16'!$B:QT,RU$1,0),0)</f>
        <v>0</v>
      </c>
      <c r="RW65" s="128">
        <v>0</v>
      </c>
      <c r="RX65" s="32">
        <v>0</v>
      </c>
      <c r="RY65" s="100">
        <f t="shared" si="650"/>
        <v>20</v>
      </c>
      <c r="SA65" s="37">
        <f t="shared" si="651"/>
        <v>20</v>
      </c>
      <c r="SB65" s="141">
        <f>IFERROR(VLOOKUP($D65,'Adient Assende (Belgium) WK.17'!$B:QX,SC$1,0),0)</f>
        <v>0</v>
      </c>
      <c r="SC65" s="140">
        <f>IFERROR(VLOOKUP($D65,'Adient Arendal (Malzia) WK.12'!$B:QY,SC$1,0),0)</f>
        <v>0</v>
      </c>
      <c r="SD65" s="140">
        <f>IFERROR(VLOOKUP($D65,'Adient Taizhou (China) WK.16'!$B:RB,SC$1,0),0)</f>
        <v>0</v>
      </c>
      <c r="SE65" s="128">
        <v>0</v>
      </c>
      <c r="SF65" s="32">
        <v>0</v>
      </c>
      <c r="SG65" s="100">
        <f t="shared" si="652"/>
        <v>20</v>
      </c>
      <c r="SI65" s="37">
        <f t="shared" si="653"/>
        <v>20</v>
      </c>
      <c r="SJ65" s="141">
        <f>IFERROR(VLOOKUP($D65,'Adient Assende (Belgium) WK.17'!$B:RF,SK$1,0),0)</f>
        <v>0</v>
      </c>
      <c r="SK65" s="140">
        <f>IFERROR(VLOOKUP($D65,'Adient Arendal (Malzia) WK.12'!$B:RG,SK$1,0),0)</f>
        <v>0</v>
      </c>
      <c r="SL65" s="140">
        <f>IFERROR(VLOOKUP($D65,'Adient Taizhou (China) WK.16'!$B:RJ,SK$1,0),0)</f>
        <v>0</v>
      </c>
      <c r="SM65" s="128">
        <v>0</v>
      </c>
      <c r="SN65" s="32">
        <v>0</v>
      </c>
      <c r="SO65" s="100">
        <f t="shared" si="654"/>
        <v>20</v>
      </c>
      <c r="SQ65" s="37">
        <f t="shared" si="655"/>
        <v>20</v>
      </c>
      <c r="SR65" s="141">
        <f>IFERROR(VLOOKUP($D65,'Adient Assende (Belgium) WK.17'!$B:RN,SS$1,0),0)</f>
        <v>0</v>
      </c>
      <c r="SS65" s="140">
        <f>IFERROR(VLOOKUP($D65,'Adient Arendal (Malzia) WK.12'!$B:RO,SS$1,0),0)</f>
        <v>0</v>
      </c>
      <c r="ST65" s="140">
        <f>IFERROR(VLOOKUP($D65,'Adient Taizhou (China) WK.16'!$B:RR,SS$1,0),0)</f>
        <v>0</v>
      </c>
      <c r="SU65" s="128">
        <v>0</v>
      </c>
      <c r="SV65" s="32">
        <v>0</v>
      </c>
      <c r="SW65" s="100">
        <f t="shared" si="656"/>
        <v>20</v>
      </c>
      <c r="SY65" s="37">
        <f t="shared" si="657"/>
        <v>20</v>
      </c>
      <c r="SZ65" s="141">
        <f>IFERROR(VLOOKUP($D65,'Adient Assende (Belgium) WK.17'!$B:RV,TA$1,0),0)</f>
        <v>0</v>
      </c>
      <c r="TA65" s="140">
        <f>IFERROR(VLOOKUP($D65,'Adient Arendal (Malzia) WK.12'!$B:RW,TA$1,0),0)</f>
        <v>0</v>
      </c>
      <c r="TB65" s="140">
        <f>IFERROR(VLOOKUP($D65,'Adient Taizhou (China) WK.16'!$B:RZ,TA$1,0),0)</f>
        <v>0</v>
      </c>
      <c r="TC65" s="128">
        <v>0</v>
      </c>
      <c r="TD65" s="32">
        <v>0</v>
      </c>
      <c r="TE65" s="100">
        <f t="shared" si="658"/>
        <v>20</v>
      </c>
      <c r="TG65" s="37">
        <f t="shared" si="659"/>
        <v>20</v>
      </c>
      <c r="TH65" s="141">
        <f>IFERROR(VLOOKUP($D65,'Adient Assende (Belgium) WK.17'!$B:SD,TI$1,0),0)</f>
        <v>20</v>
      </c>
      <c r="TI65" s="140">
        <f>IFERROR(VLOOKUP($D65,'Adient Arendal (Malzia) WK.12'!$B:SE,TI$1,0),0)</f>
        <v>0</v>
      </c>
      <c r="TJ65" s="140">
        <f>IFERROR(VLOOKUP($D65,'Adient Taizhou (China) WK.16'!$B:SH,TI$1,0),0)</f>
        <v>0</v>
      </c>
      <c r="TK65" s="128">
        <v>0</v>
      </c>
      <c r="TL65" s="32">
        <v>0</v>
      </c>
      <c r="TM65" s="100">
        <f t="shared" si="660"/>
        <v>0</v>
      </c>
      <c r="TO65" s="37">
        <f t="shared" si="661"/>
        <v>0</v>
      </c>
      <c r="TP65" s="141">
        <f>IFERROR(VLOOKUP($D65,'Adient Assende (Belgium) WK.17'!$B:SL,TQ$1,0),0)</f>
        <v>20</v>
      </c>
      <c r="TQ65" s="140">
        <f>IFERROR(VLOOKUP($D65,'Adient Arendal (Malzia) WK.12'!$B:SM,TQ$1,0),0)</f>
        <v>0</v>
      </c>
      <c r="TR65" s="140">
        <f>IFERROR(VLOOKUP($D65,'Adient Taizhou (China) WK.16'!$B:SP,TQ$1,0),0)</f>
        <v>0</v>
      </c>
      <c r="TS65" s="128">
        <v>0</v>
      </c>
      <c r="TT65" s="32">
        <v>0</v>
      </c>
      <c r="TU65" s="100">
        <f t="shared" si="662"/>
        <v>-20</v>
      </c>
      <c r="TW65" s="37">
        <f t="shared" si="663"/>
        <v>-20</v>
      </c>
      <c r="TX65" s="141">
        <f>IFERROR(VLOOKUP($D65,'Adient Assende (Belgium) WK.17'!$B:ST,TY$1,0),0)</f>
        <v>20</v>
      </c>
      <c r="TY65" s="140">
        <f>IFERROR(VLOOKUP($D65,'Adient Arendal (Malzia) WK.12'!$B:SU,TY$1,0),0)</f>
        <v>0</v>
      </c>
      <c r="TZ65" s="140">
        <f>IFERROR(VLOOKUP($D65,'Adient Taizhou (China) WK.16'!$B:SX,TY$1,0),0)</f>
        <v>0</v>
      </c>
      <c r="UA65" s="128">
        <v>0</v>
      </c>
      <c r="UB65" s="32">
        <v>0</v>
      </c>
      <c r="UC65" s="100">
        <f t="shared" si="664"/>
        <v>-40</v>
      </c>
      <c r="UE65" s="37">
        <f t="shared" si="665"/>
        <v>-40</v>
      </c>
      <c r="UF65" s="141">
        <f>IFERROR(VLOOKUP($D65,'Adient Assende (Belgium) WK.17'!$B:TB,UG$1,0),0)</f>
        <v>20</v>
      </c>
      <c r="UG65" s="140">
        <f>IFERROR(VLOOKUP($D65,'Adient Arendal (Malzia) WK.12'!$B:TC,UG$1,0),0)</f>
        <v>0</v>
      </c>
      <c r="UH65" s="140">
        <f>IFERROR(VLOOKUP($D65,'Adient Taizhou (China) WK.16'!$B:TF,UG$1,0),0)</f>
        <v>0</v>
      </c>
      <c r="UI65" s="128">
        <v>0</v>
      </c>
      <c r="UJ65" s="32">
        <v>0</v>
      </c>
      <c r="UK65" s="100">
        <f t="shared" si="666"/>
        <v>-60</v>
      </c>
      <c r="UM65" s="37">
        <f t="shared" si="527"/>
        <v>-60</v>
      </c>
      <c r="UN65" s="141">
        <f>IFERROR(VLOOKUP($D65,'Adient Assende (Belgium) WK.17'!$B:TJ,UO$1,0),0)</f>
        <v>0</v>
      </c>
      <c r="UO65" s="140">
        <f>IFERROR(VLOOKUP($D65,'Adient Arendal (Malzia) WK.12'!$B:TK,UO$1,0),0)</f>
        <v>0</v>
      </c>
      <c r="UP65" s="140">
        <f>IFERROR(VLOOKUP($D65,'Adient Taizhou (China) WK.16'!$B:TN,UO$1,0),0)</f>
        <v>0</v>
      </c>
      <c r="UQ65" s="128">
        <v>0</v>
      </c>
      <c r="UR65" s="32">
        <v>0</v>
      </c>
      <c r="US65" s="100">
        <f t="shared" si="528"/>
        <v>-60</v>
      </c>
      <c r="UU65" s="37">
        <f t="shared" si="529"/>
        <v>-60</v>
      </c>
      <c r="UV65" s="141">
        <f>IFERROR(VLOOKUP($D65,'Adient Assende (Belgium) WK.17'!$B:TR,UW$1,0),0)</f>
        <v>40</v>
      </c>
      <c r="UW65" s="140">
        <f>IFERROR(VLOOKUP($D65,'Adient Arendal (Malzia) WK.12'!$B:TS,UW$1,0),0)</f>
        <v>0</v>
      </c>
      <c r="UX65" s="140">
        <f>IFERROR(VLOOKUP($D65,'Adient Taizhou (China) WK.16'!$B:TV,UW$1,0),0)</f>
        <v>0</v>
      </c>
      <c r="UY65" s="128">
        <v>0</v>
      </c>
      <c r="UZ65" s="32">
        <v>0</v>
      </c>
      <c r="VA65" s="100">
        <f t="shared" si="530"/>
        <v>-100</v>
      </c>
      <c r="VC65" s="37">
        <f t="shared" si="531"/>
        <v>-100</v>
      </c>
      <c r="VD65" s="141">
        <f>IFERROR(VLOOKUP($D65,'Adient Assende (Belgium) WK.17'!$B:TZ,VE$1,0),0)</f>
        <v>40</v>
      </c>
      <c r="VE65" s="140">
        <f>IFERROR(VLOOKUP($D65,'Adient Arendal (Malzia) WK.12'!$B:UA,VE$1,0),0)</f>
        <v>0</v>
      </c>
      <c r="VF65" s="140">
        <f>IFERROR(VLOOKUP($D65,'Adient Taizhou (China) WK.16'!$B:UD,VE$1,0),0)</f>
        <v>0</v>
      </c>
      <c r="VG65" s="128">
        <v>0</v>
      </c>
      <c r="VH65" s="32">
        <v>0</v>
      </c>
      <c r="VI65" s="100">
        <f t="shared" si="532"/>
        <v>-140</v>
      </c>
      <c r="VK65" s="37">
        <f t="shared" si="533"/>
        <v>-140</v>
      </c>
      <c r="VL65" s="141">
        <f>IFERROR(VLOOKUP($D65,'Adient Assende (Belgium) WK.17'!$B:UH,VM$1,0),0)</f>
        <v>0</v>
      </c>
      <c r="VM65" s="140">
        <f>IFERROR(VLOOKUP($D65,'Adient Arendal (Malzia) WK.12'!$B:UI,VM$1,0),0)</f>
        <v>0</v>
      </c>
      <c r="VN65" s="140">
        <f>IFERROR(VLOOKUP($D65,'Adient Taizhou (China) WK.16'!$B:UL,VM$1,0),0)</f>
        <v>0</v>
      </c>
      <c r="VO65" s="128">
        <v>0</v>
      </c>
      <c r="VP65" s="32">
        <v>0</v>
      </c>
      <c r="VQ65" s="100">
        <f t="shared" si="534"/>
        <v>-140</v>
      </c>
    </row>
    <row r="66" spans="1:589" x14ac:dyDescent="0.25">
      <c r="A66" s="10" t="s">
        <v>18</v>
      </c>
      <c r="B66" s="11" t="s">
        <v>17</v>
      </c>
      <c r="C66" s="87">
        <v>32272826</v>
      </c>
      <c r="D66" s="81">
        <v>4755147</v>
      </c>
      <c r="E66" s="11">
        <v>20</v>
      </c>
      <c r="F66" s="168"/>
      <c r="H66" s="122">
        <v>20</v>
      </c>
      <c r="I66" s="125">
        <f>IFERROR(VLOOKUP($D66,'Adient Assende (Belgium) WK.17'!$B:C,J$1,0),0)</f>
        <v>0</v>
      </c>
      <c r="J66" s="55">
        <f>IFERROR(VLOOKUP($D66,'Adient Arendal (Malzia) WK.12'!$B:C,J$1,0),0)</f>
        <v>0</v>
      </c>
      <c r="K66" s="55">
        <f>IFERROR(VLOOKUP($D66,'Adient Taizhou (China) WK.16'!$B:C,J$1,0),0)</f>
        <v>0</v>
      </c>
      <c r="L66" s="128">
        <v>0</v>
      </c>
      <c r="M66" s="32">
        <v>0</v>
      </c>
      <c r="N66" s="106">
        <f t="shared" si="544"/>
        <v>20</v>
      </c>
      <c r="P66" s="37">
        <f t="shared" si="545"/>
        <v>20</v>
      </c>
      <c r="Q66" s="125">
        <f>IFERROR(VLOOKUP($D66,'Adient Assende (Belgium) WK.17'!$B:K,R$1,0),0)</f>
        <v>0</v>
      </c>
      <c r="R66" s="55">
        <f>IFERROR(VLOOKUP($D66,'Adient Arendal (Malzia) WK.12'!$B:K,R$1,0),0)</f>
        <v>0</v>
      </c>
      <c r="S66" s="55">
        <f>IFERROR(VLOOKUP($D66,'Adient Taizhou (China) WK.16'!$B:K,R$1,0),0)</f>
        <v>0</v>
      </c>
      <c r="T66" s="41">
        <v>0</v>
      </c>
      <c r="U66" s="32">
        <v>0</v>
      </c>
      <c r="V66" s="106">
        <f t="shared" si="546"/>
        <v>20</v>
      </c>
      <c r="X66" s="37">
        <f t="shared" si="547"/>
        <v>20</v>
      </c>
      <c r="Y66" s="125">
        <f>IFERROR(VLOOKUP($D66,'Adient Assende (Belgium) WK.17'!$B:S,Z$1,0),0)</f>
        <v>0</v>
      </c>
      <c r="Z66" s="55">
        <f>IFERROR(VLOOKUP($D66,'Adient Arendal (Malzia) WK.12'!$B:S,Z$1,0),0)</f>
        <v>0</v>
      </c>
      <c r="AA66" s="55">
        <f>IFERROR(VLOOKUP($D66,'Adient Taizhou (China) WK.16'!$B:S,Z$1,0),0)</f>
        <v>0</v>
      </c>
      <c r="AB66" s="41">
        <v>0</v>
      </c>
      <c r="AC66" s="32">
        <v>0</v>
      </c>
      <c r="AD66" s="106">
        <f t="shared" si="548"/>
        <v>20</v>
      </c>
      <c r="AF66" s="37">
        <f t="shared" si="549"/>
        <v>20</v>
      </c>
      <c r="AG66" s="125">
        <f>IFERROR(VLOOKUP($D66,'Adient Assende (Belgium) WK.17'!$B:AA,AH$1,0),0)</f>
        <v>0</v>
      </c>
      <c r="AH66" s="55">
        <f>IFERROR(VLOOKUP($D66,'Adient Arendal (Malzia) WK.12'!$B:AA,AH$1,0),0)</f>
        <v>0</v>
      </c>
      <c r="AI66" s="55">
        <f>IFERROR(VLOOKUP($D66,'Adient Taizhou (China) WK.16'!$B:AA,AH$1,0),0)</f>
        <v>0</v>
      </c>
      <c r="AJ66" s="41">
        <v>0</v>
      </c>
      <c r="AK66" s="32">
        <v>0</v>
      </c>
      <c r="AL66" s="106">
        <f t="shared" si="550"/>
        <v>20</v>
      </c>
      <c r="AN66" s="37">
        <f t="shared" si="551"/>
        <v>20</v>
      </c>
      <c r="AO66" s="125">
        <f>IFERROR(VLOOKUP($D66,'Adient Assende (Belgium) WK.17'!$B:AI,AP$1,0),0)</f>
        <v>0</v>
      </c>
      <c r="AP66" s="55">
        <f>IFERROR(VLOOKUP($D66,'Adient Arendal (Malzia) WK.12'!$B:AI,AP$1,0),0)</f>
        <v>0</v>
      </c>
      <c r="AQ66" s="55">
        <f>IFERROR(VLOOKUP($D66,'Adient Taizhou (China) WK.16'!$B:AI,AP$1,0),0)</f>
        <v>0</v>
      </c>
      <c r="AR66" s="60">
        <v>0</v>
      </c>
      <c r="AS66" s="41">
        <v>0</v>
      </c>
      <c r="AT66" s="32">
        <v>0</v>
      </c>
      <c r="AU66" s="106">
        <f t="shared" si="552"/>
        <v>20</v>
      </c>
      <c r="AW66" s="37">
        <f t="shared" si="553"/>
        <v>20</v>
      </c>
      <c r="AX66" s="125">
        <f>IFERROR(VLOOKUP($D66,'Adient Assende (Belgium) WK.17'!$B:AR,AY$1,0),0)</f>
        <v>0</v>
      </c>
      <c r="AY66" s="55">
        <f>IFERROR(VLOOKUP($D66,'Adient Arendal (Malzia) WK.12'!$B:AR,AY$1,0),0)</f>
        <v>0</v>
      </c>
      <c r="AZ66" s="55">
        <f>IFERROR(VLOOKUP($D66,'Adient Taizhou (China) WK.16'!$B:AU,AY$1,0),0)</f>
        <v>0</v>
      </c>
      <c r="BA66" s="41">
        <v>0</v>
      </c>
      <c r="BB66" s="32">
        <v>0</v>
      </c>
      <c r="BC66" s="106">
        <f t="shared" si="554"/>
        <v>20</v>
      </c>
      <c r="BE66" s="37">
        <f t="shared" si="555"/>
        <v>20</v>
      </c>
      <c r="BF66" s="125">
        <f>IFERROR(VLOOKUP($D66,'Adient Assende (Belgium) WK.17'!$B:AX,BG$1,0),0)</f>
        <v>0</v>
      </c>
      <c r="BG66" s="55">
        <f>IFERROR(VLOOKUP($D66,'Adient Arendal (Malzia) WK.12'!$B:AZ,BG$1,0),0)</f>
        <v>0</v>
      </c>
      <c r="BH66" s="55">
        <f>IFERROR(VLOOKUP($D66,'Adient Taizhou (China) WK.16'!$B:BB,BG$1,0),0)</f>
        <v>0</v>
      </c>
      <c r="BI66" s="60">
        <v>0</v>
      </c>
      <c r="BJ66" s="60">
        <v>0</v>
      </c>
      <c r="BK66" s="41">
        <v>0</v>
      </c>
      <c r="BL66" s="32">
        <v>0</v>
      </c>
      <c r="BM66" s="106">
        <f t="shared" si="556"/>
        <v>20</v>
      </c>
      <c r="BN66" s="8"/>
      <c r="BO66" s="37">
        <f t="shared" si="557"/>
        <v>20</v>
      </c>
      <c r="BP66" s="125">
        <f>IFERROR(VLOOKUP($D66,'Adient Assende (Belgium) WK.17'!$B:BH,BQ$1,0),0)</f>
        <v>0</v>
      </c>
      <c r="BQ66" s="55">
        <f>IFERROR(VLOOKUP($D66,'Adient Arendal (Malzia) WK.12'!$B:BI,BQ$1,0),0)</f>
        <v>0</v>
      </c>
      <c r="BR66" s="55">
        <f>IFERROR(VLOOKUP($D66,'Adient Taizhou (China) WK.16'!$B:BL,BQ$1,0),0)</f>
        <v>0</v>
      </c>
      <c r="BS66" s="60">
        <v>0</v>
      </c>
      <c r="BT66" s="60">
        <v>0</v>
      </c>
      <c r="BU66" s="60">
        <v>0</v>
      </c>
      <c r="BV66" s="41">
        <v>0</v>
      </c>
      <c r="BW66" s="32">
        <v>0</v>
      </c>
      <c r="BX66" s="106">
        <f t="shared" si="558"/>
        <v>20</v>
      </c>
      <c r="BY66" s="8"/>
      <c r="BZ66" s="37">
        <f t="shared" si="559"/>
        <v>20</v>
      </c>
      <c r="CA66" s="125">
        <f>IFERROR(VLOOKUP($D66,'Adient Assende (Belgium) WK.17'!$B:BS,CB$1,0),0)</f>
        <v>0</v>
      </c>
      <c r="CB66" s="55">
        <f>IFERROR(VLOOKUP($D66,'Adient Arendal (Malzia) WK.12'!$B:BT,CB$1,0),0)</f>
        <v>0</v>
      </c>
      <c r="CC66" s="55">
        <f>IFERROR(VLOOKUP($D66,'Adient Taizhou (China) WK.16'!$B:BW,CB$1,0),0)</f>
        <v>0</v>
      </c>
      <c r="CD66" s="60">
        <v>0</v>
      </c>
      <c r="CE66" s="60">
        <v>0</v>
      </c>
      <c r="CF66" s="41">
        <v>0</v>
      </c>
      <c r="CG66" s="32">
        <v>0</v>
      </c>
      <c r="CH66" s="106">
        <f t="shared" si="560"/>
        <v>20</v>
      </c>
      <c r="CI66" s="8"/>
      <c r="CJ66" s="37">
        <f t="shared" si="561"/>
        <v>20</v>
      </c>
      <c r="CK66" s="125">
        <f>IFERROR(VLOOKUP($D66,'Adient Assende (Belgium) WK.17'!$B:CC,CL$1,0),0)</f>
        <v>0</v>
      </c>
      <c r="CL66" s="55">
        <f>IFERROR(VLOOKUP($D66,'Adient Arendal (Malzia) WK.12'!$B:CD,CL$1,0),0)</f>
        <v>0</v>
      </c>
      <c r="CM66" s="55">
        <f>IFERROR(VLOOKUP($D66,'Adient Taizhou (China) WK.16'!$B:CG,CL$1,0),0)</f>
        <v>0</v>
      </c>
      <c r="CN66" s="60">
        <v>0</v>
      </c>
      <c r="CO66" s="149">
        <v>0</v>
      </c>
      <c r="CP66" s="32">
        <v>0</v>
      </c>
      <c r="CQ66" s="106">
        <f t="shared" si="562"/>
        <v>20</v>
      </c>
      <c r="CR66" s="8"/>
      <c r="CS66" s="122">
        <f t="shared" si="563"/>
        <v>20</v>
      </c>
      <c r="CT66" s="154">
        <f>IFERROR(VLOOKUP($D66,'Adient Assende (Belgium) WK.17'!$B:CL,CU$1,0),0)</f>
        <v>0</v>
      </c>
      <c r="CU66" s="55">
        <f>IFERROR(VLOOKUP($D66,'Adient Arendal (Malzia) WK.12'!$B:CM,CU$1,0),0)</f>
        <v>0</v>
      </c>
      <c r="CV66" s="55">
        <f>IFERROR(VLOOKUP($D66,'Adient Taizhou (China) WK.16'!$B:CP,CU$1,0),0)</f>
        <v>0</v>
      </c>
      <c r="CW66" s="60">
        <v>0</v>
      </c>
      <c r="CX66" s="60">
        <v>0</v>
      </c>
      <c r="CY66" s="128">
        <v>0</v>
      </c>
      <c r="CZ66" s="32">
        <v>0</v>
      </c>
      <c r="DA66" s="106">
        <f t="shared" si="564"/>
        <v>20</v>
      </c>
      <c r="DB66" s="8"/>
      <c r="DC66" s="37">
        <f t="shared" si="565"/>
        <v>20</v>
      </c>
      <c r="DD66" s="125">
        <f>IFERROR(VLOOKUP($D66,'Adient Assende (Belgium) WK.17'!$B:CS,DE$1,0),0)</f>
        <v>0</v>
      </c>
      <c r="DE66" s="55">
        <f>IFERROR(VLOOKUP($D66,'Adient Arendal (Malzia) WK.12'!$B:CU,DE$1,0),0)</f>
        <v>0</v>
      </c>
      <c r="DF66" s="55">
        <f>IFERROR(VLOOKUP($D66,'Adient Taizhou (China) WK.16'!$B:CX,DE$1,0),0)</f>
        <v>0</v>
      </c>
      <c r="DG66" s="60">
        <v>0</v>
      </c>
      <c r="DH66" s="128">
        <v>0</v>
      </c>
      <c r="DI66" s="32">
        <v>0</v>
      </c>
      <c r="DJ66" s="106">
        <f t="shared" si="566"/>
        <v>20</v>
      </c>
      <c r="DL66" s="37">
        <f t="shared" si="567"/>
        <v>20</v>
      </c>
      <c r="DM66" s="125">
        <f>IFERROR(VLOOKUP($D66,'Adient Assende (Belgium) WK.17'!$B:DB,DN$1,0),0)</f>
        <v>0</v>
      </c>
      <c r="DN66" s="55">
        <f>IFERROR(VLOOKUP($D66,'Adient Arendal (Malzia) WK.12'!$B:DC,DN$1,0),0)</f>
        <v>0</v>
      </c>
      <c r="DO66" s="55">
        <f>IFERROR(VLOOKUP($D66,'Adient Taizhou (China) WK.16'!$B:DF,DN$1,0),0)</f>
        <v>0</v>
      </c>
      <c r="DP66" s="128">
        <v>0</v>
      </c>
      <c r="DQ66" s="32">
        <v>0</v>
      </c>
      <c r="DR66" s="106">
        <f t="shared" si="568"/>
        <v>20</v>
      </c>
      <c r="DS66" s="8"/>
      <c r="DT66" s="37">
        <f t="shared" si="569"/>
        <v>20</v>
      </c>
      <c r="DU66" s="125">
        <f>IFERROR(VLOOKUP($D66,'Adient Assende (Belgium) WK.17'!$B:DJ,DV$1,0),0)</f>
        <v>0</v>
      </c>
      <c r="DV66" s="55">
        <f>IFERROR(VLOOKUP($D66,'Adient Arendal (Malzia) WK.12'!$B:DK,DV$1,0),0)</f>
        <v>0</v>
      </c>
      <c r="DW66" s="55">
        <f>IFERROR(VLOOKUP($D66,'Adient Taizhou (China) WK.16'!$B:DN,DV$1,0),0)</f>
        <v>0</v>
      </c>
      <c r="DX66" s="60">
        <v>0</v>
      </c>
      <c r="DY66" s="60">
        <v>0</v>
      </c>
      <c r="DZ66" s="128">
        <v>0</v>
      </c>
      <c r="EA66" s="32">
        <v>0</v>
      </c>
      <c r="EB66" s="106">
        <f t="shared" si="570"/>
        <v>20</v>
      </c>
      <c r="EC66" s="8"/>
      <c r="ED66" s="37">
        <f t="shared" si="571"/>
        <v>20</v>
      </c>
      <c r="EE66" s="125">
        <f>IFERROR(VLOOKUP($D66,'Adient Assende (Belgium) WK.17'!$B:DR,EF$1,0),0)</f>
        <v>0</v>
      </c>
      <c r="EF66" s="55">
        <f>IFERROR(VLOOKUP($D66,'Adient Arendal (Malzia) WK.12'!$B:DS,EF$1,0),0)</f>
        <v>0</v>
      </c>
      <c r="EG66" s="55">
        <f>IFERROR(VLOOKUP($D66,'Adient Taizhou (China) WK.16'!$B:DV,EF$1,0),0)</f>
        <v>0</v>
      </c>
      <c r="EH66" s="60">
        <v>0</v>
      </c>
      <c r="EI66" s="128">
        <v>0</v>
      </c>
      <c r="EJ66" s="32">
        <v>0</v>
      </c>
      <c r="EK66" s="106">
        <f t="shared" si="572"/>
        <v>20</v>
      </c>
      <c r="EM66" s="37">
        <f t="shared" si="573"/>
        <v>20</v>
      </c>
      <c r="EN66" s="125">
        <f>IFERROR(VLOOKUP($D66,'Adient Assende (Belgium) WK.17'!$B:DZ,EO$1,0),0)</f>
        <v>0</v>
      </c>
      <c r="EO66" s="55">
        <f>IFERROR(VLOOKUP($D66,'Adient Arendal (Malzia) WK.12'!$B:EA,EO$1,0),0)</f>
        <v>0</v>
      </c>
      <c r="EP66" s="55">
        <f>IFERROR(VLOOKUP($D66,'Adient Taizhou (China) WK.16'!$B:ED,EO$1,0),0)</f>
        <v>0</v>
      </c>
      <c r="EQ66" s="128">
        <v>0</v>
      </c>
      <c r="ER66" s="32">
        <v>0</v>
      </c>
      <c r="ES66" s="106">
        <f t="shared" si="574"/>
        <v>20</v>
      </c>
      <c r="EU66" s="37">
        <f t="shared" si="575"/>
        <v>20</v>
      </c>
      <c r="EV66" s="125">
        <f>IFERROR(VLOOKUP($D66,'Adient Assende (Belgium) WK.17'!$B:EH,EW$1,0),0)</f>
        <v>0</v>
      </c>
      <c r="EW66" s="55">
        <f>IFERROR(VLOOKUP($D66,'Adient Arendal (Malzia) WK.12'!$B:EI,EW$1,0),0)</f>
        <v>0</v>
      </c>
      <c r="EX66" s="55">
        <f>IFERROR(VLOOKUP($D66,'Adient Taizhou (China) WK.16'!$B:EL,EW$1,0),0)</f>
        <v>0</v>
      </c>
      <c r="EY66" s="128">
        <v>0</v>
      </c>
      <c r="EZ66" s="32">
        <v>0</v>
      </c>
      <c r="FA66" s="106">
        <f t="shared" si="576"/>
        <v>20</v>
      </c>
      <c r="FC66" s="37">
        <f t="shared" si="577"/>
        <v>20</v>
      </c>
      <c r="FD66" s="154">
        <f>IFERROR(VLOOKUP($D66,'Adient Assende (Belgium) WK.17'!$B:EP,FE$1,0),0)</f>
        <v>0</v>
      </c>
      <c r="FE66" s="154">
        <f>IFERROR(VLOOKUP($D66,'Adient Arendal (Malzia) WK.12'!$B:EQ,FE$1,0),0)</f>
        <v>0</v>
      </c>
      <c r="FF66" s="154">
        <f>IFERROR(VLOOKUP($D66,'Adient Taizhou (China) WK.16'!$B:ET,FE$1,0),0)</f>
        <v>0</v>
      </c>
      <c r="FG66" s="128">
        <v>0</v>
      </c>
      <c r="FH66" s="32">
        <v>0</v>
      </c>
      <c r="FI66" s="106">
        <f t="shared" si="578"/>
        <v>20</v>
      </c>
      <c r="FK66" s="37">
        <f t="shared" si="579"/>
        <v>20</v>
      </c>
      <c r="FL66" s="125">
        <f>IFERROR(VLOOKUP($D66,'Adient Assende (Belgium) WK.17'!$B:EX,FM$1,0),0)</f>
        <v>0</v>
      </c>
      <c r="FM66" s="55">
        <f>IFERROR(VLOOKUP($D66,'Adient Arendal (Malzia) WK.12'!$B:EY,FM$1,0),0)</f>
        <v>0</v>
      </c>
      <c r="FN66" s="55">
        <f>IFERROR(VLOOKUP($D66,'Adient Taizhou (China) WK.16'!$B:FB,FM$1,0),0)</f>
        <v>0</v>
      </c>
      <c r="FO66" s="128">
        <v>0</v>
      </c>
      <c r="FP66" s="32">
        <v>0</v>
      </c>
      <c r="FQ66" s="106">
        <f t="shared" si="580"/>
        <v>20</v>
      </c>
      <c r="FR66" s="8"/>
      <c r="FS66" s="37">
        <f t="shared" si="581"/>
        <v>20</v>
      </c>
      <c r="FT66" s="125">
        <f>IFERROR(VLOOKUP($D66,'Adient Assende (Belgium) WK.17'!$B:FF,FU$1,0),0)</f>
        <v>0</v>
      </c>
      <c r="FU66" s="55">
        <f>IFERROR(VLOOKUP($D66,'Adient Arendal (Malzia) WK.12'!$B:FG,FU$1,0),0)</f>
        <v>0</v>
      </c>
      <c r="FV66" s="55">
        <f>IFERROR(VLOOKUP($D66,'Adient Taizhou (China) WK.16'!$B:FJ,FU$1,0),0)</f>
        <v>0</v>
      </c>
      <c r="FW66" s="60">
        <v>0</v>
      </c>
      <c r="FX66" s="60">
        <v>0</v>
      </c>
      <c r="FY66" s="60">
        <v>0</v>
      </c>
      <c r="FZ66" s="60">
        <v>0</v>
      </c>
      <c r="GA66" s="60">
        <v>0</v>
      </c>
      <c r="GB66" s="128">
        <v>0</v>
      </c>
      <c r="GC66" s="32">
        <v>0</v>
      </c>
      <c r="GD66" s="106">
        <f t="shared" si="582"/>
        <v>20</v>
      </c>
      <c r="GF66" s="37">
        <f t="shared" si="583"/>
        <v>20</v>
      </c>
      <c r="GG66" s="125">
        <f>IFERROR(VLOOKUP($D66,'Adient Assende (Belgium) WK.17'!$B:FN,GH$1,0),0)</f>
        <v>0</v>
      </c>
      <c r="GH66" s="55">
        <f>IFERROR(VLOOKUP($D66,'Adient Arendal (Malzia) WK.12'!$B:FO,GH$1,0),0)</f>
        <v>0</v>
      </c>
      <c r="GI66" s="55">
        <f>IFERROR(VLOOKUP($D66,'Adient Taizhou (China) WK.16'!$B:FR,GH$1,0),0)</f>
        <v>0</v>
      </c>
      <c r="GJ66" s="60">
        <v>0</v>
      </c>
      <c r="GK66" s="128">
        <v>0</v>
      </c>
      <c r="GL66" s="32">
        <v>0</v>
      </c>
      <c r="GM66" s="106">
        <f t="shared" si="584"/>
        <v>20</v>
      </c>
      <c r="GO66" s="37">
        <f t="shared" si="585"/>
        <v>20</v>
      </c>
      <c r="GP66" s="125">
        <f>IFERROR(VLOOKUP($D66,'Adient Assende (Belgium) WK.17'!$B:FV,GQ$1,0),0)</f>
        <v>0</v>
      </c>
      <c r="GQ66" s="55">
        <f>IFERROR(VLOOKUP($D66,'Adient Arendal (Malzia) WK.12'!$B:FW,GQ$1,0),0)</f>
        <v>0</v>
      </c>
      <c r="GR66" s="55">
        <f>IFERROR(VLOOKUP($D66,'Adient Taizhou (China) WK.16'!$B:FZ,GQ$1,0),0)</f>
        <v>0</v>
      </c>
      <c r="GS66" s="60">
        <v>0</v>
      </c>
      <c r="GT66" s="128">
        <v>0</v>
      </c>
      <c r="GU66" s="32">
        <v>0</v>
      </c>
      <c r="GV66" s="106">
        <f t="shared" si="586"/>
        <v>20</v>
      </c>
      <c r="GW66" s="8"/>
      <c r="GX66" s="37">
        <f t="shared" si="587"/>
        <v>20</v>
      </c>
      <c r="GY66" s="125">
        <f>IFERROR(VLOOKUP($D66,'Adient Assende (Belgium) WK.17'!$B:GD,GZ$1,0),0)</f>
        <v>0</v>
      </c>
      <c r="GZ66" s="55">
        <f>IFERROR(VLOOKUP($D66,'Adient Arendal (Malzia) WK.12'!$B:GE,GZ$1,0),0)</f>
        <v>0</v>
      </c>
      <c r="HA66" s="55">
        <f>IFERROR(VLOOKUP($D66,'Adient Taizhou (China) WK.16'!$B:GH,GZ$1,0),0)</f>
        <v>0</v>
      </c>
      <c r="HB66" s="60">
        <v>0</v>
      </c>
      <c r="HC66" s="128">
        <v>0</v>
      </c>
      <c r="HD66" s="32">
        <v>0</v>
      </c>
      <c r="HE66" s="106">
        <f t="shared" si="588"/>
        <v>20</v>
      </c>
      <c r="HF66" s="8"/>
      <c r="HG66" s="37">
        <f t="shared" si="589"/>
        <v>20</v>
      </c>
      <c r="HH66" s="125">
        <f>IFERROR(VLOOKUP($D66,'Adient Assende (Belgium) WK.17'!$B:GL,HI$1,0),0)</f>
        <v>0</v>
      </c>
      <c r="HI66" s="55">
        <f>IFERROR(VLOOKUP($D66,'Adient Arendal (Malzia) WK.12'!$B:GM,HI$1,0),0)</f>
        <v>0</v>
      </c>
      <c r="HJ66" s="55">
        <f>IFERROR(VLOOKUP($D66,'Adient Taizhou (China) WK.16'!$B:GP,HI$1,0),0)</f>
        <v>0</v>
      </c>
      <c r="HK66" s="60">
        <v>0</v>
      </c>
      <c r="HL66" s="128">
        <v>0</v>
      </c>
      <c r="HM66" s="32">
        <v>0</v>
      </c>
      <c r="HN66" s="106">
        <f t="shared" si="590"/>
        <v>20</v>
      </c>
      <c r="HO66" s="8"/>
      <c r="HP66" s="37">
        <f t="shared" si="591"/>
        <v>20</v>
      </c>
      <c r="HQ66" s="125">
        <f>IFERROR(VLOOKUP($D66,'Adient Assende (Belgium) WK.17'!$B:GT,HR$1,0),0)</f>
        <v>0</v>
      </c>
      <c r="HR66" s="55">
        <f>IFERROR(VLOOKUP($D66,'Adient Arendal (Malzia) WK.12'!$B:GU,HR$1,0),0)</f>
        <v>0</v>
      </c>
      <c r="HS66" s="55">
        <f>IFERROR(VLOOKUP($D66,'Adient Taizhou (China) WK.16'!$B:GX,HR$1,0),0)</f>
        <v>0</v>
      </c>
      <c r="HT66" s="60">
        <v>0</v>
      </c>
      <c r="HU66" s="128">
        <v>0</v>
      </c>
      <c r="HV66" s="32">
        <v>0</v>
      </c>
      <c r="HW66" s="106">
        <f t="shared" si="592"/>
        <v>20</v>
      </c>
      <c r="HX66" s="8"/>
      <c r="HY66" s="37">
        <f t="shared" si="593"/>
        <v>20</v>
      </c>
      <c r="HZ66" s="125">
        <f>IFERROR(VLOOKUP($D66,'Adient Assende (Belgium) WK.17'!$B:HB,IA$1,0),0)</f>
        <v>0</v>
      </c>
      <c r="IA66" s="55">
        <f>IFERROR(VLOOKUP($D66,'Adient Arendal (Malzia) WK.12'!$B:HC,IA$1,0),0)</f>
        <v>0</v>
      </c>
      <c r="IB66" s="55">
        <f>IFERROR(VLOOKUP($D66,'Adient Taizhou (China) WK.16'!$B:HF,IA$1,0),0)</f>
        <v>0</v>
      </c>
      <c r="IC66" s="60">
        <v>0</v>
      </c>
      <c r="ID66" s="128">
        <v>0</v>
      </c>
      <c r="IE66" s="32">
        <v>0</v>
      </c>
      <c r="IF66" s="106">
        <f t="shared" si="594"/>
        <v>20</v>
      </c>
      <c r="IG66" s="8"/>
      <c r="IH66" s="37">
        <f t="shared" si="595"/>
        <v>20</v>
      </c>
      <c r="II66" s="125">
        <f>IFERROR(VLOOKUP($D66,'Adient Assende (Belgium) WK.17'!$B:HJ,IJ$1,0),0)</f>
        <v>0</v>
      </c>
      <c r="IJ66" s="55">
        <f>IFERROR(VLOOKUP($D66,'Adient Arendal (Malzia) WK.12'!$B:HK,IJ$1,0),0)</f>
        <v>0</v>
      </c>
      <c r="IK66" s="55">
        <f>IFERROR(VLOOKUP($D66,'Adient Taizhou (China) WK.16'!$B:HN,IJ$1,0),0)</f>
        <v>0</v>
      </c>
      <c r="IL66" s="128">
        <v>0</v>
      </c>
      <c r="IM66" s="32">
        <v>0</v>
      </c>
      <c r="IN66" s="106">
        <f t="shared" si="596"/>
        <v>20</v>
      </c>
      <c r="IO66" s="8"/>
      <c r="IP66" s="37">
        <f t="shared" si="597"/>
        <v>20</v>
      </c>
      <c r="IQ66" s="125">
        <f>IFERROR(VLOOKUP($D66,'Adient Assende (Belgium) WK.17'!$B:HR,IR$1,0),0)</f>
        <v>0</v>
      </c>
      <c r="IR66" s="55">
        <f>IFERROR(VLOOKUP($D66,'Adient Arendal (Malzia) WK.12'!$B:HS,IR$1,0),0)</f>
        <v>0</v>
      </c>
      <c r="IS66" s="55">
        <f>IFERROR(VLOOKUP($D66,'Adient Taizhou (China) WK.16'!$B:HV,IR$1,0),0)</f>
        <v>0</v>
      </c>
      <c r="IT66" s="60">
        <v>0</v>
      </c>
      <c r="IU66" s="128">
        <v>0</v>
      </c>
      <c r="IV66" s="32">
        <v>0</v>
      </c>
      <c r="IW66" s="106">
        <f t="shared" si="598"/>
        <v>20</v>
      </c>
      <c r="IX66" s="8"/>
      <c r="IY66" s="37">
        <f t="shared" si="599"/>
        <v>20</v>
      </c>
      <c r="IZ66" s="125">
        <f>IFERROR(VLOOKUP($D66,'Adient Assende (Belgium) WK.17'!$B:HZ,JA$1,0),0)</f>
        <v>0</v>
      </c>
      <c r="JA66" s="55">
        <f>IFERROR(VLOOKUP($D66,'Adient Arendal (Malzia) WK.12'!$B:IA,JA$1,0),0)</f>
        <v>0</v>
      </c>
      <c r="JB66" s="55">
        <f>IFERROR(VLOOKUP($D66,'Adient Taizhou (China) WK.16'!$B:ID,JA$1,0),0)</f>
        <v>0</v>
      </c>
      <c r="JC66" s="128">
        <v>0</v>
      </c>
      <c r="JD66" s="32">
        <v>0</v>
      </c>
      <c r="JE66" s="106">
        <f t="shared" si="600"/>
        <v>20</v>
      </c>
      <c r="JF66" s="8"/>
      <c r="JG66" s="37">
        <f t="shared" si="601"/>
        <v>20</v>
      </c>
      <c r="JH66" s="125">
        <f>IFERROR(VLOOKUP($D66,'Adient Assende (Belgium) WK.17'!$B:IH,JI$1,0),0)</f>
        <v>0</v>
      </c>
      <c r="JI66" s="55">
        <f>IFERROR(VLOOKUP($D66,'Adient Arendal (Malzia) WK.12'!$B:II,JI$1,0),0)</f>
        <v>0</v>
      </c>
      <c r="JJ66" s="55">
        <f>IFERROR(VLOOKUP($D66,'Adient Taizhou (China) WK.16'!$B:IL,JI$1,0),0)</f>
        <v>0</v>
      </c>
      <c r="JK66" s="60">
        <v>0</v>
      </c>
      <c r="JL66" s="128">
        <v>0</v>
      </c>
      <c r="JM66" s="32">
        <v>0</v>
      </c>
      <c r="JN66" s="106">
        <f t="shared" si="602"/>
        <v>20</v>
      </c>
      <c r="JO66" s="8"/>
      <c r="JP66" s="37">
        <f t="shared" si="603"/>
        <v>20</v>
      </c>
      <c r="JQ66" s="125">
        <f>IFERROR(VLOOKUP($D66,'Adient Assende (Belgium) WK.17'!$B:IP,JR$1,0),0)</f>
        <v>0</v>
      </c>
      <c r="JR66" s="55">
        <f>IFERROR(VLOOKUP($D66,'Adient Arendal (Malzia) WK.12'!$B:IQ,JR$1,0),0)</f>
        <v>0</v>
      </c>
      <c r="JS66" s="55">
        <f>IFERROR(VLOOKUP($D66,'Adient Taizhou (China) WK.16'!$B:IT,JR$1,0),0)</f>
        <v>0</v>
      </c>
      <c r="JT66" s="128">
        <v>0</v>
      </c>
      <c r="JU66" s="32">
        <v>0</v>
      </c>
      <c r="JV66" s="106">
        <f t="shared" si="462"/>
        <v>20</v>
      </c>
      <c r="JW66" s="8"/>
      <c r="JX66" s="37">
        <f t="shared" si="604"/>
        <v>20</v>
      </c>
      <c r="JY66" s="154">
        <f>IFERROR(VLOOKUP($D66,'Adient Assende (Belgium) WK.17'!$B:IX,JZ$1,0),0)</f>
        <v>0</v>
      </c>
      <c r="JZ66" s="55">
        <f>IFERROR(VLOOKUP($D66,'Adient Arendal (Malzia) WK.12'!$B:IY,JZ$1,0),0)</f>
        <v>0</v>
      </c>
      <c r="KA66" s="55">
        <f>IFERROR(VLOOKUP($D66,'Adient Taizhou (China) WK.16'!$B:JB,JZ$1,0),0)</f>
        <v>0</v>
      </c>
      <c r="KB66" s="128">
        <v>0</v>
      </c>
      <c r="KC66" s="32">
        <v>0</v>
      </c>
      <c r="KD66" s="106">
        <f t="shared" si="263"/>
        <v>20</v>
      </c>
      <c r="KE66" s="8"/>
      <c r="KF66" s="37">
        <f t="shared" si="605"/>
        <v>20</v>
      </c>
      <c r="KG66" s="125">
        <f>IFERROR(VLOOKUP($D66,'Adient Assende (Belgium) WK.17'!$B:JF,KH$1,0),0)</f>
        <v>0</v>
      </c>
      <c r="KH66" s="55">
        <f>IFERROR(VLOOKUP($D66,'Adient Arendal (Malzia) WK.12'!$B:JG,KH$1,0),0)</f>
        <v>0</v>
      </c>
      <c r="KI66" s="55">
        <f>IFERROR(VLOOKUP($D66,'Adient Taizhou (China) WK.16'!$B:JJ,KH$1,0),0)</f>
        <v>0</v>
      </c>
      <c r="KJ66" s="60">
        <v>0</v>
      </c>
      <c r="KK66" s="128">
        <v>0</v>
      </c>
      <c r="KL66" s="32">
        <v>0</v>
      </c>
      <c r="KM66" s="106">
        <f t="shared" si="264"/>
        <v>20</v>
      </c>
      <c r="KN66" s="8"/>
      <c r="KO66" s="37">
        <f t="shared" si="606"/>
        <v>20</v>
      </c>
      <c r="KP66" s="141">
        <f>IFERROR(VLOOKUP($D66,'Adient Assende (Belgium) WK.17'!$B:JN,KQ$1,0),0)</f>
        <v>0</v>
      </c>
      <c r="KQ66" s="140">
        <f>IFERROR(VLOOKUP($D66,'Adient Arendal (Malzia) WK.12'!$B:JO,KQ$1,0),0)</f>
        <v>0</v>
      </c>
      <c r="KR66" s="140">
        <f>IFERROR(VLOOKUP($D66,'Adient Taizhou (China) WK.16'!$B:JR,KQ$1,0),0)</f>
        <v>0</v>
      </c>
      <c r="KS66" s="60">
        <v>0</v>
      </c>
      <c r="KT66" s="128">
        <v>0</v>
      </c>
      <c r="KU66" s="32">
        <v>0</v>
      </c>
      <c r="KV66" s="106">
        <f t="shared" si="265"/>
        <v>20</v>
      </c>
      <c r="KX66" s="37">
        <f t="shared" si="607"/>
        <v>20</v>
      </c>
      <c r="KY66" s="141">
        <f>IFERROR(VLOOKUP($D66,'Adient Assende (Belgium) WK.17'!$B:JV,KZ$1,0),0)</f>
        <v>0</v>
      </c>
      <c r="KZ66" s="140">
        <f>IFERROR(VLOOKUP($D66,'Adient Arendal (Malzia) WK.12'!$B:JW,KZ$1,0),0)</f>
        <v>0</v>
      </c>
      <c r="LA66" s="140">
        <f>IFERROR(VLOOKUP($D66,'Adient Taizhou (China) WK.16'!$B:JZ,KZ$1,0),0)</f>
        <v>0</v>
      </c>
      <c r="LB66" s="128">
        <v>0</v>
      </c>
      <c r="LC66" s="32">
        <v>0</v>
      </c>
      <c r="LD66" s="106">
        <f t="shared" si="467"/>
        <v>20</v>
      </c>
      <c r="LF66" s="37">
        <f t="shared" si="608"/>
        <v>20</v>
      </c>
      <c r="LG66" s="141">
        <f>IFERROR(VLOOKUP($D66,'Adient Assende (Belgium) WK.17'!$B:KD,LH$1,0),0)</f>
        <v>0</v>
      </c>
      <c r="LH66" s="140">
        <f>IFERROR(VLOOKUP($D66,'Adient Arendal (Malzia) WK.12'!$B:KE,LH$1,0),0)</f>
        <v>0</v>
      </c>
      <c r="LI66" s="140">
        <f>IFERROR(VLOOKUP($D66,'Adient Taizhou (China) WK.16'!$B:KH,LH$1,0),0)</f>
        <v>0</v>
      </c>
      <c r="LJ66" s="60">
        <v>0</v>
      </c>
      <c r="LK66" s="128">
        <v>0</v>
      </c>
      <c r="LL66" s="32">
        <v>0</v>
      </c>
      <c r="LM66" s="100">
        <f t="shared" si="267"/>
        <v>20</v>
      </c>
      <c r="LO66" s="37">
        <f t="shared" si="609"/>
        <v>20</v>
      </c>
      <c r="LP66" s="141">
        <f>IFERROR(VLOOKUP($D66,'Adient Assende (Belgium) WK.17'!$B:KL,LQ$1,0),0)</f>
        <v>0</v>
      </c>
      <c r="LQ66" s="140">
        <f>IFERROR(VLOOKUP($D66,'Adient Arendal (Malzia) WK.12'!$B:KM,LQ$1,0),0)</f>
        <v>0</v>
      </c>
      <c r="LR66" s="140">
        <f>IFERROR(VLOOKUP($D66,'Adient Taizhou (China) WK.16'!$B:KP,LQ$1,0),0)</f>
        <v>0</v>
      </c>
      <c r="LS66" s="128">
        <v>0</v>
      </c>
      <c r="LT66" s="32">
        <v>0</v>
      </c>
      <c r="LU66" s="100">
        <f t="shared" si="610"/>
        <v>20</v>
      </c>
      <c r="LW66" s="37">
        <f t="shared" si="611"/>
        <v>20</v>
      </c>
      <c r="LX66" s="141">
        <f>IFERROR(VLOOKUP($D66,'Adient Assende (Belgium) WK.17'!$B:KT,LY$1,0),0)</f>
        <v>0</v>
      </c>
      <c r="LY66" s="140">
        <f>IFERROR(VLOOKUP($D66,'Adient Arendal (Malzia) WK.12'!$B:KU,LY$1,0),0)</f>
        <v>0</v>
      </c>
      <c r="LZ66" s="140">
        <f>IFERROR(VLOOKUP($D66,'Adient Taizhou (China) WK.16'!$B:KX,LY$1,0),0)</f>
        <v>0</v>
      </c>
      <c r="MA66" s="128">
        <v>0</v>
      </c>
      <c r="MB66" s="32">
        <v>0</v>
      </c>
      <c r="MC66" s="100">
        <f t="shared" si="612"/>
        <v>20</v>
      </c>
      <c r="ME66" s="37">
        <f t="shared" si="613"/>
        <v>20</v>
      </c>
      <c r="MF66" s="154">
        <f>IFERROR(VLOOKUP($D66,'Adient Assende (Belgium) WK.17'!$B:LB,MG$1,0),0)</f>
        <v>0</v>
      </c>
      <c r="MG66" s="140">
        <f>IFERROR(VLOOKUP($D66,'Adient Arendal (Malzia) WK.12'!$B:LC,MG$1,0),0)</f>
        <v>0</v>
      </c>
      <c r="MH66" s="140">
        <f>IFERROR(VLOOKUP($D66,'Adient Taizhou (China) WK.16'!$B:LF,MG$1,0),0)</f>
        <v>0</v>
      </c>
      <c r="MI66" s="128">
        <v>0</v>
      </c>
      <c r="MJ66" s="32">
        <v>0</v>
      </c>
      <c r="MK66" s="100">
        <f t="shared" si="614"/>
        <v>20</v>
      </c>
      <c r="MM66" s="37">
        <f t="shared" si="615"/>
        <v>20</v>
      </c>
      <c r="MN66" s="141">
        <f>IFERROR(VLOOKUP($D66,'Adient Assende (Belgium) WK.17'!$B:LJ,MO$1,0),0)</f>
        <v>0</v>
      </c>
      <c r="MO66" s="140">
        <f>IFERROR(VLOOKUP($D66,'Adient Arendal (Malzia) WK.12'!$B:LK,MO$1,0),0)</f>
        <v>0</v>
      </c>
      <c r="MP66" s="140">
        <f>IFERROR(VLOOKUP($D66,'Adient Taizhou (China) WK.16'!$B:LN,MO$1,0),0)</f>
        <v>0</v>
      </c>
      <c r="MQ66" s="128">
        <v>0</v>
      </c>
      <c r="MR66" s="32">
        <v>0</v>
      </c>
      <c r="MS66" s="100">
        <f t="shared" si="616"/>
        <v>20</v>
      </c>
      <c r="MU66" s="37">
        <f t="shared" si="617"/>
        <v>20</v>
      </c>
      <c r="MV66" s="141">
        <f>IFERROR(VLOOKUP($D66,'Adient Assende (Belgium) WK.17'!$B:LR,MW$1,0),0)</f>
        <v>0</v>
      </c>
      <c r="MW66" s="140">
        <f>IFERROR(VLOOKUP($D66,'Adient Arendal (Malzia) WK.12'!$B:LS,MW$1,0),0)</f>
        <v>0</v>
      </c>
      <c r="MX66" s="140">
        <f>IFERROR(VLOOKUP($D66,'Adient Taizhou (China) WK.16'!$B:LV,MW$1,0),0)</f>
        <v>0</v>
      </c>
      <c r="MY66" s="128">
        <v>0</v>
      </c>
      <c r="MZ66" s="32">
        <v>0</v>
      </c>
      <c r="NA66" s="100">
        <f t="shared" si="618"/>
        <v>20</v>
      </c>
      <c r="NC66" s="37">
        <f t="shared" si="619"/>
        <v>20</v>
      </c>
      <c r="ND66" s="141">
        <f>IFERROR(VLOOKUP($D66,'Adient Assende (Belgium) WK.17'!$B:LZ,NE$1,0),0)</f>
        <v>0</v>
      </c>
      <c r="NE66" s="140">
        <f>IFERROR(VLOOKUP($D66,'Adient Arendal (Malzia) WK.12'!$B:MA,NE$1,0),0)</f>
        <v>0</v>
      </c>
      <c r="NF66" s="140">
        <f>IFERROR(VLOOKUP($D66,'Adient Taizhou (China) WK.16'!$B:MD,NE$1,0),0)</f>
        <v>0</v>
      </c>
      <c r="NG66" s="128">
        <v>0</v>
      </c>
      <c r="NH66" s="32">
        <v>0</v>
      </c>
      <c r="NI66" s="100">
        <f t="shared" si="620"/>
        <v>20</v>
      </c>
      <c r="NK66" s="37">
        <f t="shared" si="621"/>
        <v>20</v>
      </c>
      <c r="NL66" s="141">
        <f>IFERROR(VLOOKUP($D66,'Adient Assende (Belgium) WK.17'!$B:MH,NM$1,0),0)</f>
        <v>0</v>
      </c>
      <c r="NM66" s="140">
        <f>IFERROR(VLOOKUP($D66,'Adient Arendal (Malzia) WK.12'!$B:MI,NM$1,0),0)</f>
        <v>0</v>
      </c>
      <c r="NN66" s="140">
        <f>IFERROR(VLOOKUP($D66,'Adient Taizhou (China) WK.16'!$B:ML,NM$1,0),0)</f>
        <v>0</v>
      </c>
      <c r="NO66" s="128">
        <v>0</v>
      </c>
      <c r="NP66" s="32">
        <v>0</v>
      </c>
      <c r="NQ66" s="100">
        <f t="shared" si="622"/>
        <v>20</v>
      </c>
      <c r="NS66" s="37">
        <f t="shared" si="623"/>
        <v>20</v>
      </c>
      <c r="NT66" s="141">
        <f>IFERROR(VLOOKUP($D66,'Adient Assende (Belgium) WK.17'!$B:MP,NU$1,0),0)</f>
        <v>0</v>
      </c>
      <c r="NU66" s="140">
        <f>IFERROR(VLOOKUP($D66,'Adient Arendal (Malzia) WK.12'!$B:MQ,NU$1,0),0)</f>
        <v>0</v>
      </c>
      <c r="NV66" s="140">
        <f>IFERROR(VLOOKUP($D66,'Adient Taizhou (China) WK.16'!$B:MT,NU$1,0),0)</f>
        <v>0</v>
      </c>
      <c r="NW66" s="128">
        <v>0</v>
      </c>
      <c r="NX66" s="32">
        <v>0</v>
      </c>
      <c r="NY66" s="100">
        <f t="shared" si="624"/>
        <v>20</v>
      </c>
      <c r="OA66" s="37">
        <f t="shared" si="625"/>
        <v>20</v>
      </c>
      <c r="OB66" s="141">
        <f>IFERROR(VLOOKUP($D66,'Adient Assende (Belgium) WK.17'!$B:MX,OC$1,0),0)</f>
        <v>0</v>
      </c>
      <c r="OC66" s="140">
        <f>IFERROR(VLOOKUP($D66,'Adient Arendal (Malzia) WK.12'!$B:MY,OC$1,0),0)</f>
        <v>0</v>
      </c>
      <c r="OD66" s="140">
        <f>IFERROR(VLOOKUP($D66,'Adient Taizhou (China) WK.16'!$B:NB,OC$1,0),0)</f>
        <v>0</v>
      </c>
      <c r="OE66" s="128">
        <v>0</v>
      </c>
      <c r="OF66" s="32">
        <v>0</v>
      </c>
      <c r="OG66" s="100">
        <f t="shared" si="626"/>
        <v>20</v>
      </c>
      <c r="OI66" s="37">
        <f t="shared" si="627"/>
        <v>20</v>
      </c>
      <c r="OJ66" s="141">
        <f>IFERROR(VLOOKUP($D66,'Adient Assende (Belgium) WK.17'!$B:NF,OK$1,0),0)</f>
        <v>0</v>
      </c>
      <c r="OK66" s="140">
        <f>IFERROR(VLOOKUP($D66,'Adient Arendal (Malzia) WK.12'!$B:NG,OK$1,0),0)</f>
        <v>0</v>
      </c>
      <c r="OL66" s="140">
        <f>IFERROR(VLOOKUP($D66,'Adient Taizhou (China) WK.16'!$B:NJ,OK$1,0),0)</f>
        <v>0</v>
      </c>
      <c r="OM66" s="128">
        <v>0</v>
      </c>
      <c r="ON66" s="32">
        <v>0</v>
      </c>
      <c r="OO66" s="100">
        <f t="shared" si="628"/>
        <v>20</v>
      </c>
      <c r="OQ66" s="37">
        <f t="shared" si="629"/>
        <v>20</v>
      </c>
      <c r="OR66" s="141">
        <f>IFERROR(VLOOKUP($D66,'Adient Assende (Belgium) WK.17'!$B:NN,OS$1,0),0)</f>
        <v>0</v>
      </c>
      <c r="OS66" s="140">
        <f>IFERROR(VLOOKUP($D66,'Adient Arendal (Malzia) WK.12'!$B:NO,OS$1,0),0)</f>
        <v>0</v>
      </c>
      <c r="OT66" s="140">
        <f>IFERROR(VLOOKUP($D66,'Adient Taizhou (China) WK.16'!$B:NR,OS$1,0),0)</f>
        <v>0</v>
      </c>
      <c r="OU66" s="128">
        <v>0</v>
      </c>
      <c r="OV66" s="32">
        <v>0</v>
      </c>
      <c r="OW66" s="100">
        <f t="shared" si="630"/>
        <v>20</v>
      </c>
      <c r="OY66" s="37">
        <f t="shared" si="631"/>
        <v>20</v>
      </c>
      <c r="OZ66" s="141">
        <f>IFERROR(VLOOKUP($D66,'Adient Assende (Belgium) WK.17'!$B:NV,PA$1,0),0)</f>
        <v>0</v>
      </c>
      <c r="PA66" s="140">
        <f>IFERROR(VLOOKUP($D66,'Adient Arendal (Malzia) WK.12'!$B:NW,PA$1,0),0)</f>
        <v>0</v>
      </c>
      <c r="PB66" s="140">
        <f>IFERROR(VLOOKUP($D66,'Adient Taizhou (China) WK.16'!$B:NZ,PA$1,0),0)</f>
        <v>0</v>
      </c>
      <c r="PC66" s="128">
        <v>0</v>
      </c>
      <c r="PD66" s="32">
        <v>0</v>
      </c>
      <c r="PE66" s="100">
        <f t="shared" si="632"/>
        <v>20</v>
      </c>
      <c r="PG66" s="37">
        <f t="shared" si="633"/>
        <v>20</v>
      </c>
      <c r="PH66" s="141">
        <f>IFERROR(VLOOKUP($D66,'Adient Assende (Belgium) WK.17'!$B:OD,PI$1,0),0)</f>
        <v>0</v>
      </c>
      <c r="PI66" s="140">
        <f>IFERROR(VLOOKUP($D66,'Adient Arendal (Malzia) WK.12'!$B:OE,PI$1,0),0)</f>
        <v>0</v>
      </c>
      <c r="PJ66" s="140">
        <f>IFERROR(VLOOKUP($D66,'Adient Taizhou (China) WK.16'!$B:OH,PI$1,0),0)</f>
        <v>0</v>
      </c>
      <c r="PK66" s="128">
        <v>0</v>
      </c>
      <c r="PL66" s="32">
        <v>0</v>
      </c>
      <c r="PM66" s="100">
        <f t="shared" si="634"/>
        <v>20</v>
      </c>
      <c r="PO66" s="37">
        <f t="shared" si="635"/>
        <v>20</v>
      </c>
      <c r="PP66" s="141">
        <f>IFERROR(VLOOKUP($D66,'Adient Assende (Belgium) WK.17'!$B:OL,PQ$1,0),0)</f>
        <v>0</v>
      </c>
      <c r="PQ66" s="140">
        <f>IFERROR(VLOOKUP($D66,'Adient Arendal (Malzia) WK.12'!$B:OM,PQ$1,0),0)</f>
        <v>0</v>
      </c>
      <c r="PR66" s="140">
        <f>IFERROR(VLOOKUP($D66,'Adient Taizhou (China) WK.16'!$B:OP,PQ$1,0),0)</f>
        <v>0</v>
      </c>
      <c r="PS66" s="128">
        <v>0</v>
      </c>
      <c r="PT66" s="32">
        <v>0</v>
      </c>
      <c r="PU66" s="100">
        <f t="shared" si="636"/>
        <v>20</v>
      </c>
      <c r="PW66" s="37">
        <f t="shared" si="637"/>
        <v>20</v>
      </c>
      <c r="PX66" s="141">
        <f>IFERROR(VLOOKUP($D66,'Adient Assende (Belgium) WK.17'!$B:OT,PY$1,0),0)</f>
        <v>0</v>
      </c>
      <c r="PY66" s="140">
        <f>IFERROR(VLOOKUP($D66,'Adient Arendal (Malzia) WK.12'!$B:OU,PY$1,0),0)</f>
        <v>0</v>
      </c>
      <c r="PZ66" s="140">
        <f>IFERROR(VLOOKUP($D66,'Adient Taizhou (China) WK.16'!$B:OX,PY$1,0),0)</f>
        <v>0</v>
      </c>
      <c r="QA66" s="128">
        <v>0</v>
      </c>
      <c r="QB66" s="32">
        <v>0</v>
      </c>
      <c r="QC66" s="100">
        <f t="shared" si="638"/>
        <v>20</v>
      </c>
      <c r="QE66" s="37">
        <f t="shared" si="639"/>
        <v>20</v>
      </c>
      <c r="QF66" s="141">
        <f>IFERROR(VLOOKUP($D66,'Adient Assende (Belgium) WK.17'!$B:PB,QG$1,0),0)</f>
        <v>0</v>
      </c>
      <c r="QG66" s="140">
        <f>IFERROR(VLOOKUP($D66,'Adient Arendal (Malzia) WK.12'!$B:PC,QG$1,0),0)</f>
        <v>0</v>
      </c>
      <c r="QH66" s="140">
        <f>IFERROR(VLOOKUP($D66,'Adient Taizhou (China) WK.16'!$B:PF,QG$1,0),0)</f>
        <v>0</v>
      </c>
      <c r="QI66" s="128">
        <v>0</v>
      </c>
      <c r="QJ66" s="32">
        <v>0</v>
      </c>
      <c r="QK66" s="100">
        <f t="shared" si="640"/>
        <v>20</v>
      </c>
      <c r="QM66" s="37">
        <f t="shared" si="641"/>
        <v>20</v>
      </c>
      <c r="QN66" s="141">
        <f>IFERROR(VLOOKUP($D66,'Adient Assende (Belgium) WK.17'!$B:PJ,QO$1,0),0)</f>
        <v>0</v>
      </c>
      <c r="QO66" s="140">
        <f>IFERROR(VLOOKUP($D66,'Adient Arendal (Malzia) WK.12'!$B:PK,QO$1,0),0)</f>
        <v>0</v>
      </c>
      <c r="QP66" s="140">
        <f>IFERROR(VLOOKUP($D66,'Adient Taizhou (China) WK.16'!$B:PN,QO$1,0),0)</f>
        <v>0</v>
      </c>
      <c r="QQ66" s="128">
        <v>0</v>
      </c>
      <c r="QR66" s="32">
        <v>0</v>
      </c>
      <c r="QS66" s="100">
        <f t="shared" si="642"/>
        <v>20</v>
      </c>
      <c r="QU66" s="37">
        <f t="shared" si="643"/>
        <v>20</v>
      </c>
      <c r="QV66" s="141">
        <f>IFERROR(VLOOKUP($D66,'Adient Assende (Belgium) WK.17'!$B:PR,QW$1,0),0)</f>
        <v>0</v>
      </c>
      <c r="QW66" s="140">
        <f>IFERROR(VLOOKUP($D66,'Adient Arendal (Malzia) WK.12'!$B:PS,QW$1,0),0)</f>
        <v>0</v>
      </c>
      <c r="QX66" s="140">
        <f>IFERROR(VLOOKUP($D66,'Adient Taizhou (China) WK.16'!$B:PV,QW$1,0),0)</f>
        <v>0</v>
      </c>
      <c r="QY66" s="128">
        <v>0</v>
      </c>
      <c r="QZ66" s="32">
        <v>0</v>
      </c>
      <c r="RA66" s="100">
        <f t="shared" si="644"/>
        <v>20</v>
      </c>
      <c r="RC66" s="37">
        <f t="shared" si="645"/>
        <v>20</v>
      </c>
      <c r="RD66" s="141">
        <f>IFERROR(VLOOKUP($D66,'Adient Assende (Belgium) WK.17'!$B:PZ,RE$1,0),0)</f>
        <v>0</v>
      </c>
      <c r="RE66" s="140">
        <f>IFERROR(VLOOKUP($D66,'Adient Arendal (Malzia) WK.12'!$B:QA,RE$1,0),0)</f>
        <v>0</v>
      </c>
      <c r="RF66" s="140">
        <f>IFERROR(VLOOKUP($D66,'Adient Taizhou (China) WK.16'!$B:QD,RE$1,0),0)</f>
        <v>0</v>
      </c>
      <c r="RG66" s="128">
        <v>0</v>
      </c>
      <c r="RH66" s="32">
        <v>0</v>
      </c>
      <c r="RI66" s="100">
        <f t="shared" si="646"/>
        <v>20</v>
      </c>
      <c r="RK66" s="37">
        <f t="shared" si="647"/>
        <v>20</v>
      </c>
      <c r="RL66" s="141">
        <f>IFERROR(VLOOKUP($D66,'Adient Assende (Belgium) WK.17'!$B:QH,RM$1,0),0)</f>
        <v>0</v>
      </c>
      <c r="RM66" s="140">
        <f>IFERROR(VLOOKUP($D66,'Adient Arendal (Malzia) WK.12'!$B:QI,RM$1,0),0)</f>
        <v>0</v>
      </c>
      <c r="RN66" s="140">
        <f>IFERROR(VLOOKUP($D66,'Adient Taizhou (China) WK.16'!$B:QL,RM$1,0),0)</f>
        <v>0</v>
      </c>
      <c r="RO66" s="128">
        <v>0</v>
      </c>
      <c r="RP66" s="32">
        <v>0</v>
      </c>
      <c r="RQ66" s="100">
        <f t="shared" si="648"/>
        <v>20</v>
      </c>
      <c r="RS66" s="37">
        <f t="shared" si="649"/>
        <v>20</v>
      </c>
      <c r="RT66" s="141">
        <f>IFERROR(VLOOKUP($D66,'Adient Assende (Belgium) WK.17'!$B:QP,RU$1,0),0)</f>
        <v>0</v>
      </c>
      <c r="RU66" s="140">
        <f>IFERROR(VLOOKUP($D66,'Adient Arendal (Malzia) WK.12'!$B:QQ,RU$1,0),0)</f>
        <v>0</v>
      </c>
      <c r="RV66" s="140">
        <f>IFERROR(VLOOKUP($D66,'Adient Taizhou (China) WK.16'!$B:QT,RU$1,0),0)</f>
        <v>0</v>
      </c>
      <c r="RW66" s="128">
        <v>0</v>
      </c>
      <c r="RX66" s="32">
        <v>0</v>
      </c>
      <c r="RY66" s="100">
        <f t="shared" si="650"/>
        <v>20</v>
      </c>
      <c r="SA66" s="37">
        <f t="shared" si="651"/>
        <v>20</v>
      </c>
      <c r="SB66" s="141">
        <f>IFERROR(VLOOKUP($D66,'Adient Assende (Belgium) WK.17'!$B:QX,SC$1,0),0)</f>
        <v>0</v>
      </c>
      <c r="SC66" s="140">
        <f>IFERROR(VLOOKUP($D66,'Adient Arendal (Malzia) WK.12'!$B:QY,SC$1,0),0)</f>
        <v>0</v>
      </c>
      <c r="SD66" s="140">
        <f>IFERROR(VLOOKUP($D66,'Adient Taizhou (China) WK.16'!$B:RB,SC$1,0),0)</f>
        <v>0</v>
      </c>
      <c r="SE66" s="128">
        <v>0</v>
      </c>
      <c r="SF66" s="32">
        <v>0</v>
      </c>
      <c r="SG66" s="100">
        <f t="shared" si="652"/>
        <v>20</v>
      </c>
      <c r="SI66" s="37">
        <f t="shared" si="653"/>
        <v>20</v>
      </c>
      <c r="SJ66" s="141">
        <f>IFERROR(VLOOKUP($D66,'Adient Assende (Belgium) WK.17'!$B:RF,SK$1,0),0)</f>
        <v>0</v>
      </c>
      <c r="SK66" s="140">
        <f>IFERROR(VLOOKUP($D66,'Adient Arendal (Malzia) WK.12'!$B:RG,SK$1,0),0)</f>
        <v>0</v>
      </c>
      <c r="SL66" s="140">
        <f>IFERROR(VLOOKUP($D66,'Adient Taizhou (China) WK.16'!$B:RJ,SK$1,0),0)</f>
        <v>0</v>
      </c>
      <c r="SM66" s="128">
        <v>0</v>
      </c>
      <c r="SN66" s="32">
        <v>0</v>
      </c>
      <c r="SO66" s="100">
        <f t="shared" si="654"/>
        <v>20</v>
      </c>
      <c r="SQ66" s="37">
        <f t="shared" si="655"/>
        <v>20</v>
      </c>
      <c r="SR66" s="141">
        <f>IFERROR(VLOOKUP($D66,'Adient Assende (Belgium) WK.17'!$B:RN,SS$1,0),0)</f>
        <v>0</v>
      </c>
      <c r="SS66" s="140">
        <f>IFERROR(VLOOKUP($D66,'Adient Arendal (Malzia) WK.12'!$B:RO,SS$1,0),0)</f>
        <v>0</v>
      </c>
      <c r="ST66" s="140">
        <f>IFERROR(VLOOKUP($D66,'Adient Taizhou (China) WK.16'!$B:RR,SS$1,0),0)</f>
        <v>0</v>
      </c>
      <c r="SU66" s="128">
        <v>0</v>
      </c>
      <c r="SV66" s="32">
        <v>0</v>
      </c>
      <c r="SW66" s="100">
        <f t="shared" si="656"/>
        <v>20</v>
      </c>
      <c r="SY66" s="37">
        <f t="shared" si="657"/>
        <v>20</v>
      </c>
      <c r="SZ66" s="141">
        <f>IFERROR(VLOOKUP($D66,'Adient Assende (Belgium) WK.17'!$B:RV,TA$1,0),0)</f>
        <v>0</v>
      </c>
      <c r="TA66" s="140">
        <f>IFERROR(VLOOKUP($D66,'Adient Arendal (Malzia) WK.12'!$B:RW,TA$1,0),0)</f>
        <v>0</v>
      </c>
      <c r="TB66" s="140">
        <f>IFERROR(VLOOKUP($D66,'Adient Taizhou (China) WK.16'!$B:RZ,TA$1,0),0)</f>
        <v>0</v>
      </c>
      <c r="TC66" s="128">
        <v>0</v>
      </c>
      <c r="TD66" s="32">
        <v>0</v>
      </c>
      <c r="TE66" s="100">
        <f t="shared" si="658"/>
        <v>20</v>
      </c>
      <c r="TG66" s="37">
        <f t="shared" si="659"/>
        <v>20</v>
      </c>
      <c r="TH66" s="141">
        <f>IFERROR(VLOOKUP($D66,'Adient Assende (Belgium) WK.17'!$B:SD,TI$1,0),0)</f>
        <v>10</v>
      </c>
      <c r="TI66" s="140">
        <f>IFERROR(VLOOKUP($D66,'Adient Arendal (Malzia) WK.12'!$B:SE,TI$1,0),0)</f>
        <v>0</v>
      </c>
      <c r="TJ66" s="140">
        <f>IFERROR(VLOOKUP($D66,'Adient Taizhou (China) WK.16'!$B:SH,TI$1,0),0)</f>
        <v>0</v>
      </c>
      <c r="TK66" s="128">
        <v>0</v>
      </c>
      <c r="TL66" s="32">
        <v>0</v>
      </c>
      <c r="TM66" s="100">
        <f t="shared" si="660"/>
        <v>10</v>
      </c>
      <c r="TO66" s="37">
        <f t="shared" si="661"/>
        <v>10</v>
      </c>
      <c r="TP66" s="141">
        <f>IFERROR(VLOOKUP($D66,'Adient Assende (Belgium) WK.17'!$B:SL,TQ$1,0),0)</f>
        <v>10</v>
      </c>
      <c r="TQ66" s="140">
        <f>IFERROR(VLOOKUP($D66,'Adient Arendal (Malzia) WK.12'!$B:SM,TQ$1,0),0)</f>
        <v>0</v>
      </c>
      <c r="TR66" s="140">
        <f>IFERROR(VLOOKUP($D66,'Adient Taizhou (China) WK.16'!$B:SP,TQ$1,0),0)</f>
        <v>0</v>
      </c>
      <c r="TS66" s="128">
        <v>0</v>
      </c>
      <c r="TT66" s="32">
        <v>0</v>
      </c>
      <c r="TU66" s="100">
        <f t="shared" si="662"/>
        <v>0</v>
      </c>
      <c r="TW66" s="37">
        <f t="shared" si="663"/>
        <v>0</v>
      </c>
      <c r="TX66" s="141">
        <f>IFERROR(VLOOKUP($D66,'Adient Assende (Belgium) WK.17'!$B:ST,TY$1,0),0)</f>
        <v>0</v>
      </c>
      <c r="TY66" s="140">
        <f>IFERROR(VLOOKUP($D66,'Adient Arendal (Malzia) WK.12'!$B:SU,TY$1,0),0)</f>
        <v>0</v>
      </c>
      <c r="TZ66" s="140">
        <f>IFERROR(VLOOKUP($D66,'Adient Taizhou (China) WK.16'!$B:SX,TY$1,0),0)</f>
        <v>0</v>
      </c>
      <c r="UA66" s="128">
        <v>0</v>
      </c>
      <c r="UB66" s="32">
        <v>0</v>
      </c>
      <c r="UC66" s="100">
        <f t="shared" si="664"/>
        <v>0</v>
      </c>
      <c r="UE66" s="37">
        <f t="shared" si="665"/>
        <v>0</v>
      </c>
      <c r="UF66" s="141">
        <f>IFERROR(VLOOKUP($D66,'Adient Assende (Belgium) WK.17'!$B:TB,UG$1,0),0)</f>
        <v>0</v>
      </c>
      <c r="UG66" s="140">
        <f>IFERROR(VLOOKUP($D66,'Adient Arendal (Malzia) WK.12'!$B:TC,UG$1,0),0)</f>
        <v>0</v>
      </c>
      <c r="UH66" s="140">
        <f>IFERROR(VLOOKUP($D66,'Adient Taizhou (China) WK.16'!$B:TF,UG$1,0),0)</f>
        <v>0</v>
      </c>
      <c r="UI66" s="128">
        <v>0</v>
      </c>
      <c r="UJ66" s="32">
        <v>0</v>
      </c>
      <c r="UK66" s="100">
        <f t="shared" si="666"/>
        <v>0</v>
      </c>
      <c r="UM66" s="37">
        <f t="shared" si="527"/>
        <v>0</v>
      </c>
      <c r="UN66" s="141">
        <f>IFERROR(VLOOKUP($D66,'Adient Assende (Belgium) WK.17'!$B:TJ,UO$1,0),0)</f>
        <v>0</v>
      </c>
      <c r="UO66" s="140">
        <f>IFERROR(VLOOKUP($D66,'Adient Arendal (Malzia) WK.12'!$B:TK,UO$1,0),0)</f>
        <v>0</v>
      </c>
      <c r="UP66" s="140">
        <f>IFERROR(VLOOKUP($D66,'Adient Taizhou (China) WK.16'!$B:TN,UO$1,0),0)</f>
        <v>0</v>
      </c>
      <c r="UQ66" s="128">
        <v>0</v>
      </c>
      <c r="UR66" s="32">
        <v>0</v>
      </c>
      <c r="US66" s="100">
        <f t="shared" si="528"/>
        <v>0</v>
      </c>
      <c r="UU66" s="37">
        <f t="shared" si="529"/>
        <v>0</v>
      </c>
      <c r="UV66" s="141">
        <f>IFERROR(VLOOKUP($D66,'Adient Assende (Belgium) WK.17'!$B:TR,UW$1,0),0)</f>
        <v>0</v>
      </c>
      <c r="UW66" s="140">
        <f>IFERROR(VLOOKUP($D66,'Adient Arendal (Malzia) WK.12'!$B:TS,UW$1,0),0)</f>
        <v>0</v>
      </c>
      <c r="UX66" s="140">
        <f>IFERROR(VLOOKUP($D66,'Adient Taizhou (China) WK.16'!$B:TV,UW$1,0),0)</f>
        <v>0</v>
      </c>
      <c r="UY66" s="128">
        <v>0</v>
      </c>
      <c r="UZ66" s="32">
        <v>0</v>
      </c>
      <c r="VA66" s="100">
        <f t="shared" si="530"/>
        <v>0</v>
      </c>
      <c r="VC66" s="37">
        <f t="shared" si="531"/>
        <v>0</v>
      </c>
      <c r="VD66" s="141">
        <f>IFERROR(VLOOKUP($D66,'Adient Assende (Belgium) WK.17'!$B:TZ,VE$1,0),0)</f>
        <v>0</v>
      </c>
      <c r="VE66" s="140">
        <f>IFERROR(VLOOKUP($D66,'Adient Arendal (Malzia) WK.12'!$B:UA,VE$1,0),0)</f>
        <v>0</v>
      </c>
      <c r="VF66" s="140">
        <f>IFERROR(VLOOKUP($D66,'Adient Taizhou (China) WK.16'!$B:UD,VE$1,0),0)</f>
        <v>0</v>
      </c>
      <c r="VG66" s="128">
        <v>0</v>
      </c>
      <c r="VH66" s="32">
        <v>0</v>
      </c>
      <c r="VI66" s="100">
        <f t="shared" si="532"/>
        <v>0</v>
      </c>
      <c r="VK66" s="37">
        <f t="shared" si="533"/>
        <v>0</v>
      </c>
      <c r="VL66" s="141">
        <f>IFERROR(VLOOKUP($D66,'Adient Assende (Belgium) WK.17'!$B:UH,VM$1,0),0)</f>
        <v>0</v>
      </c>
      <c r="VM66" s="140">
        <f>IFERROR(VLOOKUP($D66,'Adient Arendal (Malzia) WK.12'!$B:UI,VM$1,0),0)</f>
        <v>0</v>
      </c>
      <c r="VN66" s="140">
        <f>IFERROR(VLOOKUP($D66,'Adient Taizhou (China) WK.16'!$B:UL,VM$1,0),0)</f>
        <v>0</v>
      </c>
      <c r="VO66" s="128">
        <v>0</v>
      </c>
      <c r="VP66" s="32">
        <v>0</v>
      </c>
      <c r="VQ66" s="100">
        <f t="shared" si="534"/>
        <v>0</v>
      </c>
    </row>
    <row r="67" spans="1:589" x14ac:dyDescent="0.25">
      <c r="A67" s="10" t="s">
        <v>18</v>
      </c>
      <c r="B67" s="48" t="s">
        <v>17</v>
      </c>
      <c r="C67" s="88">
        <v>32272872</v>
      </c>
      <c r="D67" s="82">
        <v>5080431</v>
      </c>
      <c r="E67" s="11">
        <v>20</v>
      </c>
      <c r="F67" s="12"/>
      <c r="H67" s="122">
        <v>520</v>
      </c>
      <c r="I67" s="125">
        <f>IFERROR(VLOOKUP($D67,'Adient Assende (Belgium) WK.17'!$B:C,J$1,0),0)</f>
        <v>80</v>
      </c>
      <c r="J67" s="55">
        <f>IFERROR(VLOOKUP($D67,'Adient Arendal (Malzia) WK.12'!$B:C,J$1,0),0)</f>
        <v>0</v>
      </c>
      <c r="K67" s="55">
        <f>IFERROR(VLOOKUP($D67,'Adient Taizhou (China) WK.16'!$B:C,J$1,0),0)</f>
        <v>0</v>
      </c>
      <c r="L67" s="128">
        <v>0</v>
      </c>
      <c r="M67" s="32">
        <v>0</v>
      </c>
      <c r="N67" s="106">
        <f t="shared" si="233"/>
        <v>520</v>
      </c>
      <c r="P67" s="37">
        <f t="shared" ref="P67" si="667">N67</f>
        <v>520</v>
      </c>
      <c r="Q67" s="125">
        <f>IFERROR(VLOOKUP($D67,'Adient Assende (Belgium) WK.17'!$B:K,R$1,0),0)</f>
        <v>0</v>
      </c>
      <c r="R67" s="55">
        <f>IFERROR(VLOOKUP($D67,'Adient Arendal (Malzia) WK.12'!$B:K,R$1,0),0)</f>
        <v>20</v>
      </c>
      <c r="S67" s="55">
        <f>IFERROR(VLOOKUP($D67,'Adient Taizhou (China) WK.16'!$B:K,R$1,0),0)</f>
        <v>0</v>
      </c>
      <c r="T67" s="41">
        <v>0</v>
      </c>
      <c r="U67" s="32">
        <v>-20</v>
      </c>
      <c r="V67" s="106">
        <f t="shared" si="235"/>
        <v>480</v>
      </c>
      <c r="X67" s="37">
        <f t="shared" ref="X67" si="668">V67</f>
        <v>480</v>
      </c>
      <c r="Y67" s="125">
        <f>IFERROR(VLOOKUP($D67,'Adient Assende (Belgium) WK.17'!$B:S,Z$1,0),0)</f>
        <v>0</v>
      </c>
      <c r="Z67" s="55">
        <f>IFERROR(VLOOKUP($D67,'Adient Arendal (Malzia) WK.12'!$B:S,Z$1,0),0)</f>
        <v>0</v>
      </c>
      <c r="AA67" s="55">
        <f>IFERROR(VLOOKUP($D67,'Adient Taizhou (China) WK.16'!$B:S,Z$1,0),0)</f>
        <v>0</v>
      </c>
      <c r="AB67" s="41">
        <v>80</v>
      </c>
      <c r="AC67" s="32">
        <v>0</v>
      </c>
      <c r="AD67" s="106">
        <f t="shared" si="237"/>
        <v>400</v>
      </c>
      <c r="AF67" s="37">
        <f t="shared" ref="AF67" si="669">AD67</f>
        <v>400</v>
      </c>
      <c r="AG67" s="125">
        <f>IFERROR(VLOOKUP($D67,'Adient Assende (Belgium) WK.17'!$B:AA,AH$1,0),0)</f>
        <v>80</v>
      </c>
      <c r="AH67" s="55">
        <f>IFERROR(VLOOKUP($D67,'Adient Arendal (Malzia) WK.12'!$B:AA,AH$1,0),0)</f>
        <v>0</v>
      </c>
      <c r="AI67" s="55">
        <f>IFERROR(VLOOKUP($D67,'Adient Taizhou (China) WK.16'!$B:AA,AH$1,0),0)</f>
        <v>0</v>
      </c>
      <c r="AJ67" s="41">
        <v>0</v>
      </c>
      <c r="AK67" s="32">
        <v>0</v>
      </c>
      <c r="AL67" s="106">
        <f t="shared" si="239"/>
        <v>400</v>
      </c>
      <c r="AN67" s="37">
        <f t="shared" ref="AN67" si="670">AL67</f>
        <v>400</v>
      </c>
      <c r="AO67" s="125">
        <f>IFERROR(VLOOKUP($D67,'Adient Assende (Belgium) WK.17'!$B:AI,AP$1,0),0)</f>
        <v>0</v>
      </c>
      <c r="AP67" s="55">
        <f>IFERROR(VLOOKUP($D67,'Adient Arendal (Malzia) WK.12'!$B:AI,AP$1,0),0)</f>
        <v>0</v>
      </c>
      <c r="AQ67" s="55">
        <f>IFERROR(VLOOKUP($D67,'Adient Taizhou (China) WK.16'!$B:AI,AP$1,0),0)</f>
        <v>0</v>
      </c>
      <c r="AR67" s="60">
        <v>0</v>
      </c>
      <c r="AS67" s="41">
        <v>80</v>
      </c>
      <c r="AT67" s="32">
        <v>0</v>
      </c>
      <c r="AU67" s="106">
        <f t="shared" si="240"/>
        <v>320</v>
      </c>
      <c r="AW67" s="37">
        <f t="shared" si="433"/>
        <v>320</v>
      </c>
      <c r="AX67" s="125">
        <f>IFERROR(VLOOKUP($D67,'Adient Assende (Belgium) WK.17'!$B:AR,AY$1,0),0)</f>
        <v>80</v>
      </c>
      <c r="AY67" s="55">
        <f>IFERROR(VLOOKUP($D67,'Adient Arendal (Malzia) WK.12'!$B:AR,AY$1,0),0)</f>
        <v>0</v>
      </c>
      <c r="AZ67" s="55">
        <f>IFERROR(VLOOKUP($D67,'Adient Taizhou (China) WK.16'!$B:AU,AY$1,0),0)</f>
        <v>0</v>
      </c>
      <c r="BA67" s="41">
        <v>0</v>
      </c>
      <c r="BB67" s="32">
        <v>0</v>
      </c>
      <c r="BC67" s="106">
        <f t="shared" si="241"/>
        <v>320</v>
      </c>
      <c r="BE67" s="37">
        <f t="shared" ref="BE67" si="671">BC67</f>
        <v>320</v>
      </c>
      <c r="BF67" s="125">
        <f>IFERROR(VLOOKUP($D67,'Adient Assende (Belgium) WK.17'!$B:AX,BG$1,0),0)</f>
        <v>0</v>
      </c>
      <c r="BG67" s="55">
        <f>IFERROR(VLOOKUP($D67,'Adient Arendal (Malzia) WK.12'!$B:AZ,BG$1,0),0)</f>
        <v>0</v>
      </c>
      <c r="BH67" s="55">
        <f>IFERROR(VLOOKUP($D67,'Adient Taizhou (China) WK.16'!$B:BB,BG$1,0),0)</f>
        <v>0</v>
      </c>
      <c r="BI67" s="60">
        <v>0</v>
      </c>
      <c r="BJ67" s="60">
        <v>0</v>
      </c>
      <c r="BK67" s="41">
        <v>0</v>
      </c>
      <c r="BL67" s="32">
        <v>0</v>
      </c>
      <c r="BM67" s="106">
        <f t="shared" si="242"/>
        <v>320</v>
      </c>
      <c r="BN67" s="8"/>
      <c r="BO67" s="37">
        <f t="shared" ref="BO67" si="672">BM67</f>
        <v>320</v>
      </c>
      <c r="BP67" s="125">
        <f>IFERROR(VLOOKUP($D67,'Adient Assende (Belgium) WK.17'!$B:BH,BQ$1,0),0)</f>
        <v>0</v>
      </c>
      <c r="BQ67" s="55">
        <f>IFERROR(VLOOKUP($D67,'Adient Arendal (Malzia) WK.12'!$B:BI,BQ$1,0),0)</f>
        <v>0</v>
      </c>
      <c r="BR67" s="55">
        <f>IFERROR(VLOOKUP($D67,'Adient Taizhou (China) WK.16'!$B:BL,BQ$1,0),0)</f>
        <v>0</v>
      </c>
      <c r="BS67" s="60">
        <v>0</v>
      </c>
      <c r="BT67" s="60">
        <v>0</v>
      </c>
      <c r="BU67" s="60">
        <v>0</v>
      </c>
      <c r="BV67" s="41">
        <v>0</v>
      </c>
      <c r="BW67" s="32">
        <v>20</v>
      </c>
      <c r="BX67" s="106">
        <f t="shared" si="243"/>
        <v>340</v>
      </c>
      <c r="BY67" s="8"/>
      <c r="BZ67" s="37">
        <f t="shared" ref="BZ67" si="673">BX67</f>
        <v>340</v>
      </c>
      <c r="CA67" s="125">
        <f>IFERROR(VLOOKUP($D67,'Adient Assende (Belgium) WK.17'!$B:BS,CB$1,0),0)</f>
        <v>0</v>
      </c>
      <c r="CB67" s="55">
        <f>IFERROR(VLOOKUP($D67,'Adient Arendal (Malzia) WK.12'!$B:BT,CB$1,0),0)</f>
        <v>20</v>
      </c>
      <c r="CC67" s="55">
        <f>IFERROR(VLOOKUP($D67,'Adient Taizhou (China) WK.16'!$B:BW,CB$1,0),0)</f>
        <v>0</v>
      </c>
      <c r="CD67" s="60">
        <v>0</v>
      </c>
      <c r="CE67" s="60">
        <v>0</v>
      </c>
      <c r="CF67" s="41">
        <v>80</v>
      </c>
      <c r="CG67" s="32">
        <v>0</v>
      </c>
      <c r="CH67" s="106">
        <f t="shared" si="244"/>
        <v>240</v>
      </c>
      <c r="CI67" s="8"/>
      <c r="CJ67" s="37">
        <f t="shared" ref="CJ67" si="674">CH67</f>
        <v>240</v>
      </c>
      <c r="CK67" s="125">
        <f>IFERROR(VLOOKUP($D67,'Adient Assende (Belgium) WK.17'!$B:CC,CL$1,0),0)</f>
        <v>80</v>
      </c>
      <c r="CL67" s="55">
        <f>IFERROR(VLOOKUP($D67,'Adient Arendal (Malzia) WK.12'!$B:CD,CL$1,0),0)</f>
        <v>0</v>
      </c>
      <c r="CM67" s="55">
        <f>IFERROR(VLOOKUP($D67,'Adient Taizhou (China) WK.16'!$B:CG,CL$1,0),0)</f>
        <v>0</v>
      </c>
      <c r="CN67" s="60">
        <v>0</v>
      </c>
      <c r="CO67" s="149">
        <v>0</v>
      </c>
      <c r="CP67" s="32">
        <v>0</v>
      </c>
      <c r="CQ67" s="106">
        <f t="shared" si="245"/>
        <v>240</v>
      </c>
      <c r="CR67" s="8"/>
      <c r="CS67" s="122">
        <f t="shared" ref="CS67" si="675">CQ67</f>
        <v>240</v>
      </c>
      <c r="CT67" s="154">
        <f>IFERROR(VLOOKUP($D67,'Adient Assende (Belgium) WK.17'!$B:CL,CU$1,0),0)</f>
        <v>0</v>
      </c>
      <c r="CU67" s="55">
        <f>IFERROR(VLOOKUP($D67,'Adient Arendal (Malzia) WK.12'!$B:CM,CU$1,0),0)</f>
        <v>0</v>
      </c>
      <c r="CV67" s="55">
        <f>IFERROR(VLOOKUP($D67,'Adient Taizhou (China) WK.16'!$B:CP,CU$1,0),0)</f>
        <v>0</v>
      </c>
      <c r="CW67" s="60">
        <v>0</v>
      </c>
      <c r="CX67" s="60">
        <v>0</v>
      </c>
      <c r="CY67" s="128">
        <v>0</v>
      </c>
      <c r="CZ67" s="32">
        <v>0</v>
      </c>
      <c r="DA67" s="106">
        <f t="shared" si="246"/>
        <v>240</v>
      </c>
      <c r="DB67" s="8"/>
      <c r="DC67" s="37">
        <f t="shared" ref="DC67" si="676">DA67</f>
        <v>240</v>
      </c>
      <c r="DD67" s="125">
        <f>IFERROR(VLOOKUP($D67,'Adient Assende (Belgium) WK.17'!$B:CS,DE$1,0),0)</f>
        <v>0</v>
      </c>
      <c r="DE67" s="55">
        <f>IFERROR(VLOOKUP($D67,'Adient Arendal (Malzia) WK.12'!$B:CU,DE$1,0),0)</f>
        <v>0</v>
      </c>
      <c r="DF67" s="55">
        <f>IFERROR(VLOOKUP($D67,'Adient Taizhou (China) WK.16'!$B:CX,DE$1,0),0)</f>
        <v>0</v>
      </c>
      <c r="DG67" s="60">
        <v>0</v>
      </c>
      <c r="DH67" s="128">
        <v>0</v>
      </c>
      <c r="DI67" s="32">
        <v>0</v>
      </c>
      <c r="DJ67" s="106">
        <f t="shared" si="247"/>
        <v>240</v>
      </c>
      <c r="DL67" s="37">
        <f t="shared" si="440"/>
        <v>240</v>
      </c>
      <c r="DM67" s="125">
        <f>IFERROR(VLOOKUP($D67,'Adient Assende (Belgium) WK.17'!$B:DB,DN$1,0),0)</f>
        <v>0</v>
      </c>
      <c r="DN67" s="55">
        <f>IFERROR(VLOOKUP($D67,'Adient Arendal (Malzia) WK.12'!$B:DC,DN$1,0),0)</f>
        <v>0</v>
      </c>
      <c r="DO67" s="55">
        <f>IFERROR(VLOOKUP($D67,'Adient Taizhou (China) WK.16'!$B:DF,DN$1,0),0)</f>
        <v>0</v>
      </c>
      <c r="DP67" s="128">
        <v>0</v>
      </c>
      <c r="DQ67" s="32">
        <v>0</v>
      </c>
      <c r="DR67" s="106">
        <f t="shared" si="441"/>
        <v>240</v>
      </c>
      <c r="DS67" s="8"/>
      <c r="DT67" s="37">
        <f t="shared" si="442"/>
        <v>240</v>
      </c>
      <c r="DU67" s="125">
        <f>IFERROR(VLOOKUP($D67,'Adient Assende (Belgium) WK.17'!$B:DJ,DV$1,0),0)</f>
        <v>0</v>
      </c>
      <c r="DV67" s="55">
        <f>IFERROR(VLOOKUP($D67,'Adient Arendal (Malzia) WK.12'!$B:DK,DV$1,0),0)</f>
        <v>0</v>
      </c>
      <c r="DW67" s="55">
        <f>IFERROR(VLOOKUP($D67,'Adient Taizhou (China) WK.16'!$B:DN,DV$1,0),0)</f>
        <v>0</v>
      </c>
      <c r="DX67" s="60">
        <v>0</v>
      </c>
      <c r="DY67" s="60">
        <v>0</v>
      </c>
      <c r="DZ67" s="128">
        <v>80</v>
      </c>
      <c r="EA67" s="32">
        <v>0</v>
      </c>
      <c r="EB67" s="106">
        <f t="shared" si="248"/>
        <v>160</v>
      </c>
      <c r="EC67" s="8"/>
      <c r="ED67" s="37">
        <f t="shared" si="443"/>
        <v>160</v>
      </c>
      <c r="EE67" s="125">
        <f>IFERROR(VLOOKUP($D67,'Adient Assende (Belgium) WK.17'!$B:DR,EF$1,0),0)</f>
        <v>80</v>
      </c>
      <c r="EF67" s="55">
        <f>IFERROR(VLOOKUP($D67,'Adient Arendal (Malzia) WK.12'!$B:DS,EF$1,0),0)</f>
        <v>0</v>
      </c>
      <c r="EG67" s="55">
        <f>IFERROR(VLOOKUP($D67,'Adient Taizhou (China) WK.16'!$B:DV,EF$1,0),0)</f>
        <v>0</v>
      </c>
      <c r="EH67" s="60">
        <v>0</v>
      </c>
      <c r="EI67" s="128">
        <v>0</v>
      </c>
      <c r="EJ67" s="32">
        <v>0</v>
      </c>
      <c r="EK67" s="106">
        <f t="shared" si="249"/>
        <v>160</v>
      </c>
      <c r="EM67" s="37">
        <f t="shared" si="444"/>
        <v>160</v>
      </c>
      <c r="EN67" s="125">
        <f>IFERROR(VLOOKUP($D67,'Adient Assende (Belgium) WK.17'!$B:DZ,EO$1,0),0)</f>
        <v>0</v>
      </c>
      <c r="EO67" s="55">
        <f>IFERROR(VLOOKUP($D67,'Adient Arendal (Malzia) WK.12'!$B:EA,EO$1,0),0)</f>
        <v>0</v>
      </c>
      <c r="EP67" s="55">
        <f>IFERROR(VLOOKUP($D67,'Adient Taizhou (China) WK.16'!$B:ED,EO$1,0),0)</f>
        <v>0</v>
      </c>
      <c r="EQ67" s="128">
        <v>0</v>
      </c>
      <c r="ER67" s="32">
        <v>0</v>
      </c>
      <c r="ES67" s="106">
        <f t="shared" si="250"/>
        <v>160</v>
      </c>
      <c r="EU67" s="37">
        <f t="shared" si="445"/>
        <v>160</v>
      </c>
      <c r="EV67" s="125">
        <f>IFERROR(VLOOKUP($D67,'Adient Assende (Belgium) WK.17'!$B:EH,EW$1,0),0)</f>
        <v>0</v>
      </c>
      <c r="EW67" s="55">
        <f>IFERROR(VLOOKUP($D67,'Adient Arendal (Malzia) WK.12'!$B:EI,EW$1,0),0)</f>
        <v>0</v>
      </c>
      <c r="EX67" s="55">
        <f>IFERROR(VLOOKUP($D67,'Adient Taizhou (China) WK.16'!$B:EL,EW$1,0),0)</f>
        <v>0</v>
      </c>
      <c r="EY67" s="128">
        <v>0</v>
      </c>
      <c r="EZ67" s="32">
        <v>0</v>
      </c>
      <c r="FA67" s="106">
        <f t="shared" si="251"/>
        <v>160</v>
      </c>
      <c r="FC67" s="37">
        <f t="shared" si="446"/>
        <v>160</v>
      </c>
      <c r="FD67" s="154">
        <f>IFERROR(VLOOKUP($D67,'Adient Assende (Belgium) WK.17'!$B:EP,FE$1,0),0)</f>
        <v>0</v>
      </c>
      <c r="FE67" s="154">
        <f>IFERROR(VLOOKUP($D67,'Adient Arendal (Malzia) WK.12'!$B:EQ,FE$1,0),0)</f>
        <v>0</v>
      </c>
      <c r="FF67" s="154">
        <f>IFERROR(VLOOKUP($D67,'Adient Taizhou (China) WK.16'!$B:ET,FE$1,0),0)</f>
        <v>0</v>
      </c>
      <c r="FG67" s="128">
        <v>0</v>
      </c>
      <c r="FH67" s="32">
        <v>0</v>
      </c>
      <c r="FI67" s="106">
        <f t="shared" si="252"/>
        <v>160</v>
      </c>
      <c r="FK67" s="37">
        <f t="shared" si="447"/>
        <v>160</v>
      </c>
      <c r="FL67" s="125">
        <f>IFERROR(VLOOKUP($D67,'Adient Assende (Belgium) WK.17'!$B:EX,FM$1,0),0)</f>
        <v>0</v>
      </c>
      <c r="FM67" s="55">
        <f>IFERROR(VLOOKUP($D67,'Adient Arendal (Malzia) WK.12'!$B:EY,FM$1,0),0)</f>
        <v>0</v>
      </c>
      <c r="FN67" s="55">
        <f>IFERROR(VLOOKUP($D67,'Adient Taizhou (China) WK.16'!$B:FB,FM$1,0),0)</f>
        <v>0</v>
      </c>
      <c r="FO67" s="128">
        <v>0</v>
      </c>
      <c r="FP67" s="32">
        <v>0</v>
      </c>
      <c r="FQ67" s="106">
        <f t="shared" si="253"/>
        <v>160</v>
      </c>
      <c r="FR67" s="8"/>
      <c r="FS67" s="37">
        <f t="shared" si="448"/>
        <v>160</v>
      </c>
      <c r="FT67" s="125">
        <f>IFERROR(VLOOKUP($D67,'Adient Assende (Belgium) WK.17'!$B:FF,FU$1,0),0)</f>
        <v>0</v>
      </c>
      <c r="FU67" s="55">
        <f>IFERROR(VLOOKUP($D67,'Adient Arendal (Malzia) WK.12'!$B:FG,FU$1,0),0)</f>
        <v>0</v>
      </c>
      <c r="FV67" s="55">
        <f>IFERROR(VLOOKUP($D67,'Adient Taizhou (China) WK.16'!$B:FJ,FU$1,0),0)</f>
        <v>0</v>
      </c>
      <c r="FW67" s="60">
        <v>100</v>
      </c>
      <c r="FX67" s="60">
        <v>0</v>
      </c>
      <c r="FY67" s="60">
        <v>0</v>
      </c>
      <c r="FZ67" s="60">
        <v>0</v>
      </c>
      <c r="GA67" s="60">
        <v>100</v>
      </c>
      <c r="GB67" s="128">
        <v>0</v>
      </c>
      <c r="GC67" s="32">
        <v>0</v>
      </c>
      <c r="GD67" s="106">
        <f t="shared" si="254"/>
        <v>360</v>
      </c>
      <c r="GF67" s="37">
        <f t="shared" si="449"/>
        <v>360</v>
      </c>
      <c r="GG67" s="125">
        <f>IFERROR(VLOOKUP($D67,'Adient Assende (Belgium) WK.17'!$B:FN,GH$1,0),0)</f>
        <v>0</v>
      </c>
      <c r="GH67" s="55">
        <f>IFERROR(VLOOKUP($D67,'Adient Arendal (Malzia) WK.12'!$B:FO,GH$1,0),0)</f>
        <v>0</v>
      </c>
      <c r="GI67" s="55">
        <f>IFERROR(VLOOKUP($D67,'Adient Taizhou (China) WK.16'!$B:FR,GH$1,0),0)</f>
        <v>0</v>
      </c>
      <c r="GJ67" s="60">
        <v>0</v>
      </c>
      <c r="GK67" s="128">
        <v>80</v>
      </c>
      <c r="GL67" s="32">
        <v>0</v>
      </c>
      <c r="GM67" s="106">
        <f t="shared" si="255"/>
        <v>280</v>
      </c>
      <c r="GO67" s="37">
        <f t="shared" si="450"/>
        <v>280</v>
      </c>
      <c r="GP67" s="125">
        <f>IFERROR(VLOOKUP($D67,'Adient Assende (Belgium) WK.17'!$B:FV,GQ$1,0),0)</f>
        <v>80</v>
      </c>
      <c r="GQ67" s="55">
        <f>IFERROR(VLOOKUP($D67,'Adient Arendal (Malzia) WK.12'!$B:FW,GQ$1,0),0)</f>
        <v>0</v>
      </c>
      <c r="GR67" s="55">
        <f>IFERROR(VLOOKUP($D67,'Adient Taizhou (China) WK.16'!$B:FZ,GQ$1,0),0)</f>
        <v>0</v>
      </c>
      <c r="GS67" s="60">
        <v>0</v>
      </c>
      <c r="GT67" s="128">
        <v>0</v>
      </c>
      <c r="GU67" s="32">
        <v>0</v>
      </c>
      <c r="GV67" s="106">
        <f t="shared" si="256"/>
        <v>280</v>
      </c>
      <c r="GW67" s="8"/>
      <c r="GX67" s="37">
        <f t="shared" si="451"/>
        <v>280</v>
      </c>
      <c r="GY67" s="125">
        <f>IFERROR(VLOOKUP($D67,'Adient Assende (Belgium) WK.17'!$B:GD,GZ$1,0),0)</f>
        <v>0</v>
      </c>
      <c r="GZ67" s="55">
        <f>IFERROR(VLOOKUP($D67,'Adient Arendal (Malzia) WK.12'!$B:GE,GZ$1,0),0)</f>
        <v>0</v>
      </c>
      <c r="HA67" s="55">
        <f>IFERROR(VLOOKUP($D67,'Adient Taizhou (China) WK.16'!$B:GH,GZ$1,0),0)</f>
        <v>0</v>
      </c>
      <c r="HB67" s="60">
        <v>0</v>
      </c>
      <c r="HC67" s="128">
        <v>0</v>
      </c>
      <c r="HD67" s="32">
        <v>0</v>
      </c>
      <c r="HE67" s="106">
        <f t="shared" si="257"/>
        <v>280</v>
      </c>
      <c r="HF67" s="8"/>
      <c r="HG67" s="37">
        <f t="shared" si="452"/>
        <v>280</v>
      </c>
      <c r="HH67" s="125">
        <f>IFERROR(VLOOKUP($D67,'Adient Assende (Belgium) WK.17'!$B:GL,HI$1,0),0)</f>
        <v>0</v>
      </c>
      <c r="HI67" s="55">
        <f>IFERROR(VLOOKUP($D67,'Adient Arendal (Malzia) WK.12'!$B:GM,HI$1,0),0)</f>
        <v>0</v>
      </c>
      <c r="HJ67" s="55">
        <f>IFERROR(VLOOKUP($D67,'Adient Taizhou (China) WK.16'!$B:GP,HI$1,0),0)</f>
        <v>0</v>
      </c>
      <c r="HK67" s="60">
        <v>0</v>
      </c>
      <c r="HL67" s="128">
        <v>80</v>
      </c>
      <c r="HM67" s="32">
        <v>0</v>
      </c>
      <c r="HN67" s="106">
        <f t="shared" si="258"/>
        <v>200</v>
      </c>
      <c r="HO67" s="8"/>
      <c r="HP67" s="37">
        <f t="shared" si="453"/>
        <v>200</v>
      </c>
      <c r="HQ67" s="125">
        <f>IFERROR(VLOOKUP($D67,'Adient Assende (Belgium) WK.17'!$B:GT,HR$1,0),0)</f>
        <v>80</v>
      </c>
      <c r="HR67" s="55">
        <f>IFERROR(VLOOKUP($D67,'Adient Arendal (Malzia) WK.12'!$B:GU,HR$1,0),0)</f>
        <v>0</v>
      </c>
      <c r="HS67" s="55">
        <f>IFERROR(VLOOKUP($D67,'Adient Taizhou (China) WK.16'!$B:GX,HR$1,0),0)</f>
        <v>0</v>
      </c>
      <c r="HT67" s="60">
        <v>0</v>
      </c>
      <c r="HU67" s="128">
        <v>0</v>
      </c>
      <c r="HV67" s="32">
        <v>0</v>
      </c>
      <c r="HW67" s="106">
        <f t="shared" si="259"/>
        <v>200</v>
      </c>
      <c r="HX67" s="8"/>
      <c r="HY67" s="37">
        <f t="shared" si="454"/>
        <v>200</v>
      </c>
      <c r="HZ67" s="125">
        <f>IFERROR(VLOOKUP($D67,'Adient Assende (Belgium) WK.17'!$B:HB,IA$1,0),0)</f>
        <v>0</v>
      </c>
      <c r="IA67" s="55">
        <f>IFERROR(VLOOKUP($D67,'Adient Arendal (Malzia) WK.12'!$B:HC,IA$1,0),0)</f>
        <v>0</v>
      </c>
      <c r="IB67" s="55">
        <f>IFERROR(VLOOKUP($D67,'Adient Taizhou (China) WK.16'!$B:HF,IA$1,0),0)</f>
        <v>0</v>
      </c>
      <c r="IC67" s="60">
        <v>200</v>
      </c>
      <c r="ID67" s="128">
        <v>0</v>
      </c>
      <c r="IE67" s="32">
        <v>0</v>
      </c>
      <c r="IF67" s="106">
        <f t="shared" si="260"/>
        <v>400</v>
      </c>
      <c r="IG67" s="8"/>
      <c r="IH67" s="37">
        <f t="shared" si="455"/>
        <v>400</v>
      </c>
      <c r="II67" s="125">
        <f>IFERROR(VLOOKUP($D67,'Adient Assende (Belgium) WK.17'!$B:HJ,IJ$1,0),0)</f>
        <v>0</v>
      </c>
      <c r="IJ67" s="55">
        <f>IFERROR(VLOOKUP($D67,'Adient Arendal (Malzia) WK.12'!$B:HK,IJ$1,0),0)</f>
        <v>0</v>
      </c>
      <c r="IK67" s="55">
        <f>IFERROR(VLOOKUP($D67,'Adient Taizhou (China) WK.16'!$B:HN,IJ$1,0),0)</f>
        <v>0</v>
      </c>
      <c r="IL67" s="128">
        <v>80</v>
      </c>
      <c r="IM67" s="32">
        <v>0</v>
      </c>
      <c r="IN67" s="106">
        <f t="shared" si="456"/>
        <v>320</v>
      </c>
      <c r="IO67" s="8"/>
      <c r="IP67" s="37">
        <f t="shared" si="457"/>
        <v>320</v>
      </c>
      <c r="IQ67" s="125">
        <f>IFERROR(VLOOKUP($D67,'Adient Assende (Belgium) WK.17'!$B:HR,IR$1,0),0)</f>
        <v>80</v>
      </c>
      <c r="IR67" s="55">
        <f>IFERROR(VLOOKUP($D67,'Adient Arendal (Malzia) WK.12'!$B:HS,IR$1,0),0)</f>
        <v>0</v>
      </c>
      <c r="IS67" s="55">
        <f>IFERROR(VLOOKUP($D67,'Adient Taizhou (China) WK.16'!$B:HV,IR$1,0),0)</f>
        <v>0</v>
      </c>
      <c r="IT67" s="60">
        <v>0</v>
      </c>
      <c r="IU67" s="128">
        <v>0</v>
      </c>
      <c r="IV67" s="32">
        <v>0</v>
      </c>
      <c r="IW67" s="106">
        <f t="shared" si="261"/>
        <v>320</v>
      </c>
      <c r="IX67" s="8"/>
      <c r="IY67" s="37">
        <f t="shared" si="458"/>
        <v>320</v>
      </c>
      <c r="IZ67" s="125">
        <f>IFERROR(VLOOKUP($D67,'Adient Assende (Belgium) WK.17'!$B:HZ,JA$1,0),0)</f>
        <v>0</v>
      </c>
      <c r="JA67" s="55">
        <f>IFERROR(VLOOKUP($D67,'Adient Arendal (Malzia) WK.12'!$B:IA,JA$1,0),0)</f>
        <v>0</v>
      </c>
      <c r="JB67" s="55">
        <f>IFERROR(VLOOKUP($D67,'Adient Taizhou (China) WK.16'!$B:ID,JA$1,0),0)</f>
        <v>0</v>
      </c>
      <c r="JC67" s="128">
        <v>0</v>
      </c>
      <c r="JD67" s="32">
        <v>0</v>
      </c>
      <c r="JE67" s="106">
        <f t="shared" si="459"/>
        <v>320</v>
      </c>
      <c r="JF67" s="8"/>
      <c r="JG67" s="37">
        <f t="shared" si="460"/>
        <v>320</v>
      </c>
      <c r="JH67" s="125">
        <f>IFERROR(VLOOKUP($D67,'Adient Assende (Belgium) WK.17'!$B:IH,JI$1,0),0)</f>
        <v>0</v>
      </c>
      <c r="JI67" s="55">
        <f>IFERROR(VLOOKUP($D67,'Adient Arendal (Malzia) WK.12'!$B:II,JI$1,0),0)</f>
        <v>0</v>
      </c>
      <c r="JJ67" s="55">
        <f>IFERROR(VLOOKUP($D67,'Adient Taizhou (China) WK.16'!$B:IL,JI$1,0),0)</f>
        <v>0</v>
      </c>
      <c r="JK67" s="60">
        <v>100</v>
      </c>
      <c r="JL67" s="128">
        <v>80</v>
      </c>
      <c r="JM67" s="32">
        <v>0</v>
      </c>
      <c r="JN67" s="106">
        <f t="shared" si="262"/>
        <v>340</v>
      </c>
      <c r="JO67" s="8"/>
      <c r="JP67" s="37">
        <f t="shared" si="461"/>
        <v>340</v>
      </c>
      <c r="JQ67" s="125">
        <f>IFERROR(VLOOKUP($D67,'Adient Assende (Belgium) WK.17'!$B:IP,JR$1,0),0)</f>
        <v>80</v>
      </c>
      <c r="JR67" s="55">
        <f>IFERROR(VLOOKUP($D67,'Adient Arendal (Malzia) WK.12'!$B:IQ,JR$1,0),0)</f>
        <v>0</v>
      </c>
      <c r="JS67" s="55">
        <f>IFERROR(VLOOKUP($D67,'Adient Taizhou (China) WK.16'!$B:IT,JR$1,0),0)</f>
        <v>0</v>
      </c>
      <c r="JT67" s="128">
        <v>0</v>
      </c>
      <c r="JU67" s="32">
        <v>0</v>
      </c>
      <c r="JV67" s="106">
        <f t="shared" si="462"/>
        <v>340</v>
      </c>
      <c r="JW67" s="8"/>
      <c r="JX67" s="37">
        <f t="shared" si="463"/>
        <v>340</v>
      </c>
      <c r="JY67" s="154">
        <f>IFERROR(VLOOKUP($D67,'Adient Assende (Belgium) WK.17'!$B:IX,JZ$1,0),0)</f>
        <v>0</v>
      </c>
      <c r="JZ67" s="55">
        <f>IFERROR(VLOOKUP($D67,'Adient Arendal (Malzia) WK.12'!$B:IY,JZ$1,0),0)</f>
        <v>0</v>
      </c>
      <c r="KA67" s="55">
        <f>IFERROR(VLOOKUP($D67,'Adient Taizhou (China) WK.16'!$B:JB,JZ$1,0),0)</f>
        <v>0</v>
      </c>
      <c r="KB67" s="128">
        <v>160</v>
      </c>
      <c r="KC67" s="32">
        <v>0</v>
      </c>
      <c r="KD67" s="106">
        <f t="shared" si="263"/>
        <v>180</v>
      </c>
      <c r="KE67" s="8"/>
      <c r="KF67" s="37">
        <f t="shared" si="464"/>
        <v>180</v>
      </c>
      <c r="KG67" s="125">
        <f>IFERROR(VLOOKUP($D67,'Adient Assende (Belgium) WK.17'!$B:JF,KH$1,0),0)</f>
        <v>160</v>
      </c>
      <c r="KH67" s="55">
        <f>IFERROR(VLOOKUP($D67,'Adient Arendal (Malzia) WK.12'!$B:JG,KH$1,0),0)</f>
        <v>0</v>
      </c>
      <c r="KI67" s="55">
        <f>IFERROR(VLOOKUP($D67,'Adient Taizhou (China) WK.16'!$B:JJ,KH$1,0),0)</f>
        <v>0</v>
      </c>
      <c r="KJ67" s="60">
        <v>0</v>
      </c>
      <c r="KK67" s="128">
        <v>80</v>
      </c>
      <c r="KL67" s="32">
        <v>0</v>
      </c>
      <c r="KM67" s="106">
        <f t="shared" si="264"/>
        <v>100</v>
      </c>
      <c r="KN67" s="8"/>
      <c r="KO67" s="37">
        <f t="shared" si="465"/>
        <v>100</v>
      </c>
      <c r="KP67" s="141">
        <f>IFERROR(VLOOKUP($D67,'Adient Assende (Belgium) WK.17'!$B:JN,KQ$1,0),0)</f>
        <v>80</v>
      </c>
      <c r="KQ67" s="140">
        <f>IFERROR(VLOOKUP($D67,'Adient Arendal (Malzia) WK.12'!$B:JO,KQ$1,0),0)</f>
        <v>0</v>
      </c>
      <c r="KR67" s="140">
        <f>IFERROR(VLOOKUP($D67,'Adient Taizhou (China) WK.16'!$B:JR,KQ$1,0),0)</f>
        <v>0</v>
      </c>
      <c r="KS67" s="60">
        <v>0</v>
      </c>
      <c r="KT67" s="128">
        <v>0</v>
      </c>
      <c r="KU67" s="32">
        <v>0</v>
      </c>
      <c r="KV67" s="106">
        <f t="shared" si="265"/>
        <v>100</v>
      </c>
      <c r="KX67" s="37">
        <f t="shared" si="466"/>
        <v>100</v>
      </c>
      <c r="KY67" s="141">
        <f>IFERROR(VLOOKUP($D67,'Adient Assende (Belgium) WK.17'!$B:JV,KZ$1,0),0)</f>
        <v>0</v>
      </c>
      <c r="KZ67" s="140">
        <f>IFERROR(VLOOKUP($D67,'Adient Arendal (Malzia) WK.12'!$B:JW,KZ$1,0),0)</f>
        <v>0</v>
      </c>
      <c r="LA67" s="140">
        <f>IFERROR(VLOOKUP($D67,'Adient Taizhou (China) WK.16'!$B:JZ,KZ$1,0),0)</f>
        <v>0</v>
      </c>
      <c r="LB67" s="128">
        <v>0</v>
      </c>
      <c r="LC67" s="32">
        <v>0</v>
      </c>
      <c r="LD67" s="106">
        <f t="shared" si="467"/>
        <v>100</v>
      </c>
      <c r="LF67" s="37">
        <f t="shared" si="468"/>
        <v>100</v>
      </c>
      <c r="LG67" s="141">
        <f>IFERROR(VLOOKUP($D67,'Adient Assende (Belgium) WK.17'!$B:KD,LH$1,0),0)</f>
        <v>80</v>
      </c>
      <c r="LH67" s="140">
        <f>IFERROR(VLOOKUP($D67,'Adient Arendal (Malzia) WK.12'!$B:KE,LH$1,0),0)</f>
        <v>0</v>
      </c>
      <c r="LI67" s="140">
        <f>IFERROR(VLOOKUP($D67,'Adient Taizhou (China) WK.16'!$B:KH,LH$1,0),0)</f>
        <v>0</v>
      </c>
      <c r="LJ67" s="60">
        <v>0</v>
      </c>
      <c r="LK67" s="128">
        <v>0</v>
      </c>
      <c r="LL67" s="32">
        <v>0</v>
      </c>
      <c r="LM67" s="100">
        <f t="shared" si="267"/>
        <v>20</v>
      </c>
      <c r="LO67" s="37">
        <f t="shared" si="469"/>
        <v>20</v>
      </c>
      <c r="LP67" s="141">
        <f>IFERROR(VLOOKUP($D67,'Adient Assende (Belgium) WK.17'!$B:KL,LQ$1,0),0)</f>
        <v>0</v>
      </c>
      <c r="LQ67" s="140">
        <f>IFERROR(VLOOKUP($D67,'Adient Arendal (Malzia) WK.12'!$B:KM,LQ$1,0),0)</f>
        <v>0</v>
      </c>
      <c r="LR67" s="140">
        <f>IFERROR(VLOOKUP($D67,'Adient Taizhou (China) WK.16'!$B:KP,LQ$1,0),0)</f>
        <v>0</v>
      </c>
      <c r="LS67" s="128">
        <v>0</v>
      </c>
      <c r="LT67" s="32">
        <v>0</v>
      </c>
      <c r="LU67" s="100">
        <f t="shared" si="470"/>
        <v>20</v>
      </c>
      <c r="LW67" s="37">
        <f t="shared" si="471"/>
        <v>20</v>
      </c>
      <c r="LX67" s="141">
        <f>IFERROR(VLOOKUP($D67,'Adient Assende (Belgium) WK.17'!$B:KT,LY$1,0),0)</f>
        <v>0</v>
      </c>
      <c r="LY67" s="140">
        <f>IFERROR(VLOOKUP($D67,'Adient Arendal (Malzia) WK.12'!$B:KU,LY$1,0),0)</f>
        <v>0</v>
      </c>
      <c r="LZ67" s="140">
        <f>IFERROR(VLOOKUP($D67,'Adient Taizhou (China) WK.16'!$B:KX,LY$1,0),0)</f>
        <v>0</v>
      </c>
      <c r="MA67" s="128">
        <v>0</v>
      </c>
      <c r="MB67" s="32">
        <v>0</v>
      </c>
      <c r="MC67" s="100">
        <f t="shared" si="472"/>
        <v>20</v>
      </c>
      <c r="ME67" s="37">
        <f t="shared" si="473"/>
        <v>20</v>
      </c>
      <c r="MF67" s="154">
        <f>IFERROR(VLOOKUP($D67,'Adient Assende (Belgium) WK.17'!$B:LB,MG$1,0),0)</f>
        <v>0</v>
      </c>
      <c r="MG67" s="140">
        <f>IFERROR(VLOOKUP($D67,'Adient Arendal (Malzia) WK.12'!$B:LC,MG$1,0),0)</f>
        <v>0</v>
      </c>
      <c r="MH67" s="140">
        <f>IFERROR(VLOOKUP($D67,'Adient Taizhou (China) WK.16'!$B:LF,MG$1,0),0)</f>
        <v>0</v>
      </c>
      <c r="MI67" s="128">
        <v>0</v>
      </c>
      <c r="MJ67" s="32">
        <v>0</v>
      </c>
      <c r="MK67" s="100">
        <f t="shared" si="474"/>
        <v>20</v>
      </c>
      <c r="MM67" s="37">
        <f t="shared" si="475"/>
        <v>20</v>
      </c>
      <c r="MN67" s="141">
        <f>IFERROR(VLOOKUP($D67,'Adient Assende (Belgium) WK.17'!$B:LJ,MO$1,0),0)</f>
        <v>0</v>
      </c>
      <c r="MO67" s="140">
        <f>IFERROR(VLOOKUP($D67,'Adient Arendal (Malzia) WK.12'!$B:LK,MO$1,0),0)</f>
        <v>0</v>
      </c>
      <c r="MP67" s="140">
        <f>IFERROR(VLOOKUP($D67,'Adient Taizhou (China) WK.16'!$B:LN,MO$1,0),0)</f>
        <v>0</v>
      </c>
      <c r="MQ67" s="128">
        <v>0</v>
      </c>
      <c r="MR67" s="32">
        <v>0</v>
      </c>
      <c r="MS67" s="100">
        <f t="shared" si="476"/>
        <v>20</v>
      </c>
      <c r="MU67" s="37">
        <f t="shared" si="477"/>
        <v>20</v>
      </c>
      <c r="MV67" s="141">
        <f>IFERROR(VLOOKUP($D67,'Adient Assende (Belgium) WK.17'!$B:LR,MW$1,0),0)</f>
        <v>80</v>
      </c>
      <c r="MW67" s="140">
        <f>IFERROR(VLOOKUP($D67,'Adient Arendal (Malzia) WK.12'!$B:LS,MW$1,0),0)</f>
        <v>0</v>
      </c>
      <c r="MX67" s="140">
        <f>IFERROR(VLOOKUP($D67,'Adient Taizhou (China) WK.16'!$B:LV,MW$1,0),0)</f>
        <v>0</v>
      </c>
      <c r="MY67" s="128">
        <v>0</v>
      </c>
      <c r="MZ67" s="32">
        <v>0</v>
      </c>
      <c r="NA67" s="100">
        <f t="shared" si="478"/>
        <v>-60</v>
      </c>
      <c r="NC67" s="37">
        <f t="shared" si="479"/>
        <v>-60</v>
      </c>
      <c r="ND67" s="141">
        <f>IFERROR(VLOOKUP($D67,'Adient Assende (Belgium) WK.17'!$B:LZ,NE$1,0),0)</f>
        <v>0</v>
      </c>
      <c r="NE67" s="140">
        <f>IFERROR(VLOOKUP($D67,'Adient Arendal (Malzia) WK.12'!$B:MA,NE$1,0),0)</f>
        <v>0</v>
      </c>
      <c r="NF67" s="140">
        <f>IFERROR(VLOOKUP($D67,'Adient Taizhou (China) WK.16'!$B:MD,NE$1,0),0)</f>
        <v>0</v>
      </c>
      <c r="NG67" s="128">
        <v>0</v>
      </c>
      <c r="NH67" s="32">
        <v>0</v>
      </c>
      <c r="NI67" s="100">
        <f t="shared" si="480"/>
        <v>-60</v>
      </c>
      <c r="NK67" s="37">
        <f t="shared" si="481"/>
        <v>-60</v>
      </c>
      <c r="NL67" s="141">
        <f>IFERROR(VLOOKUP($D67,'Adient Assende (Belgium) WK.17'!$B:MH,NM$1,0),0)</f>
        <v>0</v>
      </c>
      <c r="NM67" s="140">
        <f>IFERROR(VLOOKUP($D67,'Adient Arendal (Malzia) WK.12'!$B:MI,NM$1,0),0)</f>
        <v>0</v>
      </c>
      <c r="NN67" s="140">
        <f>IFERROR(VLOOKUP($D67,'Adient Taizhou (China) WK.16'!$B:ML,NM$1,0),0)</f>
        <v>0</v>
      </c>
      <c r="NO67" s="128">
        <v>0</v>
      </c>
      <c r="NP67" s="32">
        <v>0</v>
      </c>
      <c r="NQ67" s="100">
        <f t="shared" si="482"/>
        <v>-60</v>
      </c>
      <c r="NS67" s="37">
        <f t="shared" si="483"/>
        <v>-60</v>
      </c>
      <c r="NT67" s="141">
        <f>IFERROR(VLOOKUP($D67,'Adient Assende (Belgium) WK.17'!$B:MP,NU$1,0),0)</f>
        <v>0</v>
      </c>
      <c r="NU67" s="140">
        <f>IFERROR(VLOOKUP($D67,'Adient Arendal (Malzia) WK.12'!$B:MQ,NU$1,0),0)</f>
        <v>0</v>
      </c>
      <c r="NV67" s="140">
        <f>IFERROR(VLOOKUP($D67,'Adient Taizhou (China) WK.16'!$B:MT,NU$1,0),0)</f>
        <v>0</v>
      </c>
      <c r="NW67" s="128">
        <v>0</v>
      </c>
      <c r="NX67" s="32">
        <v>0</v>
      </c>
      <c r="NY67" s="100">
        <f t="shared" si="484"/>
        <v>-60</v>
      </c>
      <c r="OA67" s="37">
        <f t="shared" si="485"/>
        <v>-60</v>
      </c>
      <c r="OB67" s="141">
        <f>IFERROR(VLOOKUP($D67,'Adient Assende (Belgium) WK.17'!$B:MX,OC$1,0),0)</f>
        <v>80</v>
      </c>
      <c r="OC67" s="140">
        <f>IFERROR(VLOOKUP($D67,'Adient Arendal (Malzia) WK.12'!$B:MY,OC$1,0),0)</f>
        <v>0</v>
      </c>
      <c r="OD67" s="140">
        <f>IFERROR(VLOOKUP($D67,'Adient Taizhou (China) WK.16'!$B:NB,OC$1,0),0)</f>
        <v>0</v>
      </c>
      <c r="OE67" s="128">
        <v>0</v>
      </c>
      <c r="OF67" s="32">
        <v>0</v>
      </c>
      <c r="OG67" s="100">
        <f t="shared" si="486"/>
        <v>-140</v>
      </c>
      <c r="OI67" s="37">
        <f t="shared" si="487"/>
        <v>-140</v>
      </c>
      <c r="OJ67" s="141">
        <f>IFERROR(VLOOKUP($D67,'Adient Assende (Belgium) WK.17'!$B:NF,OK$1,0),0)</f>
        <v>0</v>
      </c>
      <c r="OK67" s="140">
        <f>IFERROR(VLOOKUP($D67,'Adient Arendal (Malzia) WK.12'!$B:NG,OK$1,0),0)</f>
        <v>0</v>
      </c>
      <c r="OL67" s="140">
        <f>IFERROR(VLOOKUP($D67,'Adient Taizhou (China) WK.16'!$B:NJ,OK$1,0),0)</f>
        <v>0</v>
      </c>
      <c r="OM67" s="128">
        <v>0</v>
      </c>
      <c r="ON67" s="32">
        <v>0</v>
      </c>
      <c r="OO67" s="100">
        <f t="shared" si="488"/>
        <v>-140</v>
      </c>
      <c r="OQ67" s="37">
        <f t="shared" si="489"/>
        <v>-140</v>
      </c>
      <c r="OR67" s="141">
        <f>IFERROR(VLOOKUP($D67,'Adient Assende (Belgium) WK.17'!$B:NN,OS$1,0),0)</f>
        <v>0</v>
      </c>
      <c r="OS67" s="140">
        <f>IFERROR(VLOOKUP($D67,'Adient Arendal (Malzia) WK.12'!$B:NO,OS$1,0),0)</f>
        <v>0</v>
      </c>
      <c r="OT67" s="140">
        <f>IFERROR(VLOOKUP($D67,'Adient Taizhou (China) WK.16'!$B:NR,OS$1,0),0)</f>
        <v>0</v>
      </c>
      <c r="OU67" s="128">
        <v>0</v>
      </c>
      <c r="OV67" s="32">
        <v>0</v>
      </c>
      <c r="OW67" s="100">
        <f t="shared" si="490"/>
        <v>-140</v>
      </c>
      <c r="OY67" s="37">
        <f t="shared" si="491"/>
        <v>-140</v>
      </c>
      <c r="OZ67" s="141">
        <f>IFERROR(VLOOKUP($D67,'Adient Assende (Belgium) WK.17'!$B:NV,PA$1,0),0)</f>
        <v>0</v>
      </c>
      <c r="PA67" s="140">
        <f>IFERROR(VLOOKUP($D67,'Adient Arendal (Malzia) WK.12'!$B:NW,PA$1,0),0)</f>
        <v>0</v>
      </c>
      <c r="PB67" s="140">
        <f>IFERROR(VLOOKUP($D67,'Adient Taizhou (China) WK.16'!$B:NZ,PA$1,0),0)</f>
        <v>0</v>
      </c>
      <c r="PC67" s="128">
        <v>0</v>
      </c>
      <c r="PD67" s="32">
        <v>0</v>
      </c>
      <c r="PE67" s="100">
        <f t="shared" si="492"/>
        <v>-140</v>
      </c>
      <c r="PG67" s="37">
        <f t="shared" si="493"/>
        <v>-140</v>
      </c>
      <c r="PH67" s="141">
        <f>IFERROR(VLOOKUP($D67,'Adient Assende (Belgium) WK.17'!$B:OD,PI$1,0),0)</f>
        <v>0</v>
      </c>
      <c r="PI67" s="140">
        <f>IFERROR(VLOOKUP($D67,'Adient Arendal (Malzia) WK.12'!$B:OE,PI$1,0),0)</f>
        <v>0</v>
      </c>
      <c r="PJ67" s="140">
        <f>IFERROR(VLOOKUP($D67,'Adient Taizhou (China) WK.16'!$B:OH,PI$1,0),0)</f>
        <v>0</v>
      </c>
      <c r="PK67" s="128">
        <v>0</v>
      </c>
      <c r="PL67" s="32">
        <v>0</v>
      </c>
      <c r="PM67" s="100">
        <f t="shared" si="494"/>
        <v>-140</v>
      </c>
      <c r="PO67" s="37">
        <f t="shared" si="495"/>
        <v>-140</v>
      </c>
      <c r="PP67" s="141">
        <f>IFERROR(VLOOKUP($D67,'Adient Assende (Belgium) WK.17'!$B:OL,PQ$1,0),0)</f>
        <v>0</v>
      </c>
      <c r="PQ67" s="140">
        <f>IFERROR(VLOOKUP($D67,'Adient Arendal (Malzia) WK.12'!$B:OM,PQ$1,0),0)</f>
        <v>0</v>
      </c>
      <c r="PR67" s="140">
        <f>IFERROR(VLOOKUP($D67,'Adient Taizhou (China) WK.16'!$B:OP,PQ$1,0),0)</f>
        <v>0</v>
      </c>
      <c r="PS67" s="128">
        <v>0</v>
      </c>
      <c r="PT67" s="32">
        <v>0</v>
      </c>
      <c r="PU67" s="100">
        <f t="shared" si="496"/>
        <v>-140</v>
      </c>
      <c r="PW67" s="37">
        <f t="shared" si="497"/>
        <v>-140</v>
      </c>
      <c r="PX67" s="141">
        <f>IFERROR(VLOOKUP($D67,'Adient Assende (Belgium) WK.17'!$B:OT,PY$1,0),0)</f>
        <v>0</v>
      </c>
      <c r="PY67" s="140">
        <f>IFERROR(VLOOKUP($D67,'Adient Arendal (Malzia) WK.12'!$B:OU,PY$1,0),0)</f>
        <v>0</v>
      </c>
      <c r="PZ67" s="140">
        <f>IFERROR(VLOOKUP($D67,'Adient Taizhou (China) WK.16'!$B:OX,PY$1,0),0)</f>
        <v>0</v>
      </c>
      <c r="QA67" s="128">
        <v>0</v>
      </c>
      <c r="QB67" s="32">
        <v>0</v>
      </c>
      <c r="QC67" s="100">
        <f t="shared" si="498"/>
        <v>-140</v>
      </c>
      <c r="QE67" s="37">
        <f t="shared" si="499"/>
        <v>-140</v>
      </c>
      <c r="QF67" s="141">
        <f>IFERROR(VLOOKUP($D67,'Adient Assende (Belgium) WK.17'!$B:PB,QG$1,0),0)</f>
        <v>80</v>
      </c>
      <c r="QG67" s="140">
        <f>IFERROR(VLOOKUP($D67,'Adient Arendal (Malzia) WK.12'!$B:PC,QG$1,0),0)</f>
        <v>0</v>
      </c>
      <c r="QH67" s="140">
        <f>IFERROR(VLOOKUP($D67,'Adient Taizhou (China) WK.16'!$B:PF,QG$1,0),0)</f>
        <v>0</v>
      </c>
      <c r="QI67" s="128">
        <v>0</v>
      </c>
      <c r="QJ67" s="32">
        <v>0</v>
      </c>
      <c r="QK67" s="100">
        <f t="shared" si="500"/>
        <v>-220</v>
      </c>
      <c r="QM67" s="37">
        <f t="shared" si="501"/>
        <v>-220</v>
      </c>
      <c r="QN67" s="141">
        <f>IFERROR(VLOOKUP($D67,'Adient Assende (Belgium) WK.17'!$B:PJ,QO$1,0),0)</f>
        <v>0</v>
      </c>
      <c r="QO67" s="140">
        <f>IFERROR(VLOOKUP($D67,'Adient Arendal (Malzia) WK.12'!$B:PK,QO$1,0),0)</f>
        <v>0</v>
      </c>
      <c r="QP67" s="140">
        <f>IFERROR(VLOOKUP($D67,'Adient Taizhou (China) WK.16'!$B:PN,QO$1,0),0)</f>
        <v>0</v>
      </c>
      <c r="QQ67" s="128">
        <v>0</v>
      </c>
      <c r="QR67" s="32">
        <v>0</v>
      </c>
      <c r="QS67" s="100">
        <f t="shared" si="502"/>
        <v>-220</v>
      </c>
      <c r="QU67" s="37">
        <f t="shared" si="503"/>
        <v>-220</v>
      </c>
      <c r="QV67" s="141">
        <f>IFERROR(VLOOKUP($D67,'Adient Assende (Belgium) WK.17'!$B:PR,QW$1,0),0)</f>
        <v>20</v>
      </c>
      <c r="QW67" s="140">
        <f>IFERROR(VLOOKUP($D67,'Adient Arendal (Malzia) WK.12'!$B:PS,QW$1,0),0)</f>
        <v>0</v>
      </c>
      <c r="QX67" s="140">
        <f>IFERROR(VLOOKUP($D67,'Adient Taizhou (China) WK.16'!$B:PV,QW$1,0),0)</f>
        <v>0</v>
      </c>
      <c r="QY67" s="128">
        <v>0</v>
      </c>
      <c r="QZ67" s="32">
        <v>0</v>
      </c>
      <c r="RA67" s="100">
        <f t="shared" si="504"/>
        <v>-240</v>
      </c>
      <c r="RC67" s="37">
        <f t="shared" si="505"/>
        <v>-240</v>
      </c>
      <c r="RD67" s="141">
        <f>IFERROR(VLOOKUP($D67,'Adient Assende (Belgium) WK.17'!$B:PZ,RE$1,0),0)</f>
        <v>20</v>
      </c>
      <c r="RE67" s="140">
        <f>IFERROR(VLOOKUP($D67,'Adient Arendal (Malzia) WK.12'!$B:QA,RE$1,0),0)</f>
        <v>0</v>
      </c>
      <c r="RF67" s="140">
        <f>IFERROR(VLOOKUP($D67,'Adient Taizhou (China) WK.16'!$B:QD,RE$1,0),0)</f>
        <v>0</v>
      </c>
      <c r="RG67" s="128">
        <v>0</v>
      </c>
      <c r="RH67" s="32">
        <v>0</v>
      </c>
      <c r="RI67" s="100">
        <f t="shared" si="506"/>
        <v>-260</v>
      </c>
      <c r="RK67" s="37">
        <f t="shared" si="507"/>
        <v>-260</v>
      </c>
      <c r="RL67" s="141">
        <f>IFERROR(VLOOKUP($D67,'Adient Assende (Belgium) WK.17'!$B:QH,RM$1,0),0)</f>
        <v>20</v>
      </c>
      <c r="RM67" s="140">
        <f>IFERROR(VLOOKUP($D67,'Adient Arendal (Malzia) WK.12'!$B:QI,RM$1,0),0)</f>
        <v>0</v>
      </c>
      <c r="RN67" s="140">
        <f>IFERROR(VLOOKUP($D67,'Adient Taizhou (China) WK.16'!$B:QL,RM$1,0),0)</f>
        <v>0</v>
      </c>
      <c r="RO67" s="128">
        <v>0</v>
      </c>
      <c r="RP67" s="32">
        <v>0</v>
      </c>
      <c r="RQ67" s="100">
        <f t="shared" si="508"/>
        <v>-280</v>
      </c>
      <c r="RS67" s="37">
        <f t="shared" si="509"/>
        <v>-280</v>
      </c>
      <c r="RT67" s="141">
        <f>IFERROR(VLOOKUP($D67,'Adient Assende (Belgium) WK.17'!$B:QP,RU$1,0),0)</f>
        <v>20</v>
      </c>
      <c r="RU67" s="140">
        <f>IFERROR(VLOOKUP($D67,'Adient Arendal (Malzia) WK.12'!$B:QQ,RU$1,0),0)</f>
        <v>0</v>
      </c>
      <c r="RV67" s="140">
        <f>IFERROR(VLOOKUP($D67,'Adient Taizhou (China) WK.16'!$B:QT,RU$1,0),0)</f>
        <v>0</v>
      </c>
      <c r="RW67" s="128">
        <v>0</v>
      </c>
      <c r="RX67" s="32">
        <v>0</v>
      </c>
      <c r="RY67" s="100">
        <f t="shared" si="510"/>
        <v>-300</v>
      </c>
      <c r="SA67" s="37">
        <f t="shared" si="511"/>
        <v>-300</v>
      </c>
      <c r="SB67" s="141">
        <f>IFERROR(VLOOKUP($D67,'Adient Assende (Belgium) WK.17'!$B:QX,SC$1,0),0)</f>
        <v>0</v>
      </c>
      <c r="SC67" s="140">
        <f>IFERROR(VLOOKUP($D67,'Adient Arendal (Malzia) WK.12'!$B:QY,SC$1,0),0)</f>
        <v>0</v>
      </c>
      <c r="SD67" s="140">
        <f>IFERROR(VLOOKUP($D67,'Adient Taizhou (China) WK.16'!$B:RB,SC$1,0),0)</f>
        <v>0</v>
      </c>
      <c r="SE67" s="128">
        <v>0</v>
      </c>
      <c r="SF67" s="32">
        <v>0</v>
      </c>
      <c r="SG67" s="100">
        <f t="shared" si="512"/>
        <v>-300</v>
      </c>
      <c r="SI67" s="37">
        <f t="shared" si="513"/>
        <v>-300</v>
      </c>
      <c r="SJ67" s="141">
        <f>IFERROR(VLOOKUP($D67,'Adient Assende (Belgium) WK.17'!$B:RF,SK$1,0),0)</f>
        <v>0</v>
      </c>
      <c r="SK67" s="140">
        <f>IFERROR(VLOOKUP($D67,'Adient Arendal (Malzia) WK.12'!$B:RG,SK$1,0),0)</f>
        <v>0</v>
      </c>
      <c r="SL67" s="140">
        <f>IFERROR(VLOOKUP($D67,'Adient Taizhou (China) WK.16'!$B:RJ,SK$1,0),0)</f>
        <v>0</v>
      </c>
      <c r="SM67" s="128">
        <v>0</v>
      </c>
      <c r="SN67" s="32">
        <v>0</v>
      </c>
      <c r="SO67" s="100">
        <f t="shared" si="514"/>
        <v>-300</v>
      </c>
      <c r="SQ67" s="37">
        <f t="shared" si="515"/>
        <v>-300</v>
      </c>
      <c r="SR67" s="141">
        <f>IFERROR(VLOOKUP($D67,'Adient Assende (Belgium) WK.17'!$B:RN,SS$1,0),0)</f>
        <v>0</v>
      </c>
      <c r="SS67" s="140">
        <f>IFERROR(VLOOKUP($D67,'Adient Arendal (Malzia) WK.12'!$B:RO,SS$1,0),0)</f>
        <v>0</v>
      </c>
      <c r="ST67" s="140">
        <f>IFERROR(VLOOKUP($D67,'Adient Taizhou (China) WK.16'!$B:RR,SS$1,0),0)</f>
        <v>0</v>
      </c>
      <c r="SU67" s="128">
        <v>0</v>
      </c>
      <c r="SV67" s="32">
        <v>0</v>
      </c>
      <c r="SW67" s="100">
        <f t="shared" si="516"/>
        <v>-300</v>
      </c>
      <c r="SY67" s="37">
        <f t="shared" si="517"/>
        <v>-300</v>
      </c>
      <c r="SZ67" s="141">
        <f>IFERROR(VLOOKUP($D67,'Adient Assende (Belgium) WK.17'!$B:RV,TA$1,0),0)</f>
        <v>0</v>
      </c>
      <c r="TA67" s="140">
        <f>IFERROR(VLOOKUP($D67,'Adient Arendal (Malzia) WK.12'!$B:RW,TA$1,0),0)</f>
        <v>0</v>
      </c>
      <c r="TB67" s="140">
        <f>IFERROR(VLOOKUP($D67,'Adient Taizhou (China) WK.16'!$B:RZ,TA$1,0),0)</f>
        <v>0</v>
      </c>
      <c r="TC67" s="128">
        <v>0</v>
      </c>
      <c r="TD67" s="32">
        <v>0</v>
      </c>
      <c r="TE67" s="100">
        <f t="shared" si="518"/>
        <v>-300</v>
      </c>
      <c r="TG67" s="37">
        <f t="shared" si="519"/>
        <v>-300</v>
      </c>
      <c r="TH67" s="141">
        <f>IFERROR(VLOOKUP($D67,'Adient Assende (Belgium) WK.17'!$B:SD,TI$1,0),0)</f>
        <v>40</v>
      </c>
      <c r="TI67" s="140">
        <f>IFERROR(VLOOKUP($D67,'Adient Arendal (Malzia) WK.12'!$B:SE,TI$1,0),0)</f>
        <v>0</v>
      </c>
      <c r="TJ67" s="140">
        <f>IFERROR(VLOOKUP($D67,'Adient Taizhou (China) WK.16'!$B:SH,TI$1,0),0)</f>
        <v>0</v>
      </c>
      <c r="TK67" s="128">
        <v>0</v>
      </c>
      <c r="TL67" s="32">
        <v>0</v>
      </c>
      <c r="TM67" s="100">
        <f t="shared" si="520"/>
        <v>-340</v>
      </c>
      <c r="TO67" s="37">
        <f t="shared" si="521"/>
        <v>-340</v>
      </c>
      <c r="TP67" s="141">
        <f>IFERROR(VLOOKUP($D67,'Adient Assende (Belgium) WK.17'!$B:SL,TQ$1,0),0)</f>
        <v>40</v>
      </c>
      <c r="TQ67" s="140">
        <f>IFERROR(VLOOKUP($D67,'Adient Arendal (Malzia) WK.12'!$B:SM,TQ$1,0),0)</f>
        <v>0</v>
      </c>
      <c r="TR67" s="140">
        <f>IFERROR(VLOOKUP($D67,'Adient Taizhou (China) WK.16'!$B:SP,TQ$1,0),0)</f>
        <v>0</v>
      </c>
      <c r="TS67" s="128">
        <v>0</v>
      </c>
      <c r="TT67" s="32">
        <v>0</v>
      </c>
      <c r="TU67" s="100">
        <f t="shared" si="522"/>
        <v>-380</v>
      </c>
      <c r="TW67" s="37">
        <f t="shared" si="523"/>
        <v>-380</v>
      </c>
      <c r="TX67" s="141">
        <f>IFERROR(VLOOKUP($D67,'Adient Assende (Belgium) WK.17'!$B:ST,TY$1,0),0)</f>
        <v>40</v>
      </c>
      <c r="TY67" s="140">
        <f>IFERROR(VLOOKUP($D67,'Adient Arendal (Malzia) WK.12'!$B:SU,TY$1,0),0)</f>
        <v>0</v>
      </c>
      <c r="TZ67" s="140">
        <f>IFERROR(VLOOKUP($D67,'Adient Taizhou (China) WK.16'!$B:SX,TY$1,0),0)</f>
        <v>0</v>
      </c>
      <c r="UA67" s="128">
        <v>0</v>
      </c>
      <c r="UB67" s="32">
        <v>0</v>
      </c>
      <c r="UC67" s="100">
        <f t="shared" si="524"/>
        <v>-420</v>
      </c>
      <c r="UE67" s="37">
        <f t="shared" si="525"/>
        <v>-420</v>
      </c>
      <c r="UF67" s="141">
        <f>IFERROR(VLOOKUP($D67,'Adient Assende (Belgium) WK.17'!$B:TB,UG$1,0),0)</f>
        <v>40</v>
      </c>
      <c r="UG67" s="140">
        <f>IFERROR(VLOOKUP($D67,'Adient Arendal (Malzia) WK.12'!$B:TC,UG$1,0),0)</f>
        <v>0</v>
      </c>
      <c r="UH67" s="140">
        <f>IFERROR(VLOOKUP($D67,'Adient Taizhou (China) WK.16'!$B:TF,UG$1,0),0)</f>
        <v>0</v>
      </c>
      <c r="UI67" s="128">
        <v>0</v>
      </c>
      <c r="UJ67" s="32">
        <v>0</v>
      </c>
      <c r="UK67" s="100">
        <f t="shared" si="526"/>
        <v>-460</v>
      </c>
      <c r="UM67" s="37">
        <f t="shared" si="527"/>
        <v>-460</v>
      </c>
      <c r="UN67" s="141">
        <f>IFERROR(VLOOKUP($D67,'Adient Assende (Belgium) WK.17'!$B:TJ,UO$1,0),0)</f>
        <v>0</v>
      </c>
      <c r="UO67" s="140">
        <f>IFERROR(VLOOKUP($D67,'Adient Arendal (Malzia) WK.12'!$B:TK,UO$1,0),0)</f>
        <v>0</v>
      </c>
      <c r="UP67" s="140">
        <f>IFERROR(VLOOKUP($D67,'Adient Taizhou (China) WK.16'!$B:TN,UO$1,0),0)</f>
        <v>0</v>
      </c>
      <c r="UQ67" s="128">
        <v>0</v>
      </c>
      <c r="UR67" s="32">
        <v>0</v>
      </c>
      <c r="US67" s="100">
        <f t="shared" si="528"/>
        <v>-460</v>
      </c>
      <c r="UU67" s="37">
        <f t="shared" si="529"/>
        <v>-460</v>
      </c>
      <c r="UV67" s="141">
        <f>IFERROR(VLOOKUP($D67,'Adient Assende (Belgium) WK.17'!$B:TR,UW$1,0),0)</f>
        <v>40</v>
      </c>
      <c r="UW67" s="140">
        <f>IFERROR(VLOOKUP($D67,'Adient Arendal (Malzia) WK.12'!$B:TS,UW$1,0),0)</f>
        <v>0</v>
      </c>
      <c r="UX67" s="140">
        <f>IFERROR(VLOOKUP($D67,'Adient Taizhou (China) WK.16'!$B:TV,UW$1,0),0)</f>
        <v>0</v>
      </c>
      <c r="UY67" s="128">
        <v>0</v>
      </c>
      <c r="UZ67" s="32">
        <v>0</v>
      </c>
      <c r="VA67" s="100">
        <f t="shared" si="530"/>
        <v>-500</v>
      </c>
      <c r="VC67" s="37">
        <f t="shared" si="531"/>
        <v>-500</v>
      </c>
      <c r="VD67" s="141">
        <f>IFERROR(VLOOKUP($D67,'Adient Assende (Belgium) WK.17'!$B:TZ,VE$1,0),0)</f>
        <v>40</v>
      </c>
      <c r="VE67" s="140">
        <f>IFERROR(VLOOKUP($D67,'Adient Arendal (Malzia) WK.12'!$B:UA,VE$1,0),0)</f>
        <v>0</v>
      </c>
      <c r="VF67" s="140">
        <f>IFERROR(VLOOKUP($D67,'Adient Taizhou (China) WK.16'!$B:UD,VE$1,0),0)</f>
        <v>0</v>
      </c>
      <c r="VG67" s="128">
        <v>0</v>
      </c>
      <c r="VH67" s="32">
        <v>0</v>
      </c>
      <c r="VI67" s="100">
        <f t="shared" si="532"/>
        <v>-540</v>
      </c>
      <c r="VK67" s="37">
        <f t="shared" si="533"/>
        <v>-540</v>
      </c>
      <c r="VL67" s="141">
        <f>IFERROR(VLOOKUP($D67,'Adient Assende (Belgium) WK.17'!$B:UH,VM$1,0),0)</f>
        <v>0</v>
      </c>
      <c r="VM67" s="140">
        <f>IFERROR(VLOOKUP($D67,'Adient Arendal (Malzia) WK.12'!$B:UI,VM$1,0),0)</f>
        <v>0</v>
      </c>
      <c r="VN67" s="140">
        <f>IFERROR(VLOOKUP($D67,'Adient Taizhou (China) WK.16'!$B:UL,VM$1,0),0)</f>
        <v>0</v>
      </c>
      <c r="VO67" s="128">
        <v>0</v>
      </c>
      <c r="VP67" s="32">
        <v>0</v>
      </c>
      <c r="VQ67" s="100">
        <f t="shared" si="534"/>
        <v>-540</v>
      </c>
    </row>
    <row r="68" spans="1:589" x14ac:dyDescent="0.25">
      <c r="A68" s="10" t="s">
        <v>18</v>
      </c>
      <c r="B68" s="48" t="s">
        <v>17</v>
      </c>
      <c r="C68" s="88">
        <v>32272719</v>
      </c>
      <c r="D68" s="82">
        <v>4817130</v>
      </c>
      <c r="E68" s="11">
        <v>20</v>
      </c>
      <c r="F68" s="12"/>
      <c r="H68" s="122">
        <v>1280</v>
      </c>
      <c r="I68" s="125">
        <f>IFERROR(VLOOKUP($D68,'Adient Assende (Belgium) WK.17'!$B:C,J$1,0),0)</f>
        <v>80</v>
      </c>
      <c r="J68" s="55">
        <f>IFERROR(VLOOKUP($D68,'Adient Arendal (Malzia) WK.12'!$B:C,J$1,0),0)</f>
        <v>0</v>
      </c>
      <c r="K68" s="55">
        <f>IFERROR(VLOOKUP($D68,'Adient Taizhou (China) WK.16'!$B:C,J$1,0),0)</f>
        <v>0</v>
      </c>
      <c r="L68" s="128">
        <v>0</v>
      </c>
      <c r="M68" s="32">
        <v>0</v>
      </c>
      <c r="N68" s="106">
        <f t="shared" si="233"/>
        <v>1280</v>
      </c>
      <c r="P68" s="37">
        <f t="shared" si="234"/>
        <v>1280</v>
      </c>
      <c r="Q68" s="125">
        <f>IFERROR(VLOOKUP($D68,'Adient Assende (Belgium) WK.17'!$B:K,R$1,0),0)</f>
        <v>0</v>
      </c>
      <c r="R68" s="55">
        <f>IFERROR(VLOOKUP($D68,'Adient Arendal (Malzia) WK.12'!$B:K,R$1,0),0)</f>
        <v>0</v>
      </c>
      <c r="S68" s="55">
        <f>IFERROR(VLOOKUP($D68,'Adient Taizhou (China) WK.16'!$B:K,R$1,0),0)</f>
        <v>0</v>
      </c>
      <c r="T68" s="41">
        <v>80</v>
      </c>
      <c r="U68" s="32">
        <v>0</v>
      </c>
      <c r="V68" s="106">
        <f t="shared" si="235"/>
        <v>1200</v>
      </c>
      <c r="X68" s="37">
        <f t="shared" si="236"/>
        <v>1200</v>
      </c>
      <c r="Y68" s="125">
        <f>IFERROR(VLOOKUP($D68,'Adient Assende (Belgium) WK.17'!$B:S,Z$1,0),0)</f>
        <v>80</v>
      </c>
      <c r="Z68" s="55">
        <f>IFERROR(VLOOKUP($D68,'Adient Arendal (Malzia) WK.12'!$B:S,Z$1,0),0)</f>
        <v>0</v>
      </c>
      <c r="AA68" s="55">
        <f>IFERROR(VLOOKUP($D68,'Adient Taizhou (China) WK.16'!$B:S,Z$1,0),0)</f>
        <v>0</v>
      </c>
      <c r="AB68" s="41">
        <v>0</v>
      </c>
      <c r="AC68" s="32">
        <v>0</v>
      </c>
      <c r="AD68" s="106">
        <f t="shared" si="237"/>
        <v>1200</v>
      </c>
      <c r="AF68" s="37">
        <f t="shared" si="238"/>
        <v>1200</v>
      </c>
      <c r="AG68" s="125">
        <f>IFERROR(VLOOKUP($D68,'Adient Assende (Belgium) WK.17'!$B:AA,AH$1,0),0)</f>
        <v>0</v>
      </c>
      <c r="AH68" s="55">
        <f>IFERROR(VLOOKUP($D68,'Adient Arendal (Malzia) WK.12'!$B:AA,AH$1,0),0)</f>
        <v>0</v>
      </c>
      <c r="AI68" s="55">
        <f>IFERROR(VLOOKUP($D68,'Adient Taizhou (China) WK.16'!$B:AA,AH$1,0),0)</f>
        <v>0</v>
      </c>
      <c r="AJ68" s="41">
        <v>80</v>
      </c>
      <c r="AK68" s="32">
        <v>0</v>
      </c>
      <c r="AL68" s="106">
        <f t="shared" si="239"/>
        <v>1120</v>
      </c>
      <c r="AN68" s="37">
        <f t="shared" si="432"/>
        <v>1120</v>
      </c>
      <c r="AO68" s="125">
        <f>IFERROR(VLOOKUP($D68,'Adient Assende (Belgium) WK.17'!$B:AI,AP$1,0),0)</f>
        <v>80</v>
      </c>
      <c r="AP68" s="55">
        <f>IFERROR(VLOOKUP($D68,'Adient Arendal (Malzia) WK.12'!$B:AI,AP$1,0),0)</f>
        <v>0</v>
      </c>
      <c r="AQ68" s="55">
        <f>IFERROR(VLOOKUP($D68,'Adient Taizhou (China) WK.16'!$B:AI,AP$1,0),0)</f>
        <v>0</v>
      </c>
      <c r="AR68" s="60">
        <v>0</v>
      </c>
      <c r="AS68" s="41">
        <v>0</v>
      </c>
      <c r="AT68" s="32">
        <v>0</v>
      </c>
      <c r="AU68" s="106">
        <f t="shared" si="240"/>
        <v>1120</v>
      </c>
      <c r="AW68" s="37">
        <f t="shared" si="433"/>
        <v>1120</v>
      </c>
      <c r="AX68" s="125">
        <f>IFERROR(VLOOKUP($D68,'Adient Assende (Belgium) WK.17'!$B:AR,AY$1,0),0)</f>
        <v>0</v>
      </c>
      <c r="AY68" s="55">
        <f>IFERROR(VLOOKUP($D68,'Adient Arendal (Malzia) WK.12'!$B:AR,AY$1,0),0)</f>
        <v>0</v>
      </c>
      <c r="AZ68" s="55">
        <f>IFERROR(VLOOKUP($D68,'Adient Taizhou (China) WK.16'!$B:AU,AY$1,0),0)</f>
        <v>0</v>
      </c>
      <c r="BA68" s="41">
        <v>0</v>
      </c>
      <c r="BB68" s="32">
        <v>0</v>
      </c>
      <c r="BC68" s="106">
        <f t="shared" si="241"/>
        <v>1120</v>
      </c>
      <c r="BE68" s="37">
        <f t="shared" si="434"/>
        <v>1120</v>
      </c>
      <c r="BF68" s="125">
        <f>IFERROR(VLOOKUP($D68,'Adient Assende (Belgium) WK.17'!$B:AX,BG$1,0),0)</f>
        <v>0</v>
      </c>
      <c r="BG68" s="55">
        <f>IFERROR(VLOOKUP($D68,'Adient Arendal (Malzia) WK.12'!$B:AZ,BG$1,0),0)</f>
        <v>0</v>
      </c>
      <c r="BH68" s="55">
        <f>IFERROR(VLOOKUP($D68,'Adient Taizhou (China) WK.16'!$B:BB,BG$1,0),0)</f>
        <v>0</v>
      </c>
      <c r="BI68" s="60">
        <v>0</v>
      </c>
      <c r="BJ68" s="60">
        <v>0</v>
      </c>
      <c r="BK68" s="41">
        <v>0</v>
      </c>
      <c r="BL68" s="32">
        <v>0</v>
      </c>
      <c r="BM68" s="106">
        <f t="shared" si="242"/>
        <v>1120</v>
      </c>
      <c r="BN68" s="8"/>
      <c r="BO68" s="37">
        <f t="shared" si="435"/>
        <v>1120</v>
      </c>
      <c r="BP68" s="125">
        <f>IFERROR(VLOOKUP($D68,'Adient Assende (Belgium) WK.17'!$B:BH,BQ$1,0),0)</f>
        <v>0</v>
      </c>
      <c r="BQ68" s="55">
        <f>IFERROR(VLOOKUP($D68,'Adient Arendal (Malzia) WK.12'!$B:BI,BQ$1,0),0)</f>
        <v>0</v>
      </c>
      <c r="BR68" s="55">
        <f>IFERROR(VLOOKUP($D68,'Adient Taizhou (China) WK.16'!$B:BL,BQ$1,0),0)</f>
        <v>0</v>
      </c>
      <c r="BS68" s="60">
        <v>0</v>
      </c>
      <c r="BT68" s="60">
        <v>0</v>
      </c>
      <c r="BU68" s="60">
        <v>0</v>
      </c>
      <c r="BV68" s="41">
        <v>80</v>
      </c>
      <c r="BW68" s="32">
        <v>0</v>
      </c>
      <c r="BX68" s="106">
        <f t="shared" si="243"/>
        <v>1040</v>
      </c>
      <c r="BY68" s="8"/>
      <c r="BZ68" s="37">
        <f t="shared" si="436"/>
        <v>1040</v>
      </c>
      <c r="CA68" s="125">
        <f>IFERROR(VLOOKUP($D68,'Adient Assende (Belgium) WK.17'!$B:BS,CB$1,0),0)</f>
        <v>80</v>
      </c>
      <c r="CB68" s="55">
        <f>IFERROR(VLOOKUP($D68,'Adient Arendal (Malzia) WK.12'!$B:BT,CB$1,0),0)</f>
        <v>0</v>
      </c>
      <c r="CC68" s="55">
        <f>IFERROR(VLOOKUP($D68,'Adient Taizhou (China) WK.16'!$B:BW,CB$1,0),0)</f>
        <v>0</v>
      </c>
      <c r="CD68" s="60">
        <v>0</v>
      </c>
      <c r="CE68" s="60">
        <v>0</v>
      </c>
      <c r="CF68" s="41">
        <v>0</v>
      </c>
      <c r="CG68" s="32">
        <v>0</v>
      </c>
      <c r="CH68" s="106">
        <f t="shared" si="244"/>
        <v>1040</v>
      </c>
      <c r="CI68" s="8"/>
      <c r="CJ68" s="37">
        <f t="shared" si="437"/>
        <v>1040</v>
      </c>
      <c r="CK68" s="125">
        <f>IFERROR(VLOOKUP($D68,'Adient Assende (Belgium) WK.17'!$B:CC,CL$1,0),0)</f>
        <v>0</v>
      </c>
      <c r="CL68" s="55">
        <f>IFERROR(VLOOKUP($D68,'Adient Arendal (Malzia) WK.12'!$B:CD,CL$1,0),0)</f>
        <v>0</v>
      </c>
      <c r="CM68" s="55">
        <f>IFERROR(VLOOKUP($D68,'Adient Taizhou (China) WK.16'!$B:CG,CL$1,0),0)</f>
        <v>0</v>
      </c>
      <c r="CN68" s="60">
        <v>0</v>
      </c>
      <c r="CO68" s="149">
        <v>0</v>
      </c>
      <c r="CP68" s="32">
        <v>0</v>
      </c>
      <c r="CQ68" s="106">
        <f t="shared" si="245"/>
        <v>1040</v>
      </c>
      <c r="CR68" s="8"/>
      <c r="CS68" s="122">
        <f t="shared" si="438"/>
        <v>1040</v>
      </c>
      <c r="CT68" s="154">
        <f>IFERROR(VLOOKUP($D68,'Adient Assende (Belgium) WK.17'!$B:CL,CU$1,0),0)</f>
        <v>0</v>
      </c>
      <c r="CU68" s="55">
        <f>IFERROR(VLOOKUP($D68,'Adient Arendal (Malzia) WK.12'!$B:CM,CU$1,0),0)</f>
        <v>0</v>
      </c>
      <c r="CV68" s="55">
        <f>IFERROR(VLOOKUP($D68,'Adient Taizhou (China) WK.16'!$B:CP,CU$1,0),0)</f>
        <v>0</v>
      </c>
      <c r="CW68" s="60">
        <v>0</v>
      </c>
      <c r="CX68" s="60">
        <v>0</v>
      </c>
      <c r="CY68" s="128">
        <v>80</v>
      </c>
      <c r="CZ68" s="32">
        <v>0</v>
      </c>
      <c r="DA68" s="106">
        <f t="shared" si="246"/>
        <v>960</v>
      </c>
      <c r="DB68" s="8"/>
      <c r="DC68" s="37">
        <f t="shared" si="439"/>
        <v>960</v>
      </c>
      <c r="DD68" s="125">
        <f>IFERROR(VLOOKUP($D68,'Adient Assende (Belgium) WK.17'!$B:CS,DE$1,0),0)</f>
        <v>80</v>
      </c>
      <c r="DE68" s="55">
        <f>IFERROR(VLOOKUP($D68,'Adient Arendal (Malzia) WK.12'!$B:CU,DE$1,0),0)</f>
        <v>20</v>
      </c>
      <c r="DF68" s="55">
        <f>IFERROR(VLOOKUP($D68,'Adient Taizhou (China) WK.16'!$B:CX,DE$1,0),0)</f>
        <v>0</v>
      </c>
      <c r="DG68" s="60">
        <v>0</v>
      </c>
      <c r="DH68" s="128">
        <v>0</v>
      </c>
      <c r="DI68" s="32">
        <v>0</v>
      </c>
      <c r="DJ68" s="106">
        <f t="shared" si="247"/>
        <v>940</v>
      </c>
      <c r="DL68" s="37">
        <f t="shared" si="440"/>
        <v>940</v>
      </c>
      <c r="DM68" s="125">
        <f>IFERROR(VLOOKUP($D68,'Adient Assende (Belgium) WK.17'!$B:DB,DN$1,0),0)</f>
        <v>0</v>
      </c>
      <c r="DN68" s="55">
        <f>IFERROR(VLOOKUP($D68,'Adient Arendal (Malzia) WK.12'!$B:DC,DN$1,0),0)</f>
        <v>0</v>
      </c>
      <c r="DO68" s="55">
        <f>IFERROR(VLOOKUP($D68,'Adient Taizhou (China) WK.16'!$B:DF,DN$1,0),0)</f>
        <v>0</v>
      </c>
      <c r="DP68" s="128">
        <v>80</v>
      </c>
      <c r="DQ68" s="32">
        <v>0</v>
      </c>
      <c r="DR68" s="106">
        <f t="shared" si="441"/>
        <v>860</v>
      </c>
      <c r="DS68" s="8"/>
      <c r="DT68" s="37">
        <f t="shared" si="442"/>
        <v>860</v>
      </c>
      <c r="DU68" s="125">
        <f>IFERROR(VLOOKUP($D68,'Adient Assende (Belgium) WK.17'!$B:DJ,DV$1,0),0)</f>
        <v>80</v>
      </c>
      <c r="DV68" s="55">
        <f>IFERROR(VLOOKUP($D68,'Adient Arendal (Malzia) WK.12'!$B:DK,DV$1,0),0)</f>
        <v>0</v>
      </c>
      <c r="DW68" s="55">
        <f>IFERROR(VLOOKUP($D68,'Adient Taizhou (China) WK.16'!$B:DN,DV$1,0),0)</f>
        <v>0</v>
      </c>
      <c r="DX68" s="60">
        <v>0</v>
      </c>
      <c r="DY68" s="60">
        <v>0</v>
      </c>
      <c r="DZ68" s="128">
        <v>0</v>
      </c>
      <c r="EA68" s="32">
        <v>0</v>
      </c>
      <c r="EB68" s="106">
        <f t="shared" si="248"/>
        <v>860</v>
      </c>
      <c r="EC68" s="8"/>
      <c r="ED68" s="37">
        <f t="shared" si="443"/>
        <v>860</v>
      </c>
      <c r="EE68" s="125">
        <f>IFERROR(VLOOKUP($D68,'Adient Assende (Belgium) WK.17'!$B:DR,EF$1,0),0)</f>
        <v>0</v>
      </c>
      <c r="EF68" s="55">
        <f>IFERROR(VLOOKUP($D68,'Adient Arendal (Malzia) WK.12'!$B:DS,EF$1,0),0)</f>
        <v>0</v>
      </c>
      <c r="EG68" s="55">
        <f>IFERROR(VLOOKUP($D68,'Adient Taizhou (China) WK.16'!$B:DV,EF$1,0),0)</f>
        <v>0</v>
      </c>
      <c r="EH68" s="60">
        <v>0</v>
      </c>
      <c r="EI68" s="128">
        <v>0</v>
      </c>
      <c r="EJ68" s="32">
        <v>0</v>
      </c>
      <c r="EK68" s="106">
        <f t="shared" si="249"/>
        <v>860</v>
      </c>
      <c r="EM68" s="37">
        <f t="shared" si="444"/>
        <v>860</v>
      </c>
      <c r="EN68" s="125">
        <f>IFERROR(VLOOKUP($D68,'Adient Assende (Belgium) WK.17'!$B:DZ,EO$1,0),0)</f>
        <v>0</v>
      </c>
      <c r="EO68" s="55">
        <f>IFERROR(VLOOKUP($D68,'Adient Arendal (Malzia) WK.12'!$B:EA,EO$1,0),0)</f>
        <v>0</v>
      </c>
      <c r="EP68" s="55">
        <f>IFERROR(VLOOKUP($D68,'Adient Taizhou (China) WK.16'!$B:ED,EO$1,0),0)</f>
        <v>0</v>
      </c>
      <c r="EQ68" s="128">
        <v>160</v>
      </c>
      <c r="ER68" s="32">
        <v>0</v>
      </c>
      <c r="ES68" s="106">
        <f t="shared" si="250"/>
        <v>700</v>
      </c>
      <c r="EU68" s="37">
        <f t="shared" si="445"/>
        <v>700</v>
      </c>
      <c r="EV68" s="125">
        <f>IFERROR(VLOOKUP($D68,'Adient Assende (Belgium) WK.17'!$B:EH,EW$1,0),0)</f>
        <v>160</v>
      </c>
      <c r="EW68" s="55">
        <f>IFERROR(VLOOKUP($D68,'Adient Arendal (Malzia) WK.12'!$B:EI,EW$1,0),0)</f>
        <v>0</v>
      </c>
      <c r="EX68" s="55">
        <f>IFERROR(VLOOKUP($D68,'Adient Taizhou (China) WK.16'!$B:EL,EW$1,0),0)</f>
        <v>0</v>
      </c>
      <c r="EY68" s="128">
        <v>0</v>
      </c>
      <c r="EZ68" s="32">
        <v>0</v>
      </c>
      <c r="FA68" s="106">
        <f t="shared" si="251"/>
        <v>700</v>
      </c>
      <c r="FC68" s="37">
        <f t="shared" si="446"/>
        <v>700</v>
      </c>
      <c r="FD68" s="154">
        <f>IFERROR(VLOOKUP($D68,'Adient Assende (Belgium) WK.17'!$B:EP,FE$1,0),0)</f>
        <v>0</v>
      </c>
      <c r="FE68" s="154">
        <f>IFERROR(VLOOKUP($D68,'Adient Arendal (Malzia) WK.12'!$B:EQ,FE$1,0),0)</f>
        <v>0</v>
      </c>
      <c r="FF68" s="154">
        <f>IFERROR(VLOOKUP($D68,'Adient Taizhou (China) WK.16'!$B:ET,FE$1,0),0)</f>
        <v>0</v>
      </c>
      <c r="FG68" s="128">
        <v>0</v>
      </c>
      <c r="FH68" s="32">
        <v>0</v>
      </c>
      <c r="FI68" s="106">
        <f t="shared" si="252"/>
        <v>700</v>
      </c>
      <c r="FK68" s="37">
        <f t="shared" si="447"/>
        <v>700</v>
      </c>
      <c r="FL68" s="125">
        <f>IFERROR(VLOOKUP($D68,'Adient Assende (Belgium) WK.17'!$B:EX,FM$1,0),0)</f>
        <v>0</v>
      </c>
      <c r="FM68" s="55">
        <f>IFERROR(VLOOKUP($D68,'Adient Arendal (Malzia) WK.12'!$B:EY,FM$1,0),0)</f>
        <v>0</v>
      </c>
      <c r="FN68" s="55">
        <f>IFERROR(VLOOKUP($D68,'Adient Taizhou (China) WK.16'!$B:FB,FM$1,0),0)</f>
        <v>0</v>
      </c>
      <c r="FO68" s="128">
        <v>80</v>
      </c>
      <c r="FP68" s="32">
        <v>0</v>
      </c>
      <c r="FQ68" s="106">
        <f t="shared" si="253"/>
        <v>620</v>
      </c>
      <c r="FR68" s="8"/>
      <c r="FS68" s="37">
        <f t="shared" si="448"/>
        <v>620</v>
      </c>
      <c r="FT68" s="125">
        <f>IFERROR(VLOOKUP($D68,'Adient Assende (Belgium) WK.17'!$B:FF,FU$1,0),0)</f>
        <v>80</v>
      </c>
      <c r="FU68" s="55">
        <f>IFERROR(VLOOKUP($D68,'Adient Arendal (Malzia) WK.12'!$B:FG,FU$1,0),0)</f>
        <v>0</v>
      </c>
      <c r="FV68" s="55">
        <f>IFERROR(VLOOKUP($D68,'Adient Taizhou (China) WK.16'!$B:FJ,FU$1,0),0)</f>
        <v>0</v>
      </c>
      <c r="FW68" s="60">
        <v>0</v>
      </c>
      <c r="FX68" s="60">
        <v>0</v>
      </c>
      <c r="FY68" s="60">
        <v>0</v>
      </c>
      <c r="FZ68" s="60">
        <v>0</v>
      </c>
      <c r="GA68" s="60">
        <v>0</v>
      </c>
      <c r="GB68" s="128">
        <v>80</v>
      </c>
      <c r="GC68" s="32">
        <v>0</v>
      </c>
      <c r="GD68" s="106">
        <f t="shared" si="254"/>
        <v>540</v>
      </c>
      <c r="GF68" s="37">
        <f t="shared" si="449"/>
        <v>540</v>
      </c>
      <c r="GG68" s="125">
        <f>IFERROR(VLOOKUP($D68,'Adient Assende (Belgium) WK.17'!$B:FN,GH$1,0),0)</f>
        <v>80</v>
      </c>
      <c r="GH68" s="55">
        <f>IFERROR(VLOOKUP($D68,'Adient Arendal (Malzia) WK.12'!$B:FO,GH$1,0),0)</f>
        <v>0</v>
      </c>
      <c r="GI68" s="55">
        <f>IFERROR(VLOOKUP($D68,'Adient Taizhou (China) WK.16'!$B:FR,GH$1,0),0)</f>
        <v>0</v>
      </c>
      <c r="GJ68" s="60">
        <v>200</v>
      </c>
      <c r="GK68" s="128">
        <v>160</v>
      </c>
      <c r="GL68" s="32">
        <v>0</v>
      </c>
      <c r="GM68" s="106">
        <f t="shared" si="255"/>
        <v>580</v>
      </c>
      <c r="GO68" s="37">
        <f t="shared" si="450"/>
        <v>580</v>
      </c>
      <c r="GP68" s="125">
        <f>IFERROR(VLOOKUP($D68,'Adient Assende (Belgium) WK.17'!$B:FV,GQ$1,0),0)</f>
        <v>160</v>
      </c>
      <c r="GQ68" s="55">
        <f>IFERROR(VLOOKUP($D68,'Adient Arendal (Malzia) WK.12'!$B:FW,GQ$1,0),0)</f>
        <v>0</v>
      </c>
      <c r="GR68" s="55">
        <f>IFERROR(VLOOKUP($D68,'Adient Taizhou (China) WK.16'!$B:FZ,GQ$1,0),0)</f>
        <v>0</v>
      </c>
      <c r="GS68" s="60">
        <v>0</v>
      </c>
      <c r="GT68" s="128">
        <v>160</v>
      </c>
      <c r="GU68" s="32">
        <v>0</v>
      </c>
      <c r="GV68" s="106">
        <f t="shared" si="256"/>
        <v>420</v>
      </c>
      <c r="GW68" s="8"/>
      <c r="GX68" s="37">
        <f t="shared" si="451"/>
        <v>420</v>
      </c>
      <c r="GY68" s="125">
        <f>IFERROR(VLOOKUP($D68,'Adient Assende (Belgium) WK.17'!$B:GD,GZ$1,0),0)</f>
        <v>160</v>
      </c>
      <c r="GZ68" s="55">
        <f>IFERROR(VLOOKUP($D68,'Adient Arendal (Malzia) WK.12'!$B:GE,GZ$1,0),0)</f>
        <v>0</v>
      </c>
      <c r="HA68" s="55">
        <f>IFERROR(VLOOKUP($D68,'Adient Taizhou (China) WK.16'!$B:GH,GZ$1,0),0)</f>
        <v>0</v>
      </c>
      <c r="HB68" s="60">
        <v>620</v>
      </c>
      <c r="HC68" s="128">
        <v>80</v>
      </c>
      <c r="HD68" s="32">
        <v>0</v>
      </c>
      <c r="HE68" s="106">
        <f t="shared" si="257"/>
        <v>960</v>
      </c>
      <c r="HF68" s="8"/>
      <c r="HG68" s="37">
        <f t="shared" si="452"/>
        <v>960</v>
      </c>
      <c r="HH68" s="125">
        <f>IFERROR(VLOOKUP($D68,'Adient Assende (Belgium) WK.17'!$B:GL,HI$1,0),0)</f>
        <v>80</v>
      </c>
      <c r="HI68" s="55">
        <f>IFERROR(VLOOKUP($D68,'Adient Arendal (Malzia) WK.12'!$B:GM,HI$1,0),0)</f>
        <v>0</v>
      </c>
      <c r="HJ68" s="55">
        <f>IFERROR(VLOOKUP($D68,'Adient Taizhou (China) WK.16'!$B:GP,HI$1,0),0)</f>
        <v>0</v>
      </c>
      <c r="HK68" s="60">
        <v>160</v>
      </c>
      <c r="HL68" s="128">
        <v>80</v>
      </c>
      <c r="HM68" s="32">
        <v>0</v>
      </c>
      <c r="HN68" s="106">
        <f t="shared" si="258"/>
        <v>1040</v>
      </c>
      <c r="HO68" s="8"/>
      <c r="HP68" s="37">
        <f t="shared" si="453"/>
        <v>1040</v>
      </c>
      <c r="HQ68" s="125">
        <f>IFERROR(VLOOKUP($D68,'Adient Assende (Belgium) WK.17'!$B:GT,HR$1,0),0)</f>
        <v>80</v>
      </c>
      <c r="HR68" s="55">
        <f>IFERROR(VLOOKUP($D68,'Adient Arendal (Malzia) WK.12'!$B:GU,HR$1,0),0)</f>
        <v>0</v>
      </c>
      <c r="HS68" s="55">
        <f>IFERROR(VLOOKUP($D68,'Adient Taizhou (China) WK.16'!$B:GX,HR$1,0),0)</f>
        <v>0</v>
      </c>
      <c r="HT68" s="60">
        <v>0</v>
      </c>
      <c r="HU68" s="128">
        <v>140</v>
      </c>
      <c r="HV68" s="32">
        <v>0</v>
      </c>
      <c r="HW68" s="106">
        <f t="shared" si="259"/>
        <v>900</v>
      </c>
      <c r="HX68" s="8"/>
      <c r="HY68" s="37">
        <f t="shared" si="454"/>
        <v>900</v>
      </c>
      <c r="HZ68" s="125">
        <f>IFERROR(VLOOKUP($D68,'Adient Assende (Belgium) WK.17'!$B:HB,IA$1,0),0)</f>
        <v>140</v>
      </c>
      <c r="IA68" s="55">
        <f>IFERROR(VLOOKUP($D68,'Adient Arendal (Malzia) WK.12'!$B:HC,IA$1,0),0)</f>
        <v>0</v>
      </c>
      <c r="IB68" s="55">
        <f>IFERROR(VLOOKUP($D68,'Adient Taizhou (China) WK.16'!$B:HF,IA$1,0),0)</f>
        <v>0</v>
      </c>
      <c r="IC68" s="60">
        <v>260</v>
      </c>
      <c r="ID68" s="128">
        <v>160</v>
      </c>
      <c r="IE68" s="32">
        <v>0</v>
      </c>
      <c r="IF68" s="106">
        <f t="shared" si="260"/>
        <v>1000</v>
      </c>
      <c r="IG68" s="8"/>
      <c r="IH68" s="37">
        <f t="shared" si="455"/>
        <v>1000</v>
      </c>
      <c r="II68" s="125">
        <f>IFERROR(VLOOKUP($D68,'Adient Assende (Belgium) WK.17'!$B:HJ,IJ$1,0),0)</f>
        <v>160</v>
      </c>
      <c r="IJ68" s="55">
        <f>IFERROR(VLOOKUP($D68,'Adient Arendal (Malzia) WK.12'!$B:HK,IJ$1,0),0)</f>
        <v>0</v>
      </c>
      <c r="IK68" s="55">
        <f>IFERROR(VLOOKUP($D68,'Adient Taizhou (China) WK.16'!$B:HN,IJ$1,0),0)</f>
        <v>0</v>
      </c>
      <c r="IL68" s="128">
        <v>160</v>
      </c>
      <c r="IM68" s="32">
        <v>0</v>
      </c>
      <c r="IN68" s="106">
        <f t="shared" si="456"/>
        <v>840</v>
      </c>
      <c r="IO68" s="8"/>
      <c r="IP68" s="37">
        <f t="shared" si="457"/>
        <v>840</v>
      </c>
      <c r="IQ68" s="125">
        <f>IFERROR(VLOOKUP($D68,'Adient Assende (Belgium) WK.17'!$B:HR,IR$1,0),0)</f>
        <v>160</v>
      </c>
      <c r="IR68" s="55">
        <f>IFERROR(VLOOKUP($D68,'Adient Arendal (Malzia) WK.12'!$B:HS,IR$1,0),0)</f>
        <v>0</v>
      </c>
      <c r="IS68" s="55">
        <f>IFERROR(VLOOKUP($D68,'Adient Taizhou (China) WK.16'!$B:HV,IR$1,0),0)</f>
        <v>0</v>
      </c>
      <c r="IT68" s="60">
        <v>300</v>
      </c>
      <c r="IU68" s="128">
        <v>80</v>
      </c>
      <c r="IV68" s="32">
        <v>0</v>
      </c>
      <c r="IW68" s="106">
        <f t="shared" si="261"/>
        <v>1060</v>
      </c>
      <c r="IX68" s="8"/>
      <c r="IY68" s="37">
        <f t="shared" si="458"/>
        <v>1060</v>
      </c>
      <c r="IZ68" s="125">
        <f>IFERROR(VLOOKUP($D68,'Adient Assende (Belgium) WK.17'!$B:HZ,JA$1,0),0)</f>
        <v>80</v>
      </c>
      <c r="JA68" s="55">
        <f>IFERROR(VLOOKUP($D68,'Adient Arendal (Malzia) WK.12'!$B:IA,JA$1,0),0)</f>
        <v>0</v>
      </c>
      <c r="JB68" s="55">
        <f>IFERROR(VLOOKUP($D68,'Adient Taizhou (China) WK.16'!$B:ID,JA$1,0),0)</f>
        <v>0</v>
      </c>
      <c r="JC68" s="128">
        <v>80</v>
      </c>
      <c r="JD68" s="32">
        <v>0</v>
      </c>
      <c r="JE68" s="106">
        <f t="shared" si="459"/>
        <v>980</v>
      </c>
      <c r="JF68" s="8"/>
      <c r="JG68" s="37">
        <f t="shared" si="460"/>
        <v>980</v>
      </c>
      <c r="JH68" s="125">
        <f>IFERROR(VLOOKUP($D68,'Adient Assende (Belgium) WK.17'!$B:IH,JI$1,0),0)</f>
        <v>80</v>
      </c>
      <c r="JI68" s="55">
        <f>IFERROR(VLOOKUP($D68,'Adient Arendal (Malzia) WK.12'!$B:II,JI$1,0),0)</f>
        <v>0</v>
      </c>
      <c r="JJ68" s="55">
        <f>IFERROR(VLOOKUP($D68,'Adient Taizhou (China) WK.16'!$B:IL,JI$1,0),0)</f>
        <v>0</v>
      </c>
      <c r="JK68" s="60">
        <v>260</v>
      </c>
      <c r="JL68" s="128">
        <v>240</v>
      </c>
      <c r="JM68" s="32">
        <v>0</v>
      </c>
      <c r="JN68" s="106">
        <f t="shared" si="262"/>
        <v>1000</v>
      </c>
      <c r="JO68" s="8"/>
      <c r="JP68" s="37">
        <f t="shared" si="461"/>
        <v>1000</v>
      </c>
      <c r="JQ68" s="125">
        <f>IFERROR(VLOOKUP($D68,'Adient Assende (Belgium) WK.17'!$B:IP,JR$1,0),0)</f>
        <v>240</v>
      </c>
      <c r="JR68" s="55">
        <f>IFERROR(VLOOKUP($D68,'Adient Arendal (Malzia) WK.12'!$B:IQ,JR$1,0),0)</f>
        <v>0</v>
      </c>
      <c r="JS68" s="55">
        <f>IFERROR(VLOOKUP($D68,'Adient Taizhou (China) WK.16'!$B:IT,JR$1,0),0)</f>
        <v>0</v>
      </c>
      <c r="JT68" s="128">
        <v>0</v>
      </c>
      <c r="JU68" s="32">
        <v>0</v>
      </c>
      <c r="JV68" s="106">
        <f t="shared" si="462"/>
        <v>1000</v>
      </c>
      <c r="JW68" s="8"/>
      <c r="JX68" s="37">
        <f t="shared" si="463"/>
        <v>1000</v>
      </c>
      <c r="JY68" s="154">
        <f>IFERROR(VLOOKUP($D68,'Adient Assende (Belgium) WK.17'!$B:IX,JZ$1,0),0)</f>
        <v>0</v>
      </c>
      <c r="JZ68" s="55">
        <f>IFERROR(VLOOKUP($D68,'Adient Arendal (Malzia) WK.12'!$B:IY,JZ$1,0),0)</f>
        <v>0</v>
      </c>
      <c r="KA68" s="55">
        <f>IFERROR(VLOOKUP($D68,'Adient Taizhou (China) WK.16'!$B:JB,JZ$1,0),0)</f>
        <v>0</v>
      </c>
      <c r="KB68" s="128">
        <v>400</v>
      </c>
      <c r="KC68" s="32">
        <v>0</v>
      </c>
      <c r="KD68" s="106">
        <f t="shared" si="263"/>
        <v>600</v>
      </c>
      <c r="KE68" s="8"/>
      <c r="KF68" s="37">
        <f t="shared" si="464"/>
        <v>600</v>
      </c>
      <c r="KG68" s="125">
        <f>IFERROR(VLOOKUP($D68,'Adient Assende (Belgium) WK.17'!$B:JF,KH$1,0),0)</f>
        <v>400</v>
      </c>
      <c r="KH68" s="55">
        <f>IFERROR(VLOOKUP($D68,'Adient Arendal (Malzia) WK.12'!$B:JG,KH$1,0),0)</f>
        <v>0</v>
      </c>
      <c r="KI68" s="55">
        <f>IFERROR(VLOOKUP($D68,'Adient Taizhou (China) WK.16'!$B:JJ,KH$1,0),0)</f>
        <v>0</v>
      </c>
      <c r="KJ68" s="60">
        <v>0</v>
      </c>
      <c r="KK68" s="128">
        <v>240</v>
      </c>
      <c r="KL68" s="32">
        <v>0</v>
      </c>
      <c r="KM68" s="106">
        <f t="shared" si="264"/>
        <v>360</v>
      </c>
      <c r="KN68" s="8"/>
      <c r="KO68" s="37">
        <f t="shared" si="465"/>
        <v>360</v>
      </c>
      <c r="KP68" s="141">
        <f>IFERROR(VLOOKUP($D68,'Adient Assende (Belgium) WK.17'!$B:JN,KQ$1,0),0)</f>
        <v>240</v>
      </c>
      <c r="KQ68" s="140">
        <f>IFERROR(VLOOKUP($D68,'Adient Arendal (Malzia) WK.12'!$B:JO,KQ$1,0),0)</f>
        <v>0</v>
      </c>
      <c r="KR68" s="140">
        <f>IFERROR(VLOOKUP($D68,'Adient Taizhou (China) WK.16'!$B:JR,KQ$1,0),0)</f>
        <v>0</v>
      </c>
      <c r="KS68" s="60">
        <v>60</v>
      </c>
      <c r="KT68" s="128">
        <v>160</v>
      </c>
      <c r="KU68" s="32">
        <v>0</v>
      </c>
      <c r="KV68" s="106">
        <f t="shared" si="265"/>
        <v>260</v>
      </c>
      <c r="KX68" s="37">
        <f t="shared" si="466"/>
        <v>260</v>
      </c>
      <c r="KY68" s="141">
        <f>IFERROR(VLOOKUP($D68,'Adient Assende (Belgium) WK.17'!$B:JV,KZ$1,0),0)</f>
        <v>160</v>
      </c>
      <c r="KZ68" s="140">
        <f>IFERROR(VLOOKUP($D68,'Adient Arendal (Malzia) WK.12'!$B:JW,KZ$1,0),0)</f>
        <v>0</v>
      </c>
      <c r="LA68" s="140">
        <f>IFERROR(VLOOKUP($D68,'Adient Taizhou (China) WK.16'!$B:JZ,KZ$1,0),0)</f>
        <v>0</v>
      </c>
      <c r="LB68" s="128">
        <v>0</v>
      </c>
      <c r="LC68" s="32">
        <v>0</v>
      </c>
      <c r="LD68" s="106">
        <f t="shared" si="467"/>
        <v>260</v>
      </c>
      <c r="LF68" s="37">
        <f t="shared" si="468"/>
        <v>260</v>
      </c>
      <c r="LG68" s="141">
        <f>IFERROR(VLOOKUP($D68,'Adient Assende (Belgium) WK.17'!$B:KD,LH$1,0),0)</f>
        <v>80</v>
      </c>
      <c r="LH68" s="140">
        <f>IFERROR(VLOOKUP($D68,'Adient Arendal (Malzia) WK.12'!$B:KE,LH$1,0),0)</f>
        <v>0</v>
      </c>
      <c r="LI68" s="140">
        <f>IFERROR(VLOOKUP($D68,'Adient Taizhou (China) WK.16'!$B:KH,LH$1,0),0)</f>
        <v>0</v>
      </c>
      <c r="LJ68" s="60">
        <v>0</v>
      </c>
      <c r="LK68" s="128">
        <v>0</v>
      </c>
      <c r="LL68" s="32">
        <v>0</v>
      </c>
      <c r="LM68" s="100">
        <f t="shared" si="267"/>
        <v>180</v>
      </c>
      <c r="LO68" s="37">
        <f t="shared" si="469"/>
        <v>180</v>
      </c>
      <c r="LP68" s="141">
        <f>IFERROR(VLOOKUP($D68,'Adient Assende (Belgium) WK.17'!$B:KL,LQ$1,0),0)</f>
        <v>0</v>
      </c>
      <c r="LQ68" s="140">
        <f>IFERROR(VLOOKUP($D68,'Adient Arendal (Malzia) WK.12'!$B:KM,LQ$1,0),0)</f>
        <v>0</v>
      </c>
      <c r="LR68" s="140">
        <f>IFERROR(VLOOKUP($D68,'Adient Taizhou (China) WK.16'!$B:KP,LQ$1,0),0)</f>
        <v>0</v>
      </c>
      <c r="LS68" s="128">
        <v>0</v>
      </c>
      <c r="LT68" s="32">
        <v>0</v>
      </c>
      <c r="LU68" s="100">
        <f t="shared" si="470"/>
        <v>180</v>
      </c>
      <c r="LW68" s="37">
        <f t="shared" si="471"/>
        <v>180</v>
      </c>
      <c r="LX68" s="141">
        <f>IFERROR(VLOOKUP($D68,'Adient Assende (Belgium) WK.17'!$B:KT,LY$1,0),0)</f>
        <v>160</v>
      </c>
      <c r="LY68" s="140">
        <f>IFERROR(VLOOKUP($D68,'Adient Arendal (Malzia) WK.12'!$B:KU,LY$1,0),0)</f>
        <v>0</v>
      </c>
      <c r="LZ68" s="140">
        <f>IFERROR(VLOOKUP($D68,'Adient Taizhou (China) WK.16'!$B:KX,LY$1,0),0)</f>
        <v>0</v>
      </c>
      <c r="MA68" s="128">
        <v>0</v>
      </c>
      <c r="MB68" s="32">
        <v>0</v>
      </c>
      <c r="MC68" s="100">
        <f t="shared" si="472"/>
        <v>20</v>
      </c>
      <c r="ME68" s="37">
        <f t="shared" si="473"/>
        <v>20</v>
      </c>
      <c r="MF68" s="154">
        <f>IFERROR(VLOOKUP($D68,'Adient Assende (Belgium) WK.17'!$B:LB,MG$1,0),0)</f>
        <v>0</v>
      </c>
      <c r="MG68" s="140">
        <f>IFERROR(VLOOKUP($D68,'Adient Arendal (Malzia) WK.12'!$B:LC,MG$1,0),0)</f>
        <v>0</v>
      </c>
      <c r="MH68" s="140">
        <f>IFERROR(VLOOKUP($D68,'Adient Taizhou (China) WK.16'!$B:LF,MG$1,0),0)</f>
        <v>0</v>
      </c>
      <c r="MI68" s="128">
        <v>0</v>
      </c>
      <c r="MJ68" s="32">
        <v>0</v>
      </c>
      <c r="MK68" s="100">
        <f t="shared" si="474"/>
        <v>20</v>
      </c>
      <c r="MM68" s="37">
        <f t="shared" si="475"/>
        <v>20</v>
      </c>
      <c r="MN68" s="141">
        <f>IFERROR(VLOOKUP($D68,'Adient Assende (Belgium) WK.17'!$B:LJ,MO$1,0),0)</f>
        <v>80</v>
      </c>
      <c r="MO68" s="140">
        <f>IFERROR(VLOOKUP($D68,'Adient Arendal (Malzia) WK.12'!$B:LK,MO$1,0),0)</f>
        <v>0</v>
      </c>
      <c r="MP68" s="140">
        <f>IFERROR(VLOOKUP($D68,'Adient Taizhou (China) WK.16'!$B:LN,MO$1,0),0)</f>
        <v>0</v>
      </c>
      <c r="MQ68" s="128">
        <v>0</v>
      </c>
      <c r="MR68" s="32">
        <v>0</v>
      </c>
      <c r="MS68" s="100">
        <f t="shared" si="476"/>
        <v>-60</v>
      </c>
      <c r="MU68" s="37">
        <f t="shared" si="477"/>
        <v>-60</v>
      </c>
      <c r="MV68" s="141">
        <f>IFERROR(VLOOKUP($D68,'Adient Assende (Belgium) WK.17'!$B:LR,MW$1,0),0)</f>
        <v>80</v>
      </c>
      <c r="MW68" s="140">
        <f>IFERROR(VLOOKUP($D68,'Adient Arendal (Malzia) WK.12'!$B:LS,MW$1,0),0)</f>
        <v>0</v>
      </c>
      <c r="MX68" s="140">
        <f>IFERROR(VLOOKUP($D68,'Adient Taizhou (China) WK.16'!$B:LV,MW$1,0),0)</f>
        <v>0</v>
      </c>
      <c r="MY68" s="128">
        <v>0</v>
      </c>
      <c r="MZ68" s="32">
        <v>0</v>
      </c>
      <c r="NA68" s="100">
        <f t="shared" si="478"/>
        <v>-140</v>
      </c>
      <c r="NC68" s="37">
        <f t="shared" si="479"/>
        <v>-140</v>
      </c>
      <c r="ND68" s="141">
        <f>IFERROR(VLOOKUP($D68,'Adient Assende (Belgium) WK.17'!$B:LZ,NE$1,0),0)</f>
        <v>80</v>
      </c>
      <c r="NE68" s="140">
        <f>IFERROR(VLOOKUP($D68,'Adient Arendal (Malzia) WK.12'!$B:MA,NE$1,0),0)</f>
        <v>0</v>
      </c>
      <c r="NF68" s="140">
        <f>IFERROR(VLOOKUP($D68,'Adient Taizhou (China) WK.16'!$B:MD,NE$1,0),0)</f>
        <v>0</v>
      </c>
      <c r="NG68" s="128">
        <v>0</v>
      </c>
      <c r="NH68" s="32">
        <v>0</v>
      </c>
      <c r="NI68" s="100">
        <f t="shared" si="480"/>
        <v>-220</v>
      </c>
      <c r="NK68" s="37">
        <f t="shared" si="481"/>
        <v>-220</v>
      </c>
      <c r="NL68" s="141">
        <f>IFERROR(VLOOKUP($D68,'Adient Assende (Belgium) WK.17'!$B:MH,NM$1,0),0)</f>
        <v>0</v>
      </c>
      <c r="NM68" s="140">
        <f>IFERROR(VLOOKUP($D68,'Adient Arendal (Malzia) WK.12'!$B:MI,NM$1,0),0)</f>
        <v>0</v>
      </c>
      <c r="NN68" s="140">
        <f>IFERROR(VLOOKUP($D68,'Adient Taizhou (China) WK.16'!$B:ML,NM$1,0),0)</f>
        <v>0</v>
      </c>
      <c r="NO68" s="128">
        <v>0</v>
      </c>
      <c r="NP68" s="32">
        <v>0</v>
      </c>
      <c r="NQ68" s="100">
        <f t="shared" si="482"/>
        <v>-220</v>
      </c>
      <c r="NS68" s="37">
        <f t="shared" si="483"/>
        <v>-220</v>
      </c>
      <c r="NT68" s="141">
        <f>IFERROR(VLOOKUP($D68,'Adient Assende (Belgium) WK.17'!$B:MP,NU$1,0),0)</f>
        <v>80</v>
      </c>
      <c r="NU68" s="140">
        <f>IFERROR(VLOOKUP($D68,'Adient Arendal (Malzia) WK.12'!$B:MQ,NU$1,0),0)</f>
        <v>0</v>
      </c>
      <c r="NV68" s="140">
        <f>IFERROR(VLOOKUP($D68,'Adient Taizhou (China) WK.16'!$B:MT,NU$1,0),0)</f>
        <v>0</v>
      </c>
      <c r="NW68" s="128">
        <v>0</v>
      </c>
      <c r="NX68" s="32">
        <v>0</v>
      </c>
      <c r="NY68" s="100">
        <f t="shared" si="484"/>
        <v>-300</v>
      </c>
      <c r="OA68" s="37">
        <f t="shared" si="485"/>
        <v>-300</v>
      </c>
      <c r="OB68" s="141">
        <f>IFERROR(VLOOKUP($D68,'Adient Assende (Belgium) WK.17'!$B:MX,OC$1,0),0)</f>
        <v>0</v>
      </c>
      <c r="OC68" s="140">
        <f>IFERROR(VLOOKUP($D68,'Adient Arendal (Malzia) WK.12'!$B:MY,OC$1,0),0)</f>
        <v>0</v>
      </c>
      <c r="OD68" s="140">
        <f>IFERROR(VLOOKUP($D68,'Adient Taizhou (China) WK.16'!$B:NB,OC$1,0),0)</f>
        <v>0</v>
      </c>
      <c r="OE68" s="128">
        <v>0</v>
      </c>
      <c r="OF68" s="32">
        <v>0</v>
      </c>
      <c r="OG68" s="100">
        <f t="shared" si="486"/>
        <v>-300</v>
      </c>
      <c r="OI68" s="37">
        <f t="shared" si="487"/>
        <v>-300</v>
      </c>
      <c r="OJ68" s="141">
        <f>IFERROR(VLOOKUP($D68,'Adient Assende (Belgium) WK.17'!$B:NF,OK$1,0),0)</f>
        <v>80</v>
      </c>
      <c r="OK68" s="140">
        <f>IFERROR(VLOOKUP($D68,'Adient Arendal (Malzia) WK.12'!$B:NG,OK$1,0),0)</f>
        <v>0</v>
      </c>
      <c r="OL68" s="140">
        <f>IFERROR(VLOOKUP($D68,'Adient Taizhou (China) WK.16'!$B:NJ,OK$1,0),0)</f>
        <v>0</v>
      </c>
      <c r="OM68" s="128">
        <v>0</v>
      </c>
      <c r="ON68" s="32">
        <v>0</v>
      </c>
      <c r="OO68" s="100">
        <f t="shared" si="488"/>
        <v>-380</v>
      </c>
      <c r="OQ68" s="37">
        <f t="shared" si="489"/>
        <v>-380</v>
      </c>
      <c r="OR68" s="141">
        <f>IFERROR(VLOOKUP($D68,'Adient Assende (Belgium) WK.17'!$B:NN,OS$1,0),0)</f>
        <v>0</v>
      </c>
      <c r="OS68" s="140">
        <f>IFERROR(VLOOKUP($D68,'Adient Arendal (Malzia) WK.12'!$B:NO,OS$1,0),0)</f>
        <v>0</v>
      </c>
      <c r="OT68" s="140">
        <f>IFERROR(VLOOKUP($D68,'Adient Taizhou (China) WK.16'!$B:NR,OS$1,0),0)</f>
        <v>0</v>
      </c>
      <c r="OU68" s="128">
        <v>0</v>
      </c>
      <c r="OV68" s="32">
        <v>0</v>
      </c>
      <c r="OW68" s="100">
        <f t="shared" si="490"/>
        <v>-380</v>
      </c>
      <c r="OY68" s="37">
        <f t="shared" si="491"/>
        <v>-380</v>
      </c>
      <c r="OZ68" s="141">
        <f>IFERROR(VLOOKUP($D68,'Adient Assende (Belgium) WK.17'!$B:NV,PA$1,0),0)</f>
        <v>0</v>
      </c>
      <c r="PA68" s="140">
        <f>IFERROR(VLOOKUP($D68,'Adient Arendal (Malzia) WK.12'!$B:NW,PA$1,0),0)</f>
        <v>0</v>
      </c>
      <c r="PB68" s="140">
        <f>IFERROR(VLOOKUP($D68,'Adient Taizhou (China) WK.16'!$B:NZ,PA$1,0),0)</f>
        <v>0</v>
      </c>
      <c r="PC68" s="128">
        <v>0</v>
      </c>
      <c r="PD68" s="32">
        <v>0</v>
      </c>
      <c r="PE68" s="100">
        <f t="shared" si="492"/>
        <v>-380</v>
      </c>
      <c r="PG68" s="37">
        <f t="shared" si="493"/>
        <v>-380</v>
      </c>
      <c r="PH68" s="141">
        <f>IFERROR(VLOOKUP($D68,'Adient Assende (Belgium) WK.17'!$B:OD,PI$1,0),0)</f>
        <v>0</v>
      </c>
      <c r="PI68" s="140">
        <f>IFERROR(VLOOKUP($D68,'Adient Arendal (Malzia) WK.12'!$B:OE,PI$1,0),0)</f>
        <v>0</v>
      </c>
      <c r="PJ68" s="140">
        <f>IFERROR(VLOOKUP($D68,'Adient Taizhou (China) WK.16'!$B:OH,PI$1,0),0)</f>
        <v>0</v>
      </c>
      <c r="PK68" s="128">
        <v>0</v>
      </c>
      <c r="PL68" s="32">
        <v>0</v>
      </c>
      <c r="PM68" s="100">
        <f t="shared" si="494"/>
        <v>-380</v>
      </c>
      <c r="PO68" s="37">
        <f t="shared" si="495"/>
        <v>-380</v>
      </c>
      <c r="PP68" s="141">
        <f>IFERROR(VLOOKUP($D68,'Adient Assende (Belgium) WK.17'!$B:OL,PQ$1,0),0)</f>
        <v>0</v>
      </c>
      <c r="PQ68" s="140">
        <f>IFERROR(VLOOKUP($D68,'Adient Arendal (Malzia) WK.12'!$B:OM,PQ$1,0),0)</f>
        <v>0</v>
      </c>
      <c r="PR68" s="140">
        <f>IFERROR(VLOOKUP($D68,'Adient Taizhou (China) WK.16'!$B:OP,PQ$1,0),0)</f>
        <v>0</v>
      </c>
      <c r="PS68" s="128">
        <v>0</v>
      </c>
      <c r="PT68" s="32">
        <v>0</v>
      </c>
      <c r="PU68" s="100">
        <f t="shared" si="496"/>
        <v>-380</v>
      </c>
      <c r="PW68" s="37">
        <f t="shared" si="497"/>
        <v>-380</v>
      </c>
      <c r="PX68" s="141">
        <f>IFERROR(VLOOKUP($D68,'Adient Assende (Belgium) WK.17'!$B:OT,PY$1,0),0)</f>
        <v>80</v>
      </c>
      <c r="PY68" s="140">
        <f>IFERROR(VLOOKUP($D68,'Adient Arendal (Malzia) WK.12'!$B:OU,PY$1,0),0)</f>
        <v>0</v>
      </c>
      <c r="PZ68" s="140">
        <f>IFERROR(VLOOKUP($D68,'Adient Taizhou (China) WK.16'!$B:OX,PY$1,0),0)</f>
        <v>0</v>
      </c>
      <c r="QA68" s="128">
        <v>0</v>
      </c>
      <c r="QB68" s="32">
        <v>0</v>
      </c>
      <c r="QC68" s="100">
        <f t="shared" si="498"/>
        <v>-460</v>
      </c>
      <c r="QE68" s="37">
        <f t="shared" si="499"/>
        <v>-460</v>
      </c>
      <c r="QF68" s="141">
        <f>IFERROR(VLOOKUP($D68,'Adient Assende (Belgium) WK.17'!$B:PB,QG$1,0),0)</f>
        <v>0</v>
      </c>
      <c r="QG68" s="140">
        <f>IFERROR(VLOOKUP($D68,'Adient Arendal (Malzia) WK.12'!$B:PC,QG$1,0),0)</f>
        <v>0</v>
      </c>
      <c r="QH68" s="140">
        <f>IFERROR(VLOOKUP($D68,'Adient Taizhou (China) WK.16'!$B:PF,QG$1,0),0)</f>
        <v>0</v>
      </c>
      <c r="QI68" s="128">
        <v>0</v>
      </c>
      <c r="QJ68" s="32">
        <v>0</v>
      </c>
      <c r="QK68" s="100">
        <f t="shared" si="500"/>
        <v>-460</v>
      </c>
      <c r="QM68" s="37">
        <f t="shared" si="501"/>
        <v>-460</v>
      </c>
      <c r="QN68" s="141">
        <f>IFERROR(VLOOKUP($D68,'Adient Assende (Belgium) WK.17'!$B:PJ,QO$1,0),0)</f>
        <v>80</v>
      </c>
      <c r="QO68" s="140">
        <f>IFERROR(VLOOKUP($D68,'Adient Arendal (Malzia) WK.12'!$B:PK,QO$1,0),0)</f>
        <v>0</v>
      </c>
      <c r="QP68" s="140">
        <f>IFERROR(VLOOKUP($D68,'Adient Taizhou (China) WK.16'!$B:PN,QO$1,0),0)</f>
        <v>0</v>
      </c>
      <c r="QQ68" s="128">
        <v>0</v>
      </c>
      <c r="QR68" s="32">
        <v>0</v>
      </c>
      <c r="QS68" s="100">
        <f t="shared" si="502"/>
        <v>-540</v>
      </c>
      <c r="QU68" s="37">
        <f t="shared" si="503"/>
        <v>-540</v>
      </c>
      <c r="QV68" s="141">
        <f>IFERROR(VLOOKUP($D68,'Adient Assende (Belgium) WK.17'!$B:PR,QW$1,0),0)</f>
        <v>20</v>
      </c>
      <c r="QW68" s="140">
        <f>IFERROR(VLOOKUP($D68,'Adient Arendal (Malzia) WK.12'!$B:PS,QW$1,0),0)</f>
        <v>0</v>
      </c>
      <c r="QX68" s="140">
        <f>IFERROR(VLOOKUP($D68,'Adient Taizhou (China) WK.16'!$B:PV,QW$1,0),0)</f>
        <v>0</v>
      </c>
      <c r="QY68" s="128">
        <v>0</v>
      </c>
      <c r="QZ68" s="32">
        <v>0</v>
      </c>
      <c r="RA68" s="100">
        <f t="shared" si="504"/>
        <v>-560</v>
      </c>
      <c r="RC68" s="37">
        <f t="shared" si="505"/>
        <v>-560</v>
      </c>
      <c r="RD68" s="141">
        <f>IFERROR(VLOOKUP($D68,'Adient Assende (Belgium) WK.17'!$B:PZ,RE$1,0),0)</f>
        <v>20</v>
      </c>
      <c r="RE68" s="140">
        <f>IFERROR(VLOOKUP($D68,'Adient Arendal (Malzia) WK.12'!$B:QA,RE$1,0),0)</f>
        <v>0</v>
      </c>
      <c r="RF68" s="140">
        <f>IFERROR(VLOOKUP($D68,'Adient Taizhou (China) WK.16'!$B:QD,RE$1,0),0)</f>
        <v>0</v>
      </c>
      <c r="RG68" s="128">
        <v>0</v>
      </c>
      <c r="RH68" s="32">
        <v>0</v>
      </c>
      <c r="RI68" s="100">
        <f t="shared" si="506"/>
        <v>-580</v>
      </c>
      <c r="RK68" s="37">
        <f t="shared" si="507"/>
        <v>-580</v>
      </c>
      <c r="RL68" s="141">
        <f>IFERROR(VLOOKUP($D68,'Adient Assende (Belgium) WK.17'!$B:QH,RM$1,0),0)</f>
        <v>20</v>
      </c>
      <c r="RM68" s="140">
        <f>IFERROR(VLOOKUP($D68,'Adient Arendal (Malzia) WK.12'!$B:QI,RM$1,0),0)</f>
        <v>0</v>
      </c>
      <c r="RN68" s="140">
        <f>IFERROR(VLOOKUP($D68,'Adient Taizhou (China) WK.16'!$B:QL,RM$1,0),0)</f>
        <v>0</v>
      </c>
      <c r="RO68" s="128">
        <v>0</v>
      </c>
      <c r="RP68" s="32">
        <v>0</v>
      </c>
      <c r="RQ68" s="100">
        <f t="shared" si="508"/>
        <v>-600</v>
      </c>
      <c r="RS68" s="37">
        <f t="shared" si="509"/>
        <v>-600</v>
      </c>
      <c r="RT68" s="141">
        <f>IFERROR(VLOOKUP($D68,'Adient Assende (Belgium) WK.17'!$B:QP,RU$1,0),0)</f>
        <v>20</v>
      </c>
      <c r="RU68" s="140">
        <f>IFERROR(VLOOKUP($D68,'Adient Arendal (Malzia) WK.12'!$B:QQ,RU$1,0),0)</f>
        <v>0</v>
      </c>
      <c r="RV68" s="140">
        <f>IFERROR(VLOOKUP($D68,'Adient Taizhou (China) WK.16'!$B:QT,RU$1,0),0)</f>
        <v>0</v>
      </c>
      <c r="RW68" s="128">
        <v>0</v>
      </c>
      <c r="RX68" s="32">
        <v>0</v>
      </c>
      <c r="RY68" s="100">
        <f t="shared" si="510"/>
        <v>-620</v>
      </c>
      <c r="SA68" s="37">
        <f t="shared" si="511"/>
        <v>-620</v>
      </c>
      <c r="SB68" s="141">
        <f>IFERROR(VLOOKUP($D68,'Adient Assende (Belgium) WK.17'!$B:QX,SC$1,0),0)</f>
        <v>40</v>
      </c>
      <c r="SC68" s="140">
        <f>IFERROR(VLOOKUP($D68,'Adient Arendal (Malzia) WK.12'!$B:QY,SC$1,0),0)</f>
        <v>0</v>
      </c>
      <c r="SD68" s="140">
        <f>IFERROR(VLOOKUP($D68,'Adient Taizhou (China) WK.16'!$B:RB,SC$1,0),0)</f>
        <v>0</v>
      </c>
      <c r="SE68" s="128">
        <v>0</v>
      </c>
      <c r="SF68" s="32">
        <v>0</v>
      </c>
      <c r="SG68" s="100">
        <f t="shared" si="512"/>
        <v>-660</v>
      </c>
      <c r="SI68" s="37">
        <f t="shared" si="513"/>
        <v>-660</v>
      </c>
      <c r="SJ68" s="141">
        <f>IFERROR(VLOOKUP($D68,'Adient Assende (Belgium) WK.17'!$B:RF,SK$1,0),0)</f>
        <v>40</v>
      </c>
      <c r="SK68" s="140">
        <f>IFERROR(VLOOKUP($D68,'Adient Arendal (Malzia) WK.12'!$B:RG,SK$1,0),0)</f>
        <v>0</v>
      </c>
      <c r="SL68" s="140">
        <f>IFERROR(VLOOKUP($D68,'Adient Taizhou (China) WK.16'!$B:RJ,SK$1,0),0)</f>
        <v>0</v>
      </c>
      <c r="SM68" s="128">
        <v>0</v>
      </c>
      <c r="SN68" s="32">
        <v>0</v>
      </c>
      <c r="SO68" s="100">
        <f t="shared" si="514"/>
        <v>-700</v>
      </c>
      <c r="SQ68" s="37">
        <f t="shared" si="515"/>
        <v>-700</v>
      </c>
      <c r="SR68" s="141">
        <f>IFERROR(VLOOKUP($D68,'Adient Assende (Belgium) WK.17'!$B:RN,SS$1,0),0)</f>
        <v>40</v>
      </c>
      <c r="SS68" s="140">
        <f>IFERROR(VLOOKUP($D68,'Adient Arendal (Malzia) WK.12'!$B:RO,SS$1,0),0)</f>
        <v>0</v>
      </c>
      <c r="ST68" s="140">
        <f>IFERROR(VLOOKUP($D68,'Adient Taizhou (China) WK.16'!$B:RR,SS$1,0),0)</f>
        <v>0</v>
      </c>
      <c r="SU68" s="128">
        <v>0</v>
      </c>
      <c r="SV68" s="32">
        <v>0</v>
      </c>
      <c r="SW68" s="100">
        <f t="shared" si="516"/>
        <v>-740</v>
      </c>
      <c r="SY68" s="37">
        <f t="shared" si="517"/>
        <v>-740</v>
      </c>
      <c r="SZ68" s="141">
        <f>IFERROR(VLOOKUP($D68,'Adient Assende (Belgium) WK.17'!$B:RV,TA$1,0),0)</f>
        <v>40</v>
      </c>
      <c r="TA68" s="140">
        <f>IFERROR(VLOOKUP($D68,'Adient Arendal (Malzia) WK.12'!$B:RW,TA$1,0),0)</f>
        <v>0</v>
      </c>
      <c r="TB68" s="140">
        <f>IFERROR(VLOOKUP($D68,'Adient Taizhou (China) WK.16'!$B:RZ,TA$1,0),0)</f>
        <v>0</v>
      </c>
      <c r="TC68" s="128">
        <v>0</v>
      </c>
      <c r="TD68" s="32">
        <v>0</v>
      </c>
      <c r="TE68" s="100">
        <f t="shared" si="518"/>
        <v>-780</v>
      </c>
      <c r="TG68" s="37">
        <f t="shared" si="519"/>
        <v>-780</v>
      </c>
      <c r="TH68" s="141">
        <f>IFERROR(VLOOKUP($D68,'Adient Assende (Belgium) WK.17'!$B:SD,TI$1,0),0)</f>
        <v>50</v>
      </c>
      <c r="TI68" s="140">
        <f>IFERROR(VLOOKUP($D68,'Adient Arendal (Malzia) WK.12'!$B:SE,TI$1,0),0)</f>
        <v>0</v>
      </c>
      <c r="TJ68" s="140">
        <f>IFERROR(VLOOKUP($D68,'Adient Taizhou (China) WK.16'!$B:SH,TI$1,0),0)</f>
        <v>0</v>
      </c>
      <c r="TK68" s="128">
        <v>0</v>
      </c>
      <c r="TL68" s="32">
        <v>0</v>
      </c>
      <c r="TM68" s="100">
        <f t="shared" si="520"/>
        <v>-830</v>
      </c>
      <c r="TO68" s="37">
        <f t="shared" si="521"/>
        <v>-830</v>
      </c>
      <c r="TP68" s="141">
        <f>IFERROR(VLOOKUP($D68,'Adient Assende (Belgium) WK.17'!$B:SL,TQ$1,0),0)</f>
        <v>50</v>
      </c>
      <c r="TQ68" s="140">
        <f>IFERROR(VLOOKUP($D68,'Adient Arendal (Malzia) WK.12'!$B:SM,TQ$1,0),0)</f>
        <v>0</v>
      </c>
      <c r="TR68" s="140">
        <f>IFERROR(VLOOKUP($D68,'Adient Taizhou (China) WK.16'!$B:SP,TQ$1,0),0)</f>
        <v>0</v>
      </c>
      <c r="TS68" s="128">
        <v>0</v>
      </c>
      <c r="TT68" s="32">
        <v>0</v>
      </c>
      <c r="TU68" s="100">
        <f t="shared" si="522"/>
        <v>-880</v>
      </c>
      <c r="TW68" s="37">
        <f t="shared" si="523"/>
        <v>-880</v>
      </c>
      <c r="TX68" s="141">
        <f>IFERROR(VLOOKUP($D68,'Adient Assende (Belgium) WK.17'!$B:ST,TY$1,0),0)</f>
        <v>50</v>
      </c>
      <c r="TY68" s="140">
        <f>IFERROR(VLOOKUP($D68,'Adient Arendal (Malzia) WK.12'!$B:SU,TY$1,0),0)</f>
        <v>0</v>
      </c>
      <c r="TZ68" s="140">
        <f>IFERROR(VLOOKUP($D68,'Adient Taizhou (China) WK.16'!$B:SX,TY$1,0),0)</f>
        <v>0</v>
      </c>
      <c r="UA68" s="128">
        <v>0</v>
      </c>
      <c r="UB68" s="32">
        <v>0</v>
      </c>
      <c r="UC68" s="100">
        <f t="shared" si="524"/>
        <v>-930</v>
      </c>
      <c r="UE68" s="37">
        <f t="shared" si="525"/>
        <v>-930</v>
      </c>
      <c r="UF68" s="141">
        <f>IFERROR(VLOOKUP($D68,'Adient Assende (Belgium) WK.17'!$B:TB,UG$1,0),0)</f>
        <v>50</v>
      </c>
      <c r="UG68" s="140">
        <f>IFERROR(VLOOKUP($D68,'Adient Arendal (Malzia) WK.12'!$B:TC,UG$1,0),0)</f>
        <v>0</v>
      </c>
      <c r="UH68" s="140">
        <f>IFERROR(VLOOKUP($D68,'Adient Taizhou (China) WK.16'!$B:TF,UG$1,0),0)</f>
        <v>0</v>
      </c>
      <c r="UI68" s="128">
        <v>0</v>
      </c>
      <c r="UJ68" s="32">
        <v>0</v>
      </c>
      <c r="UK68" s="100">
        <f t="shared" si="526"/>
        <v>-980</v>
      </c>
      <c r="UM68" s="37">
        <f t="shared" si="527"/>
        <v>-980</v>
      </c>
      <c r="UN68" s="141">
        <f>IFERROR(VLOOKUP($D68,'Adient Assende (Belgium) WK.17'!$B:TJ,UO$1,0),0)</f>
        <v>40</v>
      </c>
      <c r="UO68" s="140">
        <f>IFERROR(VLOOKUP($D68,'Adient Arendal (Malzia) WK.12'!$B:TK,UO$1,0),0)</f>
        <v>0</v>
      </c>
      <c r="UP68" s="140">
        <f>IFERROR(VLOOKUP($D68,'Adient Taizhou (China) WK.16'!$B:TN,UO$1,0),0)</f>
        <v>0</v>
      </c>
      <c r="UQ68" s="128">
        <v>0</v>
      </c>
      <c r="UR68" s="32">
        <v>0</v>
      </c>
      <c r="US68" s="100">
        <f t="shared" si="528"/>
        <v>-1020</v>
      </c>
      <c r="UU68" s="37">
        <f t="shared" si="529"/>
        <v>-1020</v>
      </c>
      <c r="UV68" s="141">
        <f>IFERROR(VLOOKUP($D68,'Adient Assende (Belgium) WK.17'!$B:TR,UW$1,0),0)</f>
        <v>40</v>
      </c>
      <c r="UW68" s="140">
        <f>IFERROR(VLOOKUP($D68,'Adient Arendal (Malzia) WK.12'!$B:TS,UW$1,0),0)</f>
        <v>0</v>
      </c>
      <c r="UX68" s="140">
        <f>IFERROR(VLOOKUP($D68,'Adient Taizhou (China) WK.16'!$B:TV,UW$1,0),0)</f>
        <v>0</v>
      </c>
      <c r="UY68" s="128">
        <v>0</v>
      </c>
      <c r="UZ68" s="32">
        <v>0</v>
      </c>
      <c r="VA68" s="100">
        <f t="shared" si="530"/>
        <v>-1060</v>
      </c>
      <c r="VC68" s="37">
        <f t="shared" si="531"/>
        <v>-1060</v>
      </c>
      <c r="VD68" s="141">
        <f>IFERROR(VLOOKUP($D68,'Adient Assende (Belgium) WK.17'!$B:TZ,VE$1,0),0)</f>
        <v>40</v>
      </c>
      <c r="VE68" s="140">
        <f>IFERROR(VLOOKUP($D68,'Adient Arendal (Malzia) WK.12'!$B:UA,VE$1,0),0)</f>
        <v>0</v>
      </c>
      <c r="VF68" s="140">
        <f>IFERROR(VLOOKUP($D68,'Adient Taizhou (China) WK.16'!$B:UD,VE$1,0),0)</f>
        <v>0</v>
      </c>
      <c r="VG68" s="128">
        <v>0</v>
      </c>
      <c r="VH68" s="32">
        <v>0</v>
      </c>
      <c r="VI68" s="100">
        <f t="shared" si="532"/>
        <v>-1100</v>
      </c>
      <c r="VK68" s="37">
        <f t="shared" si="533"/>
        <v>-1100</v>
      </c>
      <c r="VL68" s="141">
        <f>IFERROR(VLOOKUP($D68,'Adient Assende (Belgium) WK.17'!$B:UH,VM$1,0),0)</f>
        <v>0</v>
      </c>
      <c r="VM68" s="140">
        <f>IFERROR(VLOOKUP($D68,'Adient Arendal (Malzia) WK.12'!$B:UI,VM$1,0),0)</f>
        <v>0</v>
      </c>
      <c r="VN68" s="140">
        <f>IFERROR(VLOOKUP($D68,'Adient Taizhou (China) WK.16'!$B:UL,VM$1,0),0)</f>
        <v>0</v>
      </c>
      <c r="VO68" s="128">
        <v>0</v>
      </c>
      <c r="VP68" s="32">
        <v>0</v>
      </c>
      <c r="VQ68" s="100">
        <f t="shared" si="534"/>
        <v>-1100</v>
      </c>
    </row>
    <row r="69" spans="1:589" x14ac:dyDescent="0.25">
      <c r="A69" s="10" t="s">
        <v>18</v>
      </c>
      <c r="B69" s="50" t="s">
        <v>17</v>
      </c>
      <c r="C69" s="89">
        <v>32272868</v>
      </c>
      <c r="D69" s="83">
        <v>5080417</v>
      </c>
      <c r="E69" s="11">
        <v>20</v>
      </c>
      <c r="F69" s="12"/>
      <c r="H69" s="122">
        <v>180</v>
      </c>
      <c r="I69" s="125">
        <f>IFERROR(VLOOKUP($D69,'Adient Assende (Belgium) WK.17'!$B:C,J$1,0),0)</f>
        <v>0</v>
      </c>
      <c r="J69" s="55">
        <f>IFERROR(VLOOKUP($D69,'Adient Arendal (Malzia) WK.12'!$B:C,J$1,0),0)</f>
        <v>0</v>
      </c>
      <c r="K69" s="55">
        <f>IFERROR(VLOOKUP($D69,'Adient Taizhou (China) WK.16'!$B:C,J$1,0),0)</f>
        <v>0</v>
      </c>
      <c r="L69" s="128">
        <v>0</v>
      </c>
      <c r="M69" s="32">
        <v>0</v>
      </c>
      <c r="N69" s="106">
        <f t="shared" si="233"/>
        <v>180</v>
      </c>
      <c r="P69" s="37">
        <f t="shared" si="234"/>
        <v>180</v>
      </c>
      <c r="Q69" s="125">
        <f>IFERROR(VLOOKUP($D69,'Adient Assende (Belgium) WK.17'!$B:K,R$1,0),0)</f>
        <v>0</v>
      </c>
      <c r="R69" s="55">
        <f>IFERROR(VLOOKUP($D69,'Adient Arendal (Malzia) WK.12'!$B:K,R$1,0),0)</f>
        <v>0</v>
      </c>
      <c r="S69" s="55">
        <f>IFERROR(VLOOKUP($D69,'Adient Taizhou (China) WK.16'!$B:K,R$1,0),0)</f>
        <v>0</v>
      </c>
      <c r="T69" s="41">
        <v>80</v>
      </c>
      <c r="U69" s="32">
        <v>0</v>
      </c>
      <c r="V69" s="106">
        <f t="shared" si="235"/>
        <v>100</v>
      </c>
      <c r="X69" s="37">
        <f t="shared" si="236"/>
        <v>100</v>
      </c>
      <c r="Y69" s="125">
        <f>IFERROR(VLOOKUP($D69,'Adient Assende (Belgium) WK.17'!$B:S,Z$1,0),0)</f>
        <v>80</v>
      </c>
      <c r="Z69" s="55">
        <f>IFERROR(VLOOKUP($D69,'Adient Arendal (Malzia) WK.12'!$B:S,Z$1,0),0)</f>
        <v>0</v>
      </c>
      <c r="AA69" s="55">
        <f>IFERROR(VLOOKUP($D69,'Adient Taizhou (China) WK.16'!$B:S,Z$1,0),0)</f>
        <v>0</v>
      </c>
      <c r="AB69" s="41">
        <v>0</v>
      </c>
      <c r="AC69" s="32">
        <v>0</v>
      </c>
      <c r="AD69" s="106">
        <f t="shared" si="237"/>
        <v>100</v>
      </c>
      <c r="AF69" s="37">
        <f t="shared" si="238"/>
        <v>100</v>
      </c>
      <c r="AG69" s="125">
        <f>IFERROR(VLOOKUP($D69,'Adient Assende (Belgium) WK.17'!$B:AA,AH$1,0),0)</f>
        <v>0</v>
      </c>
      <c r="AH69" s="55">
        <f>IFERROR(VLOOKUP($D69,'Adient Arendal (Malzia) WK.12'!$B:AA,AH$1,0),0)</f>
        <v>0</v>
      </c>
      <c r="AI69" s="55">
        <f>IFERROR(VLOOKUP($D69,'Adient Taizhou (China) WK.16'!$B:AA,AH$1,0),0)</f>
        <v>0</v>
      </c>
      <c r="AJ69" s="41">
        <v>0</v>
      </c>
      <c r="AK69" s="32">
        <v>0</v>
      </c>
      <c r="AL69" s="106">
        <f t="shared" si="239"/>
        <v>100</v>
      </c>
      <c r="AN69" s="37">
        <f t="shared" si="432"/>
        <v>100</v>
      </c>
      <c r="AO69" s="125">
        <f>IFERROR(VLOOKUP($D69,'Adient Assende (Belgium) WK.17'!$B:AI,AP$1,0),0)</f>
        <v>0</v>
      </c>
      <c r="AP69" s="55">
        <f>IFERROR(VLOOKUP($D69,'Adient Arendal (Malzia) WK.12'!$B:AI,AP$1,0),0)</f>
        <v>0</v>
      </c>
      <c r="AQ69" s="55">
        <f>IFERROR(VLOOKUP($D69,'Adient Taizhou (China) WK.16'!$B:AI,AP$1,0),0)</f>
        <v>0</v>
      </c>
      <c r="AR69" s="60">
        <v>0</v>
      </c>
      <c r="AS69" s="41">
        <v>0</v>
      </c>
      <c r="AT69" s="32">
        <v>0</v>
      </c>
      <c r="AU69" s="106">
        <f t="shared" si="240"/>
        <v>100</v>
      </c>
      <c r="AW69" s="37">
        <f t="shared" si="433"/>
        <v>100</v>
      </c>
      <c r="AX69" s="125">
        <f>IFERROR(VLOOKUP($D69,'Adient Assende (Belgium) WK.17'!$B:AR,AY$1,0),0)</f>
        <v>0</v>
      </c>
      <c r="AY69" s="55">
        <f>IFERROR(VLOOKUP($D69,'Adient Arendal (Malzia) WK.12'!$B:AR,AY$1,0),0)</f>
        <v>0</v>
      </c>
      <c r="AZ69" s="55">
        <f>IFERROR(VLOOKUP($D69,'Adient Taizhou (China) WK.16'!$B:AU,AY$1,0),0)</f>
        <v>0</v>
      </c>
      <c r="BA69" s="41">
        <v>0</v>
      </c>
      <c r="BB69" s="32">
        <v>0</v>
      </c>
      <c r="BC69" s="106">
        <f t="shared" si="241"/>
        <v>100</v>
      </c>
      <c r="BE69" s="37">
        <f t="shared" si="434"/>
        <v>100</v>
      </c>
      <c r="BF69" s="125">
        <f>IFERROR(VLOOKUP($D69,'Adient Assende (Belgium) WK.17'!$B:AX,BG$1,0),0)</f>
        <v>0</v>
      </c>
      <c r="BG69" s="55">
        <f>IFERROR(VLOOKUP($D69,'Adient Arendal (Malzia) WK.12'!$B:AZ,BG$1,0),0)</f>
        <v>20</v>
      </c>
      <c r="BH69" s="55">
        <f>IFERROR(VLOOKUP($D69,'Adient Taizhou (China) WK.16'!$B:BB,BG$1,0),0)</f>
        <v>0</v>
      </c>
      <c r="BI69" s="60">
        <v>0</v>
      </c>
      <c r="BJ69" s="60">
        <v>0</v>
      </c>
      <c r="BK69" s="41">
        <v>0</v>
      </c>
      <c r="BL69" s="32">
        <v>0</v>
      </c>
      <c r="BM69" s="106">
        <f t="shared" si="242"/>
        <v>80</v>
      </c>
      <c r="BN69" s="8"/>
      <c r="BO69" s="37">
        <f t="shared" si="435"/>
        <v>80</v>
      </c>
      <c r="BP69" s="125">
        <f>IFERROR(VLOOKUP($D69,'Adient Assende (Belgium) WK.17'!$B:BH,BQ$1,0),0)</f>
        <v>0</v>
      </c>
      <c r="BQ69" s="55">
        <f>IFERROR(VLOOKUP($D69,'Adient Arendal (Malzia) WK.12'!$B:BI,BQ$1,0),0)</f>
        <v>0</v>
      </c>
      <c r="BR69" s="55">
        <f>IFERROR(VLOOKUP($D69,'Adient Taizhou (China) WK.16'!$B:BL,BQ$1,0),0)</f>
        <v>20</v>
      </c>
      <c r="BS69" s="60">
        <v>0</v>
      </c>
      <c r="BT69" s="60">
        <v>0</v>
      </c>
      <c r="BU69" s="60">
        <v>0</v>
      </c>
      <c r="BV69" s="41">
        <v>0</v>
      </c>
      <c r="BW69" s="32">
        <v>0</v>
      </c>
      <c r="BX69" s="106">
        <f t="shared" si="243"/>
        <v>60</v>
      </c>
      <c r="BY69" s="8"/>
      <c r="BZ69" s="37">
        <f t="shared" si="436"/>
        <v>60</v>
      </c>
      <c r="CA69" s="125">
        <f>IFERROR(VLOOKUP($D69,'Adient Assende (Belgium) WK.17'!$B:BS,CB$1,0),0)</f>
        <v>0</v>
      </c>
      <c r="CB69" s="55">
        <f>IFERROR(VLOOKUP($D69,'Adient Arendal (Malzia) WK.12'!$B:BT,CB$1,0),0)</f>
        <v>20</v>
      </c>
      <c r="CC69" s="55">
        <f>IFERROR(VLOOKUP($D69,'Adient Taizhou (China) WK.16'!$B:BW,CB$1,0),0)</f>
        <v>40</v>
      </c>
      <c r="CD69" s="60">
        <v>140</v>
      </c>
      <c r="CE69" s="60">
        <v>0</v>
      </c>
      <c r="CF69" s="41">
        <v>0</v>
      </c>
      <c r="CG69" s="32">
        <v>0</v>
      </c>
      <c r="CH69" s="106">
        <f t="shared" si="244"/>
        <v>140</v>
      </c>
      <c r="CI69" s="8"/>
      <c r="CJ69" s="37">
        <f t="shared" si="437"/>
        <v>140</v>
      </c>
      <c r="CK69" s="125">
        <f>IFERROR(VLOOKUP($D69,'Adient Assende (Belgium) WK.17'!$B:CC,CL$1,0),0)</f>
        <v>0</v>
      </c>
      <c r="CL69" s="55">
        <f>IFERROR(VLOOKUP($D69,'Adient Arendal (Malzia) WK.12'!$B:CD,CL$1,0),0)</f>
        <v>0</v>
      </c>
      <c r="CM69" s="55">
        <f>IFERROR(VLOOKUP($D69,'Adient Taizhou (China) WK.16'!$B:CG,CL$1,0),0)</f>
        <v>0</v>
      </c>
      <c r="CN69" s="60">
        <v>0</v>
      </c>
      <c r="CO69" s="149">
        <v>0</v>
      </c>
      <c r="CP69" s="32">
        <v>0</v>
      </c>
      <c r="CQ69" s="106">
        <f t="shared" si="245"/>
        <v>140</v>
      </c>
      <c r="CR69" s="8"/>
      <c r="CS69" s="122">
        <f t="shared" si="438"/>
        <v>140</v>
      </c>
      <c r="CT69" s="154">
        <f>IFERROR(VLOOKUP($D69,'Adient Assende (Belgium) WK.17'!$B:CL,CU$1,0),0)</f>
        <v>0</v>
      </c>
      <c r="CU69" s="55">
        <f>IFERROR(VLOOKUP($D69,'Adient Arendal (Malzia) WK.12'!$B:CM,CU$1,0),0)</f>
        <v>0</v>
      </c>
      <c r="CV69" s="55">
        <f>IFERROR(VLOOKUP($D69,'Adient Taizhou (China) WK.16'!$B:CP,CU$1,0),0)</f>
        <v>0</v>
      </c>
      <c r="CW69" s="60">
        <v>0</v>
      </c>
      <c r="CX69" s="60">
        <v>100</v>
      </c>
      <c r="CY69" s="128">
        <v>0</v>
      </c>
      <c r="CZ69" s="32">
        <v>0</v>
      </c>
      <c r="DA69" s="106">
        <f t="shared" si="246"/>
        <v>240</v>
      </c>
      <c r="DB69" s="8"/>
      <c r="DC69" s="37">
        <f t="shared" si="439"/>
        <v>240</v>
      </c>
      <c r="DD69" s="125">
        <f>IFERROR(VLOOKUP($D69,'Adient Assende (Belgium) WK.17'!$B:CS,DE$1,0),0)</f>
        <v>0</v>
      </c>
      <c r="DE69" s="55">
        <f>IFERROR(VLOOKUP($D69,'Adient Arendal (Malzia) WK.12'!$B:CU,DE$1,0),0)</f>
        <v>0</v>
      </c>
      <c r="DF69" s="55">
        <f>IFERROR(VLOOKUP($D69,'Adient Taizhou (China) WK.16'!$B:CX,DE$1,0),0)</f>
        <v>0</v>
      </c>
      <c r="DG69" s="60">
        <v>0</v>
      </c>
      <c r="DH69" s="128">
        <v>0</v>
      </c>
      <c r="DI69" s="32">
        <v>0</v>
      </c>
      <c r="DJ69" s="106">
        <f t="shared" si="247"/>
        <v>240</v>
      </c>
      <c r="DL69" s="37">
        <f t="shared" si="440"/>
        <v>240</v>
      </c>
      <c r="DM69" s="125">
        <f>IFERROR(VLOOKUP($D69,'Adient Assende (Belgium) WK.17'!$B:DB,DN$1,0),0)</f>
        <v>0</v>
      </c>
      <c r="DN69" s="55">
        <f>IFERROR(VLOOKUP($D69,'Adient Arendal (Malzia) WK.12'!$B:DC,DN$1,0),0)</f>
        <v>0</v>
      </c>
      <c r="DO69" s="55">
        <f>IFERROR(VLOOKUP($D69,'Adient Taizhou (China) WK.16'!$B:DF,DN$1,0),0)</f>
        <v>40</v>
      </c>
      <c r="DP69" s="128">
        <v>0</v>
      </c>
      <c r="DQ69" s="32">
        <v>0</v>
      </c>
      <c r="DR69" s="106">
        <f t="shared" si="441"/>
        <v>200</v>
      </c>
      <c r="DS69" s="8"/>
      <c r="DT69" s="37">
        <f t="shared" si="442"/>
        <v>200</v>
      </c>
      <c r="DU69" s="125">
        <f>IFERROR(VLOOKUP($D69,'Adient Assende (Belgium) WK.17'!$B:DJ,DV$1,0),0)</f>
        <v>0</v>
      </c>
      <c r="DV69" s="55">
        <f>IFERROR(VLOOKUP($D69,'Adient Arendal (Malzia) WK.12'!$B:DK,DV$1,0),0)</f>
        <v>20</v>
      </c>
      <c r="DW69" s="55">
        <f>IFERROR(VLOOKUP($D69,'Adient Taizhou (China) WK.16'!$B:DN,DV$1,0),0)</f>
        <v>20</v>
      </c>
      <c r="DX69" s="60">
        <v>0</v>
      </c>
      <c r="DY69" s="60">
        <v>200</v>
      </c>
      <c r="DZ69" s="128">
        <v>0</v>
      </c>
      <c r="EA69" s="32">
        <v>0</v>
      </c>
      <c r="EB69" s="106">
        <f t="shared" si="248"/>
        <v>360</v>
      </c>
      <c r="EC69" s="8"/>
      <c r="ED69" s="37">
        <f t="shared" si="443"/>
        <v>360</v>
      </c>
      <c r="EE69" s="125">
        <f>IFERROR(VLOOKUP($D69,'Adient Assende (Belgium) WK.17'!$B:DR,EF$1,0),0)</f>
        <v>0</v>
      </c>
      <c r="EF69" s="55">
        <f>IFERROR(VLOOKUP($D69,'Adient Arendal (Malzia) WK.12'!$B:DS,EF$1,0),0)</f>
        <v>0</v>
      </c>
      <c r="EG69" s="55">
        <f>IFERROR(VLOOKUP($D69,'Adient Taizhou (China) WK.16'!$B:DV,EF$1,0),0)</f>
        <v>20</v>
      </c>
      <c r="EH69" s="60">
        <v>0</v>
      </c>
      <c r="EI69" s="128">
        <v>0</v>
      </c>
      <c r="EJ69" s="32">
        <v>0</v>
      </c>
      <c r="EK69" s="106">
        <f t="shared" si="249"/>
        <v>340</v>
      </c>
      <c r="EM69" s="37">
        <f t="shared" si="444"/>
        <v>340</v>
      </c>
      <c r="EN69" s="125">
        <f>IFERROR(VLOOKUP($D69,'Adient Assende (Belgium) WK.17'!$B:DZ,EO$1,0),0)</f>
        <v>0</v>
      </c>
      <c r="EO69" s="55">
        <f>IFERROR(VLOOKUP($D69,'Adient Arendal (Malzia) WK.12'!$B:EA,EO$1,0),0)</f>
        <v>0</v>
      </c>
      <c r="EP69" s="55">
        <f>IFERROR(VLOOKUP($D69,'Adient Taizhou (China) WK.16'!$B:ED,EO$1,0),0)</f>
        <v>40</v>
      </c>
      <c r="EQ69" s="128">
        <v>0</v>
      </c>
      <c r="ER69" s="32">
        <v>0</v>
      </c>
      <c r="ES69" s="106">
        <f t="shared" si="250"/>
        <v>300</v>
      </c>
      <c r="EU69" s="37">
        <f t="shared" si="445"/>
        <v>300</v>
      </c>
      <c r="EV69" s="125">
        <f>IFERROR(VLOOKUP($D69,'Adient Assende (Belgium) WK.17'!$B:EH,EW$1,0),0)</f>
        <v>0</v>
      </c>
      <c r="EW69" s="55">
        <f>IFERROR(VLOOKUP($D69,'Adient Arendal (Malzia) WK.12'!$B:EI,EW$1,0),0)</f>
        <v>0</v>
      </c>
      <c r="EX69" s="55">
        <f>IFERROR(VLOOKUP($D69,'Adient Taizhou (China) WK.16'!$B:EL,EW$1,0),0)</f>
        <v>0</v>
      </c>
      <c r="EY69" s="128">
        <v>0</v>
      </c>
      <c r="EZ69" s="32">
        <v>0</v>
      </c>
      <c r="FA69" s="106">
        <f t="shared" si="251"/>
        <v>300</v>
      </c>
      <c r="FC69" s="37">
        <f t="shared" si="446"/>
        <v>300</v>
      </c>
      <c r="FD69" s="154">
        <f>IFERROR(VLOOKUP($D69,'Adient Assende (Belgium) WK.17'!$B:EP,FE$1,0),0)</f>
        <v>0</v>
      </c>
      <c r="FE69" s="154">
        <f>IFERROR(VLOOKUP($D69,'Adient Arendal (Malzia) WK.12'!$B:EQ,FE$1,0),0)</f>
        <v>0</v>
      </c>
      <c r="FF69" s="154">
        <f>IFERROR(VLOOKUP($D69,'Adient Taizhou (China) WK.16'!$B:ET,FE$1,0),0)</f>
        <v>0</v>
      </c>
      <c r="FG69" s="128">
        <v>0</v>
      </c>
      <c r="FH69" s="32">
        <v>0</v>
      </c>
      <c r="FI69" s="106">
        <f t="shared" si="252"/>
        <v>300</v>
      </c>
      <c r="FK69" s="37">
        <f t="shared" si="447"/>
        <v>300</v>
      </c>
      <c r="FL69" s="125">
        <f>IFERROR(VLOOKUP($D69,'Adient Assende (Belgium) WK.17'!$B:EX,FM$1,0),0)</f>
        <v>0</v>
      </c>
      <c r="FM69" s="55">
        <f>IFERROR(VLOOKUP($D69,'Adient Arendal (Malzia) WK.12'!$B:EY,FM$1,0),0)</f>
        <v>0</v>
      </c>
      <c r="FN69" s="55">
        <f>IFERROR(VLOOKUP($D69,'Adient Taizhou (China) WK.16'!$B:FB,FM$1,0),0)</f>
        <v>0</v>
      </c>
      <c r="FO69" s="128">
        <v>0</v>
      </c>
      <c r="FP69" s="32">
        <v>0</v>
      </c>
      <c r="FQ69" s="106">
        <f t="shared" si="253"/>
        <v>300</v>
      </c>
      <c r="FR69" s="8"/>
      <c r="FS69" s="37">
        <f t="shared" si="448"/>
        <v>300</v>
      </c>
      <c r="FT69" s="125">
        <f>IFERROR(VLOOKUP($D69,'Adient Assende (Belgium) WK.17'!$B:FF,FU$1,0),0)</f>
        <v>0</v>
      </c>
      <c r="FU69" s="55">
        <f>IFERROR(VLOOKUP($D69,'Adient Arendal (Malzia) WK.12'!$B:FG,FU$1,0),0)</f>
        <v>20</v>
      </c>
      <c r="FV69" s="55">
        <f>IFERROR(VLOOKUP($D69,'Adient Taizhou (China) WK.16'!$B:FJ,FU$1,0),0)</f>
        <v>20</v>
      </c>
      <c r="FW69" s="60">
        <v>0</v>
      </c>
      <c r="FX69" s="60">
        <v>0</v>
      </c>
      <c r="FY69" s="60">
        <v>0</v>
      </c>
      <c r="FZ69" s="60">
        <v>0</v>
      </c>
      <c r="GA69" s="60">
        <v>0</v>
      </c>
      <c r="GB69" s="128">
        <v>0</v>
      </c>
      <c r="GC69" s="32">
        <v>0</v>
      </c>
      <c r="GD69" s="106">
        <f t="shared" si="254"/>
        <v>260</v>
      </c>
      <c r="GF69" s="37">
        <f t="shared" si="449"/>
        <v>260</v>
      </c>
      <c r="GG69" s="125">
        <f>IFERROR(VLOOKUP($D69,'Adient Assende (Belgium) WK.17'!$B:FN,GH$1,0),0)</f>
        <v>0</v>
      </c>
      <c r="GH69" s="55">
        <f>IFERROR(VLOOKUP($D69,'Adient Arendal (Malzia) WK.12'!$B:FO,GH$1,0),0)</f>
        <v>0</v>
      </c>
      <c r="GI69" s="55">
        <f>IFERROR(VLOOKUP($D69,'Adient Taizhou (China) WK.16'!$B:FR,GH$1,0),0)</f>
        <v>0</v>
      </c>
      <c r="GJ69" s="60">
        <v>0</v>
      </c>
      <c r="GK69" s="128">
        <v>0</v>
      </c>
      <c r="GL69" s="32">
        <v>0</v>
      </c>
      <c r="GM69" s="106">
        <f t="shared" si="255"/>
        <v>260</v>
      </c>
      <c r="GO69" s="37">
        <f t="shared" si="450"/>
        <v>260</v>
      </c>
      <c r="GP69" s="125">
        <f>IFERROR(VLOOKUP($D69,'Adient Assende (Belgium) WK.17'!$B:FV,GQ$1,0),0)</f>
        <v>0</v>
      </c>
      <c r="GQ69" s="55">
        <f>IFERROR(VLOOKUP($D69,'Adient Arendal (Malzia) WK.12'!$B:FW,GQ$1,0),0)</f>
        <v>20</v>
      </c>
      <c r="GR69" s="55">
        <f>IFERROR(VLOOKUP($D69,'Adient Taizhou (China) WK.16'!$B:FZ,GQ$1,0),0)</f>
        <v>0</v>
      </c>
      <c r="GS69" s="60">
        <v>0</v>
      </c>
      <c r="GT69" s="128">
        <v>0</v>
      </c>
      <c r="GU69" s="32">
        <v>0</v>
      </c>
      <c r="GV69" s="106">
        <f t="shared" si="256"/>
        <v>240</v>
      </c>
      <c r="GW69" s="8"/>
      <c r="GX69" s="37">
        <f t="shared" si="451"/>
        <v>240</v>
      </c>
      <c r="GY69" s="125">
        <f>IFERROR(VLOOKUP($D69,'Adient Assende (Belgium) WK.17'!$B:GD,GZ$1,0),0)</f>
        <v>0</v>
      </c>
      <c r="GZ69" s="55">
        <f>IFERROR(VLOOKUP($D69,'Adient Arendal (Malzia) WK.12'!$B:GE,GZ$1,0),0)</f>
        <v>20</v>
      </c>
      <c r="HA69" s="55">
        <f>IFERROR(VLOOKUP($D69,'Adient Taizhou (China) WK.16'!$B:GH,GZ$1,0),0)</f>
        <v>0</v>
      </c>
      <c r="HB69" s="60">
        <v>0</v>
      </c>
      <c r="HC69" s="128">
        <v>0</v>
      </c>
      <c r="HD69" s="32">
        <v>0</v>
      </c>
      <c r="HE69" s="106">
        <f t="shared" si="257"/>
        <v>220</v>
      </c>
      <c r="HF69" s="8"/>
      <c r="HG69" s="37">
        <f t="shared" si="452"/>
        <v>220</v>
      </c>
      <c r="HH69" s="125">
        <f>IFERROR(VLOOKUP($D69,'Adient Assende (Belgium) WK.17'!$B:GL,HI$1,0),0)</f>
        <v>0</v>
      </c>
      <c r="HI69" s="55">
        <f>IFERROR(VLOOKUP($D69,'Adient Arendal (Malzia) WK.12'!$B:GM,HI$1,0),0)</f>
        <v>0</v>
      </c>
      <c r="HJ69" s="55">
        <f>IFERROR(VLOOKUP($D69,'Adient Taizhou (China) WK.16'!$B:GP,HI$1,0),0)</f>
        <v>0</v>
      </c>
      <c r="HK69" s="60">
        <v>0</v>
      </c>
      <c r="HL69" s="128">
        <v>0</v>
      </c>
      <c r="HM69" s="32">
        <v>0</v>
      </c>
      <c r="HN69" s="106">
        <f t="shared" si="258"/>
        <v>220</v>
      </c>
      <c r="HO69" s="8"/>
      <c r="HP69" s="37">
        <f t="shared" si="453"/>
        <v>220</v>
      </c>
      <c r="HQ69" s="125">
        <f>IFERROR(VLOOKUP($D69,'Adient Assende (Belgium) WK.17'!$B:GT,HR$1,0),0)</f>
        <v>0</v>
      </c>
      <c r="HR69" s="55">
        <f>IFERROR(VLOOKUP($D69,'Adient Arendal (Malzia) WK.12'!$B:GU,HR$1,0),0)</f>
        <v>0</v>
      </c>
      <c r="HS69" s="55">
        <f>IFERROR(VLOOKUP($D69,'Adient Taizhou (China) WK.16'!$B:GX,HR$1,0),0)</f>
        <v>0</v>
      </c>
      <c r="HT69" s="60">
        <v>0</v>
      </c>
      <c r="HU69" s="128">
        <v>0</v>
      </c>
      <c r="HV69" s="32">
        <v>0</v>
      </c>
      <c r="HW69" s="106">
        <f t="shared" si="259"/>
        <v>220</v>
      </c>
      <c r="HX69" s="8"/>
      <c r="HY69" s="37">
        <f t="shared" si="454"/>
        <v>220</v>
      </c>
      <c r="HZ69" s="125">
        <f>IFERROR(VLOOKUP($D69,'Adient Assende (Belgium) WK.17'!$B:HB,IA$1,0),0)</f>
        <v>0</v>
      </c>
      <c r="IA69" s="55">
        <f>IFERROR(VLOOKUP($D69,'Adient Arendal (Malzia) WK.12'!$B:HC,IA$1,0),0)</f>
        <v>0</v>
      </c>
      <c r="IB69" s="55">
        <f>IFERROR(VLOOKUP($D69,'Adient Taizhou (China) WK.16'!$B:HF,IA$1,0),0)</f>
        <v>0</v>
      </c>
      <c r="IC69" s="60">
        <v>0</v>
      </c>
      <c r="ID69" s="128">
        <v>0</v>
      </c>
      <c r="IE69" s="32">
        <v>0</v>
      </c>
      <c r="IF69" s="106">
        <f t="shared" si="260"/>
        <v>220</v>
      </c>
      <c r="IG69" s="8"/>
      <c r="IH69" s="37">
        <f t="shared" si="455"/>
        <v>220</v>
      </c>
      <c r="II69" s="125">
        <f>IFERROR(VLOOKUP($D69,'Adient Assende (Belgium) WK.17'!$B:HJ,IJ$1,0),0)</f>
        <v>0</v>
      </c>
      <c r="IJ69" s="55">
        <f>IFERROR(VLOOKUP($D69,'Adient Arendal (Malzia) WK.12'!$B:HK,IJ$1,0),0)</f>
        <v>0</v>
      </c>
      <c r="IK69" s="55">
        <f>IFERROR(VLOOKUP($D69,'Adient Taizhou (China) WK.16'!$B:HN,IJ$1,0),0)</f>
        <v>0</v>
      </c>
      <c r="IL69" s="128">
        <v>0</v>
      </c>
      <c r="IM69" s="32">
        <v>0</v>
      </c>
      <c r="IN69" s="106">
        <f t="shared" si="456"/>
        <v>220</v>
      </c>
      <c r="IO69" s="8"/>
      <c r="IP69" s="37">
        <f t="shared" si="457"/>
        <v>220</v>
      </c>
      <c r="IQ69" s="125">
        <f>IFERROR(VLOOKUP($D69,'Adient Assende (Belgium) WK.17'!$B:HR,IR$1,0),0)</f>
        <v>0</v>
      </c>
      <c r="IR69" s="55">
        <f>IFERROR(VLOOKUP($D69,'Adient Arendal (Malzia) WK.12'!$B:HS,IR$1,0),0)</f>
        <v>0</v>
      </c>
      <c r="IS69" s="55">
        <f>IFERROR(VLOOKUP($D69,'Adient Taizhou (China) WK.16'!$B:HV,IR$1,0),0)</f>
        <v>0</v>
      </c>
      <c r="IT69" s="60">
        <v>0</v>
      </c>
      <c r="IU69" s="128">
        <v>0</v>
      </c>
      <c r="IV69" s="32">
        <v>0</v>
      </c>
      <c r="IW69" s="106">
        <f t="shared" si="261"/>
        <v>220</v>
      </c>
      <c r="IX69" s="8"/>
      <c r="IY69" s="37">
        <f t="shared" si="458"/>
        <v>220</v>
      </c>
      <c r="IZ69" s="125">
        <f>IFERROR(VLOOKUP($D69,'Adient Assende (Belgium) WK.17'!$B:HZ,JA$1,0),0)</f>
        <v>0</v>
      </c>
      <c r="JA69" s="55">
        <f>IFERROR(VLOOKUP($D69,'Adient Arendal (Malzia) WK.12'!$B:IA,JA$1,0),0)</f>
        <v>0</v>
      </c>
      <c r="JB69" s="55">
        <f>IFERROR(VLOOKUP($D69,'Adient Taizhou (China) WK.16'!$B:ID,JA$1,0),0)</f>
        <v>0</v>
      </c>
      <c r="JC69" s="128">
        <v>0</v>
      </c>
      <c r="JD69" s="32">
        <v>0</v>
      </c>
      <c r="JE69" s="106">
        <f t="shared" si="459"/>
        <v>220</v>
      </c>
      <c r="JF69" s="8"/>
      <c r="JG69" s="37">
        <f t="shared" si="460"/>
        <v>220</v>
      </c>
      <c r="JH69" s="125">
        <f>IFERROR(VLOOKUP($D69,'Adient Assende (Belgium) WK.17'!$B:IH,JI$1,0),0)</f>
        <v>0</v>
      </c>
      <c r="JI69" s="55">
        <f>IFERROR(VLOOKUP($D69,'Adient Arendal (Malzia) WK.12'!$B:II,JI$1,0),0)</f>
        <v>0</v>
      </c>
      <c r="JJ69" s="55">
        <f>IFERROR(VLOOKUP($D69,'Adient Taizhou (China) WK.16'!$B:IL,JI$1,0),0)</f>
        <v>20</v>
      </c>
      <c r="JK69" s="60">
        <v>0</v>
      </c>
      <c r="JL69" s="128">
        <v>0</v>
      </c>
      <c r="JM69" s="32">
        <v>0</v>
      </c>
      <c r="JN69" s="106">
        <f t="shared" si="262"/>
        <v>200</v>
      </c>
      <c r="JO69" s="8"/>
      <c r="JP69" s="37">
        <f t="shared" si="461"/>
        <v>200</v>
      </c>
      <c r="JQ69" s="125">
        <f>IFERROR(VLOOKUP($D69,'Adient Assende (Belgium) WK.17'!$B:IP,JR$1,0),0)</f>
        <v>0</v>
      </c>
      <c r="JR69" s="55">
        <f>IFERROR(VLOOKUP($D69,'Adient Arendal (Malzia) WK.12'!$B:IQ,JR$1,0),0)</f>
        <v>0</v>
      </c>
      <c r="JS69" s="55">
        <f>IFERROR(VLOOKUP($D69,'Adient Taizhou (China) WK.16'!$B:IT,JR$1,0),0)</f>
        <v>20</v>
      </c>
      <c r="JT69" s="128">
        <v>0</v>
      </c>
      <c r="JU69" s="32">
        <v>0</v>
      </c>
      <c r="JV69" s="106">
        <f t="shared" si="462"/>
        <v>180</v>
      </c>
      <c r="JW69" s="8"/>
      <c r="JX69" s="37">
        <f t="shared" si="463"/>
        <v>180</v>
      </c>
      <c r="JY69" s="154">
        <f>IFERROR(VLOOKUP($D69,'Adient Assende (Belgium) WK.17'!$B:IX,JZ$1,0),0)</f>
        <v>0</v>
      </c>
      <c r="JZ69" s="55">
        <f>IFERROR(VLOOKUP($D69,'Adient Arendal (Malzia) WK.12'!$B:IY,JZ$1,0),0)</f>
        <v>0</v>
      </c>
      <c r="KA69" s="55">
        <f>IFERROR(VLOOKUP($D69,'Adient Taizhou (China) WK.16'!$B:JB,JZ$1,0),0)</f>
        <v>0</v>
      </c>
      <c r="KB69" s="128">
        <v>0</v>
      </c>
      <c r="KC69" s="32">
        <v>0</v>
      </c>
      <c r="KD69" s="106">
        <f t="shared" si="263"/>
        <v>180</v>
      </c>
      <c r="KE69" s="8"/>
      <c r="KF69" s="37">
        <f t="shared" si="464"/>
        <v>180</v>
      </c>
      <c r="KG69" s="125">
        <f>IFERROR(VLOOKUP($D69,'Adient Assende (Belgium) WK.17'!$B:JF,KH$1,0),0)</f>
        <v>0</v>
      </c>
      <c r="KH69" s="55">
        <f>IFERROR(VLOOKUP($D69,'Adient Arendal (Malzia) WK.12'!$B:JG,KH$1,0),0)</f>
        <v>0</v>
      </c>
      <c r="KI69" s="55">
        <f>IFERROR(VLOOKUP($D69,'Adient Taizhou (China) WK.16'!$B:JJ,KH$1,0),0)</f>
        <v>40</v>
      </c>
      <c r="KJ69" s="60">
        <v>0</v>
      </c>
      <c r="KK69" s="128">
        <v>0</v>
      </c>
      <c r="KL69" s="32">
        <v>0</v>
      </c>
      <c r="KM69" s="106">
        <f t="shared" si="264"/>
        <v>140</v>
      </c>
      <c r="KN69" s="8"/>
      <c r="KO69" s="37">
        <f t="shared" si="465"/>
        <v>140</v>
      </c>
      <c r="KP69" s="141">
        <f>IFERROR(VLOOKUP($D69,'Adient Assende (Belgium) WK.17'!$B:JN,KQ$1,0),0)</f>
        <v>0</v>
      </c>
      <c r="KQ69" s="140">
        <f>IFERROR(VLOOKUP($D69,'Adient Arendal (Malzia) WK.12'!$B:JO,KQ$1,0),0)</f>
        <v>0</v>
      </c>
      <c r="KR69" s="140">
        <f>IFERROR(VLOOKUP($D69,'Adient Taizhou (China) WK.16'!$B:JR,KQ$1,0),0)</f>
        <v>0</v>
      </c>
      <c r="KS69" s="60">
        <v>0</v>
      </c>
      <c r="KT69" s="128">
        <v>0</v>
      </c>
      <c r="KU69" s="32">
        <v>0</v>
      </c>
      <c r="KV69" s="106">
        <f t="shared" si="265"/>
        <v>140</v>
      </c>
      <c r="KX69" s="37">
        <f t="shared" si="466"/>
        <v>140</v>
      </c>
      <c r="KY69" s="141">
        <f>IFERROR(VLOOKUP($D69,'Adient Assende (Belgium) WK.17'!$B:JV,KZ$1,0),0)</f>
        <v>0</v>
      </c>
      <c r="KZ69" s="140">
        <f>IFERROR(VLOOKUP($D69,'Adient Arendal (Malzia) WK.12'!$B:JW,KZ$1,0),0)</f>
        <v>0</v>
      </c>
      <c r="LA69" s="140">
        <f>IFERROR(VLOOKUP($D69,'Adient Taizhou (China) WK.16'!$B:JZ,KZ$1,0),0)</f>
        <v>0</v>
      </c>
      <c r="LB69" s="128">
        <v>0</v>
      </c>
      <c r="LC69" s="32">
        <v>0</v>
      </c>
      <c r="LD69" s="106">
        <f t="shared" si="467"/>
        <v>140</v>
      </c>
      <c r="LF69" s="37">
        <f t="shared" si="468"/>
        <v>140</v>
      </c>
      <c r="LG69" s="141">
        <f>IFERROR(VLOOKUP($D69,'Adient Assende (Belgium) WK.17'!$B:KD,LH$1,0),0)</f>
        <v>0</v>
      </c>
      <c r="LH69" s="140">
        <f>IFERROR(VLOOKUP($D69,'Adient Arendal (Malzia) WK.12'!$B:KE,LH$1,0),0)</f>
        <v>0</v>
      </c>
      <c r="LI69" s="140">
        <f>IFERROR(VLOOKUP($D69,'Adient Taizhou (China) WK.16'!$B:KH,LH$1,0),0)</f>
        <v>20</v>
      </c>
      <c r="LJ69" s="60">
        <v>0</v>
      </c>
      <c r="LK69" s="128">
        <v>0</v>
      </c>
      <c r="LL69" s="32">
        <v>0</v>
      </c>
      <c r="LM69" s="100">
        <f t="shared" si="267"/>
        <v>120</v>
      </c>
      <c r="LO69" s="37">
        <f t="shared" si="469"/>
        <v>120</v>
      </c>
      <c r="LP69" s="141">
        <f>IFERROR(VLOOKUP($D69,'Adient Assende (Belgium) WK.17'!$B:KL,LQ$1,0),0)</f>
        <v>0</v>
      </c>
      <c r="LQ69" s="140">
        <f>IFERROR(VLOOKUP($D69,'Adient Arendal (Malzia) WK.12'!$B:KM,LQ$1,0),0)</f>
        <v>0</v>
      </c>
      <c r="LR69" s="140">
        <f>IFERROR(VLOOKUP($D69,'Adient Taizhou (China) WK.16'!$B:KP,LQ$1,0),0)</f>
        <v>0</v>
      </c>
      <c r="LS69" s="128">
        <v>0</v>
      </c>
      <c r="LT69" s="32">
        <v>0</v>
      </c>
      <c r="LU69" s="100">
        <f t="shared" si="470"/>
        <v>120</v>
      </c>
      <c r="LW69" s="37">
        <f t="shared" si="471"/>
        <v>120</v>
      </c>
      <c r="LX69" s="141">
        <f>IFERROR(VLOOKUP($D69,'Adient Assende (Belgium) WK.17'!$B:KT,LY$1,0),0)</f>
        <v>0</v>
      </c>
      <c r="LY69" s="140">
        <f>IFERROR(VLOOKUP($D69,'Adient Arendal (Malzia) WK.12'!$B:KU,LY$1,0),0)</f>
        <v>0</v>
      </c>
      <c r="LZ69" s="140">
        <f>IFERROR(VLOOKUP($D69,'Adient Taizhou (China) WK.16'!$B:KX,LY$1,0),0)</f>
        <v>20</v>
      </c>
      <c r="MA69" s="128">
        <v>0</v>
      </c>
      <c r="MB69" s="32">
        <v>0</v>
      </c>
      <c r="MC69" s="100">
        <f t="shared" si="472"/>
        <v>100</v>
      </c>
      <c r="ME69" s="37">
        <f t="shared" si="473"/>
        <v>100</v>
      </c>
      <c r="MF69" s="154">
        <f>IFERROR(VLOOKUP($D69,'Adient Assende (Belgium) WK.17'!$B:LB,MG$1,0),0)</f>
        <v>0</v>
      </c>
      <c r="MG69" s="140">
        <f>IFERROR(VLOOKUP($D69,'Adient Arendal (Malzia) WK.12'!$B:LC,MG$1,0),0)</f>
        <v>0</v>
      </c>
      <c r="MH69" s="140">
        <f>IFERROR(VLOOKUP($D69,'Adient Taizhou (China) WK.16'!$B:LF,MG$1,0),0)</f>
        <v>60</v>
      </c>
      <c r="MI69" s="128">
        <v>0</v>
      </c>
      <c r="MJ69" s="32">
        <v>0</v>
      </c>
      <c r="MK69" s="100">
        <f t="shared" si="474"/>
        <v>40</v>
      </c>
      <c r="MM69" s="37">
        <f t="shared" si="475"/>
        <v>40</v>
      </c>
      <c r="MN69" s="141">
        <f>IFERROR(VLOOKUP($D69,'Adient Assende (Belgium) WK.17'!$B:LJ,MO$1,0),0)</f>
        <v>0</v>
      </c>
      <c r="MO69" s="140">
        <f>IFERROR(VLOOKUP($D69,'Adient Arendal (Malzia) WK.12'!$B:LK,MO$1,0),0)</f>
        <v>0</v>
      </c>
      <c r="MP69" s="140">
        <f>IFERROR(VLOOKUP($D69,'Adient Taizhou (China) WK.16'!$B:LN,MO$1,0),0)</f>
        <v>40</v>
      </c>
      <c r="MQ69" s="128">
        <v>0</v>
      </c>
      <c r="MR69" s="32">
        <v>0</v>
      </c>
      <c r="MS69" s="100">
        <f t="shared" si="476"/>
        <v>0</v>
      </c>
      <c r="MU69" s="37">
        <f t="shared" si="477"/>
        <v>0</v>
      </c>
      <c r="MV69" s="141">
        <f>IFERROR(VLOOKUP($D69,'Adient Assende (Belgium) WK.17'!$B:LR,MW$1,0),0)</f>
        <v>0</v>
      </c>
      <c r="MW69" s="140">
        <f>IFERROR(VLOOKUP($D69,'Adient Arendal (Malzia) WK.12'!$B:LS,MW$1,0),0)</f>
        <v>0</v>
      </c>
      <c r="MX69" s="140">
        <f>IFERROR(VLOOKUP($D69,'Adient Taizhou (China) WK.16'!$B:LV,MW$1,0),0)</f>
        <v>49</v>
      </c>
      <c r="MY69" s="128">
        <v>0</v>
      </c>
      <c r="MZ69" s="32">
        <v>0</v>
      </c>
      <c r="NA69" s="100">
        <f t="shared" si="478"/>
        <v>-49</v>
      </c>
      <c r="NC69" s="37">
        <f t="shared" si="479"/>
        <v>-49</v>
      </c>
      <c r="ND69" s="141">
        <f>IFERROR(VLOOKUP($D69,'Adient Assende (Belgium) WK.17'!$B:LZ,NE$1,0),0)</f>
        <v>0</v>
      </c>
      <c r="NE69" s="140">
        <f>IFERROR(VLOOKUP($D69,'Adient Arendal (Malzia) WK.12'!$B:MA,NE$1,0),0)</f>
        <v>0</v>
      </c>
      <c r="NF69" s="140">
        <f>IFERROR(VLOOKUP($D69,'Adient Taizhou (China) WK.16'!$B:MD,NE$1,0),0)</f>
        <v>0</v>
      </c>
      <c r="NG69" s="128">
        <v>0</v>
      </c>
      <c r="NH69" s="32">
        <v>0</v>
      </c>
      <c r="NI69" s="100">
        <f t="shared" si="480"/>
        <v>-49</v>
      </c>
      <c r="NK69" s="37">
        <f t="shared" si="481"/>
        <v>-49</v>
      </c>
      <c r="NL69" s="141">
        <f>IFERROR(VLOOKUP($D69,'Adient Assende (Belgium) WK.17'!$B:MH,NM$1,0),0)</f>
        <v>0</v>
      </c>
      <c r="NM69" s="140">
        <f>IFERROR(VLOOKUP($D69,'Adient Arendal (Malzia) WK.12'!$B:MI,NM$1,0),0)</f>
        <v>0</v>
      </c>
      <c r="NN69" s="140">
        <f>IFERROR(VLOOKUP($D69,'Adient Taizhou (China) WK.16'!$B:ML,NM$1,0),0)</f>
        <v>0</v>
      </c>
      <c r="NO69" s="128">
        <v>0</v>
      </c>
      <c r="NP69" s="32">
        <v>0</v>
      </c>
      <c r="NQ69" s="100">
        <f t="shared" si="482"/>
        <v>-49</v>
      </c>
      <c r="NS69" s="37">
        <f t="shared" si="483"/>
        <v>-49</v>
      </c>
      <c r="NT69" s="141">
        <f>IFERROR(VLOOKUP($D69,'Adient Assende (Belgium) WK.17'!$B:MP,NU$1,0),0)</f>
        <v>0</v>
      </c>
      <c r="NU69" s="140">
        <f>IFERROR(VLOOKUP($D69,'Adient Arendal (Malzia) WK.12'!$B:MQ,NU$1,0),0)</f>
        <v>0</v>
      </c>
      <c r="NV69" s="140">
        <f>IFERROR(VLOOKUP($D69,'Adient Taizhou (China) WK.16'!$B:MT,NU$1,0),0)</f>
        <v>0</v>
      </c>
      <c r="NW69" s="128">
        <v>0</v>
      </c>
      <c r="NX69" s="32">
        <v>0</v>
      </c>
      <c r="NY69" s="100">
        <f t="shared" si="484"/>
        <v>-49</v>
      </c>
      <c r="OA69" s="37">
        <f t="shared" si="485"/>
        <v>-49</v>
      </c>
      <c r="OB69" s="141">
        <f>IFERROR(VLOOKUP($D69,'Adient Assende (Belgium) WK.17'!$B:MX,OC$1,0),0)</f>
        <v>0</v>
      </c>
      <c r="OC69" s="140">
        <f>IFERROR(VLOOKUP($D69,'Adient Arendal (Malzia) WK.12'!$B:MY,OC$1,0),0)</f>
        <v>0</v>
      </c>
      <c r="OD69" s="140">
        <f>IFERROR(VLOOKUP($D69,'Adient Taizhou (China) WK.16'!$B:NB,OC$1,0),0)</f>
        <v>0</v>
      </c>
      <c r="OE69" s="128">
        <v>0</v>
      </c>
      <c r="OF69" s="32">
        <v>0</v>
      </c>
      <c r="OG69" s="100">
        <f t="shared" si="486"/>
        <v>-49</v>
      </c>
      <c r="OI69" s="37">
        <f t="shared" si="487"/>
        <v>-49</v>
      </c>
      <c r="OJ69" s="141">
        <f>IFERROR(VLOOKUP($D69,'Adient Assende (Belgium) WK.17'!$B:NF,OK$1,0),0)</f>
        <v>0</v>
      </c>
      <c r="OK69" s="140">
        <f>IFERROR(VLOOKUP($D69,'Adient Arendal (Malzia) WK.12'!$B:NG,OK$1,0),0)</f>
        <v>0</v>
      </c>
      <c r="OL69" s="140">
        <f>IFERROR(VLOOKUP($D69,'Adient Taizhou (China) WK.16'!$B:NJ,OK$1,0),0)</f>
        <v>0</v>
      </c>
      <c r="OM69" s="128">
        <v>0</v>
      </c>
      <c r="ON69" s="32">
        <v>0</v>
      </c>
      <c r="OO69" s="100">
        <f t="shared" si="488"/>
        <v>-49</v>
      </c>
      <c r="OQ69" s="37">
        <f t="shared" si="489"/>
        <v>-49</v>
      </c>
      <c r="OR69" s="141">
        <f>IFERROR(VLOOKUP($D69,'Adient Assende (Belgium) WK.17'!$B:NN,OS$1,0),0)</f>
        <v>0</v>
      </c>
      <c r="OS69" s="140">
        <f>IFERROR(VLOOKUP($D69,'Adient Arendal (Malzia) WK.12'!$B:NO,OS$1,0),0)</f>
        <v>0</v>
      </c>
      <c r="OT69" s="140">
        <f>IFERROR(VLOOKUP($D69,'Adient Taizhou (China) WK.16'!$B:NR,OS$1,0),0)</f>
        <v>0</v>
      </c>
      <c r="OU69" s="128">
        <v>0</v>
      </c>
      <c r="OV69" s="32">
        <v>0</v>
      </c>
      <c r="OW69" s="100">
        <f t="shared" si="490"/>
        <v>-49</v>
      </c>
      <c r="OY69" s="37">
        <f t="shared" si="491"/>
        <v>-49</v>
      </c>
      <c r="OZ69" s="141">
        <f>IFERROR(VLOOKUP($D69,'Adient Assende (Belgium) WK.17'!$B:NV,PA$1,0),0)</f>
        <v>0</v>
      </c>
      <c r="PA69" s="140">
        <f>IFERROR(VLOOKUP($D69,'Adient Arendal (Malzia) WK.12'!$B:NW,PA$1,0),0)</f>
        <v>0</v>
      </c>
      <c r="PB69" s="140">
        <f>IFERROR(VLOOKUP($D69,'Adient Taizhou (China) WK.16'!$B:NZ,PA$1,0),0)</f>
        <v>0</v>
      </c>
      <c r="PC69" s="128">
        <v>0</v>
      </c>
      <c r="PD69" s="32">
        <v>0</v>
      </c>
      <c r="PE69" s="100">
        <f t="shared" si="492"/>
        <v>-49</v>
      </c>
      <c r="PG69" s="37">
        <f t="shared" si="493"/>
        <v>-49</v>
      </c>
      <c r="PH69" s="141">
        <f>IFERROR(VLOOKUP($D69,'Adient Assende (Belgium) WK.17'!$B:OD,PI$1,0),0)</f>
        <v>0</v>
      </c>
      <c r="PI69" s="140">
        <f>IFERROR(VLOOKUP($D69,'Adient Arendal (Malzia) WK.12'!$B:OE,PI$1,0),0)</f>
        <v>0</v>
      </c>
      <c r="PJ69" s="140">
        <f>IFERROR(VLOOKUP($D69,'Adient Taizhou (China) WK.16'!$B:OH,PI$1,0),0)</f>
        <v>0</v>
      </c>
      <c r="PK69" s="128">
        <v>0</v>
      </c>
      <c r="PL69" s="32">
        <v>0</v>
      </c>
      <c r="PM69" s="100">
        <f t="shared" si="494"/>
        <v>-49</v>
      </c>
      <c r="PO69" s="37">
        <f t="shared" si="495"/>
        <v>-49</v>
      </c>
      <c r="PP69" s="141">
        <f>IFERROR(VLOOKUP($D69,'Adient Assende (Belgium) WK.17'!$B:OL,PQ$1,0),0)</f>
        <v>0</v>
      </c>
      <c r="PQ69" s="140">
        <f>IFERROR(VLOOKUP($D69,'Adient Arendal (Malzia) WK.12'!$B:OM,PQ$1,0),0)</f>
        <v>0</v>
      </c>
      <c r="PR69" s="140">
        <f>IFERROR(VLOOKUP($D69,'Adient Taizhou (China) WK.16'!$B:OP,PQ$1,0),0)</f>
        <v>0</v>
      </c>
      <c r="PS69" s="128">
        <v>0</v>
      </c>
      <c r="PT69" s="32">
        <v>0</v>
      </c>
      <c r="PU69" s="100">
        <f t="shared" si="496"/>
        <v>-49</v>
      </c>
      <c r="PW69" s="37">
        <f t="shared" si="497"/>
        <v>-49</v>
      </c>
      <c r="PX69" s="141">
        <f>IFERROR(VLOOKUP($D69,'Adient Assende (Belgium) WK.17'!$B:OT,PY$1,0),0)</f>
        <v>0</v>
      </c>
      <c r="PY69" s="140">
        <f>IFERROR(VLOOKUP($D69,'Adient Arendal (Malzia) WK.12'!$B:OU,PY$1,0),0)</f>
        <v>0</v>
      </c>
      <c r="PZ69" s="140">
        <f>IFERROR(VLOOKUP($D69,'Adient Taizhou (China) WK.16'!$B:OX,PY$1,0),0)</f>
        <v>0</v>
      </c>
      <c r="QA69" s="128">
        <v>0</v>
      </c>
      <c r="QB69" s="32">
        <v>0</v>
      </c>
      <c r="QC69" s="100">
        <f t="shared" si="498"/>
        <v>-49</v>
      </c>
      <c r="QE69" s="37">
        <f t="shared" si="499"/>
        <v>-49</v>
      </c>
      <c r="QF69" s="141">
        <f>IFERROR(VLOOKUP($D69,'Adient Assende (Belgium) WK.17'!$B:PB,QG$1,0),0)</f>
        <v>0</v>
      </c>
      <c r="QG69" s="140">
        <f>IFERROR(VLOOKUP($D69,'Adient Arendal (Malzia) WK.12'!$B:PC,QG$1,0),0)</f>
        <v>0</v>
      </c>
      <c r="QH69" s="140">
        <f>IFERROR(VLOOKUP($D69,'Adient Taizhou (China) WK.16'!$B:PF,QG$1,0),0)</f>
        <v>0</v>
      </c>
      <c r="QI69" s="128">
        <v>0</v>
      </c>
      <c r="QJ69" s="32">
        <v>0</v>
      </c>
      <c r="QK69" s="100">
        <f t="shared" si="500"/>
        <v>-49</v>
      </c>
      <c r="QM69" s="37">
        <f t="shared" si="501"/>
        <v>-49</v>
      </c>
      <c r="QN69" s="141">
        <f>IFERROR(VLOOKUP($D69,'Adient Assende (Belgium) WK.17'!$B:PJ,QO$1,0),0)</f>
        <v>0</v>
      </c>
      <c r="QO69" s="140">
        <f>IFERROR(VLOOKUP($D69,'Adient Arendal (Malzia) WK.12'!$B:PK,QO$1,0),0)</f>
        <v>0</v>
      </c>
      <c r="QP69" s="140">
        <f>IFERROR(VLOOKUP($D69,'Adient Taizhou (China) WK.16'!$B:PN,QO$1,0),0)</f>
        <v>0</v>
      </c>
      <c r="QQ69" s="128">
        <v>0</v>
      </c>
      <c r="QR69" s="32">
        <v>0</v>
      </c>
      <c r="QS69" s="100">
        <f t="shared" si="502"/>
        <v>-49</v>
      </c>
      <c r="QU69" s="37">
        <f t="shared" si="503"/>
        <v>-49</v>
      </c>
      <c r="QV69" s="141">
        <f>IFERROR(VLOOKUP($D69,'Adient Assende (Belgium) WK.17'!$B:PR,QW$1,0),0)</f>
        <v>0</v>
      </c>
      <c r="QW69" s="140">
        <f>IFERROR(VLOOKUP($D69,'Adient Arendal (Malzia) WK.12'!$B:PS,QW$1,0),0)</f>
        <v>0</v>
      </c>
      <c r="QX69" s="140">
        <f>IFERROR(VLOOKUP($D69,'Adient Taizhou (China) WK.16'!$B:PV,QW$1,0),0)</f>
        <v>0</v>
      </c>
      <c r="QY69" s="128">
        <v>0</v>
      </c>
      <c r="QZ69" s="32">
        <v>0</v>
      </c>
      <c r="RA69" s="100">
        <f t="shared" si="504"/>
        <v>-49</v>
      </c>
      <c r="RC69" s="37">
        <f t="shared" si="505"/>
        <v>-49</v>
      </c>
      <c r="RD69" s="141">
        <f>IFERROR(VLOOKUP($D69,'Adient Assende (Belgium) WK.17'!$B:PZ,RE$1,0),0)</f>
        <v>0</v>
      </c>
      <c r="RE69" s="140">
        <f>IFERROR(VLOOKUP($D69,'Adient Arendal (Malzia) WK.12'!$B:QA,RE$1,0),0)</f>
        <v>0</v>
      </c>
      <c r="RF69" s="140">
        <f>IFERROR(VLOOKUP($D69,'Adient Taizhou (China) WK.16'!$B:QD,RE$1,0),0)</f>
        <v>0</v>
      </c>
      <c r="RG69" s="128">
        <v>0</v>
      </c>
      <c r="RH69" s="32">
        <v>0</v>
      </c>
      <c r="RI69" s="100">
        <f t="shared" si="506"/>
        <v>-49</v>
      </c>
      <c r="RK69" s="37">
        <f t="shared" si="507"/>
        <v>-49</v>
      </c>
      <c r="RL69" s="141">
        <f>IFERROR(VLOOKUP($D69,'Adient Assende (Belgium) WK.17'!$B:QH,RM$1,0),0)</f>
        <v>0</v>
      </c>
      <c r="RM69" s="140">
        <f>IFERROR(VLOOKUP($D69,'Adient Arendal (Malzia) WK.12'!$B:QI,RM$1,0),0)</f>
        <v>0</v>
      </c>
      <c r="RN69" s="140">
        <f>IFERROR(VLOOKUP($D69,'Adient Taizhou (China) WK.16'!$B:QL,RM$1,0),0)</f>
        <v>0</v>
      </c>
      <c r="RO69" s="128">
        <v>0</v>
      </c>
      <c r="RP69" s="32">
        <v>0</v>
      </c>
      <c r="RQ69" s="100">
        <f t="shared" si="508"/>
        <v>-49</v>
      </c>
      <c r="RS69" s="37">
        <f t="shared" si="509"/>
        <v>-49</v>
      </c>
      <c r="RT69" s="141">
        <f>IFERROR(VLOOKUP($D69,'Adient Assende (Belgium) WK.17'!$B:QP,RU$1,0),0)</f>
        <v>0</v>
      </c>
      <c r="RU69" s="140">
        <f>IFERROR(VLOOKUP($D69,'Adient Arendal (Malzia) WK.12'!$B:QQ,RU$1,0),0)</f>
        <v>0</v>
      </c>
      <c r="RV69" s="140">
        <f>IFERROR(VLOOKUP($D69,'Adient Taizhou (China) WK.16'!$B:QT,RU$1,0),0)</f>
        <v>0</v>
      </c>
      <c r="RW69" s="128">
        <v>0</v>
      </c>
      <c r="RX69" s="32">
        <v>0</v>
      </c>
      <c r="RY69" s="100">
        <f t="shared" si="510"/>
        <v>-49</v>
      </c>
      <c r="SA69" s="37">
        <f t="shared" si="511"/>
        <v>-49</v>
      </c>
      <c r="SB69" s="141">
        <f>IFERROR(VLOOKUP($D69,'Adient Assende (Belgium) WK.17'!$B:QX,SC$1,0),0)</f>
        <v>0</v>
      </c>
      <c r="SC69" s="140">
        <f>IFERROR(VLOOKUP($D69,'Adient Arendal (Malzia) WK.12'!$B:QY,SC$1,0),0)</f>
        <v>0</v>
      </c>
      <c r="SD69" s="140">
        <f>IFERROR(VLOOKUP($D69,'Adient Taizhou (China) WK.16'!$B:RB,SC$1,0),0)</f>
        <v>0</v>
      </c>
      <c r="SE69" s="128">
        <v>0</v>
      </c>
      <c r="SF69" s="32">
        <v>0</v>
      </c>
      <c r="SG69" s="100">
        <f t="shared" si="512"/>
        <v>-49</v>
      </c>
      <c r="SI69" s="37">
        <f t="shared" si="513"/>
        <v>-49</v>
      </c>
      <c r="SJ69" s="141">
        <f>IFERROR(VLOOKUP($D69,'Adient Assende (Belgium) WK.17'!$B:RF,SK$1,0),0)</f>
        <v>0</v>
      </c>
      <c r="SK69" s="140">
        <f>IFERROR(VLOOKUP($D69,'Adient Arendal (Malzia) WK.12'!$B:RG,SK$1,0),0)</f>
        <v>0</v>
      </c>
      <c r="SL69" s="140">
        <f>IFERROR(VLOOKUP($D69,'Adient Taizhou (China) WK.16'!$B:RJ,SK$1,0),0)</f>
        <v>0</v>
      </c>
      <c r="SM69" s="128">
        <v>0</v>
      </c>
      <c r="SN69" s="32">
        <v>0</v>
      </c>
      <c r="SO69" s="100">
        <f t="shared" si="514"/>
        <v>-49</v>
      </c>
      <c r="SQ69" s="37">
        <f t="shared" si="515"/>
        <v>-49</v>
      </c>
      <c r="SR69" s="141">
        <f>IFERROR(VLOOKUP($D69,'Adient Assende (Belgium) WK.17'!$B:RN,SS$1,0),0)</f>
        <v>0</v>
      </c>
      <c r="SS69" s="140">
        <f>IFERROR(VLOOKUP($D69,'Adient Arendal (Malzia) WK.12'!$B:RO,SS$1,0),0)</f>
        <v>0</v>
      </c>
      <c r="ST69" s="140">
        <f>IFERROR(VLOOKUP($D69,'Adient Taizhou (China) WK.16'!$B:RR,SS$1,0),0)</f>
        <v>0</v>
      </c>
      <c r="SU69" s="128">
        <v>0</v>
      </c>
      <c r="SV69" s="32">
        <v>0</v>
      </c>
      <c r="SW69" s="100">
        <f t="shared" si="516"/>
        <v>-49</v>
      </c>
      <c r="SY69" s="37">
        <f t="shared" si="517"/>
        <v>-49</v>
      </c>
      <c r="SZ69" s="141">
        <f>IFERROR(VLOOKUP($D69,'Adient Assende (Belgium) WK.17'!$B:RV,TA$1,0),0)</f>
        <v>0</v>
      </c>
      <c r="TA69" s="140">
        <f>IFERROR(VLOOKUP($D69,'Adient Arendal (Malzia) WK.12'!$B:RW,TA$1,0),0)</f>
        <v>0</v>
      </c>
      <c r="TB69" s="140">
        <f>IFERROR(VLOOKUP($D69,'Adient Taizhou (China) WK.16'!$B:RZ,TA$1,0),0)</f>
        <v>0</v>
      </c>
      <c r="TC69" s="128">
        <v>0</v>
      </c>
      <c r="TD69" s="32">
        <v>0</v>
      </c>
      <c r="TE69" s="100">
        <f t="shared" si="518"/>
        <v>-49</v>
      </c>
      <c r="TG69" s="37">
        <f t="shared" si="519"/>
        <v>-49</v>
      </c>
      <c r="TH69" s="141">
        <f>IFERROR(VLOOKUP($D69,'Adient Assende (Belgium) WK.17'!$B:SD,TI$1,0),0)</f>
        <v>0</v>
      </c>
      <c r="TI69" s="140">
        <f>IFERROR(VLOOKUP($D69,'Adient Arendal (Malzia) WK.12'!$B:SE,TI$1,0),0)</f>
        <v>0</v>
      </c>
      <c r="TJ69" s="140">
        <f>IFERROR(VLOOKUP($D69,'Adient Taizhou (China) WK.16'!$B:SH,TI$1,0),0)</f>
        <v>0</v>
      </c>
      <c r="TK69" s="128">
        <v>0</v>
      </c>
      <c r="TL69" s="32">
        <v>0</v>
      </c>
      <c r="TM69" s="100">
        <f t="shared" si="520"/>
        <v>-49</v>
      </c>
      <c r="TO69" s="37">
        <f t="shared" si="521"/>
        <v>-49</v>
      </c>
      <c r="TP69" s="141">
        <f>IFERROR(VLOOKUP($D69,'Adient Assende (Belgium) WK.17'!$B:SL,TQ$1,0),0)</f>
        <v>0</v>
      </c>
      <c r="TQ69" s="140">
        <f>IFERROR(VLOOKUP($D69,'Adient Arendal (Malzia) WK.12'!$B:SM,TQ$1,0),0)</f>
        <v>0</v>
      </c>
      <c r="TR69" s="140">
        <f>IFERROR(VLOOKUP($D69,'Adient Taizhou (China) WK.16'!$B:SP,TQ$1,0),0)</f>
        <v>0</v>
      </c>
      <c r="TS69" s="128">
        <v>0</v>
      </c>
      <c r="TT69" s="32">
        <v>0</v>
      </c>
      <c r="TU69" s="100">
        <f t="shared" si="522"/>
        <v>-49</v>
      </c>
      <c r="TW69" s="37">
        <f t="shared" si="523"/>
        <v>-49</v>
      </c>
      <c r="TX69" s="141">
        <f>IFERROR(VLOOKUP($D69,'Adient Assende (Belgium) WK.17'!$B:ST,TY$1,0),0)</f>
        <v>0</v>
      </c>
      <c r="TY69" s="140">
        <f>IFERROR(VLOOKUP($D69,'Adient Arendal (Malzia) WK.12'!$B:SU,TY$1,0),0)</f>
        <v>0</v>
      </c>
      <c r="TZ69" s="140">
        <f>IFERROR(VLOOKUP($D69,'Adient Taizhou (China) WK.16'!$B:SX,TY$1,0),0)</f>
        <v>0</v>
      </c>
      <c r="UA69" s="128">
        <v>0</v>
      </c>
      <c r="UB69" s="32">
        <v>0</v>
      </c>
      <c r="UC69" s="100">
        <f t="shared" si="524"/>
        <v>-49</v>
      </c>
      <c r="UE69" s="37">
        <f t="shared" si="525"/>
        <v>-49</v>
      </c>
      <c r="UF69" s="141">
        <f>IFERROR(VLOOKUP($D69,'Adient Assende (Belgium) WK.17'!$B:TB,UG$1,0),0)</f>
        <v>0</v>
      </c>
      <c r="UG69" s="140">
        <f>IFERROR(VLOOKUP($D69,'Adient Arendal (Malzia) WK.12'!$B:TC,UG$1,0),0)</f>
        <v>0</v>
      </c>
      <c r="UH69" s="140">
        <f>IFERROR(VLOOKUP($D69,'Adient Taizhou (China) WK.16'!$B:TF,UG$1,0),0)</f>
        <v>0</v>
      </c>
      <c r="UI69" s="128">
        <v>0</v>
      </c>
      <c r="UJ69" s="32">
        <v>0</v>
      </c>
      <c r="UK69" s="100">
        <f t="shared" si="526"/>
        <v>-49</v>
      </c>
      <c r="UM69" s="37">
        <f t="shared" si="527"/>
        <v>-49</v>
      </c>
      <c r="UN69" s="141">
        <f>IFERROR(VLOOKUP($D69,'Adient Assende (Belgium) WK.17'!$B:TJ,UO$1,0),0)</f>
        <v>0</v>
      </c>
      <c r="UO69" s="140">
        <f>IFERROR(VLOOKUP($D69,'Adient Arendal (Malzia) WK.12'!$B:TK,UO$1,0),0)</f>
        <v>0</v>
      </c>
      <c r="UP69" s="140">
        <f>IFERROR(VLOOKUP($D69,'Adient Taizhou (China) WK.16'!$B:TN,UO$1,0),0)</f>
        <v>0</v>
      </c>
      <c r="UQ69" s="128">
        <v>0</v>
      </c>
      <c r="UR69" s="32">
        <v>0</v>
      </c>
      <c r="US69" s="100">
        <f t="shared" si="528"/>
        <v>-49</v>
      </c>
      <c r="UU69" s="37">
        <f t="shared" si="529"/>
        <v>-49</v>
      </c>
      <c r="UV69" s="141">
        <f>IFERROR(VLOOKUP($D69,'Adient Assende (Belgium) WK.17'!$B:TR,UW$1,0),0)</f>
        <v>0</v>
      </c>
      <c r="UW69" s="140">
        <f>IFERROR(VLOOKUP($D69,'Adient Arendal (Malzia) WK.12'!$B:TS,UW$1,0),0)</f>
        <v>0</v>
      </c>
      <c r="UX69" s="140">
        <f>IFERROR(VLOOKUP($D69,'Adient Taizhou (China) WK.16'!$B:TV,UW$1,0),0)</f>
        <v>0</v>
      </c>
      <c r="UY69" s="128">
        <v>0</v>
      </c>
      <c r="UZ69" s="32">
        <v>0</v>
      </c>
      <c r="VA69" s="100">
        <f t="shared" si="530"/>
        <v>-49</v>
      </c>
      <c r="VC69" s="37">
        <f t="shared" si="531"/>
        <v>-49</v>
      </c>
      <c r="VD69" s="141">
        <f>IFERROR(VLOOKUP($D69,'Adient Assende (Belgium) WK.17'!$B:TZ,VE$1,0),0)</f>
        <v>0</v>
      </c>
      <c r="VE69" s="140">
        <f>IFERROR(VLOOKUP($D69,'Adient Arendal (Malzia) WK.12'!$B:UA,VE$1,0),0)</f>
        <v>0</v>
      </c>
      <c r="VF69" s="140">
        <f>IFERROR(VLOOKUP($D69,'Adient Taizhou (China) WK.16'!$B:UD,VE$1,0),0)</f>
        <v>0</v>
      </c>
      <c r="VG69" s="128">
        <v>0</v>
      </c>
      <c r="VH69" s="32">
        <v>0</v>
      </c>
      <c r="VI69" s="100">
        <f t="shared" si="532"/>
        <v>-49</v>
      </c>
      <c r="VK69" s="37">
        <f t="shared" si="533"/>
        <v>-49</v>
      </c>
      <c r="VL69" s="141">
        <f>IFERROR(VLOOKUP($D69,'Adient Assende (Belgium) WK.17'!$B:UH,VM$1,0),0)</f>
        <v>0</v>
      </c>
      <c r="VM69" s="140">
        <f>IFERROR(VLOOKUP($D69,'Adient Arendal (Malzia) WK.12'!$B:UI,VM$1,0),0)</f>
        <v>0</v>
      </c>
      <c r="VN69" s="140">
        <f>IFERROR(VLOOKUP($D69,'Adient Taizhou (China) WK.16'!$B:UL,VM$1,0),0)</f>
        <v>0</v>
      </c>
      <c r="VO69" s="128">
        <v>0</v>
      </c>
      <c r="VP69" s="32">
        <v>0</v>
      </c>
      <c r="VQ69" s="100">
        <f t="shared" si="534"/>
        <v>-49</v>
      </c>
    </row>
    <row r="70" spans="1:589" ht="15.75" thickBot="1" x14ac:dyDescent="0.3">
      <c r="A70" s="10" t="s">
        <v>18</v>
      </c>
      <c r="B70" s="49" t="s">
        <v>17</v>
      </c>
      <c r="C70" s="90">
        <v>32332629</v>
      </c>
      <c r="D70" s="85">
        <v>5180041</v>
      </c>
      <c r="E70" s="11">
        <v>20</v>
      </c>
      <c r="F70" s="12"/>
      <c r="H70" s="122">
        <v>240</v>
      </c>
      <c r="I70" s="125">
        <f>IFERROR(VLOOKUP($D70,'Adient Assende (Belgium) WK.17'!$B:C,J$1,0),0)</f>
        <v>0</v>
      </c>
      <c r="J70" s="55">
        <f>IFERROR(VLOOKUP($D70,'Adient Arendal (Malzia) WK.12'!$B:C,J$1,0),0)</f>
        <v>0</v>
      </c>
      <c r="K70" s="55">
        <f>IFERROR(VLOOKUP($D70,'Adient Taizhou (China) WK.16'!$B:C,J$1,0),0)</f>
        <v>0</v>
      </c>
      <c r="L70" s="128">
        <v>0</v>
      </c>
      <c r="M70" s="31">
        <v>0</v>
      </c>
      <c r="N70" s="110">
        <f t="shared" si="233"/>
        <v>240</v>
      </c>
      <c r="P70" s="37">
        <f t="shared" si="234"/>
        <v>240</v>
      </c>
      <c r="Q70" s="125">
        <f>IFERROR(VLOOKUP($D70,'Adient Assende (Belgium) WK.17'!$B:K,R$1,0),0)</f>
        <v>0</v>
      </c>
      <c r="R70" s="55">
        <f>IFERROR(VLOOKUP($D70,'Adient Arendal (Malzia) WK.12'!$B:K,R$1,0),0)</f>
        <v>0</v>
      </c>
      <c r="S70" s="55">
        <f>IFERROR(VLOOKUP($D70,'Adient Taizhou (China) WK.16'!$B:K,R$1,0),0)</f>
        <v>0</v>
      </c>
      <c r="T70" s="41">
        <v>0</v>
      </c>
      <c r="U70" s="31">
        <v>0</v>
      </c>
      <c r="V70" s="110">
        <f t="shared" si="235"/>
        <v>240</v>
      </c>
      <c r="X70" s="37">
        <f t="shared" si="236"/>
        <v>240</v>
      </c>
      <c r="Y70" s="125">
        <f>IFERROR(VLOOKUP($D70,'Adient Assende (Belgium) WK.17'!$B:S,Z$1,0),0)</f>
        <v>0</v>
      </c>
      <c r="Z70" s="55">
        <f>IFERROR(VLOOKUP($D70,'Adient Arendal (Malzia) WK.12'!$B:S,Z$1,0),0)</f>
        <v>0</v>
      </c>
      <c r="AA70" s="55">
        <f>IFERROR(VLOOKUP($D70,'Adient Taizhou (China) WK.16'!$B:S,Z$1,0),0)</f>
        <v>0</v>
      </c>
      <c r="AB70" s="41">
        <v>0</v>
      </c>
      <c r="AC70" s="31">
        <v>0</v>
      </c>
      <c r="AD70" s="110">
        <f t="shared" si="237"/>
        <v>240</v>
      </c>
      <c r="AF70" s="37">
        <f t="shared" si="238"/>
        <v>240</v>
      </c>
      <c r="AG70" s="125">
        <f>IFERROR(VLOOKUP($D70,'Adient Assende (Belgium) WK.17'!$B:AA,AH$1,0),0)</f>
        <v>0</v>
      </c>
      <c r="AH70" s="55">
        <f>IFERROR(VLOOKUP($D70,'Adient Arendal (Malzia) WK.12'!$B:AA,AH$1,0),0)</f>
        <v>0</v>
      </c>
      <c r="AI70" s="55">
        <f>IFERROR(VLOOKUP($D70,'Adient Taizhou (China) WK.16'!$B:AA,AH$1,0),0)</f>
        <v>0</v>
      </c>
      <c r="AJ70" s="41">
        <v>0</v>
      </c>
      <c r="AK70" s="31">
        <v>0</v>
      </c>
      <c r="AL70" s="110">
        <f t="shared" si="239"/>
        <v>240</v>
      </c>
      <c r="AN70" s="37">
        <f t="shared" si="432"/>
        <v>240</v>
      </c>
      <c r="AO70" s="125">
        <f>IFERROR(VLOOKUP($D70,'Adient Assende (Belgium) WK.17'!$B:AI,AP$1,0),0)</f>
        <v>0</v>
      </c>
      <c r="AP70" s="55">
        <f>IFERROR(VLOOKUP($D70,'Adient Arendal (Malzia) WK.12'!$B:AI,AP$1,0),0)</f>
        <v>0</v>
      </c>
      <c r="AQ70" s="55">
        <f>IFERROR(VLOOKUP($D70,'Adient Taizhou (China) WK.16'!$B:AI,AP$1,0),0)</f>
        <v>0</v>
      </c>
      <c r="AR70" s="60">
        <v>0</v>
      </c>
      <c r="AS70" s="41">
        <v>80</v>
      </c>
      <c r="AT70" s="31">
        <v>0</v>
      </c>
      <c r="AU70" s="110">
        <f t="shared" si="240"/>
        <v>160</v>
      </c>
      <c r="AW70" s="37">
        <f t="shared" si="433"/>
        <v>160</v>
      </c>
      <c r="AX70" s="125">
        <f>IFERROR(VLOOKUP($D70,'Adient Assende (Belgium) WK.17'!$B:AR,AY$1,0),0)</f>
        <v>80</v>
      </c>
      <c r="AY70" s="55">
        <f>IFERROR(VLOOKUP($D70,'Adient Arendal (Malzia) WK.12'!$B:AR,AY$1,0),0)</f>
        <v>0</v>
      </c>
      <c r="AZ70" s="55">
        <f>IFERROR(VLOOKUP($D70,'Adient Taizhou (China) WK.16'!$B:AU,AY$1,0),0)</f>
        <v>0</v>
      </c>
      <c r="BA70" s="41">
        <v>0</v>
      </c>
      <c r="BB70" s="31">
        <v>0</v>
      </c>
      <c r="BC70" s="110">
        <f t="shared" si="241"/>
        <v>160</v>
      </c>
      <c r="BE70" s="37">
        <f t="shared" si="434"/>
        <v>160</v>
      </c>
      <c r="BF70" s="125">
        <f>IFERROR(VLOOKUP($D70,'Adient Assende (Belgium) WK.17'!$B:AX,BG$1,0),0)</f>
        <v>0</v>
      </c>
      <c r="BG70" s="55">
        <f>IFERROR(VLOOKUP($D70,'Adient Arendal (Malzia) WK.12'!$B:AZ,BG$1,0),0)</f>
        <v>0</v>
      </c>
      <c r="BH70" s="55">
        <f>IFERROR(VLOOKUP($D70,'Adient Taizhou (China) WK.16'!$B:BB,BG$1,0),0)</f>
        <v>0</v>
      </c>
      <c r="BI70" s="60">
        <v>0</v>
      </c>
      <c r="BJ70" s="60">
        <v>0</v>
      </c>
      <c r="BK70" s="41">
        <v>0</v>
      </c>
      <c r="BL70" s="31">
        <v>0</v>
      </c>
      <c r="BM70" s="110">
        <f t="shared" si="242"/>
        <v>160</v>
      </c>
      <c r="BN70" s="8"/>
      <c r="BO70" s="37">
        <f t="shared" si="435"/>
        <v>160</v>
      </c>
      <c r="BP70" s="125">
        <f>IFERROR(VLOOKUP($D70,'Adient Assende (Belgium) WK.17'!$B:BH,BQ$1,0),0)</f>
        <v>0</v>
      </c>
      <c r="BQ70" s="55">
        <f>IFERROR(VLOOKUP($D70,'Adient Arendal (Malzia) WK.12'!$B:BI,BQ$1,0),0)</f>
        <v>0</v>
      </c>
      <c r="BR70" s="55">
        <f>IFERROR(VLOOKUP($D70,'Adient Taizhou (China) WK.16'!$B:BL,BQ$1,0),0)</f>
        <v>0</v>
      </c>
      <c r="BS70" s="60">
        <v>0</v>
      </c>
      <c r="BT70" s="60">
        <v>0</v>
      </c>
      <c r="BU70" s="60">
        <v>0</v>
      </c>
      <c r="BV70" s="41">
        <v>0</v>
      </c>
      <c r="BW70" s="31">
        <v>0</v>
      </c>
      <c r="BX70" s="110">
        <f t="shared" si="243"/>
        <v>160</v>
      </c>
      <c r="BY70" s="8"/>
      <c r="BZ70" s="37">
        <f t="shared" si="436"/>
        <v>160</v>
      </c>
      <c r="CA70" s="125">
        <f>IFERROR(VLOOKUP($D70,'Adient Assende (Belgium) WK.17'!$B:BS,CB$1,0),0)</f>
        <v>0</v>
      </c>
      <c r="CB70" s="55">
        <f>IFERROR(VLOOKUP($D70,'Adient Arendal (Malzia) WK.12'!$B:BT,CB$1,0),0)</f>
        <v>0</v>
      </c>
      <c r="CC70" s="55">
        <f>IFERROR(VLOOKUP($D70,'Adient Taizhou (China) WK.16'!$B:BW,CB$1,0),0)</f>
        <v>0</v>
      </c>
      <c r="CD70" s="60">
        <v>0</v>
      </c>
      <c r="CE70" s="60">
        <v>0</v>
      </c>
      <c r="CF70" s="41">
        <v>0</v>
      </c>
      <c r="CG70" s="31">
        <v>0</v>
      </c>
      <c r="CH70" s="110">
        <f t="shared" si="244"/>
        <v>160</v>
      </c>
      <c r="CI70" s="8"/>
      <c r="CJ70" s="37">
        <f t="shared" si="437"/>
        <v>160</v>
      </c>
      <c r="CK70" s="125">
        <f>IFERROR(VLOOKUP($D70,'Adient Assende (Belgium) WK.17'!$B:CC,CL$1,0),0)</f>
        <v>0</v>
      </c>
      <c r="CL70" s="55">
        <f>IFERROR(VLOOKUP($D70,'Adient Arendal (Malzia) WK.12'!$B:CD,CL$1,0),0)</f>
        <v>0</v>
      </c>
      <c r="CM70" s="55">
        <f>IFERROR(VLOOKUP($D70,'Adient Taizhou (China) WK.16'!$B:CG,CL$1,0),0)</f>
        <v>0</v>
      </c>
      <c r="CN70" s="60">
        <v>0</v>
      </c>
      <c r="CO70" s="149">
        <v>0</v>
      </c>
      <c r="CP70" s="31">
        <v>0</v>
      </c>
      <c r="CQ70" s="110">
        <f t="shared" si="245"/>
        <v>160</v>
      </c>
      <c r="CR70" s="8"/>
      <c r="CS70" s="122">
        <f t="shared" si="438"/>
        <v>160</v>
      </c>
      <c r="CT70" s="154">
        <f>IFERROR(VLOOKUP($D70,'Adient Assende (Belgium) WK.17'!$B:CL,CU$1,0),0)</f>
        <v>0</v>
      </c>
      <c r="CU70" s="55">
        <f>IFERROR(VLOOKUP($D70,'Adient Arendal (Malzia) WK.12'!$B:CM,CU$1,0),0)</f>
        <v>0</v>
      </c>
      <c r="CV70" s="55">
        <f>IFERROR(VLOOKUP($D70,'Adient Taizhou (China) WK.16'!$B:CP,CU$1,0),0)</f>
        <v>0</v>
      </c>
      <c r="CW70" s="60">
        <v>0</v>
      </c>
      <c r="CX70" s="60">
        <v>0</v>
      </c>
      <c r="CY70" s="128">
        <v>0</v>
      </c>
      <c r="CZ70" s="31">
        <v>0</v>
      </c>
      <c r="DA70" s="110">
        <f t="shared" si="246"/>
        <v>160</v>
      </c>
      <c r="DB70" s="8"/>
      <c r="DC70" s="37">
        <f t="shared" si="439"/>
        <v>160</v>
      </c>
      <c r="DD70" s="125">
        <f>IFERROR(VLOOKUP($D70,'Adient Assende (Belgium) WK.17'!$B:CS,DE$1,0),0)</f>
        <v>0</v>
      </c>
      <c r="DE70" s="55">
        <f>IFERROR(VLOOKUP($D70,'Adient Arendal (Malzia) WK.12'!$B:CU,DE$1,0),0)</f>
        <v>0</v>
      </c>
      <c r="DF70" s="55">
        <f>IFERROR(VLOOKUP($D70,'Adient Taizhou (China) WK.16'!$B:CX,DE$1,0),0)</f>
        <v>0</v>
      </c>
      <c r="DG70" s="60">
        <v>0</v>
      </c>
      <c r="DH70" s="128">
        <v>0</v>
      </c>
      <c r="DI70" s="31">
        <v>0</v>
      </c>
      <c r="DJ70" s="110">
        <f t="shared" si="247"/>
        <v>160</v>
      </c>
      <c r="DL70" s="37">
        <f t="shared" si="440"/>
        <v>160</v>
      </c>
      <c r="DM70" s="125">
        <f>IFERROR(VLOOKUP($D70,'Adient Assende (Belgium) WK.17'!$B:DB,DN$1,0),0)</f>
        <v>0</v>
      </c>
      <c r="DN70" s="55">
        <f>IFERROR(VLOOKUP($D70,'Adient Arendal (Malzia) WK.12'!$B:DC,DN$1,0),0)</f>
        <v>0</v>
      </c>
      <c r="DO70" s="55">
        <f>IFERROR(VLOOKUP($D70,'Adient Taizhou (China) WK.16'!$B:DF,DN$1,0),0)</f>
        <v>0</v>
      </c>
      <c r="DP70" s="128">
        <v>0</v>
      </c>
      <c r="DQ70" s="31">
        <v>0</v>
      </c>
      <c r="DR70" s="110">
        <f t="shared" si="441"/>
        <v>160</v>
      </c>
      <c r="DS70" s="8"/>
      <c r="DT70" s="37">
        <f t="shared" si="442"/>
        <v>160</v>
      </c>
      <c r="DU70" s="125">
        <f>IFERROR(VLOOKUP($D70,'Adient Assende (Belgium) WK.17'!$B:DJ,DV$1,0),0)</f>
        <v>0</v>
      </c>
      <c r="DV70" s="55">
        <f>IFERROR(VLOOKUP($D70,'Adient Arendal (Malzia) WK.12'!$B:DK,DV$1,0),0)</f>
        <v>0</v>
      </c>
      <c r="DW70" s="55">
        <f>IFERROR(VLOOKUP($D70,'Adient Taizhou (China) WK.16'!$B:DN,DV$1,0),0)</f>
        <v>0</v>
      </c>
      <c r="DX70" s="60">
        <v>120</v>
      </c>
      <c r="DY70" s="60">
        <v>0</v>
      </c>
      <c r="DZ70" s="128">
        <v>80</v>
      </c>
      <c r="EA70" s="31">
        <v>0</v>
      </c>
      <c r="EB70" s="110">
        <f t="shared" si="248"/>
        <v>200</v>
      </c>
      <c r="EC70" s="8"/>
      <c r="ED70" s="37">
        <f t="shared" si="443"/>
        <v>200</v>
      </c>
      <c r="EE70" s="125">
        <f>IFERROR(VLOOKUP($D70,'Adient Assende (Belgium) WK.17'!$B:DR,EF$1,0),0)</f>
        <v>80</v>
      </c>
      <c r="EF70" s="55">
        <f>IFERROR(VLOOKUP($D70,'Adient Arendal (Malzia) WK.12'!$B:DS,EF$1,0),0)</f>
        <v>0</v>
      </c>
      <c r="EG70" s="55">
        <f>IFERROR(VLOOKUP($D70,'Adient Taizhou (China) WK.16'!$B:DV,EF$1,0),0)</f>
        <v>0</v>
      </c>
      <c r="EH70" s="60">
        <v>0</v>
      </c>
      <c r="EI70" s="128">
        <v>0</v>
      </c>
      <c r="EJ70" s="31">
        <v>0</v>
      </c>
      <c r="EK70" s="110">
        <f t="shared" si="249"/>
        <v>200</v>
      </c>
      <c r="EM70" s="37">
        <f t="shared" si="444"/>
        <v>200</v>
      </c>
      <c r="EN70" s="125">
        <f>IFERROR(VLOOKUP($D70,'Adient Assende (Belgium) WK.17'!$B:DZ,EO$1,0),0)</f>
        <v>0</v>
      </c>
      <c r="EO70" s="55">
        <f>IFERROR(VLOOKUP($D70,'Adient Arendal (Malzia) WK.12'!$B:EA,EO$1,0),0)</f>
        <v>0</v>
      </c>
      <c r="EP70" s="55">
        <f>IFERROR(VLOOKUP($D70,'Adient Taizhou (China) WK.16'!$B:ED,EO$1,0),0)</f>
        <v>0</v>
      </c>
      <c r="EQ70" s="128">
        <v>0</v>
      </c>
      <c r="ER70" s="31">
        <v>0</v>
      </c>
      <c r="ES70" s="110">
        <f t="shared" si="250"/>
        <v>200</v>
      </c>
      <c r="EU70" s="37">
        <f t="shared" si="445"/>
        <v>200</v>
      </c>
      <c r="EV70" s="125">
        <f>IFERROR(VLOOKUP($D70,'Adient Assende (Belgium) WK.17'!$B:EH,EW$1,0),0)</f>
        <v>0</v>
      </c>
      <c r="EW70" s="55">
        <f>IFERROR(VLOOKUP($D70,'Adient Arendal (Malzia) WK.12'!$B:EI,EW$1,0),0)</f>
        <v>0</v>
      </c>
      <c r="EX70" s="55">
        <f>IFERROR(VLOOKUP($D70,'Adient Taizhou (China) WK.16'!$B:EL,EW$1,0),0)</f>
        <v>0</v>
      </c>
      <c r="EY70" s="128">
        <v>0</v>
      </c>
      <c r="EZ70" s="31">
        <v>0</v>
      </c>
      <c r="FA70" s="110">
        <f t="shared" si="251"/>
        <v>200</v>
      </c>
      <c r="FC70" s="37">
        <f t="shared" si="446"/>
        <v>200</v>
      </c>
      <c r="FD70" s="154">
        <f>IFERROR(VLOOKUP($D70,'Adient Assende (Belgium) WK.17'!$B:EP,FE$1,0),0)</f>
        <v>0</v>
      </c>
      <c r="FE70" s="154">
        <f>IFERROR(VLOOKUP($D70,'Adient Arendal (Malzia) WK.12'!$B:EQ,FE$1,0),0)</f>
        <v>0</v>
      </c>
      <c r="FF70" s="154">
        <f>IFERROR(VLOOKUP($D70,'Adient Taizhou (China) WK.16'!$B:ET,FE$1,0),0)</f>
        <v>0</v>
      </c>
      <c r="FG70" s="128">
        <v>0</v>
      </c>
      <c r="FH70" s="31">
        <v>0</v>
      </c>
      <c r="FI70" s="110">
        <f t="shared" si="252"/>
        <v>200</v>
      </c>
      <c r="FK70" s="37">
        <f t="shared" si="447"/>
        <v>200</v>
      </c>
      <c r="FL70" s="125">
        <f>IFERROR(VLOOKUP($D70,'Adient Assende (Belgium) WK.17'!$B:EX,FM$1,0),0)</f>
        <v>0</v>
      </c>
      <c r="FM70" s="55">
        <f>IFERROR(VLOOKUP($D70,'Adient Arendal (Malzia) WK.12'!$B:EY,FM$1,0),0)</f>
        <v>0</v>
      </c>
      <c r="FN70" s="55">
        <f>IFERROR(VLOOKUP($D70,'Adient Taizhou (China) WK.16'!$B:FB,FM$1,0),0)</f>
        <v>0</v>
      </c>
      <c r="FO70" s="128">
        <v>80</v>
      </c>
      <c r="FP70" s="31">
        <v>0</v>
      </c>
      <c r="FQ70" s="110">
        <f t="shared" si="253"/>
        <v>120</v>
      </c>
      <c r="FR70" s="8"/>
      <c r="FS70" s="37">
        <f t="shared" si="448"/>
        <v>120</v>
      </c>
      <c r="FT70" s="125">
        <f>IFERROR(VLOOKUP($D70,'Adient Assende (Belgium) WK.17'!$B:FF,FU$1,0),0)</f>
        <v>80</v>
      </c>
      <c r="FU70" s="55">
        <f>IFERROR(VLOOKUP($D70,'Adient Arendal (Malzia) WK.12'!$B:FG,FU$1,0),0)</f>
        <v>0</v>
      </c>
      <c r="FV70" s="55">
        <f>IFERROR(VLOOKUP($D70,'Adient Taizhou (China) WK.16'!$B:FJ,FU$1,0),0)</f>
        <v>0</v>
      </c>
      <c r="FW70" s="60">
        <v>0</v>
      </c>
      <c r="FX70" s="60">
        <v>0</v>
      </c>
      <c r="FY70" s="60">
        <v>0</v>
      </c>
      <c r="FZ70" s="60">
        <v>200</v>
      </c>
      <c r="GA70" s="60">
        <v>0</v>
      </c>
      <c r="GB70" s="128">
        <v>0</v>
      </c>
      <c r="GC70" s="31">
        <v>0</v>
      </c>
      <c r="GD70" s="110">
        <f t="shared" si="254"/>
        <v>320</v>
      </c>
      <c r="GF70" s="37">
        <f t="shared" si="449"/>
        <v>320</v>
      </c>
      <c r="GG70" s="125">
        <f>IFERROR(VLOOKUP($D70,'Adient Assende (Belgium) WK.17'!$B:FN,GH$1,0),0)</f>
        <v>0</v>
      </c>
      <c r="GH70" s="55">
        <f>IFERROR(VLOOKUP($D70,'Adient Arendal (Malzia) WK.12'!$B:FO,GH$1,0),0)</f>
        <v>0</v>
      </c>
      <c r="GI70" s="55">
        <f>IFERROR(VLOOKUP($D70,'Adient Taizhou (China) WK.16'!$B:FR,GH$1,0),0)</f>
        <v>0</v>
      </c>
      <c r="GJ70" s="60">
        <v>0</v>
      </c>
      <c r="GK70" s="128">
        <v>0</v>
      </c>
      <c r="GL70" s="31">
        <v>0</v>
      </c>
      <c r="GM70" s="110">
        <f t="shared" si="255"/>
        <v>320</v>
      </c>
      <c r="GO70" s="37">
        <f t="shared" si="450"/>
        <v>320</v>
      </c>
      <c r="GP70" s="125">
        <f>IFERROR(VLOOKUP($D70,'Adient Assende (Belgium) WK.17'!$B:FV,GQ$1,0),0)</f>
        <v>0</v>
      </c>
      <c r="GQ70" s="55">
        <f>IFERROR(VLOOKUP($D70,'Adient Arendal (Malzia) WK.12'!$B:FW,GQ$1,0),0)</f>
        <v>0</v>
      </c>
      <c r="GR70" s="55">
        <f>IFERROR(VLOOKUP($D70,'Adient Taizhou (China) WK.16'!$B:FZ,GQ$1,0),0)</f>
        <v>0</v>
      </c>
      <c r="GS70" s="60">
        <v>0</v>
      </c>
      <c r="GT70" s="128">
        <v>0</v>
      </c>
      <c r="GU70" s="31">
        <v>0</v>
      </c>
      <c r="GV70" s="110">
        <f t="shared" si="256"/>
        <v>320</v>
      </c>
      <c r="GW70" s="8"/>
      <c r="GX70" s="37">
        <f t="shared" si="451"/>
        <v>320</v>
      </c>
      <c r="GY70" s="125">
        <f>IFERROR(VLOOKUP($D70,'Adient Assende (Belgium) WK.17'!$B:GD,GZ$1,0),0)</f>
        <v>0</v>
      </c>
      <c r="GZ70" s="55">
        <f>IFERROR(VLOOKUP($D70,'Adient Arendal (Malzia) WK.12'!$B:GE,GZ$1,0),0)</f>
        <v>0</v>
      </c>
      <c r="HA70" s="55">
        <f>IFERROR(VLOOKUP($D70,'Adient Taizhou (China) WK.16'!$B:GH,GZ$1,0),0)</f>
        <v>0</v>
      </c>
      <c r="HB70" s="60">
        <v>0</v>
      </c>
      <c r="HC70" s="128">
        <v>80</v>
      </c>
      <c r="HD70" s="31">
        <v>0</v>
      </c>
      <c r="HE70" s="110">
        <f t="shared" si="257"/>
        <v>240</v>
      </c>
      <c r="HF70" s="8"/>
      <c r="HG70" s="37">
        <f t="shared" si="452"/>
        <v>240</v>
      </c>
      <c r="HH70" s="125">
        <f>IFERROR(VLOOKUP($D70,'Adient Assende (Belgium) WK.17'!$B:GL,HI$1,0),0)</f>
        <v>80</v>
      </c>
      <c r="HI70" s="55">
        <f>IFERROR(VLOOKUP($D70,'Adient Arendal (Malzia) WK.12'!$B:GM,HI$1,0),0)</f>
        <v>0</v>
      </c>
      <c r="HJ70" s="55">
        <f>IFERROR(VLOOKUP($D70,'Adient Taizhou (China) WK.16'!$B:GP,HI$1,0),0)</f>
        <v>0</v>
      </c>
      <c r="HK70" s="60">
        <v>0</v>
      </c>
      <c r="HL70" s="128">
        <v>0</v>
      </c>
      <c r="HM70" s="31">
        <v>0</v>
      </c>
      <c r="HN70" s="110">
        <f t="shared" si="258"/>
        <v>240</v>
      </c>
      <c r="HO70" s="8"/>
      <c r="HP70" s="37">
        <f t="shared" si="453"/>
        <v>240</v>
      </c>
      <c r="HQ70" s="125">
        <f>IFERROR(VLOOKUP($D70,'Adient Assende (Belgium) WK.17'!$B:GT,HR$1,0),0)</f>
        <v>0</v>
      </c>
      <c r="HR70" s="55">
        <f>IFERROR(VLOOKUP($D70,'Adient Arendal (Malzia) WK.12'!$B:GU,HR$1,0),0)</f>
        <v>0</v>
      </c>
      <c r="HS70" s="55">
        <f>IFERROR(VLOOKUP($D70,'Adient Taizhou (China) WK.16'!$B:GX,HR$1,0),0)</f>
        <v>0</v>
      </c>
      <c r="HT70" s="60">
        <v>0</v>
      </c>
      <c r="HU70" s="128">
        <v>0</v>
      </c>
      <c r="HV70" s="31">
        <v>0</v>
      </c>
      <c r="HW70" s="110">
        <f t="shared" si="259"/>
        <v>240</v>
      </c>
      <c r="HX70" s="8"/>
      <c r="HY70" s="37">
        <f t="shared" si="454"/>
        <v>240</v>
      </c>
      <c r="HZ70" s="125">
        <f>IFERROR(VLOOKUP($D70,'Adient Assende (Belgium) WK.17'!$B:HB,IA$1,0),0)</f>
        <v>0</v>
      </c>
      <c r="IA70" s="55">
        <f>IFERROR(VLOOKUP($D70,'Adient Arendal (Malzia) WK.12'!$B:HC,IA$1,0),0)</f>
        <v>0</v>
      </c>
      <c r="IB70" s="55">
        <f>IFERROR(VLOOKUP($D70,'Adient Taizhou (China) WK.16'!$B:HF,IA$1,0),0)</f>
        <v>0</v>
      </c>
      <c r="IC70" s="60">
        <v>0</v>
      </c>
      <c r="ID70" s="128">
        <v>0</v>
      </c>
      <c r="IE70" s="31">
        <v>0</v>
      </c>
      <c r="IF70" s="110">
        <f t="shared" si="260"/>
        <v>240</v>
      </c>
      <c r="IG70" s="8"/>
      <c r="IH70" s="37">
        <f t="shared" si="455"/>
        <v>240</v>
      </c>
      <c r="II70" s="125">
        <f>IFERROR(VLOOKUP($D70,'Adient Assende (Belgium) WK.17'!$B:HJ,IJ$1,0),0)</f>
        <v>0</v>
      </c>
      <c r="IJ70" s="55">
        <f>IFERROR(VLOOKUP($D70,'Adient Arendal (Malzia) WK.12'!$B:HK,IJ$1,0),0)</f>
        <v>0</v>
      </c>
      <c r="IK70" s="55">
        <f>IFERROR(VLOOKUP($D70,'Adient Taizhou (China) WK.16'!$B:HN,IJ$1,0),0)</f>
        <v>0</v>
      </c>
      <c r="IL70" s="128">
        <v>0</v>
      </c>
      <c r="IM70" s="31">
        <v>0</v>
      </c>
      <c r="IN70" s="110">
        <f t="shared" si="456"/>
        <v>240</v>
      </c>
      <c r="IO70" s="8"/>
      <c r="IP70" s="37">
        <f t="shared" si="457"/>
        <v>240</v>
      </c>
      <c r="IQ70" s="125">
        <f>IFERROR(VLOOKUP($D70,'Adient Assende (Belgium) WK.17'!$B:HR,IR$1,0),0)</f>
        <v>0</v>
      </c>
      <c r="IR70" s="55">
        <f>IFERROR(VLOOKUP($D70,'Adient Arendal (Malzia) WK.12'!$B:HS,IR$1,0),0)</f>
        <v>0</v>
      </c>
      <c r="IS70" s="55">
        <f>IFERROR(VLOOKUP($D70,'Adient Taizhou (China) WK.16'!$B:HV,IR$1,0),0)</f>
        <v>0</v>
      </c>
      <c r="IT70" s="60">
        <v>0</v>
      </c>
      <c r="IU70" s="128">
        <v>80</v>
      </c>
      <c r="IV70" s="31">
        <v>0</v>
      </c>
      <c r="IW70" s="110">
        <f t="shared" si="261"/>
        <v>160</v>
      </c>
      <c r="IX70" s="8"/>
      <c r="IY70" s="37">
        <f t="shared" si="458"/>
        <v>160</v>
      </c>
      <c r="IZ70" s="125">
        <f>IFERROR(VLOOKUP($D70,'Adient Assende (Belgium) WK.17'!$B:HZ,JA$1,0),0)</f>
        <v>80</v>
      </c>
      <c r="JA70" s="55">
        <f>IFERROR(VLOOKUP($D70,'Adient Arendal (Malzia) WK.12'!$B:IA,JA$1,0),0)</f>
        <v>0</v>
      </c>
      <c r="JB70" s="55">
        <f>IFERROR(VLOOKUP($D70,'Adient Taizhou (China) WK.16'!$B:ID,JA$1,0),0)</f>
        <v>0</v>
      </c>
      <c r="JC70" s="128">
        <v>0</v>
      </c>
      <c r="JD70" s="31">
        <v>0</v>
      </c>
      <c r="JE70" s="110">
        <f t="shared" si="459"/>
        <v>160</v>
      </c>
      <c r="JF70" s="8"/>
      <c r="JG70" s="37">
        <f t="shared" si="460"/>
        <v>160</v>
      </c>
      <c r="JH70" s="125">
        <f>IFERROR(VLOOKUP($D70,'Adient Assende (Belgium) WK.17'!$B:IH,JI$1,0),0)</f>
        <v>0</v>
      </c>
      <c r="JI70" s="55">
        <f>IFERROR(VLOOKUP($D70,'Adient Arendal (Malzia) WK.12'!$B:II,JI$1,0),0)</f>
        <v>0</v>
      </c>
      <c r="JJ70" s="55">
        <f>IFERROR(VLOOKUP($D70,'Adient Taizhou (China) WK.16'!$B:IL,JI$1,0),0)</f>
        <v>0</v>
      </c>
      <c r="JK70" s="60">
        <v>0</v>
      </c>
      <c r="JL70" s="128">
        <v>0</v>
      </c>
      <c r="JM70" s="31">
        <v>0</v>
      </c>
      <c r="JN70" s="110">
        <f t="shared" si="262"/>
        <v>160</v>
      </c>
      <c r="JO70" s="8"/>
      <c r="JP70" s="37">
        <f t="shared" si="461"/>
        <v>160</v>
      </c>
      <c r="JQ70" s="125">
        <f>IFERROR(VLOOKUP($D70,'Adient Assende (Belgium) WK.17'!$B:IP,JR$1,0),0)</f>
        <v>0</v>
      </c>
      <c r="JR70" s="55">
        <f>IFERROR(VLOOKUP($D70,'Adient Arendal (Malzia) WK.12'!$B:IQ,JR$1,0),0)</f>
        <v>0</v>
      </c>
      <c r="JS70" s="55">
        <f>IFERROR(VLOOKUP($D70,'Adient Taizhou (China) WK.16'!$B:IT,JR$1,0),0)</f>
        <v>0</v>
      </c>
      <c r="JT70" s="128">
        <v>0</v>
      </c>
      <c r="JU70" s="31">
        <v>0</v>
      </c>
      <c r="JV70" s="110">
        <f t="shared" si="462"/>
        <v>160</v>
      </c>
      <c r="JW70" s="8"/>
      <c r="JX70" s="37">
        <f t="shared" si="463"/>
        <v>160</v>
      </c>
      <c r="JY70" s="154">
        <f>IFERROR(VLOOKUP($D70,'Adient Assende (Belgium) WK.17'!$B:IX,JZ$1,0),0)</f>
        <v>0</v>
      </c>
      <c r="JZ70" s="55">
        <f>IFERROR(VLOOKUP($D70,'Adient Arendal (Malzia) WK.12'!$B:IY,JZ$1,0),0)</f>
        <v>0</v>
      </c>
      <c r="KA70" s="55">
        <f>IFERROR(VLOOKUP($D70,'Adient Taizhou (China) WK.16'!$B:JB,JZ$1,0),0)</f>
        <v>0</v>
      </c>
      <c r="KB70" s="128">
        <v>0</v>
      </c>
      <c r="KC70" s="31">
        <v>0</v>
      </c>
      <c r="KD70" s="110">
        <f t="shared" si="263"/>
        <v>160</v>
      </c>
      <c r="KE70" s="8"/>
      <c r="KF70" s="37">
        <f t="shared" si="464"/>
        <v>160</v>
      </c>
      <c r="KG70" s="125">
        <f>IFERROR(VLOOKUP($D70,'Adient Assende (Belgium) WK.17'!$B:JF,KH$1,0),0)</f>
        <v>0</v>
      </c>
      <c r="KH70" s="55">
        <f>IFERROR(VLOOKUP($D70,'Adient Arendal (Malzia) WK.12'!$B:JG,KH$1,0),0)</f>
        <v>0</v>
      </c>
      <c r="KI70" s="55">
        <f>IFERROR(VLOOKUP($D70,'Adient Taizhou (China) WK.16'!$B:JJ,KH$1,0),0)</f>
        <v>0</v>
      </c>
      <c r="KJ70" s="60">
        <v>0</v>
      </c>
      <c r="KK70" s="128">
        <v>0</v>
      </c>
      <c r="KL70" s="31">
        <v>0</v>
      </c>
      <c r="KM70" s="110">
        <f t="shared" si="264"/>
        <v>160</v>
      </c>
      <c r="KN70" s="8"/>
      <c r="KO70" s="37">
        <f t="shared" si="465"/>
        <v>160</v>
      </c>
      <c r="KP70" s="141">
        <f>IFERROR(VLOOKUP($D70,'Adient Assende (Belgium) WK.17'!$B:JN,KQ$1,0),0)</f>
        <v>0</v>
      </c>
      <c r="KQ70" s="140">
        <f>IFERROR(VLOOKUP($D70,'Adient Arendal (Malzia) WK.12'!$B:JO,KQ$1,0),0)</f>
        <v>0</v>
      </c>
      <c r="KR70" s="140">
        <f>IFERROR(VLOOKUP($D70,'Adient Taizhou (China) WK.16'!$B:JR,KQ$1,0),0)</f>
        <v>0</v>
      </c>
      <c r="KS70" s="60">
        <v>0</v>
      </c>
      <c r="KT70" s="128">
        <v>0</v>
      </c>
      <c r="KU70" s="31">
        <v>0</v>
      </c>
      <c r="KV70" s="110">
        <f t="shared" si="265"/>
        <v>160</v>
      </c>
      <c r="KX70" s="37">
        <f t="shared" si="466"/>
        <v>160</v>
      </c>
      <c r="KY70" s="141">
        <f>IFERROR(VLOOKUP($D70,'Adient Assende (Belgium) WK.17'!$B:JV,KZ$1,0),0)</f>
        <v>0</v>
      </c>
      <c r="KZ70" s="140">
        <f>IFERROR(VLOOKUP($D70,'Adient Arendal (Malzia) WK.12'!$B:JW,KZ$1,0),0)</f>
        <v>0</v>
      </c>
      <c r="LA70" s="140">
        <f>IFERROR(VLOOKUP($D70,'Adient Taizhou (China) WK.16'!$B:JZ,KZ$1,0),0)</f>
        <v>0</v>
      </c>
      <c r="LB70" s="128">
        <v>0</v>
      </c>
      <c r="LC70" s="31">
        <v>0</v>
      </c>
      <c r="LD70" s="110">
        <f t="shared" si="467"/>
        <v>160</v>
      </c>
      <c r="LF70" s="37">
        <f t="shared" si="468"/>
        <v>160</v>
      </c>
      <c r="LG70" s="141">
        <f>IFERROR(VLOOKUP($D70,'Adient Assende (Belgium) WK.17'!$B:KD,LH$1,0),0)</f>
        <v>0</v>
      </c>
      <c r="LH70" s="140">
        <f>IFERROR(VLOOKUP($D70,'Adient Arendal (Malzia) WK.12'!$B:KE,LH$1,0),0)</f>
        <v>0</v>
      </c>
      <c r="LI70" s="140">
        <f>IFERROR(VLOOKUP($D70,'Adient Taizhou (China) WK.16'!$B:KH,LH$1,0),0)</f>
        <v>0</v>
      </c>
      <c r="LJ70" s="60">
        <v>0</v>
      </c>
      <c r="LK70" s="128">
        <v>0</v>
      </c>
      <c r="LL70" s="31">
        <v>0</v>
      </c>
      <c r="LM70" s="100">
        <f t="shared" si="267"/>
        <v>160</v>
      </c>
      <c r="LO70" s="37">
        <f t="shared" si="469"/>
        <v>160</v>
      </c>
      <c r="LP70" s="141">
        <f>IFERROR(VLOOKUP($D70,'Adient Assende (Belgium) WK.17'!$B:KL,LQ$1,0),0)</f>
        <v>0</v>
      </c>
      <c r="LQ70" s="140">
        <f>IFERROR(VLOOKUP($D70,'Adient Arendal (Malzia) WK.12'!$B:KM,LQ$1,0),0)</f>
        <v>0</v>
      </c>
      <c r="LR70" s="140">
        <f>IFERROR(VLOOKUP($D70,'Adient Taizhou (China) WK.16'!$B:KP,LQ$1,0),0)</f>
        <v>0</v>
      </c>
      <c r="LS70" s="128">
        <v>0</v>
      </c>
      <c r="LT70" s="31">
        <v>0</v>
      </c>
      <c r="LU70" s="100">
        <f t="shared" si="470"/>
        <v>160</v>
      </c>
      <c r="LW70" s="37">
        <f t="shared" si="471"/>
        <v>160</v>
      </c>
      <c r="LX70" s="141">
        <f>IFERROR(VLOOKUP($D70,'Adient Assende (Belgium) WK.17'!$B:KT,LY$1,0),0)</f>
        <v>0</v>
      </c>
      <c r="LY70" s="140">
        <f>IFERROR(VLOOKUP($D70,'Adient Arendal (Malzia) WK.12'!$B:KU,LY$1,0),0)</f>
        <v>0</v>
      </c>
      <c r="LZ70" s="140">
        <f>IFERROR(VLOOKUP($D70,'Adient Taizhou (China) WK.16'!$B:KX,LY$1,0),0)</f>
        <v>0</v>
      </c>
      <c r="MA70" s="128">
        <v>0</v>
      </c>
      <c r="MB70" s="31">
        <v>0</v>
      </c>
      <c r="MC70" s="100">
        <f t="shared" si="472"/>
        <v>160</v>
      </c>
      <c r="ME70" s="37">
        <f t="shared" si="473"/>
        <v>160</v>
      </c>
      <c r="MF70" s="154">
        <f>IFERROR(VLOOKUP($D70,'Adient Assende (Belgium) WK.17'!$B:LB,MG$1,0),0)</f>
        <v>0</v>
      </c>
      <c r="MG70" s="140">
        <f>IFERROR(VLOOKUP($D70,'Adient Arendal (Malzia) WK.12'!$B:LC,MG$1,0),0)</f>
        <v>0</v>
      </c>
      <c r="MH70" s="140">
        <f>IFERROR(VLOOKUP($D70,'Adient Taizhou (China) WK.16'!$B:LF,MG$1,0),0)</f>
        <v>0</v>
      </c>
      <c r="MI70" s="128">
        <v>0</v>
      </c>
      <c r="MJ70" s="31">
        <v>0</v>
      </c>
      <c r="MK70" s="100">
        <f t="shared" si="474"/>
        <v>160</v>
      </c>
      <c r="MM70" s="37">
        <f t="shared" si="475"/>
        <v>160</v>
      </c>
      <c r="MN70" s="141">
        <f>IFERROR(VLOOKUP($D70,'Adient Assende (Belgium) WK.17'!$B:LJ,MO$1,0),0)</f>
        <v>0</v>
      </c>
      <c r="MO70" s="140">
        <f>IFERROR(VLOOKUP($D70,'Adient Arendal (Malzia) WK.12'!$B:LK,MO$1,0),0)</f>
        <v>0</v>
      </c>
      <c r="MP70" s="140">
        <f>IFERROR(VLOOKUP($D70,'Adient Taizhou (China) WK.16'!$B:LN,MO$1,0),0)</f>
        <v>0</v>
      </c>
      <c r="MQ70" s="128">
        <v>0</v>
      </c>
      <c r="MR70" s="31">
        <v>0</v>
      </c>
      <c r="MS70" s="100">
        <f t="shared" si="476"/>
        <v>160</v>
      </c>
      <c r="MU70" s="37">
        <f t="shared" si="477"/>
        <v>160</v>
      </c>
      <c r="MV70" s="141">
        <f>IFERROR(VLOOKUP($D70,'Adient Assende (Belgium) WK.17'!$B:LR,MW$1,0),0)</f>
        <v>0</v>
      </c>
      <c r="MW70" s="140">
        <f>IFERROR(VLOOKUP($D70,'Adient Arendal (Malzia) WK.12'!$B:LS,MW$1,0),0)</f>
        <v>0</v>
      </c>
      <c r="MX70" s="140">
        <f>IFERROR(VLOOKUP($D70,'Adient Taizhou (China) WK.16'!$B:LV,MW$1,0),0)</f>
        <v>0</v>
      </c>
      <c r="MY70" s="128">
        <v>0</v>
      </c>
      <c r="MZ70" s="31">
        <v>0</v>
      </c>
      <c r="NA70" s="100">
        <f t="shared" si="478"/>
        <v>160</v>
      </c>
      <c r="NC70" s="37">
        <f t="shared" si="479"/>
        <v>160</v>
      </c>
      <c r="ND70" s="141">
        <f>IFERROR(VLOOKUP($D70,'Adient Assende (Belgium) WK.17'!$B:LZ,NE$1,0),0)</f>
        <v>80</v>
      </c>
      <c r="NE70" s="140">
        <f>IFERROR(VLOOKUP($D70,'Adient Arendal (Malzia) WK.12'!$B:MA,NE$1,0),0)</f>
        <v>0</v>
      </c>
      <c r="NF70" s="140">
        <f>IFERROR(VLOOKUP($D70,'Adient Taizhou (China) WK.16'!$B:MD,NE$1,0),0)</f>
        <v>0</v>
      </c>
      <c r="NG70" s="128">
        <v>0</v>
      </c>
      <c r="NH70" s="31">
        <v>0</v>
      </c>
      <c r="NI70" s="100">
        <f t="shared" si="480"/>
        <v>80</v>
      </c>
      <c r="NK70" s="37">
        <f t="shared" si="481"/>
        <v>80</v>
      </c>
      <c r="NL70" s="141">
        <f>IFERROR(VLOOKUP($D70,'Adient Assende (Belgium) WK.17'!$B:MH,NM$1,0),0)</f>
        <v>0</v>
      </c>
      <c r="NM70" s="140">
        <f>IFERROR(VLOOKUP($D70,'Adient Arendal (Malzia) WK.12'!$B:MI,NM$1,0),0)</f>
        <v>0</v>
      </c>
      <c r="NN70" s="140">
        <f>IFERROR(VLOOKUP($D70,'Adient Taizhou (China) WK.16'!$B:ML,NM$1,0),0)</f>
        <v>0</v>
      </c>
      <c r="NO70" s="128">
        <v>0</v>
      </c>
      <c r="NP70" s="31">
        <v>0</v>
      </c>
      <c r="NQ70" s="100">
        <f t="shared" si="482"/>
        <v>80</v>
      </c>
      <c r="NS70" s="37">
        <f t="shared" si="483"/>
        <v>80</v>
      </c>
      <c r="NT70" s="141">
        <f>IFERROR(VLOOKUP($D70,'Adient Assende (Belgium) WK.17'!$B:MP,NU$1,0),0)</f>
        <v>0</v>
      </c>
      <c r="NU70" s="140">
        <f>IFERROR(VLOOKUP($D70,'Adient Arendal (Malzia) WK.12'!$B:MQ,NU$1,0),0)</f>
        <v>0</v>
      </c>
      <c r="NV70" s="140">
        <f>IFERROR(VLOOKUP($D70,'Adient Taizhou (China) WK.16'!$B:MT,NU$1,0),0)</f>
        <v>0</v>
      </c>
      <c r="NW70" s="128">
        <v>0</v>
      </c>
      <c r="NX70" s="31">
        <v>0</v>
      </c>
      <c r="NY70" s="100">
        <f t="shared" si="484"/>
        <v>80</v>
      </c>
      <c r="OA70" s="37">
        <f t="shared" si="485"/>
        <v>80</v>
      </c>
      <c r="OB70" s="141">
        <f>IFERROR(VLOOKUP($D70,'Adient Assende (Belgium) WK.17'!$B:MX,OC$1,0),0)</f>
        <v>80</v>
      </c>
      <c r="OC70" s="140">
        <f>IFERROR(VLOOKUP($D70,'Adient Arendal (Malzia) WK.12'!$B:MY,OC$1,0),0)</f>
        <v>0</v>
      </c>
      <c r="OD70" s="140">
        <f>IFERROR(VLOOKUP($D70,'Adient Taizhou (China) WK.16'!$B:NB,OC$1,0),0)</f>
        <v>0</v>
      </c>
      <c r="OE70" s="128">
        <v>0</v>
      </c>
      <c r="OF70" s="31">
        <v>0</v>
      </c>
      <c r="OG70" s="100">
        <f t="shared" si="486"/>
        <v>0</v>
      </c>
      <c r="OI70" s="37">
        <f t="shared" si="487"/>
        <v>0</v>
      </c>
      <c r="OJ70" s="141">
        <f>IFERROR(VLOOKUP($D70,'Adient Assende (Belgium) WK.17'!$B:NF,OK$1,0),0)</f>
        <v>0</v>
      </c>
      <c r="OK70" s="140">
        <f>IFERROR(VLOOKUP($D70,'Adient Arendal (Malzia) WK.12'!$B:NG,OK$1,0),0)</f>
        <v>0</v>
      </c>
      <c r="OL70" s="140">
        <f>IFERROR(VLOOKUP($D70,'Adient Taizhou (China) WK.16'!$B:NJ,OK$1,0),0)</f>
        <v>0</v>
      </c>
      <c r="OM70" s="128">
        <v>0</v>
      </c>
      <c r="ON70" s="31">
        <v>0</v>
      </c>
      <c r="OO70" s="100">
        <f t="shared" si="488"/>
        <v>0</v>
      </c>
      <c r="OQ70" s="37">
        <f t="shared" si="489"/>
        <v>0</v>
      </c>
      <c r="OR70" s="141">
        <f>IFERROR(VLOOKUP($D70,'Adient Assende (Belgium) WK.17'!$B:NN,OS$1,0),0)</f>
        <v>0</v>
      </c>
      <c r="OS70" s="140">
        <f>IFERROR(VLOOKUP($D70,'Adient Arendal (Malzia) WK.12'!$B:NO,OS$1,0),0)</f>
        <v>0</v>
      </c>
      <c r="OT70" s="140">
        <f>IFERROR(VLOOKUP($D70,'Adient Taizhou (China) WK.16'!$B:NR,OS$1,0),0)</f>
        <v>0</v>
      </c>
      <c r="OU70" s="128">
        <v>0</v>
      </c>
      <c r="OV70" s="31">
        <v>0</v>
      </c>
      <c r="OW70" s="100">
        <f t="shared" si="490"/>
        <v>0</v>
      </c>
      <c r="OY70" s="37">
        <f t="shared" si="491"/>
        <v>0</v>
      </c>
      <c r="OZ70" s="141">
        <f>IFERROR(VLOOKUP($D70,'Adient Assende (Belgium) WK.17'!$B:NV,PA$1,0),0)</f>
        <v>0</v>
      </c>
      <c r="PA70" s="140">
        <f>IFERROR(VLOOKUP($D70,'Adient Arendal (Malzia) WK.12'!$B:NW,PA$1,0),0)</f>
        <v>0</v>
      </c>
      <c r="PB70" s="140">
        <f>IFERROR(VLOOKUP($D70,'Adient Taizhou (China) WK.16'!$B:NZ,PA$1,0),0)</f>
        <v>0</v>
      </c>
      <c r="PC70" s="128">
        <v>0</v>
      </c>
      <c r="PD70" s="31">
        <v>0</v>
      </c>
      <c r="PE70" s="100">
        <f t="shared" si="492"/>
        <v>0</v>
      </c>
      <c r="PG70" s="37">
        <f t="shared" si="493"/>
        <v>0</v>
      </c>
      <c r="PH70" s="141">
        <f>IFERROR(VLOOKUP($D70,'Adient Assende (Belgium) WK.17'!$B:OD,PI$1,0),0)</f>
        <v>0</v>
      </c>
      <c r="PI70" s="140">
        <f>IFERROR(VLOOKUP($D70,'Adient Arendal (Malzia) WK.12'!$B:OE,PI$1,0),0)</f>
        <v>0</v>
      </c>
      <c r="PJ70" s="140">
        <f>IFERROR(VLOOKUP($D70,'Adient Taizhou (China) WK.16'!$B:OH,PI$1,0),0)</f>
        <v>0</v>
      </c>
      <c r="PK70" s="128">
        <v>0</v>
      </c>
      <c r="PL70" s="31">
        <v>0</v>
      </c>
      <c r="PM70" s="100">
        <f t="shared" si="494"/>
        <v>0</v>
      </c>
      <c r="PO70" s="37">
        <f t="shared" si="495"/>
        <v>0</v>
      </c>
      <c r="PP70" s="141">
        <f>IFERROR(VLOOKUP($D70,'Adient Assende (Belgium) WK.17'!$B:OL,PQ$1,0),0)</f>
        <v>0</v>
      </c>
      <c r="PQ70" s="140">
        <f>IFERROR(VLOOKUP($D70,'Adient Arendal (Malzia) WK.12'!$B:OM,PQ$1,0),0)</f>
        <v>0</v>
      </c>
      <c r="PR70" s="140">
        <f>IFERROR(VLOOKUP($D70,'Adient Taizhou (China) WK.16'!$B:OP,PQ$1,0),0)</f>
        <v>0</v>
      </c>
      <c r="PS70" s="128">
        <v>0</v>
      </c>
      <c r="PT70" s="31">
        <v>0</v>
      </c>
      <c r="PU70" s="100">
        <f t="shared" si="496"/>
        <v>0</v>
      </c>
      <c r="PW70" s="37">
        <f t="shared" si="497"/>
        <v>0</v>
      </c>
      <c r="PX70" s="141">
        <f>IFERROR(VLOOKUP($D70,'Adient Assende (Belgium) WK.17'!$B:OT,PY$1,0),0)</f>
        <v>80</v>
      </c>
      <c r="PY70" s="140">
        <f>IFERROR(VLOOKUP($D70,'Adient Arendal (Malzia) WK.12'!$B:OU,PY$1,0),0)</f>
        <v>0</v>
      </c>
      <c r="PZ70" s="140">
        <f>IFERROR(VLOOKUP($D70,'Adient Taizhou (China) WK.16'!$B:OX,PY$1,0),0)</f>
        <v>0</v>
      </c>
      <c r="QA70" s="128">
        <v>0</v>
      </c>
      <c r="QB70" s="31">
        <v>0</v>
      </c>
      <c r="QC70" s="100">
        <f t="shared" si="498"/>
        <v>-80</v>
      </c>
      <c r="QE70" s="37">
        <f t="shared" si="499"/>
        <v>-80</v>
      </c>
      <c r="QF70" s="141">
        <f>IFERROR(VLOOKUP($D70,'Adient Assende (Belgium) WK.17'!$B:PB,QG$1,0),0)</f>
        <v>0</v>
      </c>
      <c r="QG70" s="140">
        <f>IFERROR(VLOOKUP($D70,'Adient Arendal (Malzia) WK.12'!$B:PC,QG$1,0),0)</f>
        <v>0</v>
      </c>
      <c r="QH70" s="140">
        <f>IFERROR(VLOOKUP($D70,'Adient Taizhou (China) WK.16'!$B:PF,QG$1,0),0)</f>
        <v>0</v>
      </c>
      <c r="QI70" s="128">
        <v>0</v>
      </c>
      <c r="QJ70" s="31">
        <v>0</v>
      </c>
      <c r="QK70" s="100">
        <f t="shared" si="500"/>
        <v>-80</v>
      </c>
      <c r="QM70" s="37">
        <f t="shared" si="501"/>
        <v>-80</v>
      </c>
      <c r="QN70" s="141">
        <f>IFERROR(VLOOKUP($D70,'Adient Assende (Belgium) WK.17'!$B:PJ,QO$1,0),0)</f>
        <v>0</v>
      </c>
      <c r="QO70" s="140">
        <f>IFERROR(VLOOKUP($D70,'Adient Arendal (Malzia) WK.12'!$B:PK,QO$1,0),0)</f>
        <v>0</v>
      </c>
      <c r="QP70" s="140">
        <f>IFERROR(VLOOKUP($D70,'Adient Taizhou (China) WK.16'!$B:PN,QO$1,0),0)</f>
        <v>0</v>
      </c>
      <c r="QQ70" s="128">
        <v>0</v>
      </c>
      <c r="QR70" s="31">
        <v>0</v>
      </c>
      <c r="QS70" s="100">
        <f t="shared" si="502"/>
        <v>-80</v>
      </c>
      <c r="QU70" s="37">
        <f t="shared" si="503"/>
        <v>-80</v>
      </c>
      <c r="QV70" s="141">
        <f>IFERROR(VLOOKUP($D70,'Adient Assende (Belgium) WK.17'!$B:PR,QW$1,0),0)</f>
        <v>0</v>
      </c>
      <c r="QW70" s="140">
        <f>IFERROR(VLOOKUP($D70,'Adient Arendal (Malzia) WK.12'!$B:PS,QW$1,0),0)</f>
        <v>0</v>
      </c>
      <c r="QX70" s="140">
        <f>IFERROR(VLOOKUP($D70,'Adient Taizhou (China) WK.16'!$B:PV,QW$1,0),0)</f>
        <v>0</v>
      </c>
      <c r="QY70" s="128">
        <v>0</v>
      </c>
      <c r="QZ70" s="31">
        <v>0</v>
      </c>
      <c r="RA70" s="100">
        <f t="shared" si="504"/>
        <v>-80</v>
      </c>
      <c r="RC70" s="37">
        <f t="shared" si="505"/>
        <v>-80</v>
      </c>
      <c r="RD70" s="141">
        <f>IFERROR(VLOOKUP($D70,'Adient Assende (Belgium) WK.17'!$B:PZ,RE$1,0),0)</f>
        <v>0</v>
      </c>
      <c r="RE70" s="140">
        <f>IFERROR(VLOOKUP($D70,'Adient Arendal (Malzia) WK.12'!$B:QA,RE$1,0),0)</f>
        <v>0</v>
      </c>
      <c r="RF70" s="140">
        <f>IFERROR(VLOOKUP($D70,'Adient Taizhou (China) WK.16'!$B:QD,RE$1,0),0)</f>
        <v>0</v>
      </c>
      <c r="RG70" s="128">
        <v>0</v>
      </c>
      <c r="RH70" s="31">
        <v>0</v>
      </c>
      <c r="RI70" s="100">
        <f t="shared" si="506"/>
        <v>-80</v>
      </c>
      <c r="RK70" s="37">
        <f t="shared" si="507"/>
        <v>-80</v>
      </c>
      <c r="RL70" s="141">
        <f>IFERROR(VLOOKUP($D70,'Adient Assende (Belgium) WK.17'!$B:QH,RM$1,0),0)</f>
        <v>0</v>
      </c>
      <c r="RM70" s="140">
        <f>IFERROR(VLOOKUP($D70,'Adient Arendal (Malzia) WK.12'!$B:QI,RM$1,0),0)</f>
        <v>0</v>
      </c>
      <c r="RN70" s="140">
        <f>IFERROR(VLOOKUP($D70,'Adient Taizhou (China) WK.16'!$B:QL,RM$1,0),0)</f>
        <v>0</v>
      </c>
      <c r="RO70" s="128">
        <v>0</v>
      </c>
      <c r="RP70" s="31">
        <v>0</v>
      </c>
      <c r="RQ70" s="100">
        <f t="shared" si="508"/>
        <v>-80</v>
      </c>
      <c r="RS70" s="37">
        <f t="shared" si="509"/>
        <v>-80</v>
      </c>
      <c r="RT70" s="141">
        <f>IFERROR(VLOOKUP($D70,'Adient Assende (Belgium) WK.17'!$B:QP,RU$1,0),0)</f>
        <v>0</v>
      </c>
      <c r="RU70" s="140">
        <f>IFERROR(VLOOKUP($D70,'Adient Arendal (Malzia) WK.12'!$B:QQ,RU$1,0),0)</f>
        <v>0</v>
      </c>
      <c r="RV70" s="140">
        <f>IFERROR(VLOOKUP($D70,'Adient Taizhou (China) WK.16'!$B:QT,RU$1,0),0)</f>
        <v>0</v>
      </c>
      <c r="RW70" s="128">
        <v>0</v>
      </c>
      <c r="RX70" s="31">
        <v>0</v>
      </c>
      <c r="RY70" s="100">
        <f t="shared" si="510"/>
        <v>-80</v>
      </c>
      <c r="SA70" s="37">
        <f t="shared" si="511"/>
        <v>-80</v>
      </c>
      <c r="SB70" s="141">
        <f>IFERROR(VLOOKUP($D70,'Adient Assende (Belgium) WK.17'!$B:QX,SC$1,0),0)</f>
        <v>0</v>
      </c>
      <c r="SC70" s="140">
        <f>IFERROR(VLOOKUP($D70,'Adient Arendal (Malzia) WK.12'!$B:QY,SC$1,0),0)</f>
        <v>0</v>
      </c>
      <c r="SD70" s="140">
        <f>IFERROR(VLOOKUP($D70,'Adient Taizhou (China) WK.16'!$B:RB,SC$1,0),0)</f>
        <v>0</v>
      </c>
      <c r="SE70" s="128">
        <v>0</v>
      </c>
      <c r="SF70" s="31">
        <v>0</v>
      </c>
      <c r="SG70" s="100">
        <f t="shared" si="512"/>
        <v>-80</v>
      </c>
      <c r="SI70" s="37">
        <f t="shared" si="513"/>
        <v>-80</v>
      </c>
      <c r="SJ70" s="141">
        <f>IFERROR(VLOOKUP($D70,'Adient Assende (Belgium) WK.17'!$B:RF,SK$1,0),0)</f>
        <v>0</v>
      </c>
      <c r="SK70" s="140">
        <f>IFERROR(VLOOKUP($D70,'Adient Arendal (Malzia) WK.12'!$B:RG,SK$1,0),0)</f>
        <v>0</v>
      </c>
      <c r="SL70" s="140">
        <f>IFERROR(VLOOKUP($D70,'Adient Taizhou (China) WK.16'!$B:RJ,SK$1,0),0)</f>
        <v>0</v>
      </c>
      <c r="SM70" s="128">
        <v>0</v>
      </c>
      <c r="SN70" s="31">
        <v>0</v>
      </c>
      <c r="SO70" s="100">
        <f t="shared" si="514"/>
        <v>-80</v>
      </c>
      <c r="SQ70" s="37">
        <f t="shared" si="515"/>
        <v>-80</v>
      </c>
      <c r="SR70" s="141">
        <f>IFERROR(VLOOKUP($D70,'Adient Assende (Belgium) WK.17'!$B:RN,SS$1,0),0)</f>
        <v>0</v>
      </c>
      <c r="SS70" s="140">
        <f>IFERROR(VLOOKUP($D70,'Adient Arendal (Malzia) WK.12'!$B:RO,SS$1,0),0)</f>
        <v>0</v>
      </c>
      <c r="ST70" s="140">
        <f>IFERROR(VLOOKUP($D70,'Adient Taizhou (China) WK.16'!$B:RR,SS$1,0),0)</f>
        <v>0</v>
      </c>
      <c r="SU70" s="128">
        <v>0</v>
      </c>
      <c r="SV70" s="31">
        <v>0</v>
      </c>
      <c r="SW70" s="100">
        <f t="shared" si="516"/>
        <v>-80</v>
      </c>
      <c r="SY70" s="37">
        <f t="shared" si="517"/>
        <v>-80</v>
      </c>
      <c r="SZ70" s="141">
        <f>IFERROR(VLOOKUP($D70,'Adient Assende (Belgium) WK.17'!$B:RV,TA$1,0),0)</f>
        <v>0</v>
      </c>
      <c r="TA70" s="140">
        <f>IFERROR(VLOOKUP($D70,'Adient Arendal (Malzia) WK.12'!$B:RW,TA$1,0),0)</f>
        <v>0</v>
      </c>
      <c r="TB70" s="140">
        <f>IFERROR(VLOOKUP($D70,'Adient Taizhou (China) WK.16'!$B:RZ,TA$1,0),0)</f>
        <v>0</v>
      </c>
      <c r="TC70" s="128">
        <v>0</v>
      </c>
      <c r="TD70" s="31">
        <v>0</v>
      </c>
      <c r="TE70" s="100">
        <f t="shared" si="518"/>
        <v>-80</v>
      </c>
      <c r="TG70" s="37">
        <f t="shared" si="519"/>
        <v>-80</v>
      </c>
      <c r="TH70" s="141">
        <f>IFERROR(VLOOKUP($D70,'Adient Assende (Belgium) WK.17'!$B:SD,TI$1,0),0)</f>
        <v>20</v>
      </c>
      <c r="TI70" s="140">
        <f>IFERROR(VLOOKUP($D70,'Adient Arendal (Malzia) WK.12'!$B:SE,TI$1,0),0)</f>
        <v>0</v>
      </c>
      <c r="TJ70" s="140">
        <f>IFERROR(VLOOKUP($D70,'Adient Taizhou (China) WK.16'!$B:SH,TI$1,0),0)</f>
        <v>0</v>
      </c>
      <c r="TK70" s="128">
        <v>0</v>
      </c>
      <c r="TL70" s="31">
        <v>0</v>
      </c>
      <c r="TM70" s="100">
        <f t="shared" si="520"/>
        <v>-100</v>
      </c>
      <c r="TO70" s="37">
        <f t="shared" si="521"/>
        <v>-100</v>
      </c>
      <c r="TP70" s="141">
        <f>IFERROR(VLOOKUP($D70,'Adient Assende (Belgium) WK.17'!$B:SL,TQ$1,0),0)</f>
        <v>20</v>
      </c>
      <c r="TQ70" s="140">
        <f>IFERROR(VLOOKUP($D70,'Adient Arendal (Malzia) WK.12'!$B:SM,TQ$1,0),0)</f>
        <v>0</v>
      </c>
      <c r="TR70" s="140">
        <f>IFERROR(VLOOKUP($D70,'Adient Taizhou (China) WK.16'!$B:SP,TQ$1,0),0)</f>
        <v>0</v>
      </c>
      <c r="TS70" s="128">
        <v>0</v>
      </c>
      <c r="TT70" s="31">
        <v>0</v>
      </c>
      <c r="TU70" s="100">
        <f t="shared" si="522"/>
        <v>-120</v>
      </c>
      <c r="TW70" s="37">
        <f t="shared" si="523"/>
        <v>-120</v>
      </c>
      <c r="TX70" s="141">
        <f>IFERROR(VLOOKUP($D70,'Adient Assende (Belgium) WK.17'!$B:ST,TY$1,0),0)</f>
        <v>20</v>
      </c>
      <c r="TY70" s="140">
        <f>IFERROR(VLOOKUP($D70,'Adient Arendal (Malzia) WK.12'!$B:SU,TY$1,0),0)</f>
        <v>0</v>
      </c>
      <c r="TZ70" s="140">
        <f>IFERROR(VLOOKUP($D70,'Adient Taizhou (China) WK.16'!$B:SX,TY$1,0),0)</f>
        <v>0</v>
      </c>
      <c r="UA70" s="128">
        <v>0</v>
      </c>
      <c r="UB70" s="31">
        <v>0</v>
      </c>
      <c r="UC70" s="100">
        <f t="shared" si="524"/>
        <v>-140</v>
      </c>
      <c r="UE70" s="37">
        <f t="shared" si="525"/>
        <v>-140</v>
      </c>
      <c r="UF70" s="141">
        <f>IFERROR(VLOOKUP($D70,'Adient Assende (Belgium) WK.17'!$B:TB,UG$1,0),0)</f>
        <v>20</v>
      </c>
      <c r="UG70" s="140">
        <f>IFERROR(VLOOKUP($D70,'Adient Arendal (Malzia) WK.12'!$B:TC,UG$1,0),0)</f>
        <v>0</v>
      </c>
      <c r="UH70" s="140">
        <f>IFERROR(VLOOKUP($D70,'Adient Taizhou (China) WK.16'!$B:TF,UG$1,0),0)</f>
        <v>0</v>
      </c>
      <c r="UI70" s="128">
        <v>0</v>
      </c>
      <c r="UJ70" s="31">
        <v>0</v>
      </c>
      <c r="UK70" s="100">
        <f t="shared" si="526"/>
        <v>-160</v>
      </c>
      <c r="UM70" s="37">
        <f t="shared" si="527"/>
        <v>-160</v>
      </c>
      <c r="UN70" s="141">
        <f>IFERROR(VLOOKUP($D70,'Adient Assende (Belgium) WK.17'!$B:TJ,UO$1,0),0)</f>
        <v>0</v>
      </c>
      <c r="UO70" s="140">
        <f>IFERROR(VLOOKUP($D70,'Adient Arendal (Malzia) WK.12'!$B:TK,UO$1,0),0)</f>
        <v>0</v>
      </c>
      <c r="UP70" s="140">
        <f>IFERROR(VLOOKUP($D70,'Adient Taizhou (China) WK.16'!$B:TN,UO$1,0),0)</f>
        <v>0</v>
      </c>
      <c r="UQ70" s="128">
        <v>0</v>
      </c>
      <c r="UR70" s="31">
        <v>0</v>
      </c>
      <c r="US70" s="100">
        <f t="shared" si="528"/>
        <v>-160</v>
      </c>
      <c r="UU70" s="37">
        <f t="shared" si="529"/>
        <v>-160</v>
      </c>
      <c r="UV70" s="141">
        <f>IFERROR(VLOOKUP($D70,'Adient Assende (Belgium) WK.17'!$B:TR,UW$1,0),0)</f>
        <v>40</v>
      </c>
      <c r="UW70" s="140">
        <f>IFERROR(VLOOKUP($D70,'Adient Arendal (Malzia) WK.12'!$B:TS,UW$1,0),0)</f>
        <v>0</v>
      </c>
      <c r="UX70" s="140">
        <f>IFERROR(VLOOKUP($D70,'Adient Taizhou (China) WK.16'!$B:TV,UW$1,0),0)</f>
        <v>0</v>
      </c>
      <c r="UY70" s="128">
        <v>0</v>
      </c>
      <c r="UZ70" s="31">
        <v>0</v>
      </c>
      <c r="VA70" s="100">
        <f t="shared" si="530"/>
        <v>-200</v>
      </c>
      <c r="VC70" s="37">
        <f t="shared" si="531"/>
        <v>-200</v>
      </c>
      <c r="VD70" s="141">
        <f>IFERROR(VLOOKUP($D70,'Adient Assende (Belgium) WK.17'!$B:TZ,VE$1,0),0)</f>
        <v>40</v>
      </c>
      <c r="VE70" s="140">
        <f>IFERROR(VLOOKUP($D70,'Adient Arendal (Malzia) WK.12'!$B:UA,VE$1,0),0)</f>
        <v>0</v>
      </c>
      <c r="VF70" s="140">
        <f>IFERROR(VLOOKUP($D70,'Adient Taizhou (China) WK.16'!$B:UD,VE$1,0),0)</f>
        <v>0</v>
      </c>
      <c r="VG70" s="128">
        <v>0</v>
      </c>
      <c r="VH70" s="31">
        <v>0</v>
      </c>
      <c r="VI70" s="100">
        <f t="shared" si="532"/>
        <v>-240</v>
      </c>
      <c r="VK70" s="37">
        <f t="shared" si="533"/>
        <v>-240</v>
      </c>
      <c r="VL70" s="141">
        <f>IFERROR(VLOOKUP($D70,'Adient Assende (Belgium) WK.17'!$B:UH,VM$1,0),0)</f>
        <v>0</v>
      </c>
      <c r="VM70" s="140">
        <f>IFERROR(VLOOKUP($D70,'Adient Arendal (Malzia) WK.12'!$B:UI,VM$1,0),0)</f>
        <v>0</v>
      </c>
      <c r="VN70" s="140">
        <f>IFERROR(VLOOKUP($D70,'Adient Taizhou (China) WK.16'!$B:UL,VM$1,0),0)</f>
        <v>0</v>
      </c>
      <c r="VO70" s="128">
        <v>0</v>
      </c>
      <c r="VP70" s="31">
        <v>0</v>
      </c>
      <c r="VQ70" s="100">
        <f t="shared" si="534"/>
        <v>-240</v>
      </c>
    </row>
    <row r="71" spans="1:589" ht="15.75" thickBot="1" x14ac:dyDescent="0.3">
      <c r="A71" s="24" t="s">
        <v>6</v>
      </c>
      <c r="B71" s="25"/>
      <c r="C71" s="86"/>
      <c r="D71" s="84"/>
      <c r="E71" s="25"/>
      <c r="F71" s="26"/>
      <c r="H71" s="123">
        <f t="shared" ref="H71:N71" si="677">SUM(H40:H70)</f>
        <v>34120</v>
      </c>
      <c r="I71" s="123">
        <f t="shared" si="677"/>
        <v>3680</v>
      </c>
      <c r="J71" s="123">
        <f t="shared" si="677"/>
        <v>0</v>
      </c>
      <c r="K71" s="123">
        <f t="shared" si="677"/>
        <v>0</v>
      </c>
      <c r="L71" s="123">
        <f t="shared" si="677"/>
        <v>3120</v>
      </c>
      <c r="M71" s="123">
        <f t="shared" si="677"/>
        <v>0</v>
      </c>
      <c r="N71" s="13">
        <f t="shared" si="677"/>
        <v>31000</v>
      </c>
      <c r="P71" s="13">
        <f t="shared" ref="P71:V71" si="678">SUM(P40:P70)</f>
        <v>31000</v>
      </c>
      <c r="Q71" s="13">
        <f t="shared" si="678"/>
        <v>3120</v>
      </c>
      <c r="R71" s="13">
        <f t="shared" si="678"/>
        <v>20</v>
      </c>
      <c r="S71" s="13">
        <f t="shared" si="678"/>
        <v>0</v>
      </c>
      <c r="T71" s="13">
        <f t="shared" si="678"/>
        <v>4680</v>
      </c>
      <c r="U71" s="13">
        <f t="shared" si="678"/>
        <v>-20</v>
      </c>
      <c r="V71" s="13">
        <f t="shared" si="678"/>
        <v>26280</v>
      </c>
      <c r="X71" s="13">
        <f t="shared" ref="X71:AD71" si="679">SUM(X40:X70)</f>
        <v>26280</v>
      </c>
      <c r="Y71" s="13">
        <f t="shared" si="679"/>
        <v>4680</v>
      </c>
      <c r="Z71" s="13">
        <f t="shared" si="679"/>
        <v>0</v>
      </c>
      <c r="AA71" s="13">
        <f t="shared" si="679"/>
        <v>0</v>
      </c>
      <c r="AB71" s="13">
        <f t="shared" si="679"/>
        <v>3700</v>
      </c>
      <c r="AC71" s="13">
        <f t="shared" si="679"/>
        <v>0</v>
      </c>
      <c r="AD71" s="13">
        <f t="shared" si="679"/>
        <v>22580</v>
      </c>
      <c r="AF71" s="13">
        <f t="shared" ref="AF71:AL71" si="680">SUM(AF40:AF70)</f>
        <v>22580</v>
      </c>
      <c r="AG71" s="13">
        <f t="shared" si="680"/>
        <v>3700</v>
      </c>
      <c r="AH71" s="13">
        <f t="shared" si="680"/>
        <v>0</v>
      </c>
      <c r="AI71" s="13">
        <f t="shared" si="680"/>
        <v>0</v>
      </c>
      <c r="AJ71" s="13">
        <f t="shared" si="680"/>
        <v>3620</v>
      </c>
      <c r="AK71" s="13">
        <f t="shared" si="680"/>
        <v>20</v>
      </c>
      <c r="AL71" s="13">
        <f t="shared" si="680"/>
        <v>18980</v>
      </c>
      <c r="AN71" s="13">
        <f t="shared" ref="AN71:AU71" si="681">SUM(AN40:AN70)</f>
        <v>18980</v>
      </c>
      <c r="AO71" s="13">
        <f t="shared" si="681"/>
        <v>3620</v>
      </c>
      <c r="AP71" s="13">
        <f t="shared" si="681"/>
        <v>0</v>
      </c>
      <c r="AQ71" s="13">
        <f t="shared" si="681"/>
        <v>0</v>
      </c>
      <c r="AR71" s="13">
        <f t="shared" si="681"/>
        <v>320</v>
      </c>
      <c r="AS71" s="13">
        <f t="shared" si="681"/>
        <v>3600</v>
      </c>
      <c r="AT71" s="13">
        <f t="shared" si="681"/>
        <v>-2</v>
      </c>
      <c r="AU71" s="13">
        <f t="shared" si="681"/>
        <v>15698</v>
      </c>
      <c r="AW71" s="13">
        <f t="shared" ref="AW71:BC71" si="682">SUM(AW40:AW70)</f>
        <v>15698</v>
      </c>
      <c r="AX71" s="13">
        <f t="shared" si="682"/>
        <v>3600</v>
      </c>
      <c r="AY71" s="13">
        <f t="shared" si="682"/>
        <v>0</v>
      </c>
      <c r="AZ71" s="13">
        <f t="shared" si="682"/>
        <v>0</v>
      </c>
      <c r="BA71" s="13">
        <f t="shared" si="682"/>
        <v>3560</v>
      </c>
      <c r="BB71" s="13">
        <f t="shared" si="682"/>
        <v>0</v>
      </c>
      <c r="BC71" s="13">
        <f t="shared" si="682"/>
        <v>12138</v>
      </c>
      <c r="BE71" s="13">
        <f t="shared" ref="BE71:BM71" si="683">SUM(BE40:BE70)</f>
        <v>12138</v>
      </c>
      <c r="BF71" s="13">
        <f t="shared" si="683"/>
        <v>3560</v>
      </c>
      <c r="BG71" s="13">
        <f t="shared" si="683"/>
        <v>20</v>
      </c>
      <c r="BH71" s="13">
        <f t="shared" si="683"/>
        <v>0</v>
      </c>
      <c r="BI71" s="13">
        <f t="shared" si="683"/>
        <v>1097</v>
      </c>
      <c r="BJ71" s="13">
        <f t="shared" si="683"/>
        <v>0</v>
      </c>
      <c r="BK71" s="13">
        <f t="shared" si="683"/>
        <v>2960</v>
      </c>
      <c r="BL71" s="13">
        <f t="shared" si="683"/>
        <v>0</v>
      </c>
      <c r="BM71" s="13">
        <f t="shared" si="683"/>
        <v>10255</v>
      </c>
      <c r="BN71" s="8"/>
      <c r="BO71" s="13">
        <f t="shared" ref="BO71:BX71" si="684">SUM(BO40:BO70)</f>
        <v>10255</v>
      </c>
      <c r="BP71" s="13">
        <f t="shared" si="684"/>
        <v>2960</v>
      </c>
      <c r="BQ71" s="13">
        <f t="shared" si="684"/>
        <v>0</v>
      </c>
      <c r="BR71" s="13">
        <f t="shared" si="684"/>
        <v>20</v>
      </c>
      <c r="BS71" s="13">
        <f t="shared" si="684"/>
        <v>1565</v>
      </c>
      <c r="BT71" s="13">
        <f t="shared" si="684"/>
        <v>1520</v>
      </c>
      <c r="BU71" s="13">
        <f t="shared" si="684"/>
        <v>400</v>
      </c>
      <c r="BV71" s="13">
        <f t="shared" si="684"/>
        <v>4180</v>
      </c>
      <c r="BW71" s="13">
        <f t="shared" si="684"/>
        <v>20</v>
      </c>
      <c r="BX71" s="13">
        <f t="shared" si="684"/>
        <v>9560</v>
      </c>
      <c r="BY71" s="8"/>
      <c r="BZ71" s="13">
        <f t="shared" ref="BZ71:CE71" si="685">SUM(BZ40:BZ70)</f>
        <v>9560</v>
      </c>
      <c r="CA71" s="13">
        <f t="shared" si="685"/>
        <v>4180</v>
      </c>
      <c r="CB71" s="13">
        <f t="shared" si="685"/>
        <v>40</v>
      </c>
      <c r="CC71" s="13">
        <f t="shared" si="685"/>
        <v>140</v>
      </c>
      <c r="CD71" s="13">
        <f t="shared" si="685"/>
        <v>240</v>
      </c>
      <c r="CE71" s="13">
        <f t="shared" si="685"/>
        <v>440</v>
      </c>
      <c r="CF71" s="13">
        <v>5940</v>
      </c>
      <c r="CG71" s="13">
        <f>SUM(CG40:CG70)</f>
        <v>0</v>
      </c>
      <c r="CH71" s="13">
        <f>SUM(CH40:CH70)</f>
        <v>4120</v>
      </c>
      <c r="CI71" s="8"/>
      <c r="CJ71" s="13">
        <f t="shared" ref="CJ71:CQ71" si="686">SUM(CJ40:CJ70)</f>
        <v>4120</v>
      </c>
      <c r="CK71" s="13">
        <f t="shared" si="686"/>
        <v>5940</v>
      </c>
      <c r="CL71" s="13">
        <f t="shared" si="686"/>
        <v>0</v>
      </c>
      <c r="CM71" s="13">
        <f t="shared" si="686"/>
        <v>0</v>
      </c>
      <c r="CN71" s="13">
        <f t="shared" si="686"/>
        <v>5775</v>
      </c>
      <c r="CO71" s="13">
        <f t="shared" si="686"/>
        <v>0</v>
      </c>
      <c r="CP71" s="13">
        <f t="shared" si="686"/>
        <v>0</v>
      </c>
      <c r="CQ71" s="13">
        <f t="shared" si="686"/>
        <v>9895</v>
      </c>
      <c r="CR71" s="8"/>
      <c r="CS71" s="123">
        <f t="shared" ref="CS71:DA71" si="687">SUM(CS40:CS70)</f>
        <v>9895</v>
      </c>
      <c r="CT71" s="123">
        <f t="shared" si="687"/>
        <v>0</v>
      </c>
      <c r="CU71" s="123">
        <f t="shared" si="687"/>
        <v>0</v>
      </c>
      <c r="CV71" s="123">
        <f t="shared" si="687"/>
        <v>0</v>
      </c>
      <c r="CW71" s="123">
        <f t="shared" si="687"/>
        <v>120</v>
      </c>
      <c r="CX71" s="123">
        <f t="shared" si="687"/>
        <v>3890</v>
      </c>
      <c r="CY71" s="123">
        <f t="shared" si="687"/>
        <v>3600</v>
      </c>
      <c r="CZ71" s="123">
        <f t="shared" si="687"/>
        <v>0</v>
      </c>
      <c r="DA71" s="123">
        <f t="shared" si="687"/>
        <v>10305</v>
      </c>
      <c r="DB71" s="8"/>
      <c r="DC71" s="13">
        <f t="shared" ref="DC71:DJ71" si="688">SUM(DC40:DC70)</f>
        <v>10305</v>
      </c>
      <c r="DD71" s="123">
        <f t="shared" si="688"/>
        <v>3600</v>
      </c>
      <c r="DE71" s="123">
        <f t="shared" si="688"/>
        <v>20</v>
      </c>
      <c r="DF71" s="123">
        <f t="shared" si="688"/>
        <v>0</v>
      </c>
      <c r="DG71" s="13">
        <f t="shared" si="688"/>
        <v>6800</v>
      </c>
      <c r="DH71" s="13">
        <f t="shared" si="688"/>
        <v>3420</v>
      </c>
      <c r="DI71" s="13">
        <f t="shared" si="688"/>
        <v>0</v>
      </c>
      <c r="DJ71" s="13">
        <f t="shared" si="688"/>
        <v>13665</v>
      </c>
      <c r="DL71" s="13">
        <f t="shared" ref="DL71:DR71" si="689">SUM(DL40:DL70)</f>
        <v>13665</v>
      </c>
      <c r="DM71" s="13">
        <f t="shared" si="689"/>
        <v>3420</v>
      </c>
      <c r="DN71" s="13">
        <f t="shared" si="689"/>
        <v>0</v>
      </c>
      <c r="DO71" s="13">
        <f t="shared" si="689"/>
        <v>40</v>
      </c>
      <c r="DP71" s="13">
        <f t="shared" si="689"/>
        <v>4100</v>
      </c>
      <c r="DQ71" s="13">
        <f t="shared" si="689"/>
        <v>0</v>
      </c>
      <c r="DR71" s="13">
        <f t="shared" si="689"/>
        <v>9525</v>
      </c>
      <c r="DS71" s="8"/>
      <c r="DT71" s="13">
        <f t="shared" ref="DT71:EB71" si="690">SUM(DT40:DT70)</f>
        <v>9525</v>
      </c>
      <c r="DU71" s="13">
        <f t="shared" si="690"/>
        <v>4100</v>
      </c>
      <c r="DV71" s="13">
        <f t="shared" si="690"/>
        <v>20</v>
      </c>
      <c r="DW71" s="13">
        <f t="shared" si="690"/>
        <v>20</v>
      </c>
      <c r="DX71" s="13">
        <f t="shared" si="690"/>
        <v>5885</v>
      </c>
      <c r="DY71" s="13">
        <f t="shared" si="690"/>
        <v>4930</v>
      </c>
      <c r="DZ71" s="13">
        <f t="shared" si="690"/>
        <v>3760</v>
      </c>
      <c r="EA71" s="13">
        <f t="shared" si="690"/>
        <v>0</v>
      </c>
      <c r="EB71" s="13">
        <f t="shared" si="690"/>
        <v>16540</v>
      </c>
      <c r="EC71" s="8"/>
      <c r="ED71" s="13">
        <f t="shared" ref="ED71:EK71" si="691">SUM(ED40:ED70)</f>
        <v>16540</v>
      </c>
      <c r="EE71" s="13">
        <f t="shared" si="691"/>
        <v>3760</v>
      </c>
      <c r="EF71" s="13">
        <f t="shared" si="691"/>
        <v>0</v>
      </c>
      <c r="EG71" s="13">
        <f t="shared" si="691"/>
        <v>20</v>
      </c>
      <c r="EH71" s="13">
        <f t="shared" si="691"/>
        <v>4465</v>
      </c>
      <c r="EI71" s="13">
        <f t="shared" si="691"/>
        <v>4080</v>
      </c>
      <c r="EJ71" s="13">
        <f t="shared" si="691"/>
        <v>0</v>
      </c>
      <c r="EK71" s="13">
        <f t="shared" si="691"/>
        <v>16905</v>
      </c>
      <c r="EM71" s="13">
        <f t="shared" ref="EM71:ES71" si="692">SUM(EM40:EM70)</f>
        <v>16905</v>
      </c>
      <c r="EN71" s="13">
        <f t="shared" si="692"/>
        <v>4080</v>
      </c>
      <c r="EO71" s="13">
        <f t="shared" si="692"/>
        <v>0</v>
      </c>
      <c r="EP71" s="13">
        <f t="shared" si="692"/>
        <v>40</v>
      </c>
      <c r="EQ71" s="13">
        <f t="shared" si="692"/>
        <v>4200</v>
      </c>
      <c r="ER71" s="13">
        <f t="shared" si="692"/>
        <v>0</v>
      </c>
      <c r="ES71" s="13">
        <f t="shared" si="692"/>
        <v>12665</v>
      </c>
      <c r="EU71" s="13">
        <f t="shared" ref="EU71:FA71" si="693">SUM(EU40:EU70)</f>
        <v>12665</v>
      </c>
      <c r="EV71" s="13">
        <f t="shared" si="693"/>
        <v>4200</v>
      </c>
      <c r="EW71" s="13">
        <f t="shared" si="693"/>
        <v>0</v>
      </c>
      <c r="EX71" s="13">
        <f t="shared" si="693"/>
        <v>0</v>
      </c>
      <c r="EY71" s="13">
        <f t="shared" si="693"/>
        <v>0</v>
      </c>
      <c r="EZ71" s="13">
        <f t="shared" si="693"/>
        <v>0</v>
      </c>
      <c r="FA71" s="13">
        <f t="shared" si="693"/>
        <v>12665</v>
      </c>
      <c r="FC71" s="13">
        <f t="shared" ref="FC71:FI71" si="694">SUM(FC40:FC70)</f>
        <v>12665</v>
      </c>
      <c r="FD71" s="13">
        <f t="shared" si="694"/>
        <v>0</v>
      </c>
      <c r="FE71" s="13">
        <f t="shared" si="694"/>
        <v>0</v>
      </c>
      <c r="FF71" s="13">
        <f t="shared" si="694"/>
        <v>0</v>
      </c>
      <c r="FG71" s="13">
        <f t="shared" si="694"/>
        <v>0</v>
      </c>
      <c r="FH71" s="13">
        <f t="shared" si="694"/>
        <v>0</v>
      </c>
      <c r="FI71" s="13">
        <f t="shared" si="694"/>
        <v>12665</v>
      </c>
      <c r="FK71" s="13">
        <f t="shared" ref="FK71:FQ71" si="695">SUM(FK40:FK70)</f>
        <v>12665</v>
      </c>
      <c r="FL71" s="13">
        <f t="shared" si="695"/>
        <v>0</v>
      </c>
      <c r="FM71" s="13">
        <f t="shared" si="695"/>
        <v>0</v>
      </c>
      <c r="FN71" s="13">
        <f t="shared" si="695"/>
        <v>0</v>
      </c>
      <c r="FO71" s="13">
        <f t="shared" si="695"/>
        <v>4400</v>
      </c>
      <c r="FP71" s="13">
        <f t="shared" si="695"/>
        <v>0</v>
      </c>
      <c r="FQ71" s="13">
        <f t="shared" si="695"/>
        <v>8265</v>
      </c>
      <c r="FR71" s="8"/>
      <c r="FS71" s="13">
        <f t="shared" ref="FS71:GD71" si="696">SUM(FS40:FS70)</f>
        <v>8265</v>
      </c>
      <c r="FT71" s="13">
        <f t="shared" si="696"/>
        <v>4400</v>
      </c>
      <c r="FU71" s="13">
        <f t="shared" si="696"/>
        <v>20</v>
      </c>
      <c r="FV71" s="13">
        <f t="shared" si="696"/>
        <v>20</v>
      </c>
      <c r="FW71" s="13">
        <f t="shared" si="696"/>
        <v>2970</v>
      </c>
      <c r="FX71" s="13">
        <f t="shared" si="696"/>
        <v>545</v>
      </c>
      <c r="FY71" s="13">
        <f t="shared" si="696"/>
        <v>4945</v>
      </c>
      <c r="FZ71" s="13">
        <f t="shared" si="696"/>
        <v>3485</v>
      </c>
      <c r="GA71" s="13">
        <f t="shared" si="696"/>
        <v>6150</v>
      </c>
      <c r="GB71" s="13">
        <f t="shared" si="696"/>
        <v>3660</v>
      </c>
      <c r="GC71" s="13">
        <f t="shared" si="696"/>
        <v>0</v>
      </c>
      <c r="GD71" s="13">
        <f t="shared" si="696"/>
        <v>22660</v>
      </c>
      <c r="GF71" s="13">
        <f t="shared" ref="GF71:GM71" si="697">SUM(GF40:GF70)</f>
        <v>22660</v>
      </c>
      <c r="GG71" s="13">
        <f t="shared" si="697"/>
        <v>3660</v>
      </c>
      <c r="GH71" s="13">
        <f t="shared" si="697"/>
        <v>0</v>
      </c>
      <c r="GI71" s="13">
        <f t="shared" si="697"/>
        <v>0</v>
      </c>
      <c r="GJ71" s="13">
        <f t="shared" si="697"/>
        <v>3955</v>
      </c>
      <c r="GK71" s="13">
        <f t="shared" si="697"/>
        <v>3840</v>
      </c>
      <c r="GL71" s="13">
        <f t="shared" si="697"/>
        <v>0</v>
      </c>
      <c r="GM71" s="13">
        <f t="shared" si="697"/>
        <v>22775</v>
      </c>
      <c r="GO71" s="13">
        <f t="shared" ref="GO71:GV71" si="698">SUM(GO40:GO70)</f>
        <v>22775</v>
      </c>
      <c r="GP71" s="13">
        <f t="shared" si="698"/>
        <v>3840</v>
      </c>
      <c r="GQ71" s="13">
        <f t="shared" si="698"/>
        <v>20</v>
      </c>
      <c r="GR71" s="13">
        <f t="shared" si="698"/>
        <v>0</v>
      </c>
      <c r="GS71" s="13">
        <f t="shared" si="698"/>
        <v>4490</v>
      </c>
      <c r="GT71" s="13">
        <f t="shared" si="698"/>
        <v>4280</v>
      </c>
      <c r="GU71" s="13">
        <f t="shared" si="698"/>
        <v>0</v>
      </c>
      <c r="GV71" s="13">
        <f t="shared" si="698"/>
        <v>22965</v>
      </c>
      <c r="GW71" s="8"/>
      <c r="GX71" s="13">
        <f t="shared" ref="GX71:HE71" si="699">SUM(GX40:GX70)</f>
        <v>22965</v>
      </c>
      <c r="GY71" s="13">
        <f t="shared" si="699"/>
        <v>4280</v>
      </c>
      <c r="GZ71" s="13">
        <f t="shared" si="699"/>
        <v>20</v>
      </c>
      <c r="HA71" s="13">
        <f t="shared" si="699"/>
        <v>0</v>
      </c>
      <c r="HB71" s="13">
        <f t="shared" si="699"/>
        <v>4100</v>
      </c>
      <c r="HC71" s="13">
        <f t="shared" si="699"/>
        <v>3820</v>
      </c>
      <c r="HD71" s="13">
        <f t="shared" si="699"/>
        <v>0</v>
      </c>
      <c r="HE71" s="13">
        <f t="shared" si="699"/>
        <v>23225</v>
      </c>
      <c r="HF71" s="8"/>
      <c r="HG71" s="13">
        <f t="shared" ref="HG71:HN71" si="700">SUM(HG40:HG70)</f>
        <v>23225</v>
      </c>
      <c r="HH71" s="13">
        <f t="shared" si="700"/>
        <v>3820</v>
      </c>
      <c r="HI71" s="13">
        <f t="shared" si="700"/>
        <v>0</v>
      </c>
      <c r="HJ71" s="13">
        <f t="shared" si="700"/>
        <v>0</v>
      </c>
      <c r="HK71" s="13">
        <f t="shared" si="700"/>
        <v>3540</v>
      </c>
      <c r="HL71" s="13">
        <f t="shared" si="700"/>
        <v>3740</v>
      </c>
      <c r="HM71" s="13">
        <f t="shared" si="700"/>
        <v>0</v>
      </c>
      <c r="HN71" s="13">
        <f t="shared" si="700"/>
        <v>23025</v>
      </c>
      <c r="HO71" s="8"/>
      <c r="HP71" s="13">
        <f t="shared" ref="HP71:HW71" si="701">SUM(HP40:HP70)</f>
        <v>23025</v>
      </c>
      <c r="HQ71" s="13">
        <f t="shared" si="701"/>
        <v>3740</v>
      </c>
      <c r="HR71" s="13">
        <f t="shared" si="701"/>
        <v>0</v>
      </c>
      <c r="HS71" s="13">
        <f t="shared" si="701"/>
        <v>18</v>
      </c>
      <c r="HT71" s="13">
        <f t="shared" si="701"/>
        <v>4360</v>
      </c>
      <c r="HU71" s="13">
        <f t="shared" si="701"/>
        <v>3720</v>
      </c>
      <c r="HV71" s="13">
        <f t="shared" si="701"/>
        <v>0</v>
      </c>
      <c r="HW71" s="13">
        <f t="shared" si="701"/>
        <v>23647</v>
      </c>
      <c r="HX71" s="8"/>
      <c r="HY71" s="13">
        <f t="shared" ref="HY71:IF71" si="702">SUM(HY40:HY70)</f>
        <v>23647</v>
      </c>
      <c r="HZ71" s="13">
        <f t="shared" si="702"/>
        <v>3720</v>
      </c>
      <c r="IA71" s="13">
        <f t="shared" si="702"/>
        <v>0</v>
      </c>
      <c r="IB71" s="13">
        <f t="shared" si="702"/>
        <v>0</v>
      </c>
      <c r="IC71" s="13">
        <f t="shared" si="702"/>
        <v>4880</v>
      </c>
      <c r="ID71" s="13">
        <f t="shared" si="702"/>
        <v>4240</v>
      </c>
      <c r="IE71" s="13">
        <f t="shared" si="702"/>
        <v>0</v>
      </c>
      <c r="IF71" s="13">
        <f t="shared" si="702"/>
        <v>24287</v>
      </c>
      <c r="IG71" s="8"/>
      <c r="IH71" s="13">
        <f t="shared" ref="IH71:IN71" si="703">SUM(IH40:IH70)</f>
        <v>24287</v>
      </c>
      <c r="II71" s="13">
        <f t="shared" si="703"/>
        <v>4240</v>
      </c>
      <c r="IJ71" s="13">
        <f t="shared" si="703"/>
        <v>0</v>
      </c>
      <c r="IK71" s="13">
        <f t="shared" si="703"/>
        <v>0</v>
      </c>
      <c r="IL71" s="13">
        <f t="shared" si="703"/>
        <v>4100</v>
      </c>
      <c r="IM71" s="13">
        <f t="shared" si="703"/>
        <v>0</v>
      </c>
      <c r="IN71" s="13">
        <f t="shared" si="703"/>
        <v>20187</v>
      </c>
      <c r="IO71" s="8"/>
      <c r="IP71" s="13">
        <f t="shared" ref="IP71:IW71" si="704">SUM(IP40:IP70)</f>
        <v>20187</v>
      </c>
      <c r="IQ71" s="13">
        <f t="shared" si="704"/>
        <v>4100</v>
      </c>
      <c r="IR71" s="13">
        <f t="shared" si="704"/>
        <v>0</v>
      </c>
      <c r="IS71" s="13">
        <f t="shared" si="704"/>
        <v>0</v>
      </c>
      <c r="IT71" s="13">
        <f t="shared" si="704"/>
        <v>4760</v>
      </c>
      <c r="IU71" s="13">
        <f t="shared" si="704"/>
        <v>3760</v>
      </c>
      <c r="IV71" s="13">
        <f t="shared" si="704"/>
        <v>0</v>
      </c>
      <c r="IW71" s="13">
        <f t="shared" si="704"/>
        <v>21187</v>
      </c>
      <c r="IX71" s="8"/>
      <c r="IY71" s="13">
        <f t="shared" ref="IY71:JE71" si="705">SUM(IY40:IY70)</f>
        <v>21187</v>
      </c>
      <c r="IZ71" s="13">
        <f t="shared" si="705"/>
        <v>3760</v>
      </c>
      <c r="JA71" s="13">
        <f t="shared" si="705"/>
        <v>0</v>
      </c>
      <c r="JB71" s="13">
        <f t="shared" si="705"/>
        <v>0</v>
      </c>
      <c r="JC71" s="13">
        <f t="shared" si="705"/>
        <v>2020</v>
      </c>
      <c r="JD71" s="13">
        <f t="shared" si="705"/>
        <v>0</v>
      </c>
      <c r="JE71" s="13">
        <f t="shared" si="705"/>
        <v>19167</v>
      </c>
      <c r="JF71" s="8"/>
      <c r="JG71" s="13">
        <f t="shared" ref="JG71:JN71" si="706">SUM(JG40:JG70)</f>
        <v>19167</v>
      </c>
      <c r="JH71" s="13">
        <f t="shared" si="706"/>
        <v>2020</v>
      </c>
      <c r="JI71" s="13">
        <f t="shared" si="706"/>
        <v>0</v>
      </c>
      <c r="JJ71" s="13">
        <f t="shared" si="706"/>
        <v>45</v>
      </c>
      <c r="JK71" s="13">
        <f t="shared" si="706"/>
        <v>6590</v>
      </c>
      <c r="JL71" s="13">
        <f t="shared" si="706"/>
        <v>7240</v>
      </c>
      <c r="JM71" s="13">
        <f t="shared" si="706"/>
        <v>0</v>
      </c>
      <c r="JN71" s="13">
        <f t="shared" si="706"/>
        <v>18472</v>
      </c>
      <c r="JO71" s="8"/>
      <c r="JP71" s="13">
        <f t="shared" ref="JP71:JV71" si="707">SUM(JP40:JP70)</f>
        <v>18472</v>
      </c>
      <c r="JQ71" s="13">
        <f t="shared" si="707"/>
        <v>7240</v>
      </c>
      <c r="JR71" s="13">
        <f t="shared" si="707"/>
        <v>0</v>
      </c>
      <c r="JS71" s="13">
        <f t="shared" si="707"/>
        <v>20</v>
      </c>
      <c r="JT71" s="13">
        <f t="shared" si="707"/>
        <v>0</v>
      </c>
      <c r="JU71" s="13">
        <f t="shared" si="707"/>
        <v>0</v>
      </c>
      <c r="JV71" s="13">
        <f t="shared" si="707"/>
        <v>18452</v>
      </c>
      <c r="JW71" s="8"/>
      <c r="JX71" s="13">
        <f t="shared" ref="JX71:KD71" si="708">SUM(JX40:JX70)</f>
        <v>18452</v>
      </c>
      <c r="JY71" s="13">
        <f t="shared" si="708"/>
        <v>0</v>
      </c>
      <c r="JZ71" s="13">
        <f t="shared" si="708"/>
        <v>0</v>
      </c>
      <c r="KA71" s="13">
        <f t="shared" si="708"/>
        <v>0</v>
      </c>
      <c r="KB71" s="13">
        <f t="shared" si="708"/>
        <v>4400</v>
      </c>
      <c r="KC71" s="13">
        <f t="shared" si="708"/>
        <v>0</v>
      </c>
      <c r="KD71" s="13">
        <f t="shared" si="708"/>
        <v>14052</v>
      </c>
      <c r="KE71" s="8"/>
      <c r="KF71" s="13">
        <f t="shared" ref="KF71:KM71" si="709">SUM(KF40:KF70)</f>
        <v>14052</v>
      </c>
      <c r="KG71" s="13">
        <f t="shared" si="709"/>
        <v>4400</v>
      </c>
      <c r="KH71" s="13">
        <f t="shared" si="709"/>
        <v>0</v>
      </c>
      <c r="KI71" s="13">
        <f t="shared" si="709"/>
        <v>40</v>
      </c>
      <c r="KJ71" s="13">
        <f t="shared" si="709"/>
        <v>5530</v>
      </c>
      <c r="KK71" s="13">
        <f t="shared" si="709"/>
        <v>3960</v>
      </c>
      <c r="KL71" s="13">
        <f t="shared" si="709"/>
        <v>0</v>
      </c>
      <c r="KM71" s="13">
        <f t="shared" si="709"/>
        <v>15582</v>
      </c>
      <c r="KN71" s="8"/>
      <c r="KO71" s="13">
        <f t="shared" ref="KO71:KV71" si="710">SUM(KO40:KO70)</f>
        <v>15582</v>
      </c>
      <c r="KP71" s="13">
        <f t="shared" si="710"/>
        <v>3960</v>
      </c>
      <c r="KQ71" s="13">
        <f t="shared" si="710"/>
        <v>0</v>
      </c>
      <c r="KR71" s="13">
        <f t="shared" si="710"/>
        <v>0</v>
      </c>
      <c r="KS71" s="13">
        <f t="shared" si="710"/>
        <v>3895</v>
      </c>
      <c r="KT71" s="13">
        <f t="shared" si="710"/>
        <v>2700</v>
      </c>
      <c r="KU71" s="13">
        <f t="shared" si="710"/>
        <v>0</v>
      </c>
      <c r="KV71" s="13">
        <f t="shared" si="710"/>
        <v>16777</v>
      </c>
      <c r="KX71" s="13">
        <f t="shared" ref="KX71:LD71" si="711">SUM(KX40:KX70)</f>
        <v>16777</v>
      </c>
      <c r="KY71" s="13">
        <f t="shared" si="711"/>
        <v>2700</v>
      </c>
      <c r="KZ71" s="13">
        <f t="shared" si="711"/>
        <v>0</v>
      </c>
      <c r="LA71" s="13">
        <f t="shared" si="711"/>
        <v>0</v>
      </c>
      <c r="LB71" s="13">
        <f t="shared" si="711"/>
        <v>0</v>
      </c>
      <c r="LC71" s="13">
        <f t="shared" si="711"/>
        <v>0</v>
      </c>
      <c r="LD71" s="13">
        <f t="shared" si="711"/>
        <v>16777</v>
      </c>
      <c r="LF71" s="13">
        <f t="shared" ref="LF71:LM71" si="712">SUM(LF40:LF70)</f>
        <v>16777</v>
      </c>
      <c r="LG71" s="123">
        <f t="shared" si="712"/>
        <v>4220</v>
      </c>
      <c r="LH71" s="123">
        <f t="shared" si="712"/>
        <v>0</v>
      </c>
      <c r="LI71" s="123">
        <f t="shared" si="712"/>
        <v>20</v>
      </c>
      <c r="LJ71" s="13">
        <f t="shared" si="712"/>
        <v>2315</v>
      </c>
      <c r="LK71" s="123">
        <f t="shared" si="712"/>
        <v>0</v>
      </c>
      <c r="LL71" s="123">
        <f t="shared" si="712"/>
        <v>0</v>
      </c>
      <c r="LM71" s="13">
        <f t="shared" si="712"/>
        <v>14852</v>
      </c>
      <c r="LO71" s="13">
        <f t="shared" ref="LO71:LU71" si="713">SUM(LO40:LO70)</f>
        <v>14852</v>
      </c>
      <c r="LP71" s="123">
        <f t="shared" si="713"/>
        <v>2460</v>
      </c>
      <c r="LQ71" s="123">
        <f t="shared" si="713"/>
        <v>0</v>
      </c>
      <c r="LR71" s="123">
        <f t="shared" si="713"/>
        <v>0</v>
      </c>
      <c r="LS71" s="123">
        <f t="shared" si="713"/>
        <v>0</v>
      </c>
      <c r="LT71" s="123">
        <f t="shared" si="713"/>
        <v>0</v>
      </c>
      <c r="LU71" s="13">
        <f t="shared" si="713"/>
        <v>12392</v>
      </c>
      <c r="LW71" s="13">
        <f t="shared" ref="LW71:MC71" si="714">SUM(LW40:LW70)</f>
        <v>12392</v>
      </c>
      <c r="LX71" s="123">
        <f t="shared" si="714"/>
        <v>7080</v>
      </c>
      <c r="LY71" s="123">
        <f t="shared" si="714"/>
        <v>0</v>
      </c>
      <c r="LZ71" s="123">
        <f t="shared" si="714"/>
        <v>20</v>
      </c>
      <c r="MA71" s="123">
        <f t="shared" si="714"/>
        <v>0</v>
      </c>
      <c r="MB71" s="123">
        <f t="shared" si="714"/>
        <v>0</v>
      </c>
      <c r="MC71" s="13">
        <f t="shared" si="714"/>
        <v>5292</v>
      </c>
      <c r="ME71" s="13">
        <f t="shared" ref="ME71:MK71" si="715">SUM(ME40:ME70)</f>
        <v>5292</v>
      </c>
      <c r="MF71" s="123">
        <f t="shared" si="715"/>
        <v>0</v>
      </c>
      <c r="MG71" s="123">
        <f t="shared" si="715"/>
        <v>0</v>
      </c>
      <c r="MH71" s="123">
        <f t="shared" si="715"/>
        <v>60</v>
      </c>
      <c r="MI71" s="123">
        <f t="shared" si="715"/>
        <v>0</v>
      </c>
      <c r="MJ71" s="123">
        <f t="shared" si="715"/>
        <v>0</v>
      </c>
      <c r="MK71" s="13">
        <f t="shared" si="715"/>
        <v>5232</v>
      </c>
      <c r="MM71" s="13">
        <f t="shared" ref="MM71:MS71" si="716">SUM(MM40:MM70)</f>
        <v>5232</v>
      </c>
      <c r="MN71" s="123">
        <f t="shared" si="716"/>
        <v>4040</v>
      </c>
      <c r="MO71" s="123">
        <f t="shared" si="716"/>
        <v>0</v>
      </c>
      <c r="MP71" s="123">
        <f t="shared" si="716"/>
        <v>40</v>
      </c>
      <c r="MQ71" s="123">
        <f t="shared" si="716"/>
        <v>0</v>
      </c>
      <c r="MR71" s="123">
        <f t="shared" si="716"/>
        <v>0</v>
      </c>
      <c r="MS71" s="13">
        <f t="shared" si="716"/>
        <v>1152</v>
      </c>
      <c r="MU71" s="13">
        <f t="shared" ref="MU71:NA71" si="717">SUM(MU40:MU70)</f>
        <v>1152</v>
      </c>
      <c r="MV71" s="123">
        <f t="shared" si="717"/>
        <v>4300</v>
      </c>
      <c r="MW71" s="123">
        <f t="shared" si="717"/>
        <v>0</v>
      </c>
      <c r="MX71" s="123">
        <f t="shared" si="717"/>
        <v>49</v>
      </c>
      <c r="MY71" s="123">
        <f t="shared" si="717"/>
        <v>0</v>
      </c>
      <c r="MZ71" s="123">
        <f t="shared" si="717"/>
        <v>0</v>
      </c>
      <c r="NA71" s="13">
        <f t="shared" si="717"/>
        <v>-3197</v>
      </c>
      <c r="NC71" s="13">
        <f t="shared" ref="NC71:NI71" si="718">SUM(NC40:NC70)</f>
        <v>-3197</v>
      </c>
      <c r="ND71" s="123">
        <f t="shared" si="718"/>
        <v>4140</v>
      </c>
      <c r="NE71" s="123">
        <f t="shared" si="718"/>
        <v>0</v>
      </c>
      <c r="NF71" s="123">
        <f t="shared" si="718"/>
        <v>0</v>
      </c>
      <c r="NG71" s="123">
        <f t="shared" si="718"/>
        <v>0</v>
      </c>
      <c r="NH71" s="123">
        <f t="shared" si="718"/>
        <v>0</v>
      </c>
      <c r="NI71" s="13">
        <f t="shared" si="718"/>
        <v>-7337</v>
      </c>
      <c r="NK71" s="13">
        <f t="shared" ref="NK71:NQ71" si="719">SUM(NK40:NK70)</f>
        <v>-7337</v>
      </c>
      <c r="NL71" s="123">
        <f t="shared" si="719"/>
        <v>3920</v>
      </c>
      <c r="NM71" s="123">
        <f t="shared" si="719"/>
        <v>0</v>
      </c>
      <c r="NN71" s="123">
        <f t="shared" si="719"/>
        <v>0</v>
      </c>
      <c r="NO71" s="123">
        <f t="shared" si="719"/>
        <v>0</v>
      </c>
      <c r="NP71" s="123">
        <f t="shared" si="719"/>
        <v>0</v>
      </c>
      <c r="NQ71" s="13">
        <f t="shared" si="719"/>
        <v>-11257</v>
      </c>
      <c r="NS71" s="13">
        <f t="shared" ref="NS71:NY71" si="720">SUM(NS40:NS70)</f>
        <v>-11257</v>
      </c>
      <c r="NT71" s="123">
        <f t="shared" si="720"/>
        <v>4500</v>
      </c>
      <c r="NU71" s="123">
        <f t="shared" si="720"/>
        <v>0</v>
      </c>
      <c r="NV71" s="123">
        <f t="shared" si="720"/>
        <v>0</v>
      </c>
      <c r="NW71" s="123">
        <f t="shared" si="720"/>
        <v>0</v>
      </c>
      <c r="NX71" s="123">
        <f t="shared" si="720"/>
        <v>0</v>
      </c>
      <c r="NY71" s="13">
        <f t="shared" si="720"/>
        <v>-15757</v>
      </c>
      <c r="OA71" s="13">
        <f t="shared" ref="OA71:OG71" si="721">SUM(OA40:OA70)</f>
        <v>-15757</v>
      </c>
      <c r="OB71" s="123">
        <f t="shared" si="721"/>
        <v>3920</v>
      </c>
      <c r="OC71" s="123">
        <f t="shared" si="721"/>
        <v>0</v>
      </c>
      <c r="OD71" s="123">
        <f t="shared" si="721"/>
        <v>0</v>
      </c>
      <c r="OE71" s="123">
        <f t="shared" si="721"/>
        <v>0</v>
      </c>
      <c r="OF71" s="123">
        <f t="shared" si="721"/>
        <v>0</v>
      </c>
      <c r="OG71" s="13">
        <f t="shared" si="721"/>
        <v>-19677</v>
      </c>
      <c r="OI71" s="13">
        <f t="shared" ref="OI71:OO71" si="722">SUM(OI40:OI70)</f>
        <v>-19677</v>
      </c>
      <c r="OJ71" s="123">
        <f t="shared" si="722"/>
        <v>6440</v>
      </c>
      <c r="OK71" s="123">
        <f t="shared" si="722"/>
        <v>0</v>
      </c>
      <c r="OL71" s="123">
        <f t="shared" si="722"/>
        <v>0</v>
      </c>
      <c r="OM71" s="123">
        <f t="shared" si="722"/>
        <v>0</v>
      </c>
      <c r="ON71" s="123">
        <f t="shared" si="722"/>
        <v>0</v>
      </c>
      <c r="OO71" s="13">
        <f t="shared" si="722"/>
        <v>-26117</v>
      </c>
      <c r="OQ71" s="13">
        <f t="shared" ref="OQ71:OW71" si="723">SUM(OQ40:OQ70)</f>
        <v>-26117</v>
      </c>
      <c r="OR71" s="123">
        <f t="shared" si="723"/>
        <v>0</v>
      </c>
      <c r="OS71" s="123">
        <f t="shared" si="723"/>
        <v>0</v>
      </c>
      <c r="OT71" s="123">
        <f t="shared" si="723"/>
        <v>0</v>
      </c>
      <c r="OU71" s="123">
        <f t="shared" si="723"/>
        <v>0</v>
      </c>
      <c r="OV71" s="123">
        <f t="shared" si="723"/>
        <v>0</v>
      </c>
      <c r="OW71" s="13">
        <f t="shared" si="723"/>
        <v>-26117</v>
      </c>
      <c r="OY71" s="13">
        <f t="shared" ref="OY71:PE71" si="724">SUM(OY40:OY70)</f>
        <v>-26117</v>
      </c>
      <c r="OZ71" s="123">
        <f t="shared" si="724"/>
        <v>0</v>
      </c>
      <c r="PA71" s="123">
        <f t="shared" si="724"/>
        <v>0</v>
      </c>
      <c r="PB71" s="123">
        <f t="shared" si="724"/>
        <v>0</v>
      </c>
      <c r="PC71" s="123">
        <f t="shared" si="724"/>
        <v>0</v>
      </c>
      <c r="PD71" s="123">
        <f t="shared" si="724"/>
        <v>0</v>
      </c>
      <c r="PE71" s="13">
        <f t="shared" si="724"/>
        <v>-26117</v>
      </c>
      <c r="PG71" s="13">
        <f t="shared" ref="PG71:PM71" si="725">SUM(PG40:PG70)</f>
        <v>-26117</v>
      </c>
      <c r="PH71" s="123">
        <f t="shared" si="725"/>
        <v>0</v>
      </c>
      <c r="PI71" s="123">
        <f t="shared" si="725"/>
        <v>0</v>
      </c>
      <c r="PJ71" s="123">
        <f t="shared" si="725"/>
        <v>0</v>
      </c>
      <c r="PK71" s="123">
        <f t="shared" si="725"/>
        <v>0</v>
      </c>
      <c r="PL71" s="123">
        <f t="shared" si="725"/>
        <v>0</v>
      </c>
      <c r="PM71" s="13">
        <f t="shared" si="725"/>
        <v>-26117</v>
      </c>
      <c r="PO71" s="13">
        <f t="shared" ref="PO71:PU71" si="726">SUM(PO40:PO70)</f>
        <v>-26117</v>
      </c>
      <c r="PP71" s="123">
        <f t="shared" si="726"/>
        <v>0</v>
      </c>
      <c r="PQ71" s="123">
        <f t="shared" si="726"/>
        <v>0</v>
      </c>
      <c r="PR71" s="123">
        <f t="shared" si="726"/>
        <v>0</v>
      </c>
      <c r="PS71" s="123">
        <f t="shared" si="726"/>
        <v>0</v>
      </c>
      <c r="PT71" s="123">
        <f t="shared" si="726"/>
        <v>0</v>
      </c>
      <c r="PU71" s="13">
        <f t="shared" si="726"/>
        <v>-26117</v>
      </c>
      <c r="PW71" s="13">
        <f t="shared" ref="PW71:QC71" si="727">SUM(PW40:PW70)</f>
        <v>-26117</v>
      </c>
      <c r="PX71" s="123">
        <f t="shared" si="727"/>
        <v>3480</v>
      </c>
      <c r="PY71" s="123">
        <f t="shared" si="727"/>
        <v>0</v>
      </c>
      <c r="PZ71" s="123">
        <f t="shared" si="727"/>
        <v>0</v>
      </c>
      <c r="QA71" s="123">
        <f t="shared" si="727"/>
        <v>0</v>
      </c>
      <c r="QB71" s="123">
        <f t="shared" si="727"/>
        <v>0</v>
      </c>
      <c r="QC71" s="13">
        <f t="shared" si="727"/>
        <v>-29597</v>
      </c>
      <c r="QE71" s="13">
        <f t="shared" ref="QE71:QK71" si="728">SUM(QE40:QE70)</f>
        <v>-29597</v>
      </c>
      <c r="QF71" s="123">
        <f t="shared" si="728"/>
        <v>3600</v>
      </c>
      <c r="QG71" s="123">
        <f t="shared" si="728"/>
        <v>0</v>
      </c>
      <c r="QH71" s="123">
        <f t="shared" si="728"/>
        <v>0</v>
      </c>
      <c r="QI71" s="123">
        <f t="shared" si="728"/>
        <v>0</v>
      </c>
      <c r="QJ71" s="123">
        <f t="shared" si="728"/>
        <v>0</v>
      </c>
      <c r="QK71" s="13">
        <f t="shared" si="728"/>
        <v>-33197</v>
      </c>
      <c r="QM71" s="13">
        <f t="shared" ref="QM71:QS71" si="729">SUM(QM40:QM70)</f>
        <v>-33197</v>
      </c>
      <c r="QN71" s="123">
        <f t="shared" si="729"/>
        <v>3600</v>
      </c>
      <c r="QO71" s="123">
        <f t="shared" si="729"/>
        <v>0</v>
      </c>
      <c r="QP71" s="123">
        <f t="shared" si="729"/>
        <v>0</v>
      </c>
      <c r="QQ71" s="123">
        <f t="shared" si="729"/>
        <v>0</v>
      </c>
      <c r="QR71" s="123">
        <f t="shared" si="729"/>
        <v>0</v>
      </c>
      <c r="QS71" s="13">
        <f t="shared" si="729"/>
        <v>-36797</v>
      </c>
      <c r="QU71" s="13">
        <f t="shared" ref="QU71:RA71" si="730">SUM(QU40:QU70)</f>
        <v>-36797</v>
      </c>
      <c r="QV71" s="123">
        <f t="shared" si="730"/>
        <v>3520</v>
      </c>
      <c r="QW71" s="123">
        <f t="shared" si="730"/>
        <v>0</v>
      </c>
      <c r="QX71" s="123">
        <f t="shared" si="730"/>
        <v>0</v>
      </c>
      <c r="QY71" s="123">
        <f t="shared" si="730"/>
        <v>0</v>
      </c>
      <c r="QZ71" s="123">
        <f t="shared" si="730"/>
        <v>0</v>
      </c>
      <c r="RA71" s="13">
        <f t="shared" si="730"/>
        <v>-40317</v>
      </c>
      <c r="RC71" s="13">
        <f t="shared" ref="RC71:RI71" si="731">SUM(RC40:RC70)</f>
        <v>-40317</v>
      </c>
      <c r="RD71" s="123">
        <f t="shared" si="731"/>
        <v>3520</v>
      </c>
      <c r="RE71" s="123">
        <f t="shared" si="731"/>
        <v>0</v>
      </c>
      <c r="RF71" s="123">
        <f t="shared" si="731"/>
        <v>0</v>
      </c>
      <c r="RG71" s="123">
        <f t="shared" si="731"/>
        <v>0</v>
      </c>
      <c r="RH71" s="123">
        <f t="shared" si="731"/>
        <v>0</v>
      </c>
      <c r="RI71" s="13">
        <f t="shared" si="731"/>
        <v>-43837</v>
      </c>
      <c r="RK71" s="13">
        <f t="shared" ref="RK71:RQ71" si="732">SUM(RK40:RK70)</f>
        <v>-43837</v>
      </c>
      <c r="RL71" s="123">
        <f t="shared" si="732"/>
        <v>3520</v>
      </c>
      <c r="RM71" s="123">
        <f t="shared" si="732"/>
        <v>0</v>
      </c>
      <c r="RN71" s="123">
        <f t="shared" si="732"/>
        <v>0</v>
      </c>
      <c r="RO71" s="123">
        <f t="shared" si="732"/>
        <v>0</v>
      </c>
      <c r="RP71" s="123">
        <f t="shared" si="732"/>
        <v>0</v>
      </c>
      <c r="RQ71" s="13">
        <f t="shared" si="732"/>
        <v>-47357</v>
      </c>
      <c r="RS71" s="13">
        <f t="shared" ref="RS71:RY71" si="733">SUM(RS40:RS70)</f>
        <v>-47357</v>
      </c>
      <c r="RT71" s="123">
        <f t="shared" si="733"/>
        <v>3460</v>
      </c>
      <c r="RU71" s="123">
        <f t="shared" si="733"/>
        <v>0</v>
      </c>
      <c r="RV71" s="123">
        <f t="shared" si="733"/>
        <v>0</v>
      </c>
      <c r="RW71" s="123">
        <f t="shared" si="733"/>
        <v>0</v>
      </c>
      <c r="RX71" s="123">
        <f t="shared" si="733"/>
        <v>0</v>
      </c>
      <c r="RY71" s="13">
        <f t="shared" si="733"/>
        <v>-50817</v>
      </c>
      <c r="SA71" s="13">
        <f t="shared" ref="SA71:SG71" si="734">SUM(SA40:SA70)</f>
        <v>-50817</v>
      </c>
      <c r="SB71" s="123">
        <f t="shared" si="734"/>
        <v>2730</v>
      </c>
      <c r="SC71" s="123">
        <f t="shared" si="734"/>
        <v>0</v>
      </c>
      <c r="SD71" s="123">
        <f t="shared" si="734"/>
        <v>0</v>
      </c>
      <c r="SE71" s="123">
        <f t="shared" si="734"/>
        <v>0</v>
      </c>
      <c r="SF71" s="123">
        <f t="shared" si="734"/>
        <v>0</v>
      </c>
      <c r="SG71" s="13">
        <f t="shared" si="734"/>
        <v>-53547</v>
      </c>
      <c r="SI71" s="13">
        <f t="shared" ref="SI71:SO71" si="735">SUM(SI40:SI70)</f>
        <v>-53547</v>
      </c>
      <c r="SJ71" s="123">
        <f t="shared" si="735"/>
        <v>2730</v>
      </c>
      <c r="SK71" s="123">
        <f t="shared" si="735"/>
        <v>0</v>
      </c>
      <c r="SL71" s="123">
        <f t="shared" si="735"/>
        <v>0</v>
      </c>
      <c r="SM71" s="123">
        <f t="shared" si="735"/>
        <v>0</v>
      </c>
      <c r="SN71" s="123">
        <f t="shared" si="735"/>
        <v>0</v>
      </c>
      <c r="SO71" s="13">
        <f t="shared" si="735"/>
        <v>-56277</v>
      </c>
      <c r="SQ71" s="13">
        <f t="shared" ref="SQ71:SW71" si="736">SUM(SQ40:SQ70)</f>
        <v>-56277</v>
      </c>
      <c r="SR71" s="123">
        <f t="shared" si="736"/>
        <v>2730</v>
      </c>
      <c r="SS71" s="123">
        <f t="shared" si="736"/>
        <v>0</v>
      </c>
      <c r="ST71" s="123">
        <f t="shared" si="736"/>
        <v>0</v>
      </c>
      <c r="SU71" s="123">
        <f t="shared" si="736"/>
        <v>0</v>
      </c>
      <c r="SV71" s="123">
        <f t="shared" si="736"/>
        <v>0</v>
      </c>
      <c r="SW71" s="13">
        <f t="shared" si="736"/>
        <v>-59007</v>
      </c>
      <c r="SY71" s="13">
        <f t="shared" ref="SY71:TE71" si="737">SUM(SY40:SY70)</f>
        <v>-59007</v>
      </c>
      <c r="SZ71" s="123">
        <f t="shared" si="737"/>
        <v>2710</v>
      </c>
      <c r="TA71" s="123">
        <f t="shared" si="737"/>
        <v>0</v>
      </c>
      <c r="TB71" s="123">
        <f t="shared" si="737"/>
        <v>0</v>
      </c>
      <c r="TC71" s="123">
        <f t="shared" si="737"/>
        <v>0</v>
      </c>
      <c r="TD71" s="123">
        <f t="shared" si="737"/>
        <v>0</v>
      </c>
      <c r="TE71" s="13">
        <f t="shared" si="737"/>
        <v>-61717</v>
      </c>
      <c r="TG71" s="13">
        <f t="shared" ref="TG71:TM71" si="738">SUM(TG40:TG70)</f>
        <v>-61717</v>
      </c>
      <c r="TH71" s="123">
        <f t="shared" si="738"/>
        <v>3780</v>
      </c>
      <c r="TI71" s="123">
        <f t="shared" si="738"/>
        <v>0</v>
      </c>
      <c r="TJ71" s="123">
        <f t="shared" si="738"/>
        <v>0</v>
      </c>
      <c r="TK71" s="123">
        <f t="shared" si="738"/>
        <v>0</v>
      </c>
      <c r="TL71" s="123">
        <f t="shared" si="738"/>
        <v>0</v>
      </c>
      <c r="TM71" s="13">
        <f t="shared" si="738"/>
        <v>-65497</v>
      </c>
      <c r="TO71" s="13">
        <f t="shared" ref="TO71:TU71" si="739">SUM(TO40:TO70)</f>
        <v>-65497</v>
      </c>
      <c r="TP71" s="123">
        <f t="shared" si="739"/>
        <v>3780</v>
      </c>
      <c r="TQ71" s="123">
        <f t="shared" si="739"/>
        <v>0</v>
      </c>
      <c r="TR71" s="123">
        <f t="shared" si="739"/>
        <v>0</v>
      </c>
      <c r="TS71" s="123">
        <f t="shared" si="739"/>
        <v>0</v>
      </c>
      <c r="TT71" s="123">
        <f t="shared" si="739"/>
        <v>0</v>
      </c>
      <c r="TU71" s="13">
        <f t="shared" si="739"/>
        <v>-69277</v>
      </c>
      <c r="TW71" s="13">
        <f t="shared" ref="TW71:UC71" si="740">SUM(TW40:TW70)</f>
        <v>-69277</v>
      </c>
      <c r="TX71" s="123">
        <f t="shared" si="740"/>
        <v>3770</v>
      </c>
      <c r="TY71" s="123">
        <f t="shared" si="740"/>
        <v>0</v>
      </c>
      <c r="TZ71" s="123">
        <f t="shared" si="740"/>
        <v>0</v>
      </c>
      <c r="UA71" s="123">
        <f t="shared" si="740"/>
        <v>0</v>
      </c>
      <c r="UB71" s="123">
        <f t="shared" si="740"/>
        <v>0</v>
      </c>
      <c r="UC71" s="13">
        <f t="shared" si="740"/>
        <v>-73047</v>
      </c>
      <c r="UE71" s="13">
        <f t="shared" ref="UE71:UK71" si="741">SUM(UE40:UE70)</f>
        <v>-73047</v>
      </c>
      <c r="UF71" s="123">
        <f t="shared" si="741"/>
        <v>3770</v>
      </c>
      <c r="UG71" s="123">
        <f t="shared" si="741"/>
        <v>0</v>
      </c>
      <c r="UH71" s="123">
        <f t="shared" si="741"/>
        <v>0</v>
      </c>
      <c r="UI71" s="123">
        <f t="shared" si="741"/>
        <v>0</v>
      </c>
      <c r="UJ71" s="123">
        <f t="shared" si="741"/>
        <v>0</v>
      </c>
      <c r="UK71" s="13">
        <f t="shared" si="741"/>
        <v>-76817</v>
      </c>
      <c r="UM71" s="13">
        <f t="shared" ref="UM71:US71" si="742">SUM(UM40:UM70)</f>
        <v>-76817</v>
      </c>
      <c r="UN71" s="123">
        <f t="shared" si="742"/>
        <v>3520</v>
      </c>
      <c r="UO71" s="123">
        <f t="shared" si="742"/>
        <v>0</v>
      </c>
      <c r="UP71" s="123">
        <f t="shared" si="742"/>
        <v>0</v>
      </c>
      <c r="UQ71" s="123">
        <f t="shared" si="742"/>
        <v>0</v>
      </c>
      <c r="UR71" s="123">
        <f t="shared" si="742"/>
        <v>0</v>
      </c>
      <c r="US71" s="13">
        <f t="shared" si="742"/>
        <v>-80337</v>
      </c>
      <c r="UU71" s="13">
        <f t="shared" ref="UU71:VA71" si="743">SUM(UU40:UU70)</f>
        <v>-80337</v>
      </c>
      <c r="UV71" s="123">
        <f t="shared" si="743"/>
        <v>3960</v>
      </c>
      <c r="UW71" s="123">
        <f t="shared" si="743"/>
        <v>0</v>
      </c>
      <c r="UX71" s="123">
        <f t="shared" si="743"/>
        <v>0</v>
      </c>
      <c r="UY71" s="123">
        <f t="shared" si="743"/>
        <v>0</v>
      </c>
      <c r="UZ71" s="123">
        <f t="shared" si="743"/>
        <v>0</v>
      </c>
      <c r="VA71" s="13">
        <f t="shared" si="743"/>
        <v>-84297</v>
      </c>
      <c r="VC71" s="13">
        <f t="shared" ref="VC71:VI71" si="744">SUM(VC40:VC70)</f>
        <v>-84297</v>
      </c>
      <c r="VD71" s="123">
        <f t="shared" si="744"/>
        <v>3960</v>
      </c>
      <c r="VE71" s="123">
        <f t="shared" si="744"/>
        <v>0</v>
      </c>
      <c r="VF71" s="123">
        <f t="shared" si="744"/>
        <v>0</v>
      </c>
      <c r="VG71" s="123">
        <f t="shared" si="744"/>
        <v>0</v>
      </c>
      <c r="VH71" s="123">
        <f t="shared" si="744"/>
        <v>0</v>
      </c>
      <c r="VI71" s="13">
        <f t="shared" si="744"/>
        <v>-88257</v>
      </c>
      <c r="VK71" s="13">
        <f t="shared" ref="VK71:VQ71" si="745">SUM(VK40:VK70)</f>
        <v>-88257</v>
      </c>
      <c r="VL71" s="123">
        <f t="shared" si="745"/>
        <v>0</v>
      </c>
      <c r="VM71" s="123">
        <f t="shared" si="745"/>
        <v>0</v>
      </c>
      <c r="VN71" s="123">
        <f t="shared" si="745"/>
        <v>0</v>
      </c>
      <c r="VO71" s="123">
        <f t="shared" si="745"/>
        <v>0</v>
      </c>
      <c r="VP71" s="123">
        <f t="shared" si="745"/>
        <v>0</v>
      </c>
      <c r="VQ71" s="13">
        <f t="shared" si="745"/>
        <v>-88257</v>
      </c>
    </row>
    <row r="72" spans="1:589" x14ac:dyDescent="0.25">
      <c r="A72" s="10" t="s">
        <v>18</v>
      </c>
      <c r="B72" s="11" t="s">
        <v>20</v>
      </c>
      <c r="C72" s="87">
        <v>32272492</v>
      </c>
      <c r="D72" s="81">
        <v>4429348</v>
      </c>
      <c r="E72" s="11">
        <v>50</v>
      </c>
      <c r="F72" s="12"/>
      <c r="H72" s="122">
        <v>8200</v>
      </c>
      <c r="I72" s="125">
        <f>IFERROR(VLOOKUP($D72,'Adient Assende (Belgium) WK.17'!$B:C,J$1,0),0)</f>
        <v>1000</v>
      </c>
      <c r="J72" s="55">
        <f>IFERROR(VLOOKUP($D72,'Adient Arendal (Malzia) WK.12'!$B:C,J$1,0),0)</f>
        <v>0</v>
      </c>
      <c r="K72" s="55">
        <f>IFERROR(VLOOKUP($D72,'Adient Taizhou (China) WK.16'!$B:C,J$1,0),0)</f>
        <v>0</v>
      </c>
      <c r="L72" s="128">
        <v>800</v>
      </c>
      <c r="M72" s="30">
        <v>0</v>
      </c>
      <c r="N72" s="111">
        <f t="shared" si="233"/>
        <v>7400</v>
      </c>
      <c r="P72" s="37">
        <f t="shared" si="234"/>
        <v>7400</v>
      </c>
      <c r="Q72" s="125">
        <f>IFERROR(VLOOKUP($D72,'Adient Assende (Belgium) WK.17'!$B:K,R$1,0),0)</f>
        <v>800</v>
      </c>
      <c r="R72" s="55">
        <f>IFERROR(VLOOKUP($D72,'Adient Arendal (Malzia) WK.12'!$B:K,R$1,0),0)</f>
        <v>0</v>
      </c>
      <c r="S72" s="55">
        <f>IFERROR(VLOOKUP($D72,'Adient Taizhou (China) WK.16'!$B:K,R$1,0),0)</f>
        <v>0</v>
      </c>
      <c r="T72" s="41">
        <v>1400</v>
      </c>
      <c r="U72" s="30">
        <v>0</v>
      </c>
      <c r="V72" s="111">
        <f t="shared" si="235"/>
        <v>6000</v>
      </c>
      <c r="X72" s="37">
        <f t="shared" si="236"/>
        <v>6000</v>
      </c>
      <c r="Y72" s="125">
        <f>IFERROR(VLOOKUP($D72,'Adient Assende (Belgium) WK.17'!$B:S,Z$1,0),0)</f>
        <v>1400</v>
      </c>
      <c r="Z72" s="55">
        <f>IFERROR(VLOOKUP($D72,'Adient Arendal (Malzia) WK.12'!$B:S,Z$1,0),0)</f>
        <v>0</v>
      </c>
      <c r="AA72" s="55">
        <f>IFERROR(VLOOKUP($D72,'Adient Taizhou (China) WK.16'!$B:S,Z$1,0),0)</f>
        <v>0</v>
      </c>
      <c r="AB72" s="41">
        <v>1200</v>
      </c>
      <c r="AC72" s="30">
        <v>0</v>
      </c>
      <c r="AD72" s="111">
        <f t="shared" si="237"/>
        <v>4800</v>
      </c>
      <c r="AF72" s="37">
        <f t="shared" si="238"/>
        <v>4800</v>
      </c>
      <c r="AG72" s="125">
        <f>IFERROR(VLOOKUP($D72,'Adient Assende (Belgium) WK.17'!$B:AA,AH$1,0),0)</f>
        <v>1200</v>
      </c>
      <c r="AH72" s="55">
        <f>IFERROR(VLOOKUP($D72,'Adient Arendal (Malzia) WK.12'!$B:AA,AH$1,0),0)</f>
        <v>0</v>
      </c>
      <c r="AI72" s="55">
        <f>IFERROR(VLOOKUP($D72,'Adient Taizhou (China) WK.16'!$B:AA,AH$1,0),0)</f>
        <v>0</v>
      </c>
      <c r="AJ72" s="41">
        <v>1000</v>
      </c>
      <c r="AK72" s="30">
        <v>0</v>
      </c>
      <c r="AL72" s="111">
        <f t="shared" si="239"/>
        <v>3800</v>
      </c>
      <c r="AN72" s="37">
        <f t="shared" ref="AN72:AN77" si="746">AL72</f>
        <v>3800</v>
      </c>
      <c r="AO72" s="125">
        <f>IFERROR(VLOOKUP($D72,'Adient Assende (Belgium) WK.17'!$B:AI,AP$1,0),0)</f>
        <v>1000</v>
      </c>
      <c r="AP72" s="55">
        <f>IFERROR(VLOOKUP($D72,'Adient Arendal (Malzia) WK.12'!$B:AI,AP$1,0),0)</f>
        <v>0</v>
      </c>
      <c r="AQ72" s="55">
        <f>IFERROR(VLOOKUP($D72,'Adient Taizhou (China) WK.16'!$B:AI,AP$1,0),0)</f>
        <v>0</v>
      </c>
      <c r="AR72" s="60">
        <v>0</v>
      </c>
      <c r="AS72" s="41">
        <v>1200</v>
      </c>
      <c r="AT72" s="30">
        <v>0</v>
      </c>
      <c r="AU72" s="111">
        <f t="shared" si="240"/>
        <v>2600</v>
      </c>
      <c r="AW72" s="37">
        <f t="shared" ref="AW72:AW77" si="747">AU72</f>
        <v>2600</v>
      </c>
      <c r="AX72" s="125">
        <f>IFERROR(VLOOKUP($D72,'Adient Assende (Belgium) WK.17'!$B:AR,AY$1,0),0)</f>
        <v>1200</v>
      </c>
      <c r="AY72" s="55">
        <f>IFERROR(VLOOKUP($D72,'Adient Arendal (Malzia) WK.12'!$B:AR,AY$1,0),0)</f>
        <v>0</v>
      </c>
      <c r="AZ72" s="55">
        <f>IFERROR(VLOOKUP($D72,'Adient Taizhou (China) WK.16'!$B:AU,AY$1,0),0)</f>
        <v>0</v>
      </c>
      <c r="BA72" s="41">
        <v>1200</v>
      </c>
      <c r="BB72" s="30">
        <v>0</v>
      </c>
      <c r="BC72" s="111">
        <f t="shared" si="241"/>
        <v>1400</v>
      </c>
      <c r="BE72" s="37">
        <f t="shared" ref="BE72:BE77" si="748">BC72</f>
        <v>1400</v>
      </c>
      <c r="BF72" s="125">
        <f>IFERROR(VLOOKUP($D72,'Adient Assende (Belgium) WK.17'!$B:AX,BG$1,0),0)</f>
        <v>1200</v>
      </c>
      <c r="BG72" s="55">
        <f>IFERROR(VLOOKUP($D72,'Adient Arendal (Malzia) WK.12'!$B:AZ,BG$1,0),0)</f>
        <v>0</v>
      </c>
      <c r="BH72" s="55">
        <f>IFERROR(VLOOKUP($D72,'Adient Taizhou (China) WK.16'!$B:BB,BG$1,0),0)</f>
        <v>0</v>
      </c>
      <c r="BI72" s="60">
        <v>900</v>
      </c>
      <c r="BJ72" s="60">
        <v>0</v>
      </c>
      <c r="BK72" s="41">
        <v>1000</v>
      </c>
      <c r="BL72" s="30">
        <v>0</v>
      </c>
      <c r="BM72" s="111">
        <f t="shared" si="242"/>
        <v>1300</v>
      </c>
      <c r="BN72" s="8"/>
      <c r="BO72" s="37">
        <f t="shared" ref="BO72:BO77" si="749">BM72</f>
        <v>1300</v>
      </c>
      <c r="BP72" s="125">
        <f>IFERROR(VLOOKUP($D72,'Adient Assende (Belgium) WK.17'!$B:BH,BQ$1,0),0)</f>
        <v>1000</v>
      </c>
      <c r="BQ72" s="55">
        <f>IFERROR(VLOOKUP($D72,'Adient Arendal (Malzia) WK.12'!$B:BI,BQ$1,0),0)</f>
        <v>0</v>
      </c>
      <c r="BR72" s="55">
        <f>IFERROR(VLOOKUP($D72,'Adient Taizhou (China) WK.16'!$B:BL,BQ$1,0),0)</f>
        <v>0</v>
      </c>
      <c r="BS72" s="60">
        <v>900</v>
      </c>
      <c r="BT72" s="60">
        <v>900</v>
      </c>
      <c r="BU72" s="60">
        <v>150</v>
      </c>
      <c r="BV72" s="41">
        <v>1200</v>
      </c>
      <c r="BW72" s="30">
        <v>0</v>
      </c>
      <c r="BX72" s="111">
        <f t="shared" si="243"/>
        <v>2050</v>
      </c>
      <c r="BY72" s="8"/>
      <c r="BZ72" s="37">
        <f t="shared" ref="BZ72:BZ77" si="750">BX72</f>
        <v>2050</v>
      </c>
      <c r="CA72" s="125">
        <f>IFERROR(VLOOKUP($D72,'Adient Assende (Belgium) WK.17'!$B:BS,CB$1,0),0)</f>
        <v>1200</v>
      </c>
      <c r="CB72" s="55">
        <f>IFERROR(VLOOKUP($D72,'Adient Arendal (Malzia) WK.12'!$B:BT,CB$1,0),0)</f>
        <v>0</v>
      </c>
      <c r="CC72" s="55">
        <f>IFERROR(VLOOKUP($D72,'Adient Taizhou (China) WK.16'!$B:BW,CB$1,0),0)</f>
        <v>0</v>
      </c>
      <c r="CD72" s="60">
        <v>0</v>
      </c>
      <c r="CE72" s="60">
        <v>0</v>
      </c>
      <c r="CF72" s="41">
        <v>1800</v>
      </c>
      <c r="CG72" s="30">
        <v>0</v>
      </c>
      <c r="CH72" s="111">
        <f t="shared" si="244"/>
        <v>250</v>
      </c>
      <c r="CI72" s="8"/>
      <c r="CJ72" s="37">
        <f t="shared" ref="CJ72:CJ77" si="751">CH72</f>
        <v>250</v>
      </c>
      <c r="CK72" s="125">
        <f>IFERROR(VLOOKUP($D72,'Adient Assende (Belgium) WK.17'!$B:CC,CL$1,0),0)</f>
        <v>1800</v>
      </c>
      <c r="CL72" s="55">
        <f>IFERROR(VLOOKUP($D72,'Adient Arendal (Malzia) WK.12'!$B:CD,CL$1,0),0)</f>
        <v>0</v>
      </c>
      <c r="CM72" s="55">
        <f>IFERROR(VLOOKUP($D72,'Adient Taizhou (China) WK.16'!$B:CG,CL$1,0),0)</f>
        <v>0</v>
      </c>
      <c r="CN72" s="60">
        <v>2600</v>
      </c>
      <c r="CO72" s="149">
        <v>0</v>
      </c>
      <c r="CP72" s="30">
        <v>0</v>
      </c>
      <c r="CQ72" s="111">
        <f t="shared" si="245"/>
        <v>2850</v>
      </c>
      <c r="CR72" s="8"/>
      <c r="CS72" s="122">
        <f t="shared" ref="CS72:CS77" si="752">CQ72</f>
        <v>2850</v>
      </c>
      <c r="CT72" s="154">
        <f>IFERROR(VLOOKUP($D72,'Adient Assende (Belgium) WK.17'!$B:CL,CU$1,0),0)</f>
        <v>0</v>
      </c>
      <c r="CU72" s="55">
        <f>IFERROR(VLOOKUP($D72,'Adient Arendal (Malzia) WK.12'!$B:CM,CU$1,0),0)</f>
        <v>0</v>
      </c>
      <c r="CV72" s="55">
        <f>IFERROR(VLOOKUP($D72,'Adient Taizhou (China) WK.16'!$B:CP,CU$1,0),0)</f>
        <v>0</v>
      </c>
      <c r="CW72" s="60">
        <v>0</v>
      </c>
      <c r="CX72" s="60">
        <v>2050</v>
      </c>
      <c r="CY72" s="128">
        <v>1200</v>
      </c>
      <c r="CZ72" s="30">
        <v>0</v>
      </c>
      <c r="DA72" s="111">
        <f t="shared" si="246"/>
        <v>3700</v>
      </c>
      <c r="DB72" s="8"/>
      <c r="DC72" s="37">
        <f t="shared" ref="DC72:DC77" si="753">DA72</f>
        <v>3700</v>
      </c>
      <c r="DD72" s="125">
        <f>IFERROR(VLOOKUP($D72,'Adient Assende (Belgium) WK.17'!$B:CS,DE$1,0),0)</f>
        <v>1200</v>
      </c>
      <c r="DE72" s="55">
        <f>IFERROR(VLOOKUP($D72,'Adient Arendal (Malzia) WK.12'!$B:CU,DE$1,0),0)</f>
        <v>0</v>
      </c>
      <c r="DF72" s="55">
        <f>IFERROR(VLOOKUP($D72,'Adient Taizhou (China) WK.16'!$B:CX,DE$1,0),0)</f>
        <v>0</v>
      </c>
      <c r="DG72" s="60">
        <v>1450</v>
      </c>
      <c r="DH72" s="128">
        <v>1000</v>
      </c>
      <c r="DI72" s="30">
        <v>0</v>
      </c>
      <c r="DJ72" s="111">
        <f t="shared" si="247"/>
        <v>4150</v>
      </c>
      <c r="DL72" s="37">
        <f t="shared" ref="DL72:DL77" si="754">DJ72</f>
        <v>4150</v>
      </c>
      <c r="DM72" s="125">
        <f>IFERROR(VLOOKUP($D72,'Adient Assende (Belgium) WK.17'!$B:DB,DN$1,0),0)</f>
        <v>1000</v>
      </c>
      <c r="DN72" s="55">
        <f>IFERROR(VLOOKUP($D72,'Adient Arendal (Malzia) WK.12'!$B:DC,DN$1,0),0)</f>
        <v>0</v>
      </c>
      <c r="DO72" s="55">
        <f>IFERROR(VLOOKUP($D72,'Adient Taizhou (China) WK.16'!$B:DF,DN$1,0),0)</f>
        <v>0</v>
      </c>
      <c r="DP72" s="128">
        <v>1000</v>
      </c>
      <c r="DQ72" s="30">
        <v>0</v>
      </c>
      <c r="DR72" s="111">
        <f t="shared" ref="DR72:DR77" si="755">((DL72-(DN72+DO72+DP72)+DQ72))</f>
        <v>3150</v>
      </c>
      <c r="DS72" s="8"/>
      <c r="DT72" s="37">
        <f t="shared" ref="DT72:DT77" si="756">DR72</f>
        <v>3150</v>
      </c>
      <c r="DU72" s="125">
        <f>IFERROR(VLOOKUP($D72,'Adient Assende (Belgium) WK.17'!$B:DJ,DV$1,0),0)</f>
        <v>1000</v>
      </c>
      <c r="DV72" s="55">
        <f>IFERROR(VLOOKUP($D72,'Adient Arendal (Malzia) WK.12'!$B:DK,DV$1,0),0)</f>
        <v>0</v>
      </c>
      <c r="DW72" s="55">
        <f>IFERROR(VLOOKUP($D72,'Adient Taizhou (China) WK.16'!$B:DN,DV$1,0),0)</f>
        <v>0</v>
      </c>
      <c r="DX72" s="60">
        <v>2250</v>
      </c>
      <c r="DY72" s="60">
        <v>1450</v>
      </c>
      <c r="DZ72" s="128">
        <v>1400</v>
      </c>
      <c r="EA72" s="30">
        <v>0</v>
      </c>
      <c r="EB72" s="111">
        <f t="shared" si="248"/>
        <v>5450</v>
      </c>
      <c r="EC72" s="8"/>
      <c r="ED72" s="37">
        <f t="shared" ref="ED72:ED77" si="757">EB72</f>
        <v>5450</v>
      </c>
      <c r="EE72" s="125">
        <f>IFERROR(VLOOKUP($D72,'Adient Assende (Belgium) WK.17'!$B:DR,EF$1,0),0)</f>
        <v>1400</v>
      </c>
      <c r="EF72" s="55">
        <f>IFERROR(VLOOKUP($D72,'Adient Arendal (Malzia) WK.12'!$B:DS,EF$1,0),0)</f>
        <v>0</v>
      </c>
      <c r="EG72" s="55">
        <f>IFERROR(VLOOKUP($D72,'Adient Taizhou (China) WK.16'!$B:DV,EF$1,0),0)</f>
        <v>0</v>
      </c>
      <c r="EH72" s="60">
        <v>1000</v>
      </c>
      <c r="EI72" s="128">
        <v>1400</v>
      </c>
      <c r="EJ72" s="30">
        <v>0</v>
      </c>
      <c r="EK72" s="111">
        <f t="shared" si="249"/>
        <v>5050</v>
      </c>
      <c r="EM72" s="37">
        <f t="shared" ref="EM72:EM77" si="758">EK72</f>
        <v>5050</v>
      </c>
      <c r="EN72" s="125">
        <f>IFERROR(VLOOKUP($D72,'Adient Assende (Belgium) WK.17'!$B:DZ,EO$1,0),0)</f>
        <v>1400</v>
      </c>
      <c r="EO72" s="55">
        <f>IFERROR(VLOOKUP($D72,'Adient Arendal (Malzia) WK.12'!$B:EA,EO$1,0),0)</f>
        <v>0</v>
      </c>
      <c r="EP72" s="55">
        <f>IFERROR(VLOOKUP($D72,'Adient Taizhou (China) WK.16'!$B:ED,EO$1,0),0)</f>
        <v>0</v>
      </c>
      <c r="EQ72" s="128">
        <v>1400</v>
      </c>
      <c r="ER72" s="30">
        <v>0</v>
      </c>
      <c r="ES72" s="111">
        <f t="shared" si="250"/>
        <v>3650</v>
      </c>
      <c r="EU72" s="37">
        <f t="shared" ref="EU72:EU77" si="759">ES72</f>
        <v>3650</v>
      </c>
      <c r="EV72" s="125">
        <f>IFERROR(VLOOKUP($D72,'Adient Assende (Belgium) WK.17'!$B:EH,EW$1,0),0)</f>
        <v>1400</v>
      </c>
      <c r="EW72" s="55">
        <f>IFERROR(VLOOKUP($D72,'Adient Arendal (Malzia) WK.12'!$B:EI,EW$1,0),0)</f>
        <v>0</v>
      </c>
      <c r="EX72" s="55">
        <f>IFERROR(VLOOKUP($D72,'Adient Taizhou (China) WK.16'!$B:EL,EW$1,0),0)</f>
        <v>0</v>
      </c>
      <c r="EY72" s="128">
        <v>0</v>
      </c>
      <c r="EZ72" s="30">
        <v>0</v>
      </c>
      <c r="FA72" s="111">
        <f t="shared" si="251"/>
        <v>3650</v>
      </c>
      <c r="FC72" s="37">
        <f t="shared" ref="FC72:FC77" si="760">FA72</f>
        <v>3650</v>
      </c>
      <c r="FD72" s="154">
        <f>IFERROR(VLOOKUP($D72,'Adient Assende (Belgium) WK.17'!$B:EP,FE$1,0),0)</f>
        <v>0</v>
      </c>
      <c r="FE72" s="154">
        <f>IFERROR(VLOOKUP($D72,'Adient Arendal (Malzia) WK.12'!$B:EQ,FE$1,0),0)</f>
        <v>0</v>
      </c>
      <c r="FF72" s="154">
        <f>IFERROR(VLOOKUP($D72,'Adient Taizhou (China) WK.16'!$B:ET,FE$1,0),0)</f>
        <v>0</v>
      </c>
      <c r="FG72" s="128">
        <v>0</v>
      </c>
      <c r="FH72" s="30">
        <v>0</v>
      </c>
      <c r="FI72" s="111">
        <f t="shared" si="252"/>
        <v>3650</v>
      </c>
      <c r="FK72" s="37">
        <f t="shared" ref="FK72:FK77" si="761">FI72</f>
        <v>3650</v>
      </c>
      <c r="FL72" s="125">
        <f>IFERROR(VLOOKUP($D72,'Adient Assende (Belgium) WK.17'!$B:EX,FM$1,0),0)</f>
        <v>0</v>
      </c>
      <c r="FM72" s="55">
        <f>IFERROR(VLOOKUP($D72,'Adient Arendal (Malzia) WK.12'!$B:EY,FM$1,0),0)</f>
        <v>0</v>
      </c>
      <c r="FN72" s="55">
        <f>IFERROR(VLOOKUP($D72,'Adient Taizhou (China) WK.16'!$B:FB,FM$1,0),0)</f>
        <v>0</v>
      </c>
      <c r="FO72" s="128">
        <v>1400</v>
      </c>
      <c r="FP72" s="30">
        <v>0</v>
      </c>
      <c r="FQ72" s="111">
        <f t="shared" si="253"/>
        <v>2250</v>
      </c>
      <c r="FR72" s="8"/>
      <c r="FS72" s="37">
        <f t="shared" ref="FS72:FS77" si="762">FQ72</f>
        <v>2250</v>
      </c>
      <c r="FT72" s="125">
        <f>IFERROR(VLOOKUP($D72,'Adient Assende (Belgium) WK.17'!$B:FF,FU$1,0),0)</f>
        <v>1400</v>
      </c>
      <c r="FU72" s="55">
        <f>IFERROR(VLOOKUP($D72,'Adient Arendal (Malzia) WK.12'!$B:FG,FU$1,0),0)</f>
        <v>0</v>
      </c>
      <c r="FV72" s="55">
        <f>IFERROR(VLOOKUP($D72,'Adient Taizhou (China) WK.16'!$B:FJ,FU$1,0),0)</f>
        <v>0</v>
      </c>
      <c r="FW72" s="60">
        <v>2500</v>
      </c>
      <c r="FX72" s="60">
        <v>300</v>
      </c>
      <c r="FY72" s="60">
        <v>1550</v>
      </c>
      <c r="FZ72" s="60">
        <v>1400</v>
      </c>
      <c r="GA72" s="60">
        <v>300</v>
      </c>
      <c r="GB72" s="128">
        <v>1400</v>
      </c>
      <c r="GC72" s="30">
        <v>0</v>
      </c>
      <c r="GD72" s="111">
        <f t="shared" si="254"/>
        <v>6900</v>
      </c>
      <c r="GF72" s="37">
        <f t="shared" ref="GF72:GF77" si="763">GD72</f>
        <v>6900</v>
      </c>
      <c r="GG72" s="125">
        <f>IFERROR(VLOOKUP($D72,'Adient Assende (Belgium) WK.17'!$B:FN,GH$1,0),0)</f>
        <v>1400</v>
      </c>
      <c r="GH72" s="55">
        <f>IFERROR(VLOOKUP($D72,'Adient Arendal (Malzia) WK.12'!$B:FO,GH$1,0),0)</f>
        <v>0</v>
      </c>
      <c r="GI72" s="55">
        <f>IFERROR(VLOOKUP($D72,'Adient Taizhou (China) WK.16'!$B:FR,GH$1,0),0)</f>
        <v>0</v>
      </c>
      <c r="GJ72" s="60">
        <v>3650</v>
      </c>
      <c r="GK72" s="128">
        <v>1200</v>
      </c>
      <c r="GL72" s="30">
        <v>0</v>
      </c>
      <c r="GM72" s="111">
        <f t="shared" si="255"/>
        <v>9350</v>
      </c>
      <c r="GO72" s="37">
        <f t="shared" ref="GO72:GO77" si="764">GM72</f>
        <v>9350</v>
      </c>
      <c r="GP72" s="125">
        <f>IFERROR(VLOOKUP($D72,'Adient Assende (Belgium) WK.17'!$B:FV,GQ$1,0),0)</f>
        <v>1200</v>
      </c>
      <c r="GQ72" s="55">
        <f>IFERROR(VLOOKUP($D72,'Adient Arendal (Malzia) WK.12'!$B:FW,GQ$1,0),0)</f>
        <v>0</v>
      </c>
      <c r="GR72" s="55">
        <f>IFERROR(VLOOKUP($D72,'Adient Taizhou (China) WK.16'!$B:FZ,GQ$1,0),0)</f>
        <v>0</v>
      </c>
      <c r="GS72" s="60">
        <v>1950</v>
      </c>
      <c r="GT72" s="128">
        <v>1600</v>
      </c>
      <c r="GU72" s="30">
        <v>0</v>
      </c>
      <c r="GV72" s="111">
        <f t="shared" si="256"/>
        <v>9700</v>
      </c>
      <c r="GW72" s="8"/>
      <c r="GX72" s="37">
        <f t="shared" ref="GX72:GX77" si="765">GV72</f>
        <v>9700</v>
      </c>
      <c r="GY72" s="125">
        <f>IFERROR(VLOOKUP($D72,'Adient Assende (Belgium) WK.17'!$B:GD,GZ$1,0),0)</f>
        <v>1600</v>
      </c>
      <c r="GZ72" s="55">
        <f>IFERROR(VLOOKUP($D72,'Adient Arendal (Malzia) WK.12'!$B:GE,GZ$1,0),0)</f>
        <v>0</v>
      </c>
      <c r="HA72" s="55">
        <f>IFERROR(VLOOKUP($D72,'Adient Taizhou (China) WK.16'!$B:GH,GZ$1,0),0)</f>
        <v>0</v>
      </c>
      <c r="HB72" s="60">
        <v>850</v>
      </c>
      <c r="HC72" s="128">
        <v>1400</v>
      </c>
      <c r="HD72" s="30">
        <v>0</v>
      </c>
      <c r="HE72" s="111">
        <f t="shared" si="257"/>
        <v>9150</v>
      </c>
      <c r="HF72" s="8"/>
      <c r="HG72" s="37">
        <f t="shared" ref="HG72:HG77" si="766">HE72</f>
        <v>9150</v>
      </c>
      <c r="HH72" s="125">
        <f>IFERROR(VLOOKUP($D72,'Adient Assende (Belgium) WK.17'!$B:GL,HI$1,0),0)</f>
        <v>1400</v>
      </c>
      <c r="HI72" s="55">
        <f>IFERROR(VLOOKUP($D72,'Adient Arendal (Malzia) WK.12'!$B:GM,HI$1,0),0)</f>
        <v>0</v>
      </c>
      <c r="HJ72" s="55">
        <f>IFERROR(VLOOKUP($D72,'Adient Taizhou (China) WK.16'!$B:GP,HI$1,0),0)</f>
        <v>0</v>
      </c>
      <c r="HK72" s="60">
        <v>1550</v>
      </c>
      <c r="HL72" s="128">
        <v>1400</v>
      </c>
      <c r="HM72" s="30">
        <v>0</v>
      </c>
      <c r="HN72" s="111">
        <f t="shared" si="258"/>
        <v>9300</v>
      </c>
      <c r="HO72" s="8"/>
      <c r="HP72" s="37">
        <f t="shared" ref="HP72:HP77" si="767">HN72</f>
        <v>9300</v>
      </c>
      <c r="HQ72" s="125">
        <f>IFERROR(VLOOKUP($D72,'Adient Assende (Belgium) WK.17'!$B:GT,HR$1,0),0)</f>
        <v>1400</v>
      </c>
      <c r="HR72" s="55">
        <f>IFERROR(VLOOKUP($D72,'Adient Arendal (Malzia) WK.12'!$B:GU,HR$1,0),0)</f>
        <v>0</v>
      </c>
      <c r="HS72" s="55">
        <f>IFERROR(VLOOKUP($D72,'Adient Taizhou (China) WK.16'!$B:GX,HR$1,0),0)</f>
        <v>0</v>
      </c>
      <c r="HT72" s="60">
        <v>1950</v>
      </c>
      <c r="HU72" s="128">
        <v>1000</v>
      </c>
      <c r="HV72" s="30">
        <v>0</v>
      </c>
      <c r="HW72" s="111">
        <f t="shared" si="259"/>
        <v>10250</v>
      </c>
      <c r="HX72" s="8"/>
      <c r="HY72" s="37">
        <f t="shared" ref="HY72:HY77" si="768">HW72</f>
        <v>10250</v>
      </c>
      <c r="HZ72" s="125">
        <f>IFERROR(VLOOKUP($D72,'Adient Assende (Belgium) WK.17'!$B:HB,IA$1,0),0)</f>
        <v>1000</v>
      </c>
      <c r="IA72" s="55">
        <f>IFERROR(VLOOKUP($D72,'Adient Arendal (Malzia) WK.12'!$B:HC,IA$1,0),0)</f>
        <v>0</v>
      </c>
      <c r="IB72" s="55">
        <f>IFERROR(VLOOKUP($D72,'Adient Taizhou (China) WK.16'!$B:HF,IA$1,0),0)</f>
        <v>0</v>
      </c>
      <c r="IC72" s="60">
        <v>800</v>
      </c>
      <c r="ID72" s="128">
        <v>1400</v>
      </c>
      <c r="IE72" s="30">
        <v>0</v>
      </c>
      <c r="IF72" s="111">
        <f t="shared" si="260"/>
        <v>9650</v>
      </c>
      <c r="IG72" s="8"/>
      <c r="IH72" s="37">
        <f t="shared" ref="IH72:IH77" si="769">IF72</f>
        <v>9650</v>
      </c>
      <c r="II72" s="125">
        <f>IFERROR(VLOOKUP($D72,'Adient Assende (Belgium) WK.17'!$B:HJ,IJ$1,0),0)</f>
        <v>1400</v>
      </c>
      <c r="IJ72" s="55">
        <f>IFERROR(VLOOKUP($D72,'Adient Arendal (Malzia) WK.12'!$B:HK,IJ$1,0),0)</f>
        <v>0</v>
      </c>
      <c r="IK72" s="55">
        <f>IFERROR(VLOOKUP($D72,'Adient Taizhou (China) WK.16'!$B:HN,IJ$1,0),0)</f>
        <v>0</v>
      </c>
      <c r="IL72" s="128">
        <v>1400</v>
      </c>
      <c r="IM72" s="30">
        <v>0</v>
      </c>
      <c r="IN72" s="111">
        <f t="shared" ref="IN72:IN77" si="770">((IH72-(IJ72+IK72+IL72)+IM72))</f>
        <v>8250</v>
      </c>
      <c r="IO72" s="8"/>
      <c r="IP72" s="37">
        <f t="shared" ref="IP72:IP77" si="771">IN72</f>
        <v>8250</v>
      </c>
      <c r="IQ72" s="125">
        <f>IFERROR(VLOOKUP($D72,'Adient Assende (Belgium) WK.17'!$B:HR,IR$1,0),0)</f>
        <v>1400</v>
      </c>
      <c r="IR72" s="55">
        <f>IFERROR(VLOOKUP($D72,'Adient Arendal (Malzia) WK.12'!$B:HS,IR$1,0),0)</f>
        <v>0</v>
      </c>
      <c r="IS72" s="55">
        <f>IFERROR(VLOOKUP($D72,'Adient Taizhou (China) WK.16'!$B:HV,IR$1,0),0)</f>
        <v>0</v>
      </c>
      <c r="IT72" s="60">
        <v>300</v>
      </c>
      <c r="IU72" s="128">
        <v>1400</v>
      </c>
      <c r="IV72" s="30">
        <v>0</v>
      </c>
      <c r="IW72" s="111">
        <f t="shared" si="261"/>
        <v>7150</v>
      </c>
      <c r="IX72" s="8"/>
      <c r="IY72" s="37">
        <f t="shared" ref="IY72:IY77" si="772">IW72</f>
        <v>7150</v>
      </c>
      <c r="IZ72" s="125">
        <f>IFERROR(VLOOKUP($D72,'Adient Assende (Belgium) WK.17'!$B:HZ,JA$1,0),0)</f>
        <v>1400</v>
      </c>
      <c r="JA72" s="55">
        <f>IFERROR(VLOOKUP($D72,'Adient Arendal (Malzia) WK.12'!$B:IA,JA$1,0),0)</f>
        <v>0</v>
      </c>
      <c r="JB72" s="55">
        <f>IFERROR(VLOOKUP($D72,'Adient Taizhou (China) WK.16'!$B:ID,JA$1,0),0)</f>
        <v>0</v>
      </c>
      <c r="JC72" s="128">
        <v>800</v>
      </c>
      <c r="JD72" s="30">
        <v>0</v>
      </c>
      <c r="JE72" s="111">
        <f t="shared" ref="JE72:JE77" si="773">((IY72-(JA72+JB72+JC72)+JD72))</f>
        <v>6350</v>
      </c>
      <c r="JF72" s="8"/>
      <c r="JG72" s="37">
        <f t="shared" ref="JG72:JG77" si="774">JE72</f>
        <v>6350</v>
      </c>
      <c r="JH72" s="125">
        <f>IFERROR(VLOOKUP($D72,'Adient Assende (Belgium) WK.17'!$B:IH,JI$1,0),0)</f>
        <v>800</v>
      </c>
      <c r="JI72" s="55">
        <f>IFERROR(VLOOKUP($D72,'Adient Arendal (Malzia) WK.12'!$B:II,JI$1,0),0)</f>
        <v>0</v>
      </c>
      <c r="JJ72" s="55">
        <f>IFERROR(VLOOKUP($D72,'Adient Taizhou (China) WK.16'!$B:IL,JI$1,0),0)</f>
        <v>0</v>
      </c>
      <c r="JK72" s="60">
        <v>1500</v>
      </c>
      <c r="JL72" s="128">
        <v>2400</v>
      </c>
      <c r="JM72" s="30">
        <v>0</v>
      </c>
      <c r="JN72" s="111">
        <f t="shared" si="262"/>
        <v>5450</v>
      </c>
      <c r="JO72" s="8"/>
      <c r="JP72" s="37">
        <f t="shared" ref="JP72:JP77" si="775">JN72</f>
        <v>5450</v>
      </c>
      <c r="JQ72" s="125">
        <f>IFERROR(VLOOKUP($D72,'Adient Assende (Belgium) WK.17'!$B:IP,JR$1,0),0)</f>
        <v>2400</v>
      </c>
      <c r="JR72" s="55">
        <f>IFERROR(VLOOKUP($D72,'Adient Arendal (Malzia) WK.12'!$B:IQ,JR$1,0),0)</f>
        <v>0</v>
      </c>
      <c r="JS72" s="55">
        <f>IFERROR(VLOOKUP($D72,'Adient Taizhou (China) WK.16'!$B:IT,JR$1,0),0)</f>
        <v>0</v>
      </c>
      <c r="JT72" s="128">
        <v>0</v>
      </c>
      <c r="JU72" s="30">
        <v>0</v>
      </c>
      <c r="JV72" s="111">
        <f t="shared" ref="JV72:JV77" si="776">((JP72-(JR72+JS72+JT72)+JU72))</f>
        <v>5450</v>
      </c>
      <c r="JW72" s="8"/>
      <c r="JX72" s="37">
        <f t="shared" ref="JX72:JX77" si="777">JV72</f>
        <v>5450</v>
      </c>
      <c r="JY72" s="154">
        <f>IFERROR(VLOOKUP($D72,'Adient Assende (Belgium) WK.17'!$B:IX,JZ$1,0),0)</f>
        <v>0</v>
      </c>
      <c r="JZ72" s="55">
        <f>IFERROR(VLOOKUP($D72,'Adient Arendal (Malzia) WK.12'!$B:IY,JZ$1,0),0)</f>
        <v>0</v>
      </c>
      <c r="KA72" s="55">
        <f>IFERROR(VLOOKUP($D72,'Adient Taizhou (China) WK.16'!$B:JB,JZ$1,0),0)</f>
        <v>0</v>
      </c>
      <c r="KB72" s="128">
        <v>1200</v>
      </c>
      <c r="KC72" s="30">
        <v>0</v>
      </c>
      <c r="KD72" s="111">
        <f t="shared" si="263"/>
        <v>4250</v>
      </c>
      <c r="KE72" s="8"/>
      <c r="KF72" s="37">
        <f t="shared" ref="KF72:KF77" si="778">KD72</f>
        <v>4250</v>
      </c>
      <c r="KG72" s="125">
        <f>IFERROR(VLOOKUP($D72,'Adient Assende (Belgium) WK.17'!$B:JF,KH$1,0),0)</f>
        <v>1200</v>
      </c>
      <c r="KH72" s="55">
        <f>IFERROR(VLOOKUP($D72,'Adient Arendal (Malzia) WK.12'!$B:JG,KH$1,0),0)</f>
        <v>0</v>
      </c>
      <c r="KI72" s="55">
        <f>IFERROR(VLOOKUP($D72,'Adient Taizhou (China) WK.16'!$B:JJ,KH$1,0),0)</f>
        <v>0</v>
      </c>
      <c r="KJ72" s="60">
        <v>1400</v>
      </c>
      <c r="KK72" s="128">
        <v>1200</v>
      </c>
      <c r="KL72" s="30">
        <v>0</v>
      </c>
      <c r="KM72" s="111">
        <f t="shared" si="264"/>
        <v>4450</v>
      </c>
      <c r="KN72" s="8"/>
      <c r="KO72" s="37">
        <f t="shared" ref="KO72:KO77" si="779">KM72</f>
        <v>4450</v>
      </c>
      <c r="KP72" s="141">
        <f>IFERROR(VLOOKUP($D72,'Adient Assende (Belgium) WK.17'!$B:JN,KQ$1,0),0)</f>
        <v>1200</v>
      </c>
      <c r="KQ72" s="140">
        <f>IFERROR(VLOOKUP($D72,'Adient Arendal (Malzia) WK.12'!$B:JO,KQ$1,0),0)</f>
        <v>0</v>
      </c>
      <c r="KR72" s="140">
        <f>IFERROR(VLOOKUP($D72,'Adient Taizhou (China) WK.16'!$B:JR,KQ$1,0),0)</f>
        <v>0</v>
      </c>
      <c r="KS72" s="60">
        <v>0</v>
      </c>
      <c r="KT72" s="128">
        <v>600</v>
      </c>
      <c r="KU72" s="30">
        <v>0</v>
      </c>
      <c r="KV72" s="111">
        <f t="shared" si="265"/>
        <v>3850</v>
      </c>
      <c r="KX72" s="37">
        <f t="shared" ref="KX72:KX77" si="780">KV72</f>
        <v>3850</v>
      </c>
      <c r="KY72" s="141">
        <f>IFERROR(VLOOKUP($D72,'Adient Assende (Belgium) WK.17'!$B:JV,KZ$1,0),0)</f>
        <v>600</v>
      </c>
      <c r="KZ72" s="140">
        <f>IFERROR(VLOOKUP($D72,'Adient Arendal (Malzia) WK.12'!$B:JW,KZ$1,0),0)</f>
        <v>0</v>
      </c>
      <c r="LA72" s="140">
        <f>IFERROR(VLOOKUP($D72,'Adient Taizhou (China) WK.16'!$B:JZ,KZ$1,0),0)</f>
        <v>0</v>
      </c>
      <c r="LB72" s="128">
        <v>0</v>
      </c>
      <c r="LC72" s="30">
        <v>0</v>
      </c>
      <c r="LD72" s="111">
        <f t="shared" ref="LD72:LD77" si="781">((KX72-(KZ72+LA72+LB72)+LC72))</f>
        <v>3850</v>
      </c>
      <c r="LF72" s="37">
        <f t="shared" ref="LF72:LF77" si="782">LD72</f>
        <v>3850</v>
      </c>
      <c r="LG72" s="141">
        <f>IFERROR(VLOOKUP($D72,'Adient Assende (Belgium) WK.17'!$B:KD,LH$1,0),0)</f>
        <v>1200</v>
      </c>
      <c r="LH72" s="140">
        <f>IFERROR(VLOOKUP($D72,'Adient Arendal (Malzia) WK.12'!$B:KE,LH$1,0),0)</f>
        <v>0</v>
      </c>
      <c r="LI72" s="140">
        <f>IFERROR(VLOOKUP($D72,'Adient Taizhou (China) WK.16'!$B:KH,LH$1,0),0)</f>
        <v>0</v>
      </c>
      <c r="LJ72" s="60">
        <v>2700</v>
      </c>
      <c r="LK72" s="128">
        <v>0</v>
      </c>
      <c r="LL72" s="30">
        <v>0</v>
      </c>
      <c r="LM72" s="100">
        <f t="shared" si="267"/>
        <v>5350</v>
      </c>
      <c r="LO72" s="37">
        <f t="shared" ref="LO72:LO77" si="783">LM72</f>
        <v>5350</v>
      </c>
      <c r="LP72" s="141">
        <f>IFERROR(VLOOKUP($D72,'Adient Assende (Belgium) WK.17'!$B:KL,LQ$1,0),0)</f>
        <v>600</v>
      </c>
      <c r="LQ72" s="140">
        <f>IFERROR(VLOOKUP($D72,'Adient Arendal (Malzia) WK.12'!$B:KM,LQ$1,0),0)</f>
        <v>0</v>
      </c>
      <c r="LR72" s="140">
        <f>IFERROR(VLOOKUP($D72,'Adient Taizhou (China) WK.16'!$B:KP,LQ$1,0),0)</f>
        <v>0</v>
      </c>
      <c r="LS72" s="128">
        <v>0</v>
      </c>
      <c r="LT72" s="30">
        <v>0</v>
      </c>
      <c r="LU72" s="100">
        <f t="shared" ref="LU72:LU77" si="784">((LO72-(LP72+LQ72+LR72)+LT72))</f>
        <v>4750</v>
      </c>
      <c r="LW72" s="37">
        <f t="shared" ref="LW72:LW77" si="785">LU72</f>
        <v>4750</v>
      </c>
      <c r="LX72" s="141">
        <f>IFERROR(VLOOKUP($D72,'Adient Assende (Belgium) WK.17'!$B:KT,LY$1,0),0)</f>
        <v>2000</v>
      </c>
      <c r="LY72" s="140">
        <f>IFERROR(VLOOKUP($D72,'Adient Arendal (Malzia) WK.12'!$B:KU,LY$1,0),0)</f>
        <v>0</v>
      </c>
      <c r="LZ72" s="140">
        <f>IFERROR(VLOOKUP($D72,'Adient Taizhou (China) WK.16'!$B:KX,LY$1,0),0)</f>
        <v>0</v>
      </c>
      <c r="MA72" s="128">
        <v>0</v>
      </c>
      <c r="MB72" s="30">
        <v>0</v>
      </c>
      <c r="MC72" s="100">
        <f t="shared" ref="MC72:MC77" si="786">((LW72-(LX72+LY72+LZ72)+MB72))</f>
        <v>2750</v>
      </c>
      <c r="ME72" s="37">
        <f t="shared" ref="ME72:ME77" si="787">MC72</f>
        <v>2750</v>
      </c>
      <c r="MF72" s="154">
        <f>IFERROR(VLOOKUP($D72,'Adient Assende (Belgium) WK.17'!$B:LB,MG$1,0),0)</f>
        <v>0</v>
      </c>
      <c r="MG72" s="140">
        <f>IFERROR(VLOOKUP($D72,'Adient Arendal (Malzia) WK.12'!$B:LC,MG$1,0),0)</f>
        <v>0</v>
      </c>
      <c r="MH72" s="140">
        <f>IFERROR(VLOOKUP($D72,'Adient Taizhou (China) WK.16'!$B:LF,MG$1,0),0)</f>
        <v>0</v>
      </c>
      <c r="MI72" s="128">
        <v>0</v>
      </c>
      <c r="MJ72" s="30">
        <v>0</v>
      </c>
      <c r="MK72" s="100">
        <f t="shared" ref="MK72:MK77" si="788">((ME72-(MF72+MG72+MH72)+MJ72))</f>
        <v>2750</v>
      </c>
      <c r="MM72" s="37">
        <f t="shared" ref="MM72:MM77" si="789">MK72</f>
        <v>2750</v>
      </c>
      <c r="MN72" s="141">
        <f>IFERROR(VLOOKUP($D72,'Adient Assende (Belgium) WK.17'!$B:LJ,MO$1,0),0)</f>
        <v>1600</v>
      </c>
      <c r="MO72" s="140">
        <f>IFERROR(VLOOKUP($D72,'Adient Arendal (Malzia) WK.12'!$B:LK,MO$1,0),0)</f>
        <v>0</v>
      </c>
      <c r="MP72" s="140">
        <f>IFERROR(VLOOKUP($D72,'Adient Taizhou (China) WK.16'!$B:LN,MO$1,0),0)</f>
        <v>0</v>
      </c>
      <c r="MQ72" s="128">
        <v>0</v>
      </c>
      <c r="MR72" s="30">
        <v>0</v>
      </c>
      <c r="MS72" s="100">
        <f t="shared" ref="MS72:MS77" si="790">((MM72-(MN72+MO72+MP72)+MR72))</f>
        <v>1150</v>
      </c>
      <c r="MU72" s="37">
        <f t="shared" ref="MU72:MU77" si="791">MS72</f>
        <v>1150</v>
      </c>
      <c r="MV72" s="141">
        <f>IFERROR(VLOOKUP($D72,'Adient Assende (Belgium) WK.17'!$B:LR,MW$1,0),0)</f>
        <v>1400</v>
      </c>
      <c r="MW72" s="140">
        <f>IFERROR(VLOOKUP($D72,'Adient Arendal (Malzia) WK.12'!$B:LS,MW$1,0),0)</f>
        <v>0</v>
      </c>
      <c r="MX72" s="140">
        <f>IFERROR(VLOOKUP($D72,'Adient Taizhou (China) WK.16'!$B:LV,MW$1,0),0)</f>
        <v>0</v>
      </c>
      <c r="MY72" s="128">
        <v>0</v>
      </c>
      <c r="MZ72" s="30">
        <v>0</v>
      </c>
      <c r="NA72" s="100">
        <f t="shared" ref="NA72:NA77" si="792">((MU72-(MV72+MW72+MX72)+MZ72))</f>
        <v>-250</v>
      </c>
      <c r="NC72" s="37">
        <f t="shared" ref="NC72:NC77" si="793">NA72</f>
        <v>-250</v>
      </c>
      <c r="ND72" s="141">
        <f>IFERROR(VLOOKUP($D72,'Adient Assende (Belgium) WK.17'!$B:LZ,NE$1,0),0)</f>
        <v>1600</v>
      </c>
      <c r="NE72" s="140">
        <f>IFERROR(VLOOKUP($D72,'Adient Arendal (Malzia) WK.12'!$B:MA,NE$1,0),0)</f>
        <v>0</v>
      </c>
      <c r="NF72" s="140">
        <f>IFERROR(VLOOKUP($D72,'Adient Taizhou (China) WK.16'!$B:MD,NE$1,0),0)</f>
        <v>0</v>
      </c>
      <c r="NG72" s="128">
        <v>0</v>
      </c>
      <c r="NH72" s="30">
        <v>0</v>
      </c>
      <c r="NI72" s="100">
        <f t="shared" ref="NI72:NI77" si="794">((NC72-(ND72+NE72+NF72)+NH72))</f>
        <v>-1850</v>
      </c>
      <c r="NK72" s="37">
        <f t="shared" ref="NK72:NK77" si="795">NI72</f>
        <v>-1850</v>
      </c>
      <c r="NL72" s="141">
        <f>IFERROR(VLOOKUP($D72,'Adient Assende (Belgium) WK.17'!$B:MH,NM$1,0),0)</f>
        <v>1400</v>
      </c>
      <c r="NM72" s="140">
        <f>IFERROR(VLOOKUP($D72,'Adient Arendal (Malzia) WK.12'!$B:MI,NM$1,0),0)</f>
        <v>0</v>
      </c>
      <c r="NN72" s="140">
        <f>IFERROR(VLOOKUP($D72,'Adient Taizhou (China) WK.16'!$B:ML,NM$1,0),0)</f>
        <v>0</v>
      </c>
      <c r="NO72" s="128">
        <v>0</v>
      </c>
      <c r="NP72" s="30">
        <v>0</v>
      </c>
      <c r="NQ72" s="100">
        <f t="shared" ref="NQ72:NQ77" si="796">((NK72-(NL72+NM72+NN72)+NP72))</f>
        <v>-3250</v>
      </c>
      <c r="NS72" s="37">
        <f t="shared" ref="NS72:NS77" si="797">NQ72</f>
        <v>-3250</v>
      </c>
      <c r="NT72" s="141">
        <f>IFERROR(VLOOKUP($D72,'Adient Assende (Belgium) WK.17'!$B:MP,NU$1,0),0)</f>
        <v>1400</v>
      </c>
      <c r="NU72" s="140">
        <f>IFERROR(VLOOKUP($D72,'Adient Arendal (Malzia) WK.12'!$B:MQ,NU$1,0),0)</f>
        <v>0</v>
      </c>
      <c r="NV72" s="140">
        <f>IFERROR(VLOOKUP($D72,'Adient Taizhou (China) WK.16'!$B:MT,NU$1,0),0)</f>
        <v>0</v>
      </c>
      <c r="NW72" s="128">
        <v>0</v>
      </c>
      <c r="NX72" s="30">
        <v>0</v>
      </c>
      <c r="NY72" s="100">
        <f t="shared" ref="NY72:NY77" si="798">((NS72-(NT72+NU72+NV72)+NX72))</f>
        <v>-4650</v>
      </c>
      <c r="OA72" s="37">
        <f t="shared" ref="OA72:OA77" si="799">NY72</f>
        <v>-4650</v>
      </c>
      <c r="OB72" s="141">
        <f>IFERROR(VLOOKUP($D72,'Adient Assende (Belgium) WK.17'!$B:MX,OC$1,0),0)</f>
        <v>1400</v>
      </c>
      <c r="OC72" s="140">
        <f>IFERROR(VLOOKUP($D72,'Adient Arendal (Malzia) WK.12'!$B:MY,OC$1,0),0)</f>
        <v>0</v>
      </c>
      <c r="OD72" s="140">
        <f>IFERROR(VLOOKUP($D72,'Adient Taizhou (China) WK.16'!$B:NB,OC$1,0),0)</f>
        <v>0</v>
      </c>
      <c r="OE72" s="128">
        <v>0</v>
      </c>
      <c r="OF72" s="30">
        <v>0</v>
      </c>
      <c r="OG72" s="100">
        <f t="shared" ref="OG72:OG77" si="800">((OA72-(OB72+OC72+OD72)+OF72))</f>
        <v>-6050</v>
      </c>
      <c r="OI72" s="37">
        <f t="shared" ref="OI72:OI77" si="801">OG72</f>
        <v>-6050</v>
      </c>
      <c r="OJ72" s="141">
        <f>IFERROR(VLOOKUP($D72,'Adient Assende (Belgium) WK.17'!$B:NF,OK$1,0),0)</f>
        <v>2200</v>
      </c>
      <c r="OK72" s="140">
        <f>IFERROR(VLOOKUP($D72,'Adient Arendal (Malzia) WK.12'!$B:NG,OK$1,0),0)</f>
        <v>0</v>
      </c>
      <c r="OL72" s="140">
        <f>IFERROR(VLOOKUP($D72,'Adient Taizhou (China) WK.16'!$B:NJ,OK$1,0),0)</f>
        <v>0</v>
      </c>
      <c r="OM72" s="128">
        <v>0</v>
      </c>
      <c r="ON72" s="30">
        <v>0</v>
      </c>
      <c r="OO72" s="100">
        <f t="shared" ref="OO72:OO77" si="802">((OI72-(OJ72+OK72+OL72)+ON72))</f>
        <v>-8250</v>
      </c>
      <c r="OQ72" s="37">
        <f t="shared" ref="OQ72:OQ77" si="803">OO72</f>
        <v>-8250</v>
      </c>
      <c r="OR72" s="141">
        <f>IFERROR(VLOOKUP($D72,'Adient Assende (Belgium) WK.17'!$B:NN,OS$1,0),0)</f>
        <v>0</v>
      </c>
      <c r="OS72" s="140">
        <f>IFERROR(VLOOKUP($D72,'Adient Arendal (Malzia) WK.12'!$B:NO,OS$1,0),0)</f>
        <v>0</v>
      </c>
      <c r="OT72" s="140">
        <f>IFERROR(VLOOKUP($D72,'Adient Taizhou (China) WK.16'!$B:NR,OS$1,0),0)</f>
        <v>0</v>
      </c>
      <c r="OU72" s="128">
        <v>0</v>
      </c>
      <c r="OV72" s="30">
        <v>0</v>
      </c>
      <c r="OW72" s="100">
        <f t="shared" ref="OW72:OW77" si="804">((OQ72-(OR72+OS72+OT72)+OV72))</f>
        <v>-8250</v>
      </c>
      <c r="OY72" s="37">
        <f t="shared" ref="OY72:OY77" si="805">OW72</f>
        <v>-8250</v>
      </c>
      <c r="OZ72" s="141">
        <f>IFERROR(VLOOKUP($D72,'Adient Assende (Belgium) WK.17'!$B:NV,PA$1,0),0)</f>
        <v>0</v>
      </c>
      <c r="PA72" s="140">
        <f>IFERROR(VLOOKUP($D72,'Adient Arendal (Malzia) WK.12'!$B:NW,PA$1,0),0)</f>
        <v>0</v>
      </c>
      <c r="PB72" s="140">
        <f>IFERROR(VLOOKUP($D72,'Adient Taizhou (China) WK.16'!$B:NZ,PA$1,0),0)</f>
        <v>0</v>
      </c>
      <c r="PC72" s="128">
        <v>0</v>
      </c>
      <c r="PD72" s="30">
        <v>0</v>
      </c>
      <c r="PE72" s="100">
        <f t="shared" ref="PE72:PE77" si="806">((OY72-(OZ72+PA72+PB72)+PD72))</f>
        <v>-8250</v>
      </c>
      <c r="PG72" s="37">
        <f t="shared" ref="PG72:PG77" si="807">PE72</f>
        <v>-8250</v>
      </c>
      <c r="PH72" s="141">
        <f>IFERROR(VLOOKUP($D72,'Adient Assende (Belgium) WK.17'!$B:OD,PI$1,0),0)</f>
        <v>0</v>
      </c>
      <c r="PI72" s="140">
        <f>IFERROR(VLOOKUP($D72,'Adient Arendal (Malzia) WK.12'!$B:OE,PI$1,0),0)</f>
        <v>0</v>
      </c>
      <c r="PJ72" s="140">
        <f>IFERROR(VLOOKUP($D72,'Adient Taizhou (China) WK.16'!$B:OH,PI$1,0),0)</f>
        <v>0</v>
      </c>
      <c r="PK72" s="128">
        <v>0</v>
      </c>
      <c r="PL72" s="30">
        <v>0</v>
      </c>
      <c r="PM72" s="100">
        <f t="shared" ref="PM72:PM77" si="808">((PG72-(PH72+PI72+PJ72)+PL72))</f>
        <v>-8250</v>
      </c>
      <c r="PO72" s="37">
        <f t="shared" ref="PO72:PO77" si="809">PM72</f>
        <v>-8250</v>
      </c>
      <c r="PP72" s="141">
        <f>IFERROR(VLOOKUP($D72,'Adient Assende (Belgium) WK.17'!$B:OL,PQ$1,0),0)</f>
        <v>0</v>
      </c>
      <c r="PQ72" s="140">
        <f>IFERROR(VLOOKUP($D72,'Adient Arendal (Malzia) WK.12'!$B:OM,PQ$1,0),0)</f>
        <v>0</v>
      </c>
      <c r="PR72" s="140">
        <f>IFERROR(VLOOKUP($D72,'Adient Taizhou (China) WK.16'!$B:OP,PQ$1,0),0)</f>
        <v>0</v>
      </c>
      <c r="PS72" s="128">
        <v>0</v>
      </c>
      <c r="PT72" s="30">
        <v>0</v>
      </c>
      <c r="PU72" s="100">
        <f t="shared" ref="PU72:PU77" si="810">((PO72-(PP72+PQ72+PR72)+PT72))</f>
        <v>-8250</v>
      </c>
      <c r="PW72" s="37">
        <f t="shared" ref="PW72:PW77" si="811">PU72</f>
        <v>-8250</v>
      </c>
      <c r="PX72" s="141">
        <f>IFERROR(VLOOKUP($D72,'Adient Assende (Belgium) WK.17'!$B:OT,PY$1,0),0)</f>
        <v>1200</v>
      </c>
      <c r="PY72" s="140">
        <f>IFERROR(VLOOKUP($D72,'Adient Arendal (Malzia) WK.12'!$B:OU,PY$1,0),0)</f>
        <v>0</v>
      </c>
      <c r="PZ72" s="140">
        <f>IFERROR(VLOOKUP($D72,'Adient Taizhou (China) WK.16'!$B:OX,PY$1,0),0)</f>
        <v>0</v>
      </c>
      <c r="QA72" s="128">
        <v>0</v>
      </c>
      <c r="QB72" s="30">
        <v>0</v>
      </c>
      <c r="QC72" s="100">
        <f t="shared" ref="QC72:QC77" si="812">((PW72-(PX72+PY72+PZ72)+QB72))</f>
        <v>-9450</v>
      </c>
      <c r="QE72" s="37">
        <f t="shared" ref="QE72:QE77" si="813">QC72</f>
        <v>-9450</v>
      </c>
      <c r="QF72" s="141">
        <f>IFERROR(VLOOKUP($D72,'Adient Assende (Belgium) WK.17'!$B:PB,QG$1,0),0)</f>
        <v>1000</v>
      </c>
      <c r="QG72" s="140">
        <f>IFERROR(VLOOKUP($D72,'Adient Arendal (Malzia) WK.12'!$B:PC,QG$1,0),0)</f>
        <v>0</v>
      </c>
      <c r="QH72" s="140">
        <f>IFERROR(VLOOKUP($D72,'Adient Taizhou (China) WK.16'!$B:PF,QG$1,0),0)</f>
        <v>0</v>
      </c>
      <c r="QI72" s="128">
        <v>0</v>
      </c>
      <c r="QJ72" s="30">
        <v>0</v>
      </c>
      <c r="QK72" s="100">
        <f t="shared" ref="QK72:QK77" si="814">((QE72-(QF72+QG72+QH72)+QJ72))</f>
        <v>-10450</v>
      </c>
      <c r="QM72" s="37">
        <f t="shared" ref="QM72:QM77" si="815">QK72</f>
        <v>-10450</v>
      </c>
      <c r="QN72" s="141">
        <f>IFERROR(VLOOKUP($D72,'Adient Assende (Belgium) WK.17'!$B:PJ,QO$1,0),0)</f>
        <v>1200</v>
      </c>
      <c r="QO72" s="140">
        <f>IFERROR(VLOOKUP($D72,'Adient Arendal (Malzia) WK.12'!$B:PK,QO$1,0),0)</f>
        <v>0</v>
      </c>
      <c r="QP72" s="140">
        <f>IFERROR(VLOOKUP($D72,'Adient Taizhou (China) WK.16'!$B:PN,QO$1,0),0)</f>
        <v>0</v>
      </c>
      <c r="QQ72" s="128">
        <v>0</v>
      </c>
      <c r="QR72" s="30">
        <v>0</v>
      </c>
      <c r="QS72" s="100">
        <f t="shared" ref="QS72:QS77" si="816">((QM72-(QN72+QO72+QP72)+QR72))</f>
        <v>-11650</v>
      </c>
      <c r="QU72" s="37">
        <f t="shared" ref="QU72:QU77" si="817">QS72</f>
        <v>-11650</v>
      </c>
      <c r="QV72" s="141">
        <f>IFERROR(VLOOKUP($D72,'Adient Assende (Belgium) WK.17'!$B:PR,QW$1,0),0)</f>
        <v>1200</v>
      </c>
      <c r="QW72" s="140">
        <f>IFERROR(VLOOKUP($D72,'Adient Arendal (Malzia) WK.12'!$B:PS,QW$1,0),0)</f>
        <v>0</v>
      </c>
      <c r="QX72" s="140">
        <f>IFERROR(VLOOKUP($D72,'Adient Taizhou (China) WK.16'!$B:PV,QW$1,0),0)</f>
        <v>0</v>
      </c>
      <c r="QY72" s="128">
        <v>0</v>
      </c>
      <c r="QZ72" s="30">
        <v>0</v>
      </c>
      <c r="RA72" s="100">
        <f t="shared" ref="RA72:RA77" si="818">((QU72-(QV72+QW72+QX72)+QZ72))</f>
        <v>-12850</v>
      </c>
      <c r="RC72" s="37">
        <f t="shared" ref="RC72:RC77" si="819">RA72</f>
        <v>-12850</v>
      </c>
      <c r="RD72" s="141">
        <f>IFERROR(VLOOKUP($D72,'Adient Assende (Belgium) WK.17'!$B:PZ,RE$1,0),0)</f>
        <v>1200</v>
      </c>
      <c r="RE72" s="140">
        <f>IFERROR(VLOOKUP($D72,'Adient Arendal (Malzia) WK.12'!$B:QA,RE$1,0),0)</f>
        <v>0</v>
      </c>
      <c r="RF72" s="140">
        <f>IFERROR(VLOOKUP($D72,'Adient Taizhou (China) WK.16'!$B:QD,RE$1,0),0)</f>
        <v>0</v>
      </c>
      <c r="RG72" s="128">
        <v>0</v>
      </c>
      <c r="RH72" s="30">
        <v>0</v>
      </c>
      <c r="RI72" s="100">
        <f t="shared" ref="RI72:RI77" si="820">((RC72-(RD72+RE72+RF72)+RH72))</f>
        <v>-14050</v>
      </c>
      <c r="RK72" s="37">
        <f t="shared" ref="RK72:RK77" si="821">RI72</f>
        <v>-14050</v>
      </c>
      <c r="RL72" s="141">
        <f>IFERROR(VLOOKUP($D72,'Adient Assende (Belgium) WK.17'!$B:QH,RM$1,0),0)</f>
        <v>1200</v>
      </c>
      <c r="RM72" s="140">
        <f>IFERROR(VLOOKUP($D72,'Adient Arendal (Malzia) WK.12'!$B:QI,RM$1,0),0)</f>
        <v>0</v>
      </c>
      <c r="RN72" s="140">
        <f>IFERROR(VLOOKUP($D72,'Adient Taizhou (China) WK.16'!$B:QL,RM$1,0),0)</f>
        <v>0</v>
      </c>
      <c r="RO72" s="128">
        <v>0</v>
      </c>
      <c r="RP72" s="30">
        <v>0</v>
      </c>
      <c r="RQ72" s="100">
        <f t="shared" ref="RQ72:RQ77" si="822">((RK72-(RL72+RM72+RN72)+RP72))</f>
        <v>-15250</v>
      </c>
      <c r="RS72" s="37">
        <f t="shared" ref="RS72:RS77" si="823">RQ72</f>
        <v>-15250</v>
      </c>
      <c r="RT72" s="141">
        <f>IFERROR(VLOOKUP($D72,'Adient Assende (Belgium) WK.17'!$B:QP,RU$1,0),0)</f>
        <v>1200</v>
      </c>
      <c r="RU72" s="140">
        <f>IFERROR(VLOOKUP($D72,'Adient Arendal (Malzia) WK.12'!$B:QQ,RU$1,0),0)</f>
        <v>0</v>
      </c>
      <c r="RV72" s="140">
        <f>IFERROR(VLOOKUP($D72,'Adient Taizhou (China) WK.16'!$B:QT,RU$1,0),0)</f>
        <v>0</v>
      </c>
      <c r="RW72" s="128">
        <v>0</v>
      </c>
      <c r="RX72" s="30">
        <v>0</v>
      </c>
      <c r="RY72" s="100">
        <f t="shared" ref="RY72:RY77" si="824">((RS72-(RT72+RU72+RV72)+RX72))</f>
        <v>-16450</v>
      </c>
      <c r="SA72" s="37">
        <f t="shared" ref="SA72:SA77" si="825">RY72</f>
        <v>-16450</v>
      </c>
      <c r="SB72" s="141">
        <f>IFERROR(VLOOKUP($D72,'Adient Assende (Belgium) WK.17'!$B:QX,SC$1,0),0)</f>
        <v>950</v>
      </c>
      <c r="SC72" s="140">
        <f>IFERROR(VLOOKUP($D72,'Adient Arendal (Malzia) WK.12'!$B:QY,SC$1,0),0)</f>
        <v>0</v>
      </c>
      <c r="SD72" s="140">
        <f>IFERROR(VLOOKUP($D72,'Adient Taizhou (China) WK.16'!$B:RB,SC$1,0),0)</f>
        <v>0</v>
      </c>
      <c r="SE72" s="128">
        <v>0</v>
      </c>
      <c r="SF72" s="30">
        <v>0</v>
      </c>
      <c r="SG72" s="100">
        <f t="shared" ref="SG72:SG77" si="826">((SA72-(SB72+SC72+SD72)+SF72))</f>
        <v>-17400</v>
      </c>
      <c r="SI72" s="37">
        <f t="shared" ref="SI72:SI77" si="827">SG72</f>
        <v>-17400</v>
      </c>
      <c r="SJ72" s="141">
        <f>IFERROR(VLOOKUP($D72,'Adient Assende (Belgium) WK.17'!$B:RF,SK$1,0),0)</f>
        <v>950</v>
      </c>
      <c r="SK72" s="140">
        <f>IFERROR(VLOOKUP($D72,'Adient Arendal (Malzia) WK.12'!$B:RG,SK$1,0),0)</f>
        <v>0</v>
      </c>
      <c r="SL72" s="140">
        <f>IFERROR(VLOOKUP($D72,'Adient Taizhou (China) WK.16'!$B:RJ,SK$1,0),0)</f>
        <v>0</v>
      </c>
      <c r="SM72" s="128">
        <v>0</v>
      </c>
      <c r="SN72" s="30">
        <v>0</v>
      </c>
      <c r="SO72" s="100">
        <f t="shared" ref="SO72:SO77" si="828">((SI72-(SJ72+SK72+SL72)+SN72))</f>
        <v>-18350</v>
      </c>
      <c r="SQ72" s="37">
        <f t="shared" ref="SQ72:SQ77" si="829">SO72</f>
        <v>-18350</v>
      </c>
      <c r="SR72" s="141">
        <f>IFERROR(VLOOKUP($D72,'Adient Assende (Belgium) WK.17'!$B:RN,SS$1,0),0)</f>
        <v>950</v>
      </c>
      <c r="SS72" s="140">
        <f>IFERROR(VLOOKUP($D72,'Adient Arendal (Malzia) WK.12'!$B:RO,SS$1,0),0)</f>
        <v>0</v>
      </c>
      <c r="ST72" s="140">
        <f>IFERROR(VLOOKUP($D72,'Adient Taizhou (China) WK.16'!$B:RR,SS$1,0),0)</f>
        <v>0</v>
      </c>
      <c r="SU72" s="128">
        <v>0</v>
      </c>
      <c r="SV72" s="30">
        <v>0</v>
      </c>
      <c r="SW72" s="100">
        <f t="shared" ref="SW72:SW77" si="830">((SQ72-(SR72+SS72+ST72)+SV72))</f>
        <v>-19300</v>
      </c>
      <c r="SY72" s="37">
        <f t="shared" ref="SY72:SY77" si="831">SW72</f>
        <v>-19300</v>
      </c>
      <c r="SZ72" s="141">
        <f>IFERROR(VLOOKUP($D72,'Adient Assende (Belgium) WK.17'!$B:RV,TA$1,0),0)</f>
        <v>950</v>
      </c>
      <c r="TA72" s="140">
        <f>IFERROR(VLOOKUP($D72,'Adient Arendal (Malzia) WK.12'!$B:RW,TA$1,0),0)</f>
        <v>0</v>
      </c>
      <c r="TB72" s="140">
        <f>IFERROR(VLOOKUP($D72,'Adient Taizhou (China) WK.16'!$B:RZ,TA$1,0),0)</f>
        <v>0</v>
      </c>
      <c r="TC72" s="128">
        <v>0</v>
      </c>
      <c r="TD72" s="30">
        <v>0</v>
      </c>
      <c r="TE72" s="100">
        <f t="shared" ref="TE72:TE77" si="832">((SY72-(SZ72+TA72+TB72)+TD72))</f>
        <v>-20250</v>
      </c>
      <c r="TG72" s="37">
        <f t="shared" ref="TG72:TG77" si="833">TE72</f>
        <v>-20250</v>
      </c>
      <c r="TH72" s="141">
        <f>IFERROR(VLOOKUP($D72,'Adient Assende (Belgium) WK.17'!$B:SD,TI$1,0),0)</f>
        <v>1200</v>
      </c>
      <c r="TI72" s="140">
        <f>IFERROR(VLOOKUP($D72,'Adient Arendal (Malzia) WK.12'!$B:SE,TI$1,0),0)</f>
        <v>0</v>
      </c>
      <c r="TJ72" s="140">
        <f>IFERROR(VLOOKUP($D72,'Adient Taizhou (China) WK.16'!$B:SH,TI$1,0),0)</f>
        <v>0</v>
      </c>
      <c r="TK72" s="128">
        <v>0</v>
      </c>
      <c r="TL72" s="30">
        <v>0</v>
      </c>
      <c r="TM72" s="100">
        <f t="shared" ref="TM72:TM77" si="834">((TG72-(TH72+TI72+TJ72)+TL72))</f>
        <v>-21450</v>
      </c>
      <c r="TO72" s="37">
        <f t="shared" ref="TO72:TO77" si="835">TM72</f>
        <v>-21450</v>
      </c>
      <c r="TP72" s="141">
        <f>IFERROR(VLOOKUP($D72,'Adient Assende (Belgium) WK.17'!$B:SL,TQ$1,0),0)</f>
        <v>1200</v>
      </c>
      <c r="TQ72" s="140">
        <f>IFERROR(VLOOKUP($D72,'Adient Arendal (Malzia) WK.12'!$B:SM,TQ$1,0),0)</f>
        <v>0</v>
      </c>
      <c r="TR72" s="140">
        <f>IFERROR(VLOOKUP($D72,'Adient Taizhou (China) WK.16'!$B:SP,TQ$1,0),0)</f>
        <v>0</v>
      </c>
      <c r="TS72" s="128">
        <v>0</v>
      </c>
      <c r="TT72" s="30">
        <v>0</v>
      </c>
      <c r="TU72" s="100">
        <f t="shared" ref="TU72:TU77" si="836">((TO72-(TP72+TQ72+TR72)+TT72))</f>
        <v>-22650</v>
      </c>
      <c r="TW72" s="37">
        <f t="shared" ref="TW72:TW77" si="837">TU72</f>
        <v>-22650</v>
      </c>
      <c r="TX72" s="141">
        <f>IFERROR(VLOOKUP($D72,'Adient Assende (Belgium) WK.17'!$B:ST,TY$1,0),0)</f>
        <v>1200</v>
      </c>
      <c r="TY72" s="140">
        <f>IFERROR(VLOOKUP($D72,'Adient Arendal (Malzia) WK.12'!$B:SU,TY$1,0),0)</f>
        <v>0</v>
      </c>
      <c r="TZ72" s="140">
        <f>IFERROR(VLOOKUP($D72,'Adient Taizhou (China) WK.16'!$B:SX,TY$1,0),0)</f>
        <v>0</v>
      </c>
      <c r="UA72" s="128">
        <v>0</v>
      </c>
      <c r="UB72" s="30">
        <v>0</v>
      </c>
      <c r="UC72" s="100">
        <f t="shared" ref="UC72:UC77" si="838">((TW72-(TX72+TY72+TZ72)+UB72))</f>
        <v>-23850</v>
      </c>
      <c r="UE72" s="37">
        <f t="shared" ref="UE72:UE77" si="839">UC72</f>
        <v>-23850</v>
      </c>
      <c r="UF72" s="141">
        <f>IFERROR(VLOOKUP($D72,'Adient Assende (Belgium) WK.17'!$B:TB,UG$1,0),0)</f>
        <v>1200</v>
      </c>
      <c r="UG72" s="140">
        <f>IFERROR(VLOOKUP($D72,'Adient Arendal (Malzia) WK.12'!$B:TC,UG$1,0),0)</f>
        <v>0</v>
      </c>
      <c r="UH72" s="140">
        <f>IFERROR(VLOOKUP($D72,'Adient Taizhou (China) WK.16'!$B:TF,UG$1,0),0)</f>
        <v>0</v>
      </c>
      <c r="UI72" s="128">
        <v>0</v>
      </c>
      <c r="UJ72" s="30">
        <v>0</v>
      </c>
      <c r="UK72" s="100">
        <f t="shared" ref="UK72:UK77" si="840">((UE72-(UF72+UG72+UH72)+UJ72))</f>
        <v>-25050</v>
      </c>
      <c r="UM72" s="37">
        <f t="shared" ref="UM72:UM77" si="841">UK72</f>
        <v>-25050</v>
      </c>
      <c r="UN72" s="141">
        <f>IFERROR(VLOOKUP($D72,'Adient Assende (Belgium) WK.17'!$B:TJ,UO$1,0),0)</f>
        <v>1200</v>
      </c>
      <c r="UO72" s="140">
        <f>IFERROR(VLOOKUP($D72,'Adient Arendal (Malzia) WK.12'!$B:TK,UO$1,0),0)</f>
        <v>0</v>
      </c>
      <c r="UP72" s="140">
        <f>IFERROR(VLOOKUP($D72,'Adient Taizhou (China) WK.16'!$B:TN,UO$1,0),0)</f>
        <v>0</v>
      </c>
      <c r="UQ72" s="128">
        <v>0</v>
      </c>
      <c r="UR72" s="30">
        <v>0</v>
      </c>
      <c r="US72" s="100">
        <f t="shared" ref="US72:US77" si="842">((UM72-(UN72+UO72+UP72)+UR72))</f>
        <v>-26250</v>
      </c>
      <c r="UU72" s="37">
        <f t="shared" ref="UU72:UU77" si="843">US72</f>
        <v>-26250</v>
      </c>
      <c r="UV72" s="141">
        <f>IFERROR(VLOOKUP($D72,'Adient Assende (Belgium) WK.17'!$B:TR,UW$1,0),0)</f>
        <v>1300</v>
      </c>
      <c r="UW72" s="140">
        <f>IFERROR(VLOOKUP($D72,'Adient Arendal (Malzia) WK.12'!$B:TS,UW$1,0),0)</f>
        <v>0</v>
      </c>
      <c r="UX72" s="140">
        <f>IFERROR(VLOOKUP($D72,'Adient Taizhou (China) WK.16'!$B:TV,UW$1,0),0)</f>
        <v>0</v>
      </c>
      <c r="UY72" s="128">
        <v>0</v>
      </c>
      <c r="UZ72" s="30">
        <v>0</v>
      </c>
      <c r="VA72" s="100">
        <f t="shared" ref="VA72:VA77" si="844">((UU72-(UV72+UW72+UX72)+UZ72))</f>
        <v>-27550</v>
      </c>
      <c r="VC72" s="37">
        <f t="shared" ref="VC72:VC77" si="845">VA72</f>
        <v>-27550</v>
      </c>
      <c r="VD72" s="141">
        <f>IFERROR(VLOOKUP($D72,'Adient Assende (Belgium) WK.17'!$B:TZ,VE$1,0),0)</f>
        <v>1300</v>
      </c>
      <c r="VE72" s="140">
        <f>IFERROR(VLOOKUP($D72,'Adient Arendal (Malzia) WK.12'!$B:UA,VE$1,0),0)</f>
        <v>0</v>
      </c>
      <c r="VF72" s="140">
        <f>IFERROR(VLOOKUP($D72,'Adient Taizhou (China) WK.16'!$B:UD,VE$1,0),0)</f>
        <v>0</v>
      </c>
      <c r="VG72" s="128">
        <v>0</v>
      </c>
      <c r="VH72" s="30">
        <v>0</v>
      </c>
      <c r="VI72" s="100">
        <f t="shared" ref="VI72:VI77" si="846">((VC72-(VD72+VE72+VF72)+VH72))</f>
        <v>-28850</v>
      </c>
      <c r="VK72" s="37">
        <f t="shared" ref="VK72:VK77" si="847">VI72</f>
        <v>-28850</v>
      </c>
      <c r="VL72" s="141">
        <f>IFERROR(VLOOKUP($D72,'Adient Assende (Belgium) WK.17'!$B:UH,VM$1,0),0)</f>
        <v>0</v>
      </c>
      <c r="VM72" s="140">
        <f>IFERROR(VLOOKUP($D72,'Adient Arendal (Malzia) WK.12'!$B:UI,VM$1,0),0)</f>
        <v>0</v>
      </c>
      <c r="VN72" s="140">
        <f>IFERROR(VLOOKUP($D72,'Adient Taizhou (China) WK.16'!$B:UL,VM$1,0),0)</f>
        <v>0</v>
      </c>
      <c r="VO72" s="128">
        <v>0</v>
      </c>
      <c r="VP72" s="30">
        <v>0</v>
      </c>
      <c r="VQ72" s="100">
        <f t="shared" ref="VQ72:VQ77" si="848">((VK72-(VL72+VM72+VN72)+VP72))</f>
        <v>-28850</v>
      </c>
    </row>
    <row r="73" spans="1:589" x14ac:dyDescent="0.25">
      <c r="A73" s="10" t="s">
        <v>18</v>
      </c>
      <c r="B73" s="11" t="s">
        <v>20</v>
      </c>
      <c r="C73" s="87">
        <v>32272493</v>
      </c>
      <c r="D73" s="81">
        <v>4429349</v>
      </c>
      <c r="E73" s="11">
        <v>50</v>
      </c>
      <c r="F73" s="12"/>
      <c r="H73" s="122">
        <v>7950</v>
      </c>
      <c r="I73" s="125">
        <f>IFERROR(VLOOKUP($D73,'Adient Assende (Belgium) WK.17'!$B:C,J$1,0),0)</f>
        <v>1000</v>
      </c>
      <c r="J73" s="55">
        <f>IFERROR(VLOOKUP($D73,'Adient Arendal (Malzia) WK.12'!$B:C,J$1,0),0)</f>
        <v>0</v>
      </c>
      <c r="K73" s="55">
        <f>IFERROR(VLOOKUP($D73,'Adient Taizhou (China) WK.16'!$B:C,J$1,0),0)</f>
        <v>0</v>
      </c>
      <c r="L73" s="128">
        <v>800</v>
      </c>
      <c r="M73" s="32">
        <v>0</v>
      </c>
      <c r="N73" s="106">
        <f t="shared" si="233"/>
        <v>7150</v>
      </c>
      <c r="P73" s="37">
        <f t="shared" si="234"/>
        <v>7150</v>
      </c>
      <c r="Q73" s="125">
        <f>IFERROR(VLOOKUP($D73,'Adient Assende (Belgium) WK.17'!$B:K,R$1,0),0)</f>
        <v>800</v>
      </c>
      <c r="R73" s="55">
        <f>IFERROR(VLOOKUP($D73,'Adient Arendal (Malzia) WK.12'!$B:K,R$1,0),0)</f>
        <v>0</v>
      </c>
      <c r="S73" s="55">
        <f>IFERROR(VLOOKUP($D73,'Adient Taizhou (China) WK.16'!$B:K,R$1,0),0)</f>
        <v>0</v>
      </c>
      <c r="T73" s="41">
        <v>1400</v>
      </c>
      <c r="U73" s="32">
        <v>0</v>
      </c>
      <c r="V73" s="106">
        <f t="shared" si="235"/>
        <v>5750</v>
      </c>
      <c r="X73" s="37">
        <f t="shared" si="236"/>
        <v>5750</v>
      </c>
      <c r="Y73" s="125">
        <f>IFERROR(VLOOKUP($D73,'Adient Assende (Belgium) WK.17'!$B:S,Z$1,0),0)</f>
        <v>1400</v>
      </c>
      <c r="Z73" s="55">
        <f>IFERROR(VLOOKUP($D73,'Adient Arendal (Malzia) WK.12'!$B:S,Z$1,0),0)</f>
        <v>0</v>
      </c>
      <c r="AA73" s="55">
        <f>IFERROR(VLOOKUP($D73,'Adient Taizhou (China) WK.16'!$B:S,Z$1,0),0)</f>
        <v>0</v>
      </c>
      <c r="AB73" s="41">
        <v>1200</v>
      </c>
      <c r="AC73" s="32">
        <v>0</v>
      </c>
      <c r="AD73" s="106">
        <f t="shared" si="237"/>
        <v>4550</v>
      </c>
      <c r="AF73" s="37">
        <f t="shared" si="238"/>
        <v>4550</v>
      </c>
      <c r="AG73" s="125">
        <f>IFERROR(VLOOKUP($D73,'Adient Assende (Belgium) WK.17'!$B:AA,AH$1,0),0)</f>
        <v>1200</v>
      </c>
      <c r="AH73" s="55">
        <f>IFERROR(VLOOKUP($D73,'Adient Arendal (Malzia) WK.12'!$B:AA,AH$1,0),0)</f>
        <v>0</v>
      </c>
      <c r="AI73" s="55">
        <f>IFERROR(VLOOKUP($D73,'Adient Taizhou (China) WK.16'!$B:AA,AH$1,0),0)</f>
        <v>0</v>
      </c>
      <c r="AJ73" s="41">
        <v>1000</v>
      </c>
      <c r="AK73" s="32">
        <v>0</v>
      </c>
      <c r="AL73" s="106">
        <f t="shared" si="239"/>
        <v>3550</v>
      </c>
      <c r="AN73" s="37">
        <f t="shared" si="746"/>
        <v>3550</v>
      </c>
      <c r="AO73" s="125">
        <f>IFERROR(VLOOKUP($D73,'Adient Assende (Belgium) WK.17'!$B:AI,AP$1,0),0)</f>
        <v>1000</v>
      </c>
      <c r="AP73" s="55">
        <f>IFERROR(VLOOKUP($D73,'Adient Arendal (Malzia) WK.12'!$B:AI,AP$1,0),0)</f>
        <v>0</v>
      </c>
      <c r="AQ73" s="55">
        <f>IFERROR(VLOOKUP($D73,'Adient Taizhou (China) WK.16'!$B:AI,AP$1,0),0)</f>
        <v>0</v>
      </c>
      <c r="AR73" s="60">
        <v>0</v>
      </c>
      <c r="AS73" s="41">
        <v>1200</v>
      </c>
      <c r="AT73" s="32">
        <v>0</v>
      </c>
      <c r="AU73" s="106">
        <f t="shared" si="240"/>
        <v>2350</v>
      </c>
      <c r="AW73" s="37">
        <f t="shared" si="747"/>
        <v>2350</v>
      </c>
      <c r="AX73" s="125">
        <f>IFERROR(VLOOKUP($D73,'Adient Assende (Belgium) WK.17'!$B:AR,AY$1,0),0)</f>
        <v>1200</v>
      </c>
      <c r="AY73" s="55">
        <f>IFERROR(VLOOKUP($D73,'Adient Arendal (Malzia) WK.12'!$B:AR,AY$1,0),0)</f>
        <v>0</v>
      </c>
      <c r="AZ73" s="55">
        <f>IFERROR(VLOOKUP($D73,'Adient Taizhou (China) WK.16'!$B:AU,AY$1,0),0)</f>
        <v>0</v>
      </c>
      <c r="BA73" s="41">
        <v>1000</v>
      </c>
      <c r="BB73" s="32">
        <v>0</v>
      </c>
      <c r="BC73" s="106">
        <f t="shared" si="241"/>
        <v>1350</v>
      </c>
      <c r="BE73" s="37">
        <f t="shared" si="748"/>
        <v>1350</v>
      </c>
      <c r="BF73" s="125">
        <f>IFERROR(VLOOKUP($D73,'Adient Assende (Belgium) WK.17'!$B:AX,BG$1,0),0)</f>
        <v>1000</v>
      </c>
      <c r="BG73" s="55">
        <f>IFERROR(VLOOKUP($D73,'Adient Arendal (Malzia) WK.12'!$B:AZ,BG$1,0),0)</f>
        <v>0</v>
      </c>
      <c r="BH73" s="55">
        <f>IFERROR(VLOOKUP($D73,'Adient Taizhou (China) WK.16'!$B:BB,BG$1,0),0)</f>
        <v>0</v>
      </c>
      <c r="BI73" s="60">
        <v>1000</v>
      </c>
      <c r="BJ73" s="60">
        <v>0</v>
      </c>
      <c r="BK73" s="41">
        <v>1200</v>
      </c>
      <c r="BL73" s="32">
        <v>0</v>
      </c>
      <c r="BM73" s="106">
        <f t="shared" si="242"/>
        <v>1150</v>
      </c>
      <c r="BN73" s="8"/>
      <c r="BO73" s="37">
        <f t="shared" si="749"/>
        <v>1150</v>
      </c>
      <c r="BP73" s="125">
        <f>IFERROR(VLOOKUP($D73,'Adient Assende (Belgium) WK.17'!$B:BH,BQ$1,0),0)</f>
        <v>1200</v>
      </c>
      <c r="BQ73" s="55">
        <f>IFERROR(VLOOKUP($D73,'Adient Arendal (Malzia) WK.12'!$B:BI,BQ$1,0),0)</f>
        <v>0</v>
      </c>
      <c r="BR73" s="55">
        <f>IFERROR(VLOOKUP($D73,'Adient Taizhou (China) WK.16'!$B:BL,BQ$1,0),0)</f>
        <v>0</v>
      </c>
      <c r="BS73" s="60">
        <v>1300</v>
      </c>
      <c r="BT73" s="60">
        <v>300</v>
      </c>
      <c r="BU73" s="60">
        <v>200</v>
      </c>
      <c r="BV73" s="41">
        <v>1200</v>
      </c>
      <c r="BW73" s="32">
        <v>0</v>
      </c>
      <c r="BX73" s="106">
        <f t="shared" si="243"/>
        <v>1750</v>
      </c>
      <c r="BY73" s="8"/>
      <c r="BZ73" s="37">
        <f t="shared" si="750"/>
        <v>1750</v>
      </c>
      <c r="CA73" s="125">
        <f>IFERROR(VLOOKUP($D73,'Adient Assende (Belgium) WK.17'!$B:BS,CB$1,0),0)</f>
        <v>1200</v>
      </c>
      <c r="CB73" s="55">
        <f>IFERROR(VLOOKUP($D73,'Adient Arendal (Malzia) WK.12'!$B:BT,CB$1,0),0)</f>
        <v>0</v>
      </c>
      <c r="CC73" s="55">
        <f>IFERROR(VLOOKUP($D73,'Adient Taizhou (China) WK.16'!$B:BW,CB$1,0),0)</f>
        <v>0</v>
      </c>
      <c r="CD73" s="60">
        <v>0</v>
      </c>
      <c r="CE73" s="60">
        <v>0</v>
      </c>
      <c r="CF73" s="41">
        <v>1750</v>
      </c>
      <c r="CG73" s="32">
        <v>0</v>
      </c>
      <c r="CH73" s="106">
        <f t="shared" si="244"/>
        <v>0</v>
      </c>
      <c r="CI73" s="8"/>
      <c r="CJ73" s="37">
        <f t="shared" si="751"/>
        <v>0</v>
      </c>
      <c r="CK73" s="125">
        <f>IFERROR(VLOOKUP($D73,'Adient Assende (Belgium) WK.17'!$B:CC,CL$1,0),0)</f>
        <v>1750</v>
      </c>
      <c r="CL73" s="55">
        <f>IFERROR(VLOOKUP($D73,'Adient Arendal (Malzia) WK.12'!$B:CD,CL$1,0),0)</f>
        <v>0</v>
      </c>
      <c r="CM73" s="55">
        <f>IFERROR(VLOOKUP($D73,'Adient Taizhou (China) WK.16'!$B:CG,CL$1,0),0)</f>
        <v>0</v>
      </c>
      <c r="CN73" s="60">
        <v>2800</v>
      </c>
      <c r="CO73" s="149">
        <v>0</v>
      </c>
      <c r="CP73" s="32">
        <v>0</v>
      </c>
      <c r="CQ73" s="106">
        <f t="shared" si="245"/>
        <v>2800</v>
      </c>
      <c r="CR73" s="8"/>
      <c r="CS73" s="122">
        <f t="shared" si="752"/>
        <v>2800</v>
      </c>
      <c r="CT73" s="154">
        <f>IFERROR(VLOOKUP($D73,'Adient Assende (Belgium) WK.17'!$B:CL,CU$1,0),0)</f>
        <v>0</v>
      </c>
      <c r="CU73" s="55">
        <f>IFERROR(VLOOKUP($D73,'Adient Arendal (Malzia) WK.12'!$B:CM,CU$1,0),0)</f>
        <v>0</v>
      </c>
      <c r="CV73" s="55">
        <f>IFERROR(VLOOKUP($D73,'Adient Taizhou (China) WK.16'!$B:CP,CU$1,0),0)</f>
        <v>0</v>
      </c>
      <c r="CW73" s="60">
        <v>0</v>
      </c>
      <c r="CX73" s="60">
        <v>1650</v>
      </c>
      <c r="CY73" s="128">
        <v>1200</v>
      </c>
      <c r="CZ73" s="32">
        <v>0</v>
      </c>
      <c r="DA73" s="106">
        <f t="shared" si="246"/>
        <v>3250</v>
      </c>
      <c r="DB73" s="8"/>
      <c r="DC73" s="37">
        <f t="shared" si="753"/>
        <v>3250</v>
      </c>
      <c r="DD73" s="125">
        <f>IFERROR(VLOOKUP($D73,'Adient Assende (Belgium) WK.17'!$B:CS,DE$1,0),0)</f>
        <v>1200</v>
      </c>
      <c r="DE73" s="55">
        <f>IFERROR(VLOOKUP($D73,'Adient Arendal (Malzia) WK.12'!$B:CU,DE$1,0),0)</f>
        <v>0</v>
      </c>
      <c r="DF73" s="55">
        <f>IFERROR(VLOOKUP($D73,'Adient Taizhou (China) WK.16'!$B:CX,DE$1,0),0)</f>
        <v>0</v>
      </c>
      <c r="DG73" s="60">
        <v>1500</v>
      </c>
      <c r="DH73" s="128">
        <v>1000</v>
      </c>
      <c r="DI73" s="32">
        <v>0</v>
      </c>
      <c r="DJ73" s="106">
        <f t="shared" si="247"/>
        <v>3750</v>
      </c>
      <c r="DL73" s="37">
        <f t="shared" si="754"/>
        <v>3750</v>
      </c>
      <c r="DM73" s="125">
        <f>IFERROR(VLOOKUP($D73,'Adient Assende (Belgium) WK.17'!$B:DB,DN$1,0),0)</f>
        <v>1000</v>
      </c>
      <c r="DN73" s="55">
        <f>IFERROR(VLOOKUP($D73,'Adient Arendal (Malzia) WK.12'!$B:DC,DN$1,0),0)</f>
        <v>0</v>
      </c>
      <c r="DO73" s="55">
        <f>IFERROR(VLOOKUP($D73,'Adient Taizhou (China) WK.16'!$B:DF,DN$1,0),0)</f>
        <v>0</v>
      </c>
      <c r="DP73" s="128">
        <v>1000</v>
      </c>
      <c r="DQ73" s="32">
        <v>0</v>
      </c>
      <c r="DR73" s="106">
        <f t="shared" si="755"/>
        <v>2750</v>
      </c>
      <c r="DS73" s="8"/>
      <c r="DT73" s="37">
        <f t="shared" si="756"/>
        <v>2750</v>
      </c>
      <c r="DU73" s="125">
        <f>IFERROR(VLOOKUP($D73,'Adient Assende (Belgium) WK.17'!$B:DJ,DV$1,0),0)</f>
        <v>1000</v>
      </c>
      <c r="DV73" s="55">
        <f>IFERROR(VLOOKUP($D73,'Adient Arendal (Malzia) WK.12'!$B:DK,DV$1,0),0)</f>
        <v>0</v>
      </c>
      <c r="DW73" s="55">
        <f>IFERROR(VLOOKUP($D73,'Adient Taizhou (China) WK.16'!$B:DN,DV$1,0),0)</f>
        <v>0</v>
      </c>
      <c r="DX73" s="60">
        <v>2200</v>
      </c>
      <c r="DY73" s="60">
        <v>1600</v>
      </c>
      <c r="DZ73" s="128">
        <v>1400</v>
      </c>
      <c r="EA73" s="32">
        <v>0</v>
      </c>
      <c r="EB73" s="106">
        <f t="shared" si="248"/>
        <v>5150</v>
      </c>
      <c r="EC73" s="8"/>
      <c r="ED73" s="37">
        <f t="shared" si="757"/>
        <v>5150</v>
      </c>
      <c r="EE73" s="125">
        <f>IFERROR(VLOOKUP($D73,'Adient Assende (Belgium) WK.17'!$B:DR,EF$1,0),0)</f>
        <v>1400</v>
      </c>
      <c r="EF73" s="55">
        <f>IFERROR(VLOOKUP($D73,'Adient Arendal (Malzia) WK.12'!$B:DS,EF$1,0),0)</f>
        <v>0</v>
      </c>
      <c r="EG73" s="55">
        <f>IFERROR(VLOOKUP($D73,'Adient Taizhou (China) WK.16'!$B:DV,EF$1,0),0)</f>
        <v>0</v>
      </c>
      <c r="EH73" s="60">
        <v>1050</v>
      </c>
      <c r="EI73" s="128">
        <v>1400</v>
      </c>
      <c r="EJ73" s="32">
        <v>0</v>
      </c>
      <c r="EK73" s="106">
        <f t="shared" si="249"/>
        <v>4800</v>
      </c>
      <c r="EM73" s="37">
        <f t="shared" si="758"/>
        <v>4800</v>
      </c>
      <c r="EN73" s="125">
        <f>IFERROR(VLOOKUP($D73,'Adient Assende (Belgium) WK.17'!$B:DZ,EO$1,0),0)</f>
        <v>1400</v>
      </c>
      <c r="EO73" s="55">
        <f>IFERROR(VLOOKUP($D73,'Adient Arendal (Malzia) WK.12'!$B:EA,EO$1,0),0)</f>
        <v>0</v>
      </c>
      <c r="EP73" s="55">
        <f>IFERROR(VLOOKUP($D73,'Adient Taizhou (China) WK.16'!$B:ED,EO$1,0),0)</f>
        <v>0</v>
      </c>
      <c r="EQ73" s="128">
        <v>1400</v>
      </c>
      <c r="ER73" s="32">
        <v>0</v>
      </c>
      <c r="ES73" s="106">
        <f t="shared" si="250"/>
        <v>3400</v>
      </c>
      <c r="EU73" s="37">
        <f t="shared" si="759"/>
        <v>3400</v>
      </c>
      <c r="EV73" s="125">
        <f>IFERROR(VLOOKUP($D73,'Adient Assende (Belgium) WK.17'!$B:EH,EW$1,0),0)</f>
        <v>1400</v>
      </c>
      <c r="EW73" s="55">
        <f>IFERROR(VLOOKUP($D73,'Adient Arendal (Malzia) WK.12'!$B:EI,EW$1,0),0)</f>
        <v>0</v>
      </c>
      <c r="EX73" s="55">
        <f>IFERROR(VLOOKUP($D73,'Adient Taizhou (China) WK.16'!$B:EL,EW$1,0),0)</f>
        <v>0</v>
      </c>
      <c r="EY73" s="128">
        <v>0</v>
      </c>
      <c r="EZ73" s="32">
        <v>0</v>
      </c>
      <c r="FA73" s="106">
        <f t="shared" si="251"/>
        <v>3400</v>
      </c>
      <c r="FC73" s="37">
        <f t="shared" si="760"/>
        <v>3400</v>
      </c>
      <c r="FD73" s="154">
        <f>IFERROR(VLOOKUP($D73,'Adient Assende (Belgium) WK.17'!$B:EP,FE$1,0),0)</f>
        <v>0</v>
      </c>
      <c r="FE73" s="154">
        <f>IFERROR(VLOOKUP($D73,'Adient Arendal (Malzia) WK.12'!$B:EQ,FE$1,0),0)</f>
        <v>0</v>
      </c>
      <c r="FF73" s="154">
        <f>IFERROR(VLOOKUP($D73,'Adient Taizhou (China) WK.16'!$B:ET,FE$1,0),0)</f>
        <v>0</v>
      </c>
      <c r="FG73" s="128">
        <v>0</v>
      </c>
      <c r="FH73" s="32">
        <v>0</v>
      </c>
      <c r="FI73" s="106">
        <f t="shared" si="252"/>
        <v>3400</v>
      </c>
      <c r="FK73" s="37">
        <f t="shared" si="761"/>
        <v>3400</v>
      </c>
      <c r="FL73" s="125">
        <f>IFERROR(VLOOKUP($D73,'Adient Assende (Belgium) WK.17'!$B:EX,FM$1,0),0)</f>
        <v>0</v>
      </c>
      <c r="FM73" s="55">
        <f>IFERROR(VLOOKUP($D73,'Adient Arendal (Malzia) WK.12'!$B:EY,FM$1,0),0)</f>
        <v>0</v>
      </c>
      <c r="FN73" s="55">
        <f>IFERROR(VLOOKUP($D73,'Adient Taizhou (China) WK.16'!$B:FB,FM$1,0),0)</f>
        <v>0</v>
      </c>
      <c r="FO73" s="128">
        <v>1400</v>
      </c>
      <c r="FP73" s="32">
        <v>0</v>
      </c>
      <c r="FQ73" s="106">
        <f t="shared" si="253"/>
        <v>2000</v>
      </c>
      <c r="FR73" s="8"/>
      <c r="FS73" s="37">
        <f t="shared" si="762"/>
        <v>2000</v>
      </c>
      <c r="FT73" s="125">
        <f>IFERROR(VLOOKUP($D73,'Adient Assende (Belgium) WK.17'!$B:FF,FU$1,0),0)</f>
        <v>1400</v>
      </c>
      <c r="FU73" s="55">
        <f>IFERROR(VLOOKUP($D73,'Adient Arendal (Malzia) WK.12'!$B:FG,FU$1,0),0)</f>
        <v>0</v>
      </c>
      <c r="FV73" s="55">
        <f>IFERROR(VLOOKUP($D73,'Adient Taizhou (China) WK.16'!$B:FJ,FU$1,0),0)</f>
        <v>0</v>
      </c>
      <c r="FW73" s="60">
        <v>2200</v>
      </c>
      <c r="FX73" s="60">
        <v>300</v>
      </c>
      <c r="FY73" s="60">
        <v>1550</v>
      </c>
      <c r="FZ73" s="60">
        <v>1600</v>
      </c>
      <c r="GA73" s="60">
        <v>300</v>
      </c>
      <c r="GB73" s="128">
        <v>1400</v>
      </c>
      <c r="GC73" s="32">
        <v>0</v>
      </c>
      <c r="GD73" s="106">
        <f t="shared" si="254"/>
        <v>6550</v>
      </c>
      <c r="GF73" s="37">
        <f t="shared" si="763"/>
        <v>6550</v>
      </c>
      <c r="GG73" s="125">
        <f>IFERROR(VLOOKUP($D73,'Adient Assende (Belgium) WK.17'!$B:FN,GH$1,0),0)</f>
        <v>1400</v>
      </c>
      <c r="GH73" s="55">
        <f>IFERROR(VLOOKUP($D73,'Adient Arendal (Malzia) WK.12'!$B:FO,GH$1,0),0)</f>
        <v>0</v>
      </c>
      <c r="GI73" s="55">
        <f>IFERROR(VLOOKUP($D73,'Adient Taizhou (China) WK.16'!$B:FR,GH$1,0),0)</f>
        <v>0</v>
      </c>
      <c r="GJ73" s="60">
        <v>3550</v>
      </c>
      <c r="GK73" s="128">
        <v>1200</v>
      </c>
      <c r="GL73" s="32">
        <v>0</v>
      </c>
      <c r="GM73" s="106">
        <f t="shared" si="255"/>
        <v>8900</v>
      </c>
      <c r="GO73" s="37">
        <f t="shared" si="764"/>
        <v>8900</v>
      </c>
      <c r="GP73" s="125">
        <f>IFERROR(VLOOKUP($D73,'Adient Assende (Belgium) WK.17'!$B:FV,GQ$1,0),0)</f>
        <v>1200</v>
      </c>
      <c r="GQ73" s="55">
        <f>IFERROR(VLOOKUP($D73,'Adient Arendal (Malzia) WK.12'!$B:FW,GQ$1,0),0)</f>
        <v>0</v>
      </c>
      <c r="GR73" s="55">
        <f>IFERROR(VLOOKUP($D73,'Adient Taizhou (China) WK.16'!$B:FZ,GQ$1,0),0)</f>
        <v>0</v>
      </c>
      <c r="GS73" s="60">
        <v>1650</v>
      </c>
      <c r="GT73" s="128">
        <v>1600</v>
      </c>
      <c r="GU73" s="32">
        <v>0</v>
      </c>
      <c r="GV73" s="106">
        <f t="shared" si="256"/>
        <v>8950</v>
      </c>
      <c r="GW73" s="8"/>
      <c r="GX73" s="37">
        <f t="shared" si="765"/>
        <v>8950</v>
      </c>
      <c r="GY73" s="125">
        <f>IFERROR(VLOOKUP($D73,'Adient Assende (Belgium) WK.17'!$B:GD,GZ$1,0),0)</f>
        <v>1600</v>
      </c>
      <c r="GZ73" s="55">
        <f>IFERROR(VLOOKUP($D73,'Adient Arendal (Malzia) WK.12'!$B:GE,GZ$1,0),0)</f>
        <v>0</v>
      </c>
      <c r="HA73" s="55">
        <f>IFERROR(VLOOKUP($D73,'Adient Taizhou (China) WK.16'!$B:GH,GZ$1,0),0)</f>
        <v>0</v>
      </c>
      <c r="HB73" s="60">
        <v>900</v>
      </c>
      <c r="HC73" s="128">
        <v>1400</v>
      </c>
      <c r="HD73" s="32">
        <v>0</v>
      </c>
      <c r="HE73" s="106">
        <f t="shared" si="257"/>
        <v>8450</v>
      </c>
      <c r="HF73" s="8"/>
      <c r="HG73" s="37">
        <f t="shared" si="766"/>
        <v>8450</v>
      </c>
      <c r="HH73" s="125">
        <f>IFERROR(VLOOKUP($D73,'Adient Assende (Belgium) WK.17'!$B:GL,HI$1,0),0)</f>
        <v>1400</v>
      </c>
      <c r="HI73" s="55">
        <f>IFERROR(VLOOKUP($D73,'Adient Arendal (Malzia) WK.12'!$B:GM,HI$1,0),0)</f>
        <v>0</v>
      </c>
      <c r="HJ73" s="55">
        <f>IFERROR(VLOOKUP($D73,'Adient Taizhou (China) WK.16'!$B:GP,HI$1,0),0)</f>
        <v>0</v>
      </c>
      <c r="HK73" s="60">
        <v>1450</v>
      </c>
      <c r="HL73" s="128">
        <v>1400</v>
      </c>
      <c r="HM73" s="32">
        <v>0</v>
      </c>
      <c r="HN73" s="106">
        <f t="shared" si="258"/>
        <v>8500</v>
      </c>
      <c r="HO73" s="8"/>
      <c r="HP73" s="37">
        <f t="shared" si="767"/>
        <v>8500</v>
      </c>
      <c r="HQ73" s="125">
        <f>IFERROR(VLOOKUP($D73,'Adient Assende (Belgium) WK.17'!$B:GT,HR$1,0),0)</f>
        <v>1400</v>
      </c>
      <c r="HR73" s="55">
        <f>IFERROR(VLOOKUP($D73,'Adient Arendal (Malzia) WK.12'!$B:GU,HR$1,0),0)</f>
        <v>0</v>
      </c>
      <c r="HS73" s="55">
        <f>IFERROR(VLOOKUP($D73,'Adient Taizhou (China) WK.16'!$B:GX,HR$1,0),0)</f>
        <v>0</v>
      </c>
      <c r="HT73" s="60">
        <v>2300</v>
      </c>
      <c r="HU73" s="128">
        <v>1000</v>
      </c>
      <c r="HV73" s="32">
        <v>0</v>
      </c>
      <c r="HW73" s="106">
        <f t="shared" si="259"/>
        <v>9800</v>
      </c>
      <c r="HX73" s="8"/>
      <c r="HY73" s="37">
        <f t="shared" si="768"/>
        <v>9800</v>
      </c>
      <c r="HZ73" s="125">
        <f>IFERROR(VLOOKUP($D73,'Adient Assende (Belgium) WK.17'!$B:HB,IA$1,0),0)</f>
        <v>1000</v>
      </c>
      <c r="IA73" s="55">
        <f>IFERROR(VLOOKUP($D73,'Adient Arendal (Malzia) WK.12'!$B:HC,IA$1,0),0)</f>
        <v>0</v>
      </c>
      <c r="IB73" s="55">
        <f>IFERROR(VLOOKUP($D73,'Adient Taizhou (China) WK.16'!$B:HF,IA$1,0),0)</f>
        <v>0</v>
      </c>
      <c r="IC73" s="60">
        <v>600</v>
      </c>
      <c r="ID73" s="128">
        <v>1400</v>
      </c>
      <c r="IE73" s="32">
        <v>0</v>
      </c>
      <c r="IF73" s="106">
        <f t="shared" si="260"/>
        <v>9000</v>
      </c>
      <c r="IG73" s="8"/>
      <c r="IH73" s="37">
        <f t="shared" si="769"/>
        <v>9000</v>
      </c>
      <c r="II73" s="125">
        <f>IFERROR(VLOOKUP($D73,'Adient Assende (Belgium) WK.17'!$B:HJ,IJ$1,0),0)</f>
        <v>1400</v>
      </c>
      <c r="IJ73" s="55">
        <f>IFERROR(VLOOKUP($D73,'Adient Arendal (Malzia) WK.12'!$B:HK,IJ$1,0),0)</f>
        <v>0</v>
      </c>
      <c r="IK73" s="55">
        <f>IFERROR(VLOOKUP($D73,'Adient Taizhou (China) WK.16'!$B:HN,IJ$1,0),0)</f>
        <v>0</v>
      </c>
      <c r="IL73" s="128">
        <v>1600</v>
      </c>
      <c r="IM73" s="32">
        <v>0</v>
      </c>
      <c r="IN73" s="106">
        <f t="shared" si="770"/>
        <v>7400</v>
      </c>
      <c r="IO73" s="8"/>
      <c r="IP73" s="37">
        <f t="shared" si="771"/>
        <v>7400</v>
      </c>
      <c r="IQ73" s="125">
        <f>IFERROR(VLOOKUP($D73,'Adient Assende (Belgium) WK.17'!$B:HR,IR$1,0),0)</f>
        <v>1600</v>
      </c>
      <c r="IR73" s="55">
        <f>IFERROR(VLOOKUP($D73,'Adient Arendal (Malzia) WK.12'!$B:HS,IR$1,0),0)</f>
        <v>0</v>
      </c>
      <c r="IS73" s="55">
        <f>IFERROR(VLOOKUP($D73,'Adient Taizhou (China) WK.16'!$B:HV,IR$1,0),0)</f>
        <v>0</v>
      </c>
      <c r="IT73" s="60">
        <v>300</v>
      </c>
      <c r="IU73" s="128">
        <v>1400</v>
      </c>
      <c r="IV73" s="32">
        <v>0</v>
      </c>
      <c r="IW73" s="106">
        <f t="shared" si="261"/>
        <v>6300</v>
      </c>
      <c r="IX73" s="8"/>
      <c r="IY73" s="37">
        <f t="shared" si="772"/>
        <v>6300</v>
      </c>
      <c r="IZ73" s="125">
        <f>IFERROR(VLOOKUP($D73,'Adient Assende (Belgium) WK.17'!$B:HZ,JA$1,0),0)</f>
        <v>1400</v>
      </c>
      <c r="JA73" s="55">
        <f>IFERROR(VLOOKUP($D73,'Adient Arendal (Malzia) WK.12'!$B:IA,JA$1,0),0)</f>
        <v>0</v>
      </c>
      <c r="JB73" s="55">
        <f>IFERROR(VLOOKUP($D73,'Adient Taizhou (China) WK.16'!$B:ID,JA$1,0),0)</f>
        <v>0</v>
      </c>
      <c r="JC73" s="128">
        <v>600</v>
      </c>
      <c r="JD73" s="32">
        <v>0</v>
      </c>
      <c r="JE73" s="106">
        <f t="shared" si="773"/>
        <v>5700</v>
      </c>
      <c r="JF73" s="8"/>
      <c r="JG73" s="37">
        <f t="shared" si="774"/>
        <v>5700</v>
      </c>
      <c r="JH73" s="125">
        <f>IFERROR(VLOOKUP($D73,'Adient Assende (Belgium) WK.17'!$B:IH,JI$1,0),0)</f>
        <v>600</v>
      </c>
      <c r="JI73" s="55">
        <f>IFERROR(VLOOKUP($D73,'Adient Arendal (Malzia) WK.12'!$B:II,JI$1,0),0)</f>
        <v>0</v>
      </c>
      <c r="JJ73" s="55">
        <f>IFERROR(VLOOKUP($D73,'Adient Taizhou (China) WK.16'!$B:IL,JI$1,0),0)</f>
        <v>0</v>
      </c>
      <c r="JK73" s="60">
        <v>1500</v>
      </c>
      <c r="JL73" s="128">
        <v>2600</v>
      </c>
      <c r="JM73" s="32">
        <v>0</v>
      </c>
      <c r="JN73" s="106">
        <f t="shared" si="262"/>
        <v>4600</v>
      </c>
      <c r="JO73" s="8"/>
      <c r="JP73" s="37">
        <f t="shared" si="775"/>
        <v>4600</v>
      </c>
      <c r="JQ73" s="125">
        <f>IFERROR(VLOOKUP($D73,'Adient Assende (Belgium) WK.17'!$B:IP,JR$1,0),0)</f>
        <v>2600</v>
      </c>
      <c r="JR73" s="55">
        <f>IFERROR(VLOOKUP($D73,'Adient Arendal (Malzia) WK.12'!$B:IQ,JR$1,0),0)</f>
        <v>0</v>
      </c>
      <c r="JS73" s="55">
        <f>IFERROR(VLOOKUP($D73,'Adient Taizhou (China) WK.16'!$B:IT,JR$1,0),0)</f>
        <v>0</v>
      </c>
      <c r="JT73" s="128">
        <v>0</v>
      </c>
      <c r="JU73" s="32">
        <v>0</v>
      </c>
      <c r="JV73" s="106">
        <f t="shared" si="776"/>
        <v>4600</v>
      </c>
      <c r="JW73" s="8"/>
      <c r="JX73" s="37">
        <f t="shared" si="777"/>
        <v>4600</v>
      </c>
      <c r="JY73" s="154">
        <f>IFERROR(VLOOKUP($D73,'Adient Assende (Belgium) WK.17'!$B:IX,JZ$1,0),0)</f>
        <v>0</v>
      </c>
      <c r="JZ73" s="55">
        <f>IFERROR(VLOOKUP($D73,'Adient Arendal (Malzia) WK.12'!$B:IY,JZ$1,0),0)</f>
        <v>0</v>
      </c>
      <c r="KA73" s="55">
        <f>IFERROR(VLOOKUP($D73,'Adient Taizhou (China) WK.16'!$B:JB,JZ$1,0),0)</f>
        <v>0</v>
      </c>
      <c r="KB73" s="128">
        <v>1200</v>
      </c>
      <c r="KC73" s="32">
        <v>0</v>
      </c>
      <c r="KD73" s="106">
        <f t="shared" si="263"/>
        <v>3400</v>
      </c>
      <c r="KE73" s="8"/>
      <c r="KF73" s="37">
        <f t="shared" si="778"/>
        <v>3400</v>
      </c>
      <c r="KG73" s="125">
        <f>IFERROR(VLOOKUP($D73,'Adient Assende (Belgium) WK.17'!$B:JF,KH$1,0),0)</f>
        <v>1200</v>
      </c>
      <c r="KH73" s="55">
        <f>IFERROR(VLOOKUP($D73,'Adient Arendal (Malzia) WK.12'!$B:JG,KH$1,0),0)</f>
        <v>0</v>
      </c>
      <c r="KI73" s="55">
        <f>IFERROR(VLOOKUP($D73,'Adient Taizhou (China) WK.16'!$B:JJ,KH$1,0),0)</f>
        <v>0</v>
      </c>
      <c r="KJ73" s="60">
        <v>1600</v>
      </c>
      <c r="KK73" s="128">
        <v>1000</v>
      </c>
      <c r="KL73" s="32">
        <v>0</v>
      </c>
      <c r="KM73" s="106">
        <f t="shared" si="264"/>
        <v>4000</v>
      </c>
      <c r="KN73" s="8"/>
      <c r="KO73" s="37">
        <f t="shared" si="779"/>
        <v>4000</v>
      </c>
      <c r="KP73" s="141">
        <f>IFERROR(VLOOKUP($D73,'Adient Assende (Belgium) WK.17'!$B:JN,KQ$1,0),0)</f>
        <v>1000</v>
      </c>
      <c r="KQ73" s="140">
        <f>IFERROR(VLOOKUP($D73,'Adient Arendal (Malzia) WK.12'!$B:JO,KQ$1,0),0)</f>
        <v>0</v>
      </c>
      <c r="KR73" s="140">
        <f>IFERROR(VLOOKUP($D73,'Adient Taizhou (China) WK.16'!$B:JR,KQ$1,0),0)</f>
        <v>0</v>
      </c>
      <c r="KS73" s="60">
        <v>0</v>
      </c>
      <c r="KT73" s="128">
        <v>800</v>
      </c>
      <c r="KU73" s="32">
        <v>0</v>
      </c>
      <c r="KV73" s="106">
        <f t="shared" si="265"/>
        <v>3200</v>
      </c>
      <c r="KX73" s="37">
        <f t="shared" si="780"/>
        <v>3200</v>
      </c>
      <c r="KY73" s="141">
        <f>IFERROR(VLOOKUP($D73,'Adient Assende (Belgium) WK.17'!$B:JV,KZ$1,0),0)</f>
        <v>800</v>
      </c>
      <c r="KZ73" s="140">
        <f>IFERROR(VLOOKUP($D73,'Adient Arendal (Malzia) WK.12'!$B:JW,KZ$1,0),0)</f>
        <v>0</v>
      </c>
      <c r="LA73" s="140">
        <f>IFERROR(VLOOKUP($D73,'Adient Taizhou (China) WK.16'!$B:JZ,KZ$1,0),0)</f>
        <v>0</v>
      </c>
      <c r="LB73" s="128">
        <v>0</v>
      </c>
      <c r="LC73" s="32">
        <v>0</v>
      </c>
      <c r="LD73" s="106">
        <f t="shared" si="781"/>
        <v>3200</v>
      </c>
      <c r="LF73" s="37">
        <f t="shared" si="782"/>
        <v>3200</v>
      </c>
      <c r="LG73" s="141">
        <f>IFERROR(VLOOKUP($D73,'Adient Assende (Belgium) WK.17'!$B:KD,LH$1,0),0)</f>
        <v>1000</v>
      </c>
      <c r="LH73" s="140">
        <f>IFERROR(VLOOKUP($D73,'Adient Arendal (Malzia) WK.12'!$B:KE,LH$1,0),0)</f>
        <v>0</v>
      </c>
      <c r="LI73" s="140">
        <f>IFERROR(VLOOKUP($D73,'Adient Taizhou (China) WK.16'!$B:KH,LH$1,0),0)</f>
        <v>0</v>
      </c>
      <c r="LJ73" s="60">
        <v>2700</v>
      </c>
      <c r="LK73" s="128">
        <v>0</v>
      </c>
      <c r="LL73" s="32">
        <v>0</v>
      </c>
      <c r="LM73" s="100">
        <f t="shared" si="267"/>
        <v>4900</v>
      </c>
      <c r="LO73" s="37">
        <f t="shared" si="783"/>
        <v>4900</v>
      </c>
      <c r="LP73" s="141">
        <f>IFERROR(VLOOKUP($D73,'Adient Assende (Belgium) WK.17'!$B:KL,LQ$1,0),0)</f>
        <v>600</v>
      </c>
      <c r="LQ73" s="140">
        <f>IFERROR(VLOOKUP($D73,'Adient Arendal (Malzia) WK.12'!$B:KM,LQ$1,0),0)</f>
        <v>0</v>
      </c>
      <c r="LR73" s="140">
        <f>IFERROR(VLOOKUP($D73,'Adient Taizhou (China) WK.16'!$B:KP,LQ$1,0),0)</f>
        <v>0</v>
      </c>
      <c r="LS73" s="128">
        <v>0</v>
      </c>
      <c r="LT73" s="32">
        <v>0</v>
      </c>
      <c r="LU73" s="100">
        <f t="shared" si="784"/>
        <v>4300</v>
      </c>
      <c r="LW73" s="37">
        <f t="shared" si="785"/>
        <v>4300</v>
      </c>
      <c r="LX73" s="141">
        <f>IFERROR(VLOOKUP($D73,'Adient Assende (Belgium) WK.17'!$B:KT,LY$1,0),0)</f>
        <v>2200</v>
      </c>
      <c r="LY73" s="140">
        <f>IFERROR(VLOOKUP($D73,'Adient Arendal (Malzia) WK.12'!$B:KU,LY$1,0),0)</f>
        <v>0</v>
      </c>
      <c r="LZ73" s="140">
        <f>IFERROR(VLOOKUP($D73,'Adient Taizhou (China) WK.16'!$B:KX,LY$1,0),0)</f>
        <v>0</v>
      </c>
      <c r="MA73" s="128">
        <v>0</v>
      </c>
      <c r="MB73" s="32">
        <v>0</v>
      </c>
      <c r="MC73" s="100">
        <f t="shared" si="786"/>
        <v>2100</v>
      </c>
      <c r="ME73" s="37">
        <f t="shared" si="787"/>
        <v>2100</v>
      </c>
      <c r="MF73" s="154">
        <f>IFERROR(VLOOKUP($D73,'Adient Assende (Belgium) WK.17'!$B:LB,MG$1,0),0)</f>
        <v>0</v>
      </c>
      <c r="MG73" s="140">
        <f>IFERROR(VLOOKUP($D73,'Adient Arendal (Malzia) WK.12'!$B:LC,MG$1,0),0)</f>
        <v>0</v>
      </c>
      <c r="MH73" s="140">
        <f>IFERROR(VLOOKUP($D73,'Adient Taizhou (China) WK.16'!$B:LF,MG$1,0),0)</f>
        <v>0</v>
      </c>
      <c r="MI73" s="128">
        <v>0</v>
      </c>
      <c r="MJ73" s="32">
        <v>0</v>
      </c>
      <c r="MK73" s="100">
        <f t="shared" si="788"/>
        <v>2100</v>
      </c>
      <c r="MM73" s="37">
        <f t="shared" si="789"/>
        <v>2100</v>
      </c>
      <c r="MN73" s="141">
        <f>IFERROR(VLOOKUP($D73,'Adient Assende (Belgium) WK.17'!$B:LJ,MO$1,0),0)</f>
        <v>1400</v>
      </c>
      <c r="MO73" s="140">
        <f>IFERROR(VLOOKUP($D73,'Adient Arendal (Malzia) WK.12'!$B:LK,MO$1,0),0)</f>
        <v>0</v>
      </c>
      <c r="MP73" s="140">
        <f>IFERROR(VLOOKUP($D73,'Adient Taizhou (China) WK.16'!$B:LN,MO$1,0),0)</f>
        <v>0</v>
      </c>
      <c r="MQ73" s="128">
        <v>0</v>
      </c>
      <c r="MR73" s="32">
        <v>0</v>
      </c>
      <c r="MS73" s="100">
        <f t="shared" si="790"/>
        <v>700</v>
      </c>
      <c r="MU73" s="37">
        <f t="shared" si="791"/>
        <v>700</v>
      </c>
      <c r="MV73" s="141">
        <f>IFERROR(VLOOKUP($D73,'Adient Assende (Belgium) WK.17'!$B:LR,MW$1,0),0)</f>
        <v>1600</v>
      </c>
      <c r="MW73" s="140">
        <f>IFERROR(VLOOKUP($D73,'Adient Arendal (Malzia) WK.12'!$B:LS,MW$1,0),0)</f>
        <v>0</v>
      </c>
      <c r="MX73" s="140">
        <f>IFERROR(VLOOKUP($D73,'Adient Taizhou (China) WK.16'!$B:LV,MW$1,0),0)</f>
        <v>0</v>
      </c>
      <c r="MY73" s="128">
        <v>0</v>
      </c>
      <c r="MZ73" s="32">
        <v>0</v>
      </c>
      <c r="NA73" s="100">
        <f t="shared" si="792"/>
        <v>-900</v>
      </c>
      <c r="NC73" s="37">
        <f t="shared" si="793"/>
        <v>-900</v>
      </c>
      <c r="ND73" s="141">
        <f>IFERROR(VLOOKUP($D73,'Adient Assende (Belgium) WK.17'!$B:LZ,NE$1,0),0)</f>
        <v>1600</v>
      </c>
      <c r="NE73" s="140">
        <f>IFERROR(VLOOKUP($D73,'Adient Arendal (Malzia) WK.12'!$B:MA,NE$1,0),0)</f>
        <v>0</v>
      </c>
      <c r="NF73" s="140">
        <f>IFERROR(VLOOKUP($D73,'Adient Taizhou (China) WK.16'!$B:MD,NE$1,0),0)</f>
        <v>0</v>
      </c>
      <c r="NG73" s="128">
        <v>0</v>
      </c>
      <c r="NH73" s="32">
        <v>0</v>
      </c>
      <c r="NI73" s="100">
        <f t="shared" si="794"/>
        <v>-2500</v>
      </c>
      <c r="NK73" s="37">
        <f t="shared" si="795"/>
        <v>-2500</v>
      </c>
      <c r="NL73" s="141">
        <f>IFERROR(VLOOKUP($D73,'Adient Assende (Belgium) WK.17'!$B:MH,NM$1,0),0)</f>
        <v>1200</v>
      </c>
      <c r="NM73" s="140">
        <f>IFERROR(VLOOKUP($D73,'Adient Arendal (Malzia) WK.12'!$B:MI,NM$1,0),0)</f>
        <v>0</v>
      </c>
      <c r="NN73" s="140">
        <f>IFERROR(VLOOKUP($D73,'Adient Taizhou (China) WK.16'!$B:ML,NM$1,0),0)</f>
        <v>0</v>
      </c>
      <c r="NO73" s="128">
        <v>0</v>
      </c>
      <c r="NP73" s="32">
        <v>0</v>
      </c>
      <c r="NQ73" s="100">
        <f t="shared" si="796"/>
        <v>-3700</v>
      </c>
      <c r="NS73" s="37">
        <f t="shared" si="797"/>
        <v>-3700</v>
      </c>
      <c r="NT73" s="141">
        <f>IFERROR(VLOOKUP($D73,'Adient Assende (Belgium) WK.17'!$B:MP,NU$1,0),0)</f>
        <v>1600</v>
      </c>
      <c r="NU73" s="140">
        <f>IFERROR(VLOOKUP($D73,'Adient Arendal (Malzia) WK.12'!$B:MQ,NU$1,0),0)</f>
        <v>0</v>
      </c>
      <c r="NV73" s="140">
        <f>IFERROR(VLOOKUP($D73,'Adient Taizhou (China) WK.16'!$B:MT,NU$1,0),0)</f>
        <v>0</v>
      </c>
      <c r="NW73" s="128">
        <v>0</v>
      </c>
      <c r="NX73" s="32">
        <v>0</v>
      </c>
      <c r="NY73" s="100">
        <f t="shared" si="798"/>
        <v>-5300</v>
      </c>
      <c r="OA73" s="37">
        <f t="shared" si="799"/>
        <v>-5300</v>
      </c>
      <c r="OB73" s="141">
        <f>IFERROR(VLOOKUP($D73,'Adient Assende (Belgium) WK.17'!$B:MX,OC$1,0),0)</f>
        <v>1200</v>
      </c>
      <c r="OC73" s="140">
        <f>IFERROR(VLOOKUP($D73,'Adient Arendal (Malzia) WK.12'!$B:MY,OC$1,0),0)</f>
        <v>0</v>
      </c>
      <c r="OD73" s="140">
        <f>IFERROR(VLOOKUP($D73,'Adient Taizhou (China) WK.16'!$B:NB,OC$1,0),0)</f>
        <v>0</v>
      </c>
      <c r="OE73" s="128">
        <v>0</v>
      </c>
      <c r="OF73" s="32">
        <v>0</v>
      </c>
      <c r="OG73" s="100">
        <f t="shared" si="800"/>
        <v>-6500</v>
      </c>
      <c r="OI73" s="37">
        <f t="shared" si="801"/>
        <v>-6500</v>
      </c>
      <c r="OJ73" s="141">
        <f>IFERROR(VLOOKUP($D73,'Adient Assende (Belgium) WK.17'!$B:NF,OK$1,0),0)</f>
        <v>2200</v>
      </c>
      <c r="OK73" s="140">
        <f>IFERROR(VLOOKUP($D73,'Adient Arendal (Malzia) WK.12'!$B:NG,OK$1,0),0)</f>
        <v>0</v>
      </c>
      <c r="OL73" s="140">
        <f>IFERROR(VLOOKUP($D73,'Adient Taizhou (China) WK.16'!$B:NJ,OK$1,0),0)</f>
        <v>0</v>
      </c>
      <c r="OM73" s="128">
        <v>0</v>
      </c>
      <c r="ON73" s="32">
        <v>0</v>
      </c>
      <c r="OO73" s="100">
        <f t="shared" si="802"/>
        <v>-8700</v>
      </c>
      <c r="OQ73" s="37">
        <f t="shared" si="803"/>
        <v>-8700</v>
      </c>
      <c r="OR73" s="141">
        <f>IFERROR(VLOOKUP($D73,'Adient Assende (Belgium) WK.17'!$B:NN,OS$1,0),0)</f>
        <v>0</v>
      </c>
      <c r="OS73" s="140">
        <f>IFERROR(VLOOKUP($D73,'Adient Arendal (Malzia) WK.12'!$B:NO,OS$1,0),0)</f>
        <v>0</v>
      </c>
      <c r="OT73" s="140">
        <f>IFERROR(VLOOKUP($D73,'Adient Taizhou (China) WK.16'!$B:NR,OS$1,0),0)</f>
        <v>0</v>
      </c>
      <c r="OU73" s="128">
        <v>0</v>
      </c>
      <c r="OV73" s="32">
        <v>0</v>
      </c>
      <c r="OW73" s="100">
        <f t="shared" si="804"/>
        <v>-8700</v>
      </c>
      <c r="OY73" s="37">
        <f t="shared" si="805"/>
        <v>-8700</v>
      </c>
      <c r="OZ73" s="141">
        <f>IFERROR(VLOOKUP($D73,'Adient Assende (Belgium) WK.17'!$B:NV,PA$1,0),0)</f>
        <v>0</v>
      </c>
      <c r="PA73" s="140">
        <f>IFERROR(VLOOKUP($D73,'Adient Arendal (Malzia) WK.12'!$B:NW,PA$1,0),0)</f>
        <v>0</v>
      </c>
      <c r="PB73" s="140">
        <f>IFERROR(VLOOKUP($D73,'Adient Taizhou (China) WK.16'!$B:NZ,PA$1,0),0)</f>
        <v>0</v>
      </c>
      <c r="PC73" s="128">
        <v>0</v>
      </c>
      <c r="PD73" s="32">
        <v>0</v>
      </c>
      <c r="PE73" s="100">
        <f t="shared" si="806"/>
        <v>-8700</v>
      </c>
      <c r="PG73" s="37">
        <f t="shared" si="807"/>
        <v>-8700</v>
      </c>
      <c r="PH73" s="141">
        <f>IFERROR(VLOOKUP($D73,'Adient Assende (Belgium) WK.17'!$B:OD,PI$1,0),0)</f>
        <v>0</v>
      </c>
      <c r="PI73" s="140">
        <f>IFERROR(VLOOKUP($D73,'Adient Arendal (Malzia) WK.12'!$B:OE,PI$1,0),0)</f>
        <v>0</v>
      </c>
      <c r="PJ73" s="140">
        <f>IFERROR(VLOOKUP($D73,'Adient Taizhou (China) WK.16'!$B:OH,PI$1,0),0)</f>
        <v>0</v>
      </c>
      <c r="PK73" s="128">
        <v>0</v>
      </c>
      <c r="PL73" s="32">
        <v>0</v>
      </c>
      <c r="PM73" s="100">
        <f t="shared" si="808"/>
        <v>-8700</v>
      </c>
      <c r="PO73" s="37">
        <f t="shared" si="809"/>
        <v>-8700</v>
      </c>
      <c r="PP73" s="141">
        <f>IFERROR(VLOOKUP($D73,'Adient Assende (Belgium) WK.17'!$B:OL,PQ$1,0),0)</f>
        <v>0</v>
      </c>
      <c r="PQ73" s="140">
        <f>IFERROR(VLOOKUP($D73,'Adient Arendal (Malzia) WK.12'!$B:OM,PQ$1,0),0)</f>
        <v>0</v>
      </c>
      <c r="PR73" s="140">
        <f>IFERROR(VLOOKUP($D73,'Adient Taizhou (China) WK.16'!$B:OP,PQ$1,0),0)</f>
        <v>0</v>
      </c>
      <c r="PS73" s="128">
        <v>0</v>
      </c>
      <c r="PT73" s="32">
        <v>0</v>
      </c>
      <c r="PU73" s="100">
        <f t="shared" si="810"/>
        <v>-8700</v>
      </c>
      <c r="PW73" s="37">
        <f t="shared" si="811"/>
        <v>-8700</v>
      </c>
      <c r="PX73" s="141">
        <f>IFERROR(VLOOKUP($D73,'Adient Assende (Belgium) WK.17'!$B:OT,PY$1,0),0)</f>
        <v>1200</v>
      </c>
      <c r="PY73" s="140">
        <f>IFERROR(VLOOKUP($D73,'Adient Arendal (Malzia) WK.12'!$B:OU,PY$1,0),0)</f>
        <v>0</v>
      </c>
      <c r="PZ73" s="140">
        <f>IFERROR(VLOOKUP($D73,'Adient Taizhou (China) WK.16'!$B:OX,PY$1,0),0)</f>
        <v>0</v>
      </c>
      <c r="QA73" s="128">
        <v>0</v>
      </c>
      <c r="QB73" s="32">
        <v>0</v>
      </c>
      <c r="QC73" s="100">
        <f t="shared" si="812"/>
        <v>-9900</v>
      </c>
      <c r="QE73" s="37">
        <f t="shared" si="813"/>
        <v>-9900</v>
      </c>
      <c r="QF73" s="141">
        <f>IFERROR(VLOOKUP($D73,'Adient Assende (Belgium) WK.17'!$B:PB,QG$1,0),0)</f>
        <v>1200</v>
      </c>
      <c r="QG73" s="140">
        <f>IFERROR(VLOOKUP($D73,'Adient Arendal (Malzia) WK.12'!$B:PC,QG$1,0),0)</f>
        <v>0</v>
      </c>
      <c r="QH73" s="140">
        <f>IFERROR(VLOOKUP($D73,'Adient Taizhou (China) WK.16'!$B:PF,QG$1,0),0)</f>
        <v>0</v>
      </c>
      <c r="QI73" s="128">
        <v>0</v>
      </c>
      <c r="QJ73" s="32">
        <v>0</v>
      </c>
      <c r="QK73" s="100">
        <f t="shared" si="814"/>
        <v>-11100</v>
      </c>
      <c r="QM73" s="37">
        <f t="shared" si="815"/>
        <v>-11100</v>
      </c>
      <c r="QN73" s="141">
        <f>IFERROR(VLOOKUP($D73,'Adient Assende (Belgium) WK.17'!$B:PJ,QO$1,0),0)</f>
        <v>1200</v>
      </c>
      <c r="QO73" s="140">
        <f>IFERROR(VLOOKUP($D73,'Adient Arendal (Malzia) WK.12'!$B:PK,QO$1,0),0)</f>
        <v>0</v>
      </c>
      <c r="QP73" s="140">
        <f>IFERROR(VLOOKUP($D73,'Adient Taizhou (China) WK.16'!$B:PN,QO$1,0),0)</f>
        <v>0</v>
      </c>
      <c r="QQ73" s="128">
        <v>0</v>
      </c>
      <c r="QR73" s="32">
        <v>0</v>
      </c>
      <c r="QS73" s="100">
        <f t="shared" si="816"/>
        <v>-12300</v>
      </c>
      <c r="QU73" s="37">
        <f t="shared" si="817"/>
        <v>-12300</v>
      </c>
      <c r="QV73" s="141">
        <f>IFERROR(VLOOKUP($D73,'Adient Assende (Belgium) WK.17'!$B:PR,QW$1,0),0)</f>
        <v>1200</v>
      </c>
      <c r="QW73" s="140">
        <f>IFERROR(VLOOKUP($D73,'Adient Arendal (Malzia) WK.12'!$B:PS,QW$1,0),0)</f>
        <v>0</v>
      </c>
      <c r="QX73" s="140">
        <f>IFERROR(VLOOKUP($D73,'Adient Taizhou (China) WK.16'!$B:PV,QW$1,0),0)</f>
        <v>0</v>
      </c>
      <c r="QY73" s="128">
        <v>0</v>
      </c>
      <c r="QZ73" s="32">
        <v>0</v>
      </c>
      <c r="RA73" s="100">
        <f t="shared" si="818"/>
        <v>-13500</v>
      </c>
      <c r="RC73" s="37">
        <f t="shared" si="819"/>
        <v>-13500</v>
      </c>
      <c r="RD73" s="141">
        <f>IFERROR(VLOOKUP($D73,'Adient Assende (Belgium) WK.17'!$B:PZ,RE$1,0),0)</f>
        <v>1200</v>
      </c>
      <c r="RE73" s="140">
        <f>IFERROR(VLOOKUP($D73,'Adient Arendal (Malzia) WK.12'!$B:QA,RE$1,0),0)</f>
        <v>0</v>
      </c>
      <c r="RF73" s="140">
        <f>IFERROR(VLOOKUP($D73,'Adient Taizhou (China) WK.16'!$B:QD,RE$1,0),0)</f>
        <v>0</v>
      </c>
      <c r="RG73" s="128">
        <v>0</v>
      </c>
      <c r="RH73" s="32">
        <v>0</v>
      </c>
      <c r="RI73" s="100">
        <f t="shared" si="820"/>
        <v>-14700</v>
      </c>
      <c r="RK73" s="37">
        <f t="shared" si="821"/>
        <v>-14700</v>
      </c>
      <c r="RL73" s="141">
        <f>IFERROR(VLOOKUP($D73,'Adient Assende (Belgium) WK.17'!$B:QH,RM$1,0),0)</f>
        <v>1200</v>
      </c>
      <c r="RM73" s="140">
        <f>IFERROR(VLOOKUP($D73,'Adient Arendal (Malzia) WK.12'!$B:QI,RM$1,0),0)</f>
        <v>0</v>
      </c>
      <c r="RN73" s="140">
        <f>IFERROR(VLOOKUP($D73,'Adient Taizhou (China) WK.16'!$B:QL,RM$1,0),0)</f>
        <v>0</v>
      </c>
      <c r="RO73" s="128">
        <v>0</v>
      </c>
      <c r="RP73" s="32">
        <v>0</v>
      </c>
      <c r="RQ73" s="100">
        <f t="shared" si="822"/>
        <v>-15900</v>
      </c>
      <c r="RS73" s="37">
        <f t="shared" si="823"/>
        <v>-15900</v>
      </c>
      <c r="RT73" s="141">
        <f>IFERROR(VLOOKUP($D73,'Adient Assende (Belgium) WK.17'!$B:QP,RU$1,0),0)</f>
        <v>1200</v>
      </c>
      <c r="RU73" s="140">
        <f>IFERROR(VLOOKUP($D73,'Adient Arendal (Malzia) WK.12'!$B:QQ,RU$1,0),0)</f>
        <v>0</v>
      </c>
      <c r="RV73" s="140">
        <f>IFERROR(VLOOKUP($D73,'Adient Taizhou (China) WK.16'!$B:QT,RU$1,0),0)</f>
        <v>0</v>
      </c>
      <c r="RW73" s="128">
        <v>0</v>
      </c>
      <c r="RX73" s="32">
        <v>0</v>
      </c>
      <c r="RY73" s="100">
        <f t="shared" si="824"/>
        <v>-17100</v>
      </c>
      <c r="SA73" s="37">
        <f t="shared" si="825"/>
        <v>-17100</v>
      </c>
      <c r="SB73" s="141">
        <f>IFERROR(VLOOKUP($D73,'Adient Assende (Belgium) WK.17'!$B:QX,SC$1,0),0)</f>
        <v>900</v>
      </c>
      <c r="SC73" s="140">
        <f>IFERROR(VLOOKUP($D73,'Adient Arendal (Malzia) WK.12'!$B:QY,SC$1,0),0)</f>
        <v>0</v>
      </c>
      <c r="SD73" s="140">
        <f>IFERROR(VLOOKUP($D73,'Adient Taizhou (China) WK.16'!$B:RB,SC$1,0),0)</f>
        <v>0</v>
      </c>
      <c r="SE73" s="128">
        <v>0</v>
      </c>
      <c r="SF73" s="32">
        <v>0</v>
      </c>
      <c r="SG73" s="100">
        <f t="shared" si="826"/>
        <v>-18000</v>
      </c>
      <c r="SI73" s="37">
        <f t="shared" si="827"/>
        <v>-18000</v>
      </c>
      <c r="SJ73" s="141">
        <f>IFERROR(VLOOKUP($D73,'Adient Assende (Belgium) WK.17'!$B:RF,SK$1,0),0)</f>
        <v>900</v>
      </c>
      <c r="SK73" s="140">
        <f>IFERROR(VLOOKUP($D73,'Adient Arendal (Malzia) WK.12'!$B:RG,SK$1,0),0)</f>
        <v>0</v>
      </c>
      <c r="SL73" s="140">
        <f>IFERROR(VLOOKUP($D73,'Adient Taizhou (China) WK.16'!$B:RJ,SK$1,0),0)</f>
        <v>0</v>
      </c>
      <c r="SM73" s="128">
        <v>0</v>
      </c>
      <c r="SN73" s="32">
        <v>0</v>
      </c>
      <c r="SO73" s="100">
        <f t="shared" si="828"/>
        <v>-18900</v>
      </c>
      <c r="SQ73" s="37">
        <f t="shared" si="829"/>
        <v>-18900</v>
      </c>
      <c r="SR73" s="141">
        <f>IFERROR(VLOOKUP($D73,'Adient Assende (Belgium) WK.17'!$B:RN,SS$1,0),0)</f>
        <v>900</v>
      </c>
      <c r="SS73" s="140">
        <f>IFERROR(VLOOKUP($D73,'Adient Arendal (Malzia) WK.12'!$B:RO,SS$1,0),0)</f>
        <v>0</v>
      </c>
      <c r="ST73" s="140">
        <f>IFERROR(VLOOKUP($D73,'Adient Taizhou (China) WK.16'!$B:RR,SS$1,0),0)</f>
        <v>0</v>
      </c>
      <c r="SU73" s="128">
        <v>0</v>
      </c>
      <c r="SV73" s="32">
        <v>0</v>
      </c>
      <c r="SW73" s="100">
        <f t="shared" si="830"/>
        <v>-19800</v>
      </c>
      <c r="SY73" s="37">
        <f t="shared" si="831"/>
        <v>-19800</v>
      </c>
      <c r="SZ73" s="141">
        <f>IFERROR(VLOOKUP($D73,'Adient Assende (Belgium) WK.17'!$B:RV,TA$1,0),0)</f>
        <v>900</v>
      </c>
      <c r="TA73" s="140">
        <f>IFERROR(VLOOKUP($D73,'Adient Arendal (Malzia) WK.12'!$B:RW,TA$1,0),0)</f>
        <v>0</v>
      </c>
      <c r="TB73" s="140">
        <f>IFERROR(VLOOKUP($D73,'Adient Taizhou (China) WK.16'!$B:RZ,TA$1,0),0)</f>
        <v>0</v>
      </c>
      <c r="TC73" s="128">
        <v>0</v>
      </c>
      <c r="TD73" s="32">
        <v>0</v>
      </c>
      <c r="TE73" s="100">
        <f t="shared" si="832"/>
        <v>-20700</v>
      </c>
      <c r="TG73" s="37">
        <f t="shared" si="833"/>
        <v>-20700</v>
      </c>
      <c r="TH73" s="141">
        <f>IFERROR(VLOOKUP($D73,'Adient Assende (Belgium) WK.17'!$B:SD,TI$1,0),0)</f>
        <v>1240</v>
      </c>
      <c r="TI73" s="140">
        <f>IFERROR(VLOOKUP($D73,'Adient Arendal (Malzia) WK.12'!$B:SE,TI$1,0),0)</f>
        <v>0</v>
      </c>
      <c r="TJ73" s="140">
        <f>IFERROR(VLOOKUP($D73,'Adient Taizhou (China) WK.16'!$B:SH,TI$1,0),0)</f>
        <v>0</v>
      </c>
      <c r="TK73" s="128">
        <v>0</v>
      </c>
      <c r="TL73" s="32">
        <v>0</v>
      </c>
      <c r="TM73" s="100">
        <f t="shared" si="834"/>
        <v>-21940</v>
      </c>
      <c r="TO73" s="37">
        <f t="shared" si="835"/>
        <v>-21940</v>
      </c>
      <c r="TP73" s="141">
        <f>IFERROR(VLOOKUP($D73,'Adient Assende (Belgium) WK.17'!$B:SL,TQ$1,0),0)</f>
        <v>1240</v>
      </c>
      <c r="TQ73" s="140">
        <f>IFERROR(VLOOKUP($D73,'Adient Arendal (Malzia) WK.12'!$B:SM,TQ$1,0),0)</f>
        <v>0</v>
      </c>
      <c r="TR73" s="140">
        <f>IFERROR(VLOOKUP($D73,'Adient Taizhou (China) WK.16'!$B:SP,TQ$1,0),0)</f>
        <v>0</v>
      </c>
      <c r="TS73" s="128">
        <v>0</v>
      </c>
      <c r="TT73" s="32">
        <v>0</v>
      </c>
      <c r="TU73" s="100">
        <f t="shared" si="836"/>
        <v>-23180</v>
      </c>
      <c r="TW73" s="37">
        <f t="shared" si="837"/>
        <v>-23180</v>
      </c>
      <c r="TX73" s="141">
        <f>IFERROR(VLOOKUP($D73,'Adient Assende (Belgium) WK.17'!$B:ST,TY$1,0),0)</f>
        <v>1240</v>
      </c>
      <c r="TY73" s="140">
        <f>IFERROR(VLOOKUP($D73,'Adient Arendal (Malzia) WK.12'!$B:SU,TY$1,0),0)</f>
        <v>0</v>
      </c>
      <c r="TZ73" s="140">
        <f>IFERROR(VLOOKUP($D73,'Adient Taizhou (China) WK.16'!$B:SX,TY$1,0),0)</f>
        <v>0</v>
      </c>
      <c r="UA73" s="128">
        <v>0</v>
      </c>
      <c r="UB73" s="32">
        <v>0</v>
      </c>
      <c r="UC73" s="100">
        <f t="shared" si="838"/>
        <v>-24420</v>
      </c>
      <c r="UE73" s="37">
        <f t="shared" si="839"/>
        <v>-24420</v>
      </c>
      <c r="UF73" s="141">
        <f>IFERROR(VLOOKUP($D73,'Adient Assende (Belgium) WK.17'!$B:TB,UG$1,0),0)</f>
        <v>1240</v>
      </c>
      <c r="UG73" s="140">
        <f>IFERROR(VLOOKUP($D73,'Adient Arendal (Malzia) WK.12'!$B:TC,UG$1,0),0)</f>
        <v>0</v>
      </c>
      <c r="UH73" s="140">
        <f>IFERROR(VLOOKUP($D73,'Adient Taizhou (China) WK.16'!$B:TF,UG$1,0),0)</f>
        <v>0</v>
      </c>
      <c r="UI73" s="128">
        <v>0</v>
      </c>
      <c r="UJ73" s="32">
        <v>0</v>
      </c>
      <c r="UK73" s="100">
        <f t="shared" si="840"/>
        <v>-25660</v>
      </c>
      <c r="UM73" s="37">
        <f t="shared" si="841"/>
        <v>-25660</v>
      </c>
      <c r="UN73" s="141">
        <f>IFERROR(VLOOKUP($D73,'Adient Assende (Belgium) WK.17'!$B:TJ,UO$1,0),0)</f>
        <v>1240</v>
      </c>
      <c r="UO73" s="140">
        <f>IFERROR(VLOOKUP($D73,'Adient Arendal (Malzia) WK.12'!$B:TK,UO$1,0),0)</f>
        <v>0</v>
      </c>
      <c r="UP73" s="140">
        <f>IFERROR(VLOOKUP($D73,'Adient Taizhou (China) WK.16'!$B:TN,UO$1,0),0)</f>
        <v>0</v>
      </c>
      <c r="UQ73" s="128">
        <v>0</v>
      </c>
      <c r="UR73" s="32">
        <v>0</v>
      </c>
      <c r="US73" s="100">
        <f t="shared" si="842"/>
        <v>-26900</v>
      </c>
      <c r="UU73" s="37">
        <f t="shared" si="843"/>
        <v>-26900</v>
      </c>
      <c r="UV73" s="141">
        <f>IFERROR(VLOOKUP($D73,'Adient Assende (Belgium) WK.17'!$B:TR,UW$1,0),0)</f>
        <v>1200</v>
      </c>
      <c r="UW73" s="140">
        <f>IFERROR(VLOOKUP($D73,'Adient Arendal (Malzia) WK.12'!$B:TS,UW$1,0),0)</f>
        <v>0</v>
      </c>
      <c r="UX73" s="140">
        <f>IFERROR(VLOOKUP($D73,'Adient Taizhou (China) WK.16'!$B:TV,UW$1,0),0)</f>
        <v>0</v>
      </c>
      <c r="UY73" s="128">
        <v>0</v>
      </c>
      <c r="UZ73" s="32">
        <v>0</v>
      </c>
      <c r="VA73" s="100">
        <f t="shared" si="844"/>
        <v>-28100</v>
      </c>
      <c r="VC73" s="37">
        <f t="shared" si="845"/>
        <v>-28100</v>
      </c>
      <c r="VD73" s="141">
        <f>IFERROR(VLOOKUP($D73,'Adient Assende (Belgium) WK.17'!$B:TZ,VE$1,0),0)</f>
        <v>1200</v>
      </c>
      <c r="VE73" s="140">
        <f>IFERROR(VLOOKUP($D73,'Adient Arendal (Malzia) WK.12'!$B:UA,VE$1,0),0)</f>
        <v>0</v>
      </c>
      <c r="VF73" s="140">
        <f>IFERROR(VLOOKUP($D73,'Adient Taizhou (China) WK.16'!$B:UD,VE$1,0),0)</f>
        <v>0</v>
      </c>
      <c r="VG73" s="128">
        <v>0</v>
      </c>
      <c r="VH73" s="32">
        <v>0</v>
      </c>
      <c r="VI73" s="100">
        <f t="shared" si="846"/>
        <v>-29300</v>
      </c>
      <c r="VK73" s="37">
        <f t="shared" si="847"/>
        <v>-29300</v>
      </c>
      <c r="VL73" s="141">
        <f>IFERROR(VLOOKUP($D73,'Adient Assende (Belgium) WK.17'!$B:UH,VM$1,0),0)</f>
        <v>0</v>
      </c>
      <c r="VM73" s="140">
        <f>IFERROR(VLOOKUP($D73,'Adient Arendal (Malzia) WK.12'!$B:UI,VM$1,0),0)</f>
        <v>0</v>
      </c>
      <c r="VN73" s="140">
        <f>IFERROR(VLOOKUP($D73,'Adient Taizhou (China) WK.16'!$B:UL,VM$1,0),0)</f>
        <v>0</v>
      </c>
      <c r="VO73" s="128">
        <v>0</v>
      </c>
      <c r="VP73" s="32">
        <v>0</v>
      </c>
      <c r="VQ73" s="100">
        <f t="shared" si="848"/>
        <v>-29300</v>
      </c>
    </row>
    <row r="74" spans="1:589" x14ac:dyDescent="0.25">
      <c r="A74" s="10" t="s">
        <v>18</v>
      </c>
      <c r="B74" s="48" t="s">
        <v>20</v>
      </c>
      <c r="C74" s="88">
        <v>32272494</v>
      </c>
      <c r="D74" s="82">
        <v>4429351</v>
      </c>
      <c r="E74" s="11">
        <v>60</v>
      </c>
      <c r="F74" s="12"/>
      <c r="H74" s="122">
        <v>10020</v>
      </c>
      <c r="I74" s="125">
        <f>IFERROR(VLOOKUP($D74,'Adient Assende (Belgium) WK.17'!$B:C,J$1,0),0)</f>
        <v>240</v>
      </c>
      <c r="J74" s="55">
        <f>IFERROR(VLOOKUP($D74,'Adient Arendal (Malzia) WK.12'!$B:C,J$1,0),0)</f>
        <v>0</v>
      </c>
      <c r="K74" s="55">
        <f>IFERROR(VLOOKUP($D74,'Adient Taizhou (China) WK.16'!$B:C,J$1,0),0)</f>
        <v>0</v>
      </c>
      <c r="L74" s="128">
        <v>1200</v>
      </c>
      <c r="M74" s="32">
        <v>0</v>
      </c>
      <c r="N74" s="106">
        <f t="shared" si="233"/>
        <v>8820</v>
      </c>
      <c r="P74" s="37">
        <f t="shared" si="234"/>
        <v>8820</v>
      </c>
      <c r="Q74" s="125">
        <f>IFERROR(VLOOKUP($D74,'Adient Assende (Belgium) WK.17'!$B:K,R$1,0),0)</f>
        <v>1200</v>
      </c>
      <c r="R74" s="55">
        <f>IFERROR(VLOOKUP($D74,'Adient Arendal (Malzia) WK.12'!$B:K,R$1,0),0)</f>
        <v>60</v>
      </c>
      <c r="S74" s="55">
        <f>IFERROR(VLOOKUP($D74,'Adient Taizhou (China) WK.16'!$B:K,R$1,0),0)</f>
        <v>0</v>
      </c>
      <c r="T74" s="41">
        <v>1680</v>
      </c>
      <c r="U74" s="32">
        <v>0</v>
      </c>
      <c r="V74" s="106">
        <f t="shared" si="235"/>
        <v>7080</v>
      </c>
      <c r="X74" s="37">
        <f t="shared" si="236"/>
        <v>7080</v>
      </c>
      <c r="Y74" s="125">
        <f>IFERROR(VLOOKUP($D74,'Adient Assende (Belgium) WK.17'!$B:S,Z$1,0),0)</f>
        <v>1680</v>
      </c>
      <c r="Z74" s="55">
        <f>IFERROR(VLOOKUP($D74,'Adient Arendal (Malzia) WK.12'!$B:S,Z$1,0),0)</f>
        <v>0</v>
      </c>
      <c r="AA74" s="55">
        <f>IFERROR(VLOOKUP($D74,'Adient Taizhou (China) WK.16'!$B:S,Z$1,0),0)</f>
        <v>0</v>
      </c>
      <c r="AB74" s="41">
        <v>1200</v>
      </c>
      <c r="AC74" s="32">
        <v>0</v>
      </c>
      <c r="AD74" s="106">
        <f t="shared" si="237"/>
        <v>5880</v>
      </c>
      <c r="AF74" s="37">
        <f t="shared" si="238"/>
        <v>5880</v>
      </c>
      <c r="AG74" s="125">
        <f>IFERROR(VLOOKUP($D74,'Adient Assende (Belgium) WK.17'!$B:AA,AH$1,0),0)</f>
        <v>1200</v>
      </c>
      <c r="AH74" s="55">
        <f>IFERROR(VLOOKUP($D74,'Adient Arendal (Malzia) WK.12'!$B:AA,AH$1,0),0)</f>
        <v>0</v>
      </c>
      <c r="AI74" s="55">
        <f>IFERROR(VLOOKUP($D74,'Adient Taizhou (China) WK.16'!$B:AA,AH$1,0),0)</f>
        <v>0</v>
      </c>
      <c r="AJ74" s="41">
        <v>1200</v>
      </c>
      <c r="AK74" s="32">
        <v>0</v>
      </c>
      <c r="AL74" s="106">
        <f t="shared" si="239"/>
        <v>4680</v>
      </c>
      <c r="AN74" s="37">
        <f t="shared" si="746"/>
        <v>4680</v>
      </c>
      <c r="AO74" s="125">
        <f>IFERROR(VLOOKUP($D74,'Adient Assende (Belgium) WK.17'!$B:AI,AP$1,0),0)</f>
        <v>1200</v>
      </c>
      <c r="AP74" s="55">
        <f>IFERROR(VLOOKUP($D74,'Adient Arendal (Malzia) WK.12'!$B:AI,AP$1,0),0)</f>
        <v>0</v>
      </c>
      <c r="AQ74" s="55">
        <f>IFERROR(VLOOKUP($D74,'Adient Taizhou (China) WK.16'!$B:AI,AP$1,0),0)</f>
        <v>0</v>
      </c>
      <c r="AR74" s="60">
        <v>0</v>
      </c>
      <c r="AS74" s="41">
        <v>960</v>
      </c>
      <c r="AT74" s="32">
        <v>0</v>
      </c>
      <c r="AU74" s="106">
        <f t="shared" si="240"/>
        <v>3720</v>
      </c>
      <c r="AW74" s="37">
        <f t="shared" si="747"/>
        <v>3720</v>
      </c>
      <c r="AX74" s="125">
        <f>IFERROR(VLOOKUP($D74,'Adient Assende (Belgium) WK.17'!$B:AR,AY$1,0),0)</f>
        <v>960</v>
      </c>
      <c r="AY74" s="55">
        <f>IFERROR(VLOOKUP($D74,'Adient Arendal (Malzia) WK.12'!$B:AR,AY$1,0),0)</f>
        <v>0</v>
      </c>
      <c r="AZ74" s="55">
        <f>IFERROR(VLOOKUP($D74,'Adient Taizhou (China) WK.16'!$B:AU,AY$1,0),0)</f>
        <v>0</v>
      </c>
      <c r="BA74" s="41">
        <v>960</v>
      </c>
      <c r="BB74" s="32">
        <v>0</v>
      </c>
      <c r="BC74" s="106">
        <f t="shared" si="241"/>
        <v>2760</v>
      </c>
      <c r="BE74" s="37">
        <f t="shared" si="748"/>
        <v>2760</v>
      </c>
      <c r="BF74" s="125">
        <f>IFERROR(VLOOKUP($D74,'Adient Assende (Belgium) WK.17'!$B:AX,BG$1,0),0)</f>
        <v>960</v>
      </c>
      <c r="BG74" s="55">
        <f>IFERROR(VLOOKUP($D74,'Adient Arendal (Malzia) WK.12'!$B:AZ,BG$1,0),0)</f>
        <v>60</v>
      </c>
      <c r="BH74" s="55">
        <f>IFERROR(VLOOKUP($D74,'Adient Taizhou (China) WK.16'!$B:BB,BG$1,0),0)</f>
        <v>0</v>
      </c>
      <c r="BI74" s="60">
        <v>0</v>
      </c>
      <c r="BJ74" s="60">
        <v>0</v>
      </c>
      <c r="BK74" s="41">
        <v>960</v>
      </c>
      <c r="BL74" s="32">
        <v>0</v>
      </c>
      <c r="BM74" s="106">
        <f t="shared" si="242"/>
        <v>1740</v>
      </c>
      <c r="BN74" s="8"/>
      <c r="BO74" s="37">
        <f t="shared" si="749"/>
        <v>1740</v>
      </c>
      <c r="BP74" s="125">
        <f>IFERROR(VLOOKUP($D74,'Adient Assende (Belgium) WK.17'!$B:BH,BQ$1,0),0)</f>
        <v>960</v>
      </c>
      <c r="BQ74" s="55">
        <f>IFERROR(VLOOKUP($D74,'Adient Arendal (Malzia) WK.12'!$B:BI,BQ$1,0),0)</f>
        <v>0</v>
      </c>
      <c r="BR74" s="55">
        <f>IFERROR(VLOOKUP($D74,'Adient Taizhou (China) WK.16'!$B:BL,BQ$1,0),0)</f>
        <v>0</v>
      </c>
      <c r="BS74" s="60">
        <v>0</v>
      </c>
      <c r="BT74" s="60">
        <v>0</v>
      </c>
      <c r="BU74" s="60">
        <v>900</v>
      </c>
      <c r="BV74" s="41">
        <v>1200</v>
      </c>
      <c r="BW74" s="32">
        <v>0</v>
      </c>
      <c r="BX74" s="106">
        <f t="shared" si="243"/>
        <v>1440</v>
      </c>
      <c r="BY74" s="8"/>
      <c r="BZ74" s="37">
        <f t="shared" si="750"/>
        <v>1440</v>
      </c>
      <c r="CA74" s="125">
        <f>IFERROR(VLOOKUP($D74,'Adient Assende (Belgium) WK.17'!$B:BS,CB$1,0),0)</f>
        <v>1200</v>
      </c>
      <c r="CB74" s="55">
        <f>IFERROR(VLOOKUP($D74,'Adient Arendal (Malzia) WK.12'!$B:BT,CB$1,0),0)</f>
        <v>0</v>
      </c>
      <c r="CC74" s="55">
        <f>IFERROR(VLOOKUP($D74,'Adient Taizhou (China) WK.16'!$B:BW,CB$1,0),0)</f>
        <v>0</v>
      </c>
      <c r="CD74" s="60">
        <v>0</v>
      </c>
      <c r="CE74" s="60">
        <v>0</v>
      </c>
      <c r="CF74" s="41">
        <v>1440</v>
      </c>
      <c r="CG74" s="32">
        <v>0</v>
      </c>
      <c r="CH74" s="106">
        <f t="shared" si="244"/>
        <v>0</v>
      </c>
      <c r="CI74" s="8"/>
      <c r="CJ74" s="37">
        <f t="shared" si="751"/>
        <v>0</v>
      </c>
      <c r="CK74" s="125">
        <f>IFERROR(VLOOKUP($D74,'Adient Assende (Belgium) WK.17'!$B:CC,CL$1,0),0)</f>
        <v>1440</v>
      </c>
      <c r="CL74" s="55">
        <f>IFERROR(VLOOKUP($D74,'Adient Arendal (Malzia) WK.12'!$B:CD,CL$1,0),0)</f>
        <v>0</v>
      </c>
      <c r="CM74" s="55">
        <f>IFERROR(VLOOKUP($D74,'Adient Taizhou (China) WK.16'!$B:CG,CL$1,0),0)</f>
        <v>0</v>
      </c>
      <c r="CN74" s="60">
        <v>2580</v>
      </c>
      <c r="CO74" s="149">
        <v>0</v>
      </c>
      <c r="CP74" s="32">
        <v>0</v>
      </c>
      <c r="CQ74" s="106">
        <f t="shared" si="245"/>
        <v>2580</v>
      </c>
      <c r="CR74" s="8"/>
      <c r="CS74" s="122">
        <f t="shared" si="752"/>
        <v>2580</v>
      </c>
      <c r="CT74" s="154">
        <f>IFERROR(VLOOKUP($D74,'Adient Assende (Belgium) WK.17'!$B:CL,CU$1,0),0)</f>
        <v>0</v>
      </c>
      <c r="CU74" s="55">
        <f>IFERROR(VLOOKUP($D74,'Adient Arendal (Malzia) WK.12'!$B:CM,CU$1,0),0)</f>
        <v>0</v>
      </c>
      <c r="CV74" s="55">
        <f>IFERROR(VLOOKUP($D74,'Adient Taizhou (China) WK.16'!$B:CP,CU$1,0),0)</f>
        <v>0</v>
      </c>
      <c r="CW74" s="60">
        <v>0</v>
      </c>
      <c r="CX74" s="60">
        <v>3840</v>
      </c>
      <c r="CY74" s="128">
        <v>960</v>
      </c>
      <c r="CZ74" s="32">
        <v>0</v>
      </c>
      <c r="DA74" s="106">
        <f t="shared" si="246"/>
        <v>5460</v>
      </c>
      <c r="DB74" s="8"/>
      <c r="DC74" s="37">
        <f t="shared" si="753"/>
        <v>5460</v>
      </c>
      <c r="DD74" s="125">
        <f>IFERROR(VLOOKUP($D74,'Adient Assende (Belgium) WK.17'!$B:CS,DE$1,0),0)</f>
        <v>960</v>
      </c>
      <c r="DE74" s="55">
        <f>IFERROR(VLOOKUP($D74,'Adient Arendal (Malzia) WK.12'!$B:CU,DE$1,0),0)</f>
        <v>60</v>
      </c>
      <c r="DF74" s="55">
        <f>IFERROR(VLOOKUP($D74,'Adient Taizhou (China) WK.16'!$B:CX,DE$1,0),0)</f>
        <v>0</v>
      </c>
      <c r="DG74" s="60">
        <v>300</v>
      </c>
      <c r="DH74" s="128">
        <v>1200</v>
      </c>
      <c r="DI74" s="32">
        <v>0</v>
      </c>
      <c r="DJ74" s="106">
        <f t="shared" si="247"/>
        <v>4500</v>
      </c>
      <c r="DL74" s="37">
        <f t="shared" si="754"/>
        <v>4500</v>
      </c>
      <c r="DM74" s="125">
        <f>IFERROR(VLOOKUP($D74,'Adient Assende (Belgium) WK.17'!$B:DB,DN$1,0),0)</f>
        <v>1200</v>
      </c>
      <c r="DN74" s="55">
        <f>IFERROR(VLOOKUP($D74,'Adient Arendal (Malzia) WK.12'!$B:DC,DN$1,0),0)</f>
        <v>0</v>
      </c>
      <c r="DO74" s="55">
        <f>IFERROR(VLOOKUP($D74,'Adient Taizhou (China) WK.16'!$B:DF,DN$1,0),0)</f>
        <v>0</v>
      </c>
      <c r="DP74" s="128">
        <v>1440</v>
      </c>
      <c r="DQ74" s="32">
        <v>0</v>
      </c>
      <c r="DR74" s="106">
        <f t="shared" si="755"/>
        <v>3060</v>
      </c>
      <c r="DS74" s="8"/>
      <c r="DT74" s="37">
        <f t="shared" si="756"/>
        <v>3060</v>
      </c>
      <c r="DU74" s="125">
        <f>IFERROR(VLOOKUP($D74,'Adient Assende (Belgium) WK.17'!$B:DJ,DV$1,0),0)</f>
        <v>1440</v>
      </c>
      <c r="DV74" s="55">
        <f>IFERROR(VLOOKUP($D74,'Adient Arendal (Malzia) WK.12'!$B:DK,DV$1,0),0)</f>
        <v>0</v>
      </c>
      <c r="DW74" s="55">
        <f>IFERROR(VLOOKUP($D74,'Adient Taizhou (China) WK.16'!$B:DN,DV$1,0),0)</f>
        <v>0</v>
      </c>
      <c r="DX74" s="60">
        <v>1500</v>
      </c>
      <c r="DY74" s="60">
        <v>1080</v>
      </c>
      <c r="DZ74" s="128">
        <v>1200</v>
      </c>
      <c r="EA74" s="32">
        <v>0</v>
      </c>
      <c r="EB74" s="106">
        <f t="shared" si="248"/>
        <v>4440</v>
      </c>
      <c r="EC74" s="8"/>
      <c r="ED74" s="37">
        <f t="shared" si="757"/>
        <v>4440</v>
      </c>
      <c r="EE74" s="125">
        <f>IFERROR(VLOOKUP($D74,'Adient Assende (Belgium) WK.17'!$B:DR,EF$1,0),0)</f>
        <v>1200</v>
      </c>
      <c r="EF74" s="55">
        <f>IFERROR(VLOOKUP($D74,'Adient Arendal (Malzia) WK.12'!$B:DS,EF$1,0),0)</f>
        <v>0</v>
      </c>
      <c r="EG74" s="55">
        <f>IFERROR(VLOOKUP($D74,'Adient Taizhou (China) WK.16'!$B:DV,EF$1,0),0)</f>
        <v>0</v>
      </c>
      <c r="EH74" s="60">
        <v>1020</v>
      </c>
      <c r="EI74" s="128">
        <v>960</v>
      </c>
      <c r="EJ74" s="32">
        <v>0</v>
      </c>
      <c r="EK74" s="106">
        <f t="shared" si="249"/>
        <v>4500</v>
      </c>
      <c r="EM74" s="37">
        <f t="shared" si="758"/>
        <v>4500</v>
      </c>
      <c r="EN74" s="125">
        <f>IFERROR(VLOOKUP($D74,'Adient Assende (Belgium) WK.17'!$B:DZ,EO$1,0),0)</f>
        <v>960</v>
      </c>
      <c r="EO74" s="55">
        <f>IFERROR(VLOOKUP($D74,'Adient Arendal (Malzia) WK.12'!$B:EA,EO$1,0),0)</f>
        <v>0</v>
      </c>
      <c r="EP74" s="55">
        <f>IFERROR(VLOOKUP($D74,'Adient Taizhou (China) WK.16'!$B:ED,EO$1,0),0)</f>
        <v>0</v>
      </c>
      <c r="EQ74" s="128">
        <v>1200</v>
      </c>
      <c r="ER74" s="32">
        <v>0</v>
      </c>
      <c r="ES74" s="106">
        <f t="shared" si="250"/>
        <v>3300</v>
      </c>
      <c r="EU74" s="37">
        <f t="shared" si="759"/>
        <v>3300</v>
      </c>
      <c r="EV74" s="125">
        <f>IFERROR(VLOOKUP($D74,'Adient Assende (Belgium) WK.17'!$B:EH,EW$1,0),0)</f>
        <v>1200</v>
      </c>
      <c r="EW74" s="55">
        <f>IFERROR(VLOOKUP($D74,'Adient Arendal (Malzia) WK.12'!$B:EI,EW$1,0),0)</f>
        <v>0</v>
      </c>
      <c r="EX74" s="55">
        <f>IFERROR(VLOOKUP($D74,'Adient Taizhou (China) WK.16'!$B:EL,EW$1,0),0)</f>
        <v>0</v>
      </c>
      <c r="EY74" s="128">
        <v>0</v>
      </c>
      <c r="EZ74" s="32">
        <v>0</v>
      </c>
      <c r="FA74" s="106">
        <f t="shared" si="251"/>
        <v>3300</v>
      </c>
      <c r="FC74" s="37">
        <f t="shared" si="760"/>
        <v>3300</v>
      </c>
      <c r="FD74" s="154">
        <f>IFERROR(VLOOKUP($D74,'Adient Assende (Belgium) WK.17'!$B:EP,FE$1,0),0)</f>
        <v>0</v>
      </c>
      <c r="FE74" s="154">
        <f>IFERROR(VLOOKUP($D74,'Adient Arendal (Malzia) WK.12'!$B:EQ,FE$1,0),0)</f>
        <v>0</v>
      </c>
      <c r="FF74" s="154">
        <f>IFERROR(VLOOKUP($D74,'Adient Taizhou (China) WK.16'!$B:ET,FE$1,0),0)</f>
        <v>0</v>
      </c>
      <c r="FG74" s="128">
        <v>0</v>
      </c>
      <c r="FH74" s="32">
        <v>0</v>
      </c>
      <c r="FI74" s="106">
        <f t="shared" si="252"/>
        <v>3300</v>
      </c>
      <c r="FK74" s="37">
        <f t="shared" si="761"/>
        <v>3300</v>
      </c>
      <c r="FL74" s="125">
        <f>IFERROR(VLOOKUP($D74,'Adient Assende (Belgium) WK.17'!$B:EX,FM$1,0),0)</f>
        <v>0</v>
      </c>
      <c r="FM74" s="55">
        <f>IFERROR(VLOOKUP($D74,'Adient Arendal (Malzia) WK.12'!$B:EY,FM$1,0),0)</f>
        <v>0</v>
      </c>
      <c r="FN74" s="55">
        <f>IFERROR(VLOOKUP($D74,'Adient Taizhou (China) WK.16'!$B:FB,FM$1,0),0)</f>
        <v>0</v>
      </c>
      <c r="FO74" s="128">
        <v>720</v>
      </c>
      <c r="FP74" s="32">
        <v>0</v>
      </c>
      <c r="FQ74" s="106">
        <f t="shared" si="253"/>
        <v>2580</v>
      </c>
      <c r="FR74" s="8"/>
      <c r="FS74" s="37">
        <f t="shared" si="762"/>
        <v>2580</v>
      </c>
      <c r="FT74" s="125">
        <f>IFERROR(VLOOKUP($D74,'Adient Assende (Belgium) WK.17'!$B:FF,FU$1,0),0)</f>
        <v>720</v>
      </c>
      <c r="FU74" s="55">
        <f>IFERROR(VLOOKUP($D74,'Adient Arendal (Malzia) WK.12'!$B:FG,FU$1,0),0)</f>
        <v>60</v>
      </c>
      <c r="FV74" s="55">
        <f>IFERROR(VLOOKUP($D74,'Adient Taizhou (China) WK.16'!$B:FJ,FU$1,0),0)</f>
        <v>0</v>
      </c>
      <c r="FW74" s="60">
        <v>300</v>
      </c>
      <c r="FX74" s="60">
        <v>360</v>
      </c>
      <c r="FY74" s="60">
        <v>1020</v>
      </c>
      <c r="FZ74" s="60">
        <v>960</v>
      </c>
      <c r="GA74" s="60">
        <v>0</v>
      </c>
      <c r="GB74" s="128">
        <v>960</v>
      </c>
      <c r="GC74" s="32">
        <v>0</v>
      </c>
      <c r="GD74" s="106">
        <f t="shared" si="254"/>
        <v>4200</v>
      </c>
      <c r="GF74" s="37">
        <f t="shared" si="763"/>
        <v>4200</v>
      </c>
      <c r="GG74" s="125">
        <f>IFERROR(VLOOKUP($D74,'Adient Assende (Belgium) WK.17'!$B:FN,GH$1,0),0)</f>
        <v>960</v>
      </c>
      <c r="GH74" s="55">
        <f>IFERROR(VLOOKUP($D74,'Adient Arendal (Malzia) WK.12'!$B:FO,GH$1,0),0)</f>
        <v>0</v>
      </c>
      <c r="GI74" s="55">
        <f>IFERROR(VLOOKUP($D74,'Adient Taizhou (China) WK.16'!$B:FR,GH$1,0),0)</f>
        <v>0</v>
      </c>
      <c r="GJ74" s="60">
        <v>2820</v>
      </c>
      <c r="GK74" s="128">
        <v>720</v>
      </c>
      <c r="GL74" s="32">
        <v>0</v>
      </c>
      <c r="GM74" s="106">
        <f t="shared" si="255"/>
        <v>6300</v>
      </c>
      <c r="GO74" s="37">
        <f t="shared" si="764"/>
        <v>6300</v>
      </c>
      <c r="GP74" s="125">
        <f>IFERROR(VLOOKUP($D74,'Adient Assende (Belgium) WK.17'!$B:FV,GQ$1,0),0)</f>
        <v>720</v>
      </c>
      <c r="GQ74" s="55">
        <f>IFERROR(VLOOKUP($D74,'Adient Arendal (Malzia) WK.12'!$B:FW,GQ$1,0),0)</f>
        <v>0</v>
      </c>
      <c r="GR74" s="55">
        <f>IFERROR(VLOOKUP($D74,'Adient Taizhou (China) WK.16'!$B:FZ,GQ$1,0),0)</f>
        <v>0</v>
      </c>
      <c r="GS74" s="60">
        <v>960</v>
      </c>
      <c r="GT74" s="128">
        <v>720</v>
      </c>
      <c r="GU74" s="32">
        <v>0</v>
      </c>
      <c r="GV74" s="106">
        <f t="shared" si="256"/>
        <v>6540</v>
      </c>
      <c r="GW74" s="8"/>
      <c r="GX74" s="37">
        <f t="shared" si="765"/>
        <v>6540</v>
      </c>
      <c r="GY74" s="125">
        <f>IFERROR(VLOOKUP($D74,'Adient Assende (Belgium) WK.17'!$B:GD,GZ$1,0),0)</f>
        <v>720</v>
      </c>
      <c r="GZ74" s="55">
        <f>IFERROR(VLOOKUP($D74,'Adient Arendal (Malzia) WK.12'!$B:GE,GZ$1,0),0)</f>
        <v>0</v>
      </c>
      <c r="HA74" s="55">
        <f>IFERROR(VLOOKUP($D74,'Adient Taizhou (China) WK.16'!$B:GH,GZ$1,0),0)</f>
        <v>0</v>
      </c>
      <c r="HB74" s="60">
        <v>1320</v>
      </c>
      <c r="HC74" s="128">
        <v>720</v>
      </c>
      <c r="HD74" s="32">
        <v>0</v>
      </c>
      <c r="HE74" s="106">
        <f t="shared" si="257"/>
        <v>7140</v>
      </c>
      <c r="HF74" s="8"/>
      <c r="HG74" s="37">
        <f t="shared" si="766"/>
        <v>7140</v>
      </c>
      <c r="HH74" s="125">
        <f>IFERROR(VLOOKUP($D74,'Adient Assende (Belgium) WK.17'!$B:GL,HI$1,0),0)</f>
        <v>720</v>
      </c>
      <c r="HI74" s="55">
        <f>IFERROR(VLOOKUP($D74,'Adient Arendal (Malzia) WK.12'!$B:GM,HI$1,0),0)</f>
        <v>0</v>
      </c>
      <c r="HJ74" s="55">
        <f>IFERROR(VLOOKUP($D74,'Adient Taizhou (China) WK.16'!$B:GP,HI$1,0),0)</f>
        <v>0</v>
      </c>
      <c r="HK74" s="60">
        <v>600</v>
      </c>
      <c r="HL74" s="128">
        <v>720</v>
      </c>
      <c r="HM74" s="32">
        <v>0</v>
      </c>
      <c r="HN74" s="106">
        <f t="shared" si="258"/>
        <v>7020</v>
      </c>
      <c r="HO74" s="8"/>
      <c r="HP74" s="37">
        <f t="shared" si="767"/>
        <v>7020</v>
      </c>
      <c r="HQ74" s="125">
        <f>IFERROR(VLOOKUP($D74,'Adient Assende (Belgium) WK.17'!$B:GT,HR$1,0),0)</f>
        <v>720</v>
      </c>
      <c r="HR74" s="55">
        <f>IFERROR(VLOOKUP($D74,'Adient Arendal (Malzia) WK.12'!$B:GU,HR$1,0),0)</f>
        <v>0</v>
      </c>
      <c r="HS74" s="55">
        <f>IFERROR(VLOOKUP($D74,'Adient Taizhou (China) WK.16'!$B:GX,HR$1,0),0)</f>
        <v>0</v>
      </c>
      <c r="HT74" s="60">
        <v>720</v>
      </c>
      <c r="HU74" s="128">
        <v>960</v>
      </c>
      <c r="HV74" s="32">
        <v>0</v>
      </c>
      <c r="HW74" s="106">
        <f t="shared" si="259"/>
        <v>6780</v>
      </c>
      <c r="HX74" s="8"/>
      <c r="HY74" s="37">
        <f t="shared" si="768"/>
        <v>6780</v>
      </c>
      <c r="HZ74" s="125">
        <f>IFERROR(VLOOKUP($D74,'Adient Assende (Belgium) WK.17'!$B:HB,IA$1,0),0)</f>
        <v>960</v>
      </c>
      <c r="IA74" s="55">
        <f>IFERROR(VLOOKUP($D74,'Adient Arendal (Malzia) WK.12'!$B:HC,IA$1,0),0)</f>
        <v>0</v>
      </c>
      <c r="IB74" s="55">
        <f>IFERROR(VLOOKUP($D74,'Adient Taizhou (China) WK.16'!$B:HF,IA$1,0),0)</f>
        <v>0</v>
      </c>
      <c r="IC74" s="60">
        <v>2400</v>
      </c>
      <c r="ID74" s="128">
        <v>960</v>
      </c>
      <c r="IE74" s="32">
        <v>0</v>
      </c>
      <c r="IF74" s="106">
        <f t="shared" si="260"/>
        <v>8220</v>
      </c>
      <c r="IG74" s="8"/>
      <c r="IH74" s="37">
        <f t="shared" si="769"/>
        <v>8220</v>
      </c>
      <c r="II74" s="125">
        <f>IFERROR(VLOOKUP($D74,'Adient Assende (Belgium) WK.17'!$B:HJ,IJ$1,0),0)</f>
        <v>960</v>
      </c>
      <c r="IJ74" s="55">
        <f>IFERROR(VLOOKUP($D74,'Adient Arendal (Malzia) WK.12'!$B:HK,IJ$1,0),0)</f>
        <v>0</v>
      </c>
      <c r="IK74" s="55">
        <f>IFERROR(VLOOKUP($D74,'Adient Taizhou (China) WK.16'!$B:HN,IJ$1,0),0)</f>
        <v>0</v>
      </c>
      <c r="IL74" s="128">
        <v>1200</v>
      </c>
      <c r="IM74" s="32">
        <v>0</v>
      </c>
      <c r="IN74" s="106">
        <f t="shared" si="770"/>
        <v>7020</v>
      </c>
      <c r="IO74" s="8"/>
      <c r="IP74" s="37">
        <f t="shared" si="771"/>
        <v>7020</v>
      </c>
      <c r="IQ74" s="125">
        <f>IFERROR(VLOOKUP($D74,'Adient Assende (Belgium) WK.17'!$B:HR,IR$1,0),0)</f>
        <v>1200</v>
      </c>
      <c r="IR74" s="55">
        <f>IFERROR(VLOOKUP($D74,'Adient Arendal (Malzia) WK.12'!$B:HS,IR$1,0),0)</f>
        <v>0</v>
      </c>
      <c r="IS74" s="55">
        <f>IFERROR(VLOOKUP($D74,'Adient Taizhou (China) WK.16'!$B:HV,IR$1,0),0)</f>
        <v>0</v>
      </c>
      <c r="IT74" s="60">
        <v>0</v>
      </c>
      <c r="IU74" s="128">
        <v>720</v>
      </c>
      <c r="IV74" s="32">
        <v>0</v>
      </c>
      <c r="IW74" s="106">
        <f t="shared" si="261"/>
        <v>6300</v>
      </c>
      <c r="IX74" s="8"/>
      <c r="IY74" s="37">
        <f t="shared" si="772"/>
        <v>6300</v>
      </c>
      <c r="IZ74" s="125">
        <f>IFERROR(VLOOKUP($D74,'Adient Assende (Belgium) WK.17'!$B:HZ,JA$1,0),0)</f>
        <v>720</v>
      </c>
      <c r="JA74" s="55">
        <f>IFERROR(VLOOKUP($D74,'Adient Arendal (Malzia) WK.12'!$B:IA,JA$1,0),0)</f>
        <v>0</v>
      </c>
      <c r="JB74" s="55">
        <f>IFERROR(VLOOKUP($D74,'Adient Taizhou (China) WK.16'!$B:ID,JA$1,0),0)</f>
        <v>0</v>
      </c>
      <c r="JC74" s="128">
        <v>720</v>
      </c>
      <c r="JD74" s="32">
        <v>0</v>
      </c>
      <c r="JE74" s="106">
        <f t="shared" si="773"/>
        <v>5580</v>
      </c>
      <c r="JF74" s="8"/>
      <c r="JG74" s="37">
        <f t="shared" si="774"/>
        <v>5580</v>
      </c>
      <c r="JH74" s="125">
        <f>IFERROR(VLOOKUP($D74,'Adient Assende (Belgium) WK.17'!$B:IH,JI$1,0),0)</f>
        <v>720</v>
      </c>
      <c r="JI74" s="55">
        <f>IFERROR(VLOOKUP($D74,'Adient Arendal (Malzia) WK.12'!$B:II,JI$1,0),0)</f>
        <v>0</v>
      </c>
      <c r="JJ74" s="55">
        <f>IFERROR(VLOOKUP($D74,'Adient Taizhou (China) WK.16'!$B:IL,JI$1,0),0)</f>
        <v>0</v>
      </c>
      <c r="JK74" s="60">
        <v>1380</v>
      </c>
      <c r="JL74" s="128">
        <v>2160</v>
      </c>
      <c r="JM74" s="32">
        <v>0</v>
      </c>
      <c r="JN74" s="106">
        <f t="shared" si="262"/>
        <v>4800</v>
      </c>
      <c r="JO74" s="8"/>
      <c r="JP74" s="37">
        <f t="shared" si="775"/>
        <v>4800</v>
      </c>
      <c r="JQ74" s="125">
        <f>IFERROR(VLOOKUP($D74,'Adient Assende (Belgium) WK.17'!$B:IP,JR$1,0),0)</f>
        <v>2160</v>
      </c>
      <c r="JR74" s="55">
        <f>IFERROR(VLOOKUP($D74,'Adient Arendal (Malzia) WK.12'!$B:IQ,JR$1,0),0)</f>
        <v>0</v>
      </c>
      <c r="JS74" s="55">
        <f>IFERROR(VLOOKUP($D74,'Adient Taizhou (China) WK.16'!$B:IT,JR$1,0),0)</f>
        <v>0</v>
      </c>
      <c r="JT74" s="128">
        <v>0</v>
      </c>
      <c r="JU74" s="32">
        <v>0</v>
      </c>
      <c r="JV74" s="106">
        <f t="shared" si="776"/>
        <v>4800</v>
      </c>
      <c r="JW74" s="8"/>
      <c r="JX74" s="37">
        <f t="shared" si="777"/>
        <v>4800</v>
      </c>
      <c r="JY74" s="154">
        <f>IFERROR(VLOOKUP($D74,'Adient Assende (Belgium) WK.17'!$B:IX,JZ$1,0),0)</f>
        <v>0</v>
      </c>
      <c r="JZ74" s="55">
        <f>IFERROR(VLOOKUP($D74,'Adient Arendal (Malzia) WK.12'!$B:IY,JZ$1,0),0)</f>
        <v>0</v>
      </c>
      <c r="KA74" s="55">
        <f>IFERROR(VLOOKUP($D74,'Adient Taizhou (China) WK.16'!$B:JB,JZ$1,0),0)</f>
        <v>0</v>
      </c>
      <c r="KB74" s="128">
        <v>960</v>
      </c>
      <c r="KC74" s="32">
        <v>0</v>
      </c>
      <c r="KD74" s="106">
        <f t="shared" si="263"/>
        <v>3840</v>
      </c>
      <c r="KE74" s="8"/>
      <c r="KF74" s="37">
        <f t="shared" si="778"/>
        <v>3840</v>
      </c>
      <c r="KG74" s="125">
        <f>IFERROR(VLOOKUP($D74,'Adient Assende (Belgium) WK.17'!$B:JF,KH$1,0),0)</f>
        <v>960</v>
      </c>
      <c r="KH74" s="55">
        <f>IFERROR(VLOOKUP($D74,'Adient Arendal (Malzia) WK.12'!$B:JG,KH$1,0),0)</f>
        <v>0</v>
      </c>
      <c r="KI74" s="55">
        <f>IFERROR(VLOOKUP($D74,'Adient Taizhou (China) WK.16'!$B:JJ,KH$1,0),0)</f>
        <v>0</v>
      </c>
      <c r="KJ74" s="60">
        <v>480</v>
      </c>
      <c r="KK74" s="128">
        <v>960</v>
      </c>
      <c r="KL74" s="32">
        <v>0</v>
      </c>
      <c r="KM74" s="106">
        <f t="shared" si="264"/>
        <v>3360</v>
      </c>
      <c r="KN74" s="8"/>
      <c r="KO74" s="37">
        <f t="shared" si="779"/>
        <v>3360</v>
      </c>
      <c r="KP74" s="141">
        <f>IFERROR(VLOOKUP($D74,'Adient Assende (Belgium) WK.17'!$B:JN,KQ$1,0),0)</f>
        <v>960</v>
      </c>
      <c r="KQ74" s="140">
        <f>IFERROR(VLOOKUP($D74,'Adient Arendal (Malzia) WK.12'!$B:JO,KQ$1,0),0)</f>
        <v>0</v>
      </c>
      <c r="KR74" s="140">
        <f>IFERROR(VLOOKUP($D74,'Adient Taizhou (China) WK.16'!$B:JR,KQ$1,0),0)</f>
        <v>0</v>
      </c>
      <c r="KS74" s="60">
        <v>1080</v>
      </c>
      <c r="KT74" s="128">
        <v>960</v>
      </c>
      <c r="KU74" s="32">
        <v>0</v>
      </c>
      <c r="KV74" s="106">
        <f t="shared" si="265"/>
        <v>3480</v>
      </c>
      <c r="KX74" s="37">
        <f t="shared" si="780"/>
        <v>3480</v>
      </c>
      <c r="KY74" s="141">
        <f>IFERROR(VLOOKUP($D74,'Adient Assende (Belgium) WK.17'!$B:JV,KZ$1,0),0)</f>
        <v>960</v>
      </c>
      <c r="KZ74" s="140">
        <f>IFERROR(VLOOKUP($D74,'Adient Arendal (Malzia) WK.12'!$B:JW,KZ$1,0),0)</f>
        <v>0</v>
      </c>
      <c r="LA74" s="140">
        <f>IFERROR(VLOOKUP($D74,'Adient Taizhou (China) WK.16'!$B:JZ,KZ$1,0),0)</f>
        <v>0</v>
      </c>
      <c r="LB74" s="128">
        <v>0</v>
      </c>
      <c r="LC74" s="32">
        <v>0</v>
      </c>
      <c r="LD74" s="106">
        <f t="shared" si="781"/>
        <v>3480</v>
      </c>
      <c r="LF74" s="37">
        <f t="shared" si="782"/>
        <v>3480</v>
      </c>
      <c r="LG74" s="141">
        <f>IFERROR(VLOOKUP($D74,'Adient Assende (Belgium) WK.17'!$B:KD,LH$1,0),0)</f>
        <v>1200</v>
      </c>
      <c r="LH74" s="140">
        <f>IFERROR(VLOOKUP($D74,'Adient Arendal (Malzia) WK.12'!$B:KE,LH$1,0),0)</f>
        <v>0</v>
      </c>
      <c r="LI74" s="140">
        <f>IFERROR(VLOOKUP($D74,'Adient Taizhou (China) WK.16'!$B:KH,LH$1,0),0)</f>
        <v>0</v>
      </c>
      <c r="LJ74" s="60">
        <v>3060</v>
      </c>
      <c r="LK74" s="128">
        <v>0</v>
      </c>
      <c r="LL74" s="32">
        <v>0</v>
      </c>
      <c r="LM74" s="100">
        <f t="shared" si="267"/>
        <v>5340</v>
      </c>
      <c r="LO74" s="37">
        <f t="shared" si="783"/>
        <v>5340</v>
      </c>
      <c r="LP74" s="141">
        <f>IFERROR(VLOOKUP($D74,'Adient Assende (Belgium) WK.17'!$B:KL,LQ$1,0),0)</f>
        <v>480</v>
      </c>
      <c r="LQ74" s="140">
        <f>IFERROR(VLOOKUP($D74,'Adient Arendal (Malzia) WK.12'!$B:KM,LQ$1,0),0)</f>
        <v>0</v>
      </c>
      <c r="LR74" s="140">
        <f>IFERROR(VLOOKUP($D74,'Adient Taizhou (China) WK.16'!$B:KP,LQ$1,0),0)</f>
        <v>0</v>
      </c>
      <c r="LS74" s="128">
        <v>0</v>
      </c>
      <c r="LT74" s="32">
        <v>0</v>
      </c>
      <c r="LU74" s="100">
        <f t="shared" si="784"/>
        <v>4860</v>
      </c>
      <c r="LW74" s="37">
        <f t="shared" si="785"/>
        <v>4860</v>
      </c>
      <c r="LX74" s="141">
        <f>IFERROR(VLOOKUP($D74,'Adient Assende (Belgium) WK.17'!$B:KT,LY$1,0),0)</f>
        <v>2160</v>
      </c>
      <c r="LY74" s="140">
        <f>IFERROR(VLOOKUP($D74,'Adient Arendal (Malzia) WK.12'!$B:KU,LY$1,0),0)</f>
        <v>0</v>
      </c>
      <c r="LZ74" s="140">
        <f>IFERROR(VLOOKUP($D74,'Adient Taizhou (China) WK.16'!$B:KX,LY$1,0),0)</f>
        <v>0</v>
      </c>
      <c r="MA74" s="128">
        <v>0</v>
      </c>
      <c r="MB74" s="32">
        <v>0</v>
      </c>
      <c r="MC74" s="100">
        <f t="shared" si="786"/>
        <v>2700</v>
      </c>
      <c r="ME74" s="37">
        <f t="shared" si="787"/>
        <v>2700</v>
      </c>
      <c r="MF74" s="154">
        <f>IFERROR(VLOOKUP($D74,'Adient Assende (Belgium) WK.17'!$B:LB,MG$1,0),0)</f>
        <v>0</v>
      </c>
      <c r="MG74" s="140">
        <f>IFERROR(VLOOKUP($D74,'Adient Arendal (Malzia) WK.12'!$B:LC,MG$1,0),0)</f>
        <v>0</v>
      </c>
      <c r="MH74" s="140">
        <f>IFERROR(VLOOKUP($D74,'Adient Taizhou (China) WK.16'!$B:LF,MG$1,0),0)</f>
        <v>0</v>
      </c>
      <c r="MI74" s="128">
        <v>0</v>
      </c>
      <c r="MJ74" s="32">
        <v>0</v>
      </c>
      <c r="MK74" s="100">
        <f t="shared" si="788"/>
        <v>2700</v>
      </c>
      <c r="MM74" s="37">
        <f t="shared" si="789"/>
        <v>2700</v>
      </c>
      <c r="MN74" s="141">
        <f>IFERROR(VLOOKUP($D74,'Adient Assende (Belgium) WK.17'!$B:LJ,MO$1,0),0)</f>
        <v>960</v>
      </c>
      <c r="MO74" s="140">
        <f>IFERROR(VLOOKUP($D74,'Adient Arendal (Malzia) WK.12'!$B:LK,MO$1,0),0)</f>
        <v>0</v>
      </c>
      <c r="MP74" s="140">
        <f>IFERROR(VLOOKUP($D74,'Adient Taizhou (China) WK.16'!$B:LN,MO$1,0),0)</f>
        <v>0</v>
      </c>
      <c r="MQ74" s="128">
        <v>0</v>
      </c>
      <c r="MR74" s="32">
        <v>0</v>
      </c>
      <c r="MS74" s="100">
        <f t="shared" si="790"/>
        <v>1740</v>
      </c>
      <c r="MU74" s="37">
        <f t="shared" si="791"/>
        <v>1740</v>
      </c>
      <c r="MV74" s="141">
        <f>IFERROR(VLOOKUP($D74,'Adient Assende (Belgium) WK.17'!$B:LR,MW$1,0),0)</f>
        <v>1200</v>
      </c>
      <c r="MW74" s="140">
        <f>IFERROR(VLOOKUP($D74,'Adient Arendal (Malzia) WK.12'!$B:LS,MW$1,0),0)</f>
        <v>0</v>
      </c>
      <c r="MX74" s="140">
        <f>IFERROR(VLOOKUP($D74,'Adient Taizhou (China) WK.16'!$B:LV,MW$1,0),0)</f>
        <v>0</v>
      </c>
      <c r="MY74" s="128">
        <v>0</v>
      </c>
      <c r="MZ74" s="32">
        <v>0</v>
      </c>
      <c r="NA74" s="100">
        <f t="shared" si="792"/>
        <v>540</v>
      </c>
      <c r="NC74" s="37">
        <f t="shared" si="793"/>
        <v>540</v>
      </c>
      <c r="ND74" s="141">
        <f>IFERROR(VLOOKUP($D74,'Adient Assende (Belgium) WK.17'!$B:LZ,NE$1,0),0)</f>
        <v>1440</v>
      </c>
      <c r="NE74" s="140">
        <f>IFERROR(VLOOKUP($D74,'Adient Arendal (Malzia) WK.12'!$B:MA,NE$1,0),0)</f>
        <v>0</v>
      </c>
      <c r="NF74" s="140">
        <f>IFERROR(VLOOKUP($D74,'Adient Taizhou (China) WK.16'!$B:MD,NE$1,0),0)</f>
        <v>0</v>
      </c>
      <c r="NG74" s="128">
        <v>0</v>
      </c>
      <c r="NH74" s="32">
        <v>0</v>
      </c>
      <c r="NI74" s="100">
        <f t="shared" si="794"/>
        <v>-900</v>
      </c>
      <c r="NK74" s="37">
        <f t="shared" si="795"/>
        <v>-900</v>
      </c>
      <c r="NL74" s="141">
        <f>IFERROR(VLOOKUP($D74,'Adient Assende (Belgium) WK.17'!$B:MH,NM$1,0),0)</f>
        <v>720</v>
      </c>
      <c r="NM74" s="140">
        <f>IFERROR(VLOOKUP($D74,'Adient Arendal (Malzia) WK.12'!$B:MI,NM$1,0),0)</f>
        <v>0</v>
      </c>
      <c r="NN74" s="140">
        <f>IFERROR(VLOOKUP($D74,'Adient Taizhou (China) WK.16'!$B:ML,NM$1,0),0)</f>
        <v>0</v>
      </c>
      <c r="NO74" s="128">
        <v>0</v>
      </c>
      <c r="NP74" s="32">
        <v>0</v>
      </c>
      <c r="NQ74" s="100">
        <f t="shared" si="796"/>
        <v>-1620</v>
      </c>
      <c r="NS74" s="37">
        <f t="shared" si="797"/>
        <v>-1620</v>
      </c>
      <c r="NT74" s="141">
        <f>IFERROR(VLOOKUP($D74,'Adient Assende (Belgium) WK.17'!$B:MP,NU$1,0),0)</f>
        <v>1200</v>
      </c>
      <c r="NU74" s="140">
        <f>IFERROR(VLOOKUP($D74,'Adient Arendal (Malzia) WK.12'!$B:MQ,NU$1,0),0)</f>
        <v>0</v>
      </c>
      <c r="NV74" s="140">
        <f>IFERROR(VLOOKUP($D74,'Adient Taizhou (China) WK.16'!$B:MT,NU$1,0),0)</f>
        <v>0</v>
      </c>
      <c r="NW74" s="128">
        <v>0</v>
      </c>
      <c r="NX74" s="32">
        <v>0</v>
      </c>
      <c r="NY74" s="100">
        <f t="shared" si="798"/>
        <v>-2820</v>
      </c>
      <c r="OA74" s="37">
        <f t="shared" si="799"/>
        <v>-2820</v>
      </c>
      <c r="OB74" s="141">
        <f>IFERROR(VLOOKUP($D74,'Adient Assende (Belgium) WK.17'!$B:MX,OC$1,0),0)</f>
        <v>960</v>
      </c>
      <c r="OC74" s="140">
        <f>IFERROR(VLOOKUP($D74,'Adient Arendal (Malzia) WK.12'!$B:MY,OC$1,0),0)</f>
        <v>0</v>
      </c>
      <c r="OD74" s="140">
        <f>IFERROR(VLOOKUP($D74,'Adient Taizhou (China) WK.16'!$B:NB,OC$1,0),0)</f>
        <v>0</v>
      </c>
      <c r="OE74" s="128">
        <v>0</v>
      </c>
      <c r="OF74" s="32">
        <v>0</v>
      </c>
      <c r="OG74" s="100">
        <f t="shared" si="800"/>
        <v>-3780</v>
      </c>
      <c r="OI74" s="37">
        <f t="shared" si="801"/>
        <v>-3780</v>
      </c>
      <c r="OJ74" s="141">
        <f>IFERROR(VLOOKUP($D74,'Adient Assende (Belgium) WK.17'!$B:NF,OK$1,0),0)</f>
        <v>1680</v>
      </c>
      <c r="OK74" s="140">
        <f>IFERROR(VLOOKUP($D74,'Adient Arendal (Malzia) WK.12'!$B:NG,OK$1,0),0)</f>
        <v>0</v>
      </c>
      <c r="OL74" s="140">
        <f>IFERROR(VLOOKUP($D74,'Adient Taizhou (China) WK.16'!$B:NJ,OK$1,0),0)</f>
        <v>0</v>
      </c>
      <c r="OM74" s="128">
        <v>0</v>
      </c>
      <c r="ON74" s="32">
        <v>0</v>
      </c>
      <c r="OO74" s="100">
        <f t="shared" si="802"/>
        <v>-5460</v>
      </c>
      <c r="OQ74" s="37">
        <f t="shared" si="803"/>
        <v>-5460</v>
      </c>
      <c r="OR74" s="141">
        <f>IFERROR(VLOOKUP($D74,'Adient Assende (Belgium) WK.17'!$B:NN,OS$1,0),0)</f>
        <v>0</v>
      </c>
      <c r="OS74" s="140">
        <f>IFERROR(VLOOKUP($D74,'Adient Arendal (Malzia) WK.12'!$B:NO,OS$1,0),0)</f>
        <v>0</v>
      </c>
      <c r="OT74" s="140">
        <f>IFERROR(VLOOKUP($D74,'Adient Taizhou (China) WK.16'!$B:NR,OS$1,0),0)</f>
        <v>0</v>
      </c>
      <c r="OU74" s="128">
        <v>0</v>
      </c>
      <c r="OV74" s="32">
        <v>0</v>
      </c>
      <c r="OW74" s="100">
        <f t="shared" si="804"/>
        <v>-5460</v>
      </c>
      <c r="OY74" s="37">
        <f t="shared" si="805"/>
        <v>-5460</v>
      </c>
      <c r="OZ74" s="141">
        <f>IFERROR(VLOOKUP($D74,'Adient Assende (Belgium) WK.17'!$B:NV,PA$1,0),0)</f>
        <v>0</v>
      </c>
      <c r="PA74" s="140">
        <f>IFERROR(VLOOKUP($D74,'Adient Arendal (Malzia) WK.12'!$B:NW,PA$1,0),0)</f>
        <v>0</v>
      </c>
      <c r="PB74" s="140">
        <f>IFERROR(VLOOKUP($D74,'Adient Taizhou (China) WK.16'!$B:NZ,PA$1,0),0)</f>
        <v>0</v>
      </c>
      <c r="PC74" s="128">
        <v>0</v>
      </c>
      <c r="PD74" s="32">
        <v>0</v>
      </c>
      <c r="PE74" s="100">
        <f t="shared" si="806"/>
        <v>-5460</v>
      </c>
      <c r="PG74" s="37">
        <f t="shared" si="807"/>
        <v>-5460</v>
      </c>
      <c r="PH74" s="141">
        <f>IFERROR(VLOOKUP($D74,'Adient Assende (Belgium) WK.17'!$B:OD,PI$1,0),0)</f>
        <v>0</v>
      </c>
      <c r="PI74" s="140">
        <f>IFERROR(VLOOKUP($D74,'Adient Arendal (Malzia) WK.12'!$B:OE,PI$1,0),0)</f>
        <v>0</v>
      </c>
      <c r="PJ74" s="140">
        <f>IFERROR(VLOOKUP($D74,'Adient Taizhou (China) WK.16'!$B:OH,PI$1,0),0)</f>
        <v>0</v>
      </c>
      <c r="PK74" s="128">
        <v>0</v>
      </c>
      <c r="PL74" s="32">
        <v>0</v>
      </c>
      <c r="PM74" s="100">
        <f t="shared" si="808"/>
        <v>-5460</v>
      </c>
      <c r="PO74" s="37">
        <f t="shared" si="809"/>
        <v>-5460</v>
      </c>
      <c r="PP74" s="141">
        <f>IFERROR(VLOOKUP($D74,'Adient Assende (Belgium) WK.17'!$B:OL,PQ$1,0),0)</f>
        <v>0</v>
      </c>
      <c r="PQ74" s="140">
        <f>IFERROR(VLOOKUP($D74,'Adient Arendal (Malzia) WK.12'!$B:OM,PQ$1,0),0)</f>
        <v>0</v>
      </c>
      <c r="PR74" s="140">
        <f>IFERROR(VLOOKUP($D74,'Adient Taizhou (China) WK.16'!$B:OP,PQ$1,0),0)</f>
        <v>0</v>
      </c>
      <c r="PS74" s="128">
        <v>0</v>
      </c>
      <c r="PT74" s="32">
        <v>0</v>
      </c>
      <c r="PU74" s="100">
        <f t="shared" si="810"/>
        <v>-5460</v>
      </c>
      <c r="PW74" s="37">
        <f t="shared" si="811"/>
        <v>-5460</v>
      </c>
      <c r="PX74" s="141">
        <f>IFERROR(VLOOKUP($D74,'Adient Assende (Belgium) WK.17'!$B:OT,PY$1,0),0)</f>
        <v>960</v>
      </c>
      <c r="PY74" s="140">
        <f>IFERROR(VLOOKUP($D74,'Adient Arendal (Malzia) WK.12'!$B:OU,PY$1,0),0)</f>
        <v>0</v>
      </c>
      <c r="PZ74" s="140">
        <f>IFERROR(VLOOKUP($D74,'Adient Taizhou (China) WK.16'!$B:OX,PY$1,0),0)</f>
        <v>0</v>
      </c>
      <c r="QA74" s="128">
        <v>0</v>
      </c>
      <c r="QB74" s="32">
        <v>0</v>
      </c>
      <c r="QC74" s="100">
        <f t="shared" si="812"/>
        <v>-6420</v>
      </c>
      <c r="QE74" s="37">
        <f t="shared" si="813"/>
        <v>-6420</v>
      </c>
      <c r="QF74" s="141">
        <f>IFERROR(VLOOKUP($D74,'Adient Assende (Belgium) WK.17'!$B:PB,QG$1,0),0)</f>
        <v>960</v>
      </c>
      <c r="QG74" s="140">
        <f>IFERROR(VLOOKUP($D74,'Adient Arendal (Malzia) WK.12'!$B:PC,QG$1,0),0)</f>
        <v>0</v>
      </c>
      <c r="QH74" s="140">
        <f>IFERROR(VLOOKUP($D74,'Adient Taizhou (China) WK.16'!$B:PF,QG$1,0),0)</f>
        <v>0</v>
      </c>
      <c r="QI74" s="128">
        <v>0</v>
      </c>
      <c r="QJ74" s="32">
        <v>0</v>
      </c>
      <c r="QK74" s="100">
        <f t="shared" si="814"/>
        <v>-7380</v>
      </c>
      <c r="QM74" s="37">
        <f t="shared" si="815"/>
        <v>-7380</v>
      </c>
      <c r="QN74" s="141">
        <f>IFERROR(VLOOKUP($D74,'Adient Assende (Belgium) WK.17'!$B:PJ,QO$1,0),0)</f>
        <v>960</v>
      </c>
      <c r="QO74" s="140">
        <f>IFERROR(VLOOKUP($D74,'Adient Arendal (Malzia) WK.12'!$B:PK,QO$1,0),0)</f>
        <v>0</v>
      </c>
      <c r="QP74" s="140">
        <f>IFERROR(VLOOKUP($D74,'Adient Taizhou (China) WK.16'!$B:PN,QO$1,0),0)</f>
        <v>0</v>
      </c>
      <c r="QQ74" s="128">
        <v>0</v>
      </c>
      <c r="QR74" s="32">
        <v>0</v>
      </c>
      <c r="QS74" s="100">
        <f t="shared" si="816"/>
        <v>-8340</v>
      </c>
      <c r="QU74" s="37">
        <f t="shared" si="817"/>
        <v>-8340</v>
      </c>
      <c r="QV74" s="141">
        <f>IFERROR(VLOOKUP($D74,'Adient Assende (Belgium) WK.17'!$B:PR,QW$1,0),0)</f>
        <v>1020</v>
      </c>
      <c r="QW74" s="140">
        <f>IFERROR(VLOOKUP($D74,'Adient Arendal (Malzia) WK.12'!$B:PS,QW$1,0),0)</f>
        <v>0</v>
      </c>
      <c r="QX74" s="140">
        <f>IFERROR(VLOOKUP($D74,'Adient Taizhou (China) WK.16'!$B:PV,QW$1,0),0)</f>
        <v>0</v>
      </c>
      <c r="QY74" s="128">
        <v>0</v>
      </c>
      <c r="QZ74" s="32">
        <v>0</v>
      </c>
      <c r="RA74" s="100">
        <f t="shared" si="818"/>
        <v>-9360</v>
      </c>
      <c r="RC74" s="37">
        <f t="shared" si="819"/>
        <v>-9360</v>
      </c>
      <c r="RD74" s="141">
        <f>IFERROR(VLOOKUP($D74,'Adient Assende (Belgium) WK.17'!$B:PZ,RE$1,0),0)</f>
        <v>1020</v>
      </c>
      <c r="RE74" s="140">
        <f>IFERROR(VLOOKUP($D74,'Adient Arendal (Malzia) WK.12'!$B:QA,RE$1,0),0)</f>
        <v>0</v>
      </c>
      <c r="RF74" s="140">
        <f>IFERROR(VLOOKUP($D74,'Adient Taizhou (China) WK.16'!$B:QD,RE$1,0),0)</f>
        <v>0</v>
      </c>
      <c r="RG74" s="128">
        <v>0</v>
      </c>
      <c r="RH74" s="32">
        <v>0</v>
      </c>
      <c r="RI74" s="100">
        <f t="shared" si="820"/>
        <v>-10380</v>
      </c>
      <c r="RK74" s="37">
        <f t="shared" si="821"/>
        <v>-10380</v>
      </c>
      <c r="RL74" s="141">
        <f>IFERROR(VLOOKUP($D74,'Adient Assende (Belgium) WK.17'!$B:QH,RM$1,0),0)</f>
        <v>1020</v>
      </c>
      <c r="RM74" s="140">
        <f>IFERROR(VLOOKUP($D74,'Adient Arendal (Malzia) WK.12'!$B:QI,RM$1,0),0)</f>
        <v>0</v>
      </c>
      <c r="RN74" s="140">
        <f>IFERROR(VLOOKUP($D74,'Adient Taizhou (China) WK.16'!$B:QL,RM$1,0),0)</f>
        <v>0</v>
      </c>
      <c r="RO74" s="128">
        <v>0</v>
      </c>
      <c r="RP74" s="32">
        <v>0</v>
      </c>
      <c r="RQ74" s="100">
        <f t="shared" si="822"/>
        <v>-11400</v>
      </c>
      <c r="RS74" s="37">
        <f t="shared" si="823"/>
        <v>-11400</v>
      </c>
      <c r="RT74" s="141">
        <f>IFERROR(VLOOKUP($D74,'Adient Assende (Belgium) WK.17'!$B:QP,RU$1,0),0)</f>
        <v>1020</v>
      </c>
      <c r="RU74" s="140">
        <f>IFERROR(VLOOKUP($D74,'Adient Arendal (Malzia) WK.12'!$B:QQ,RU$1,0),0)</f>
        <v>0</v>
      </c>
      <c r="RV74" s="140">
        <f>IFERROR(VLOOKUP($D74,'Adient Taizhou (China) WK.16'!$B:QT,RU$1,0),0)</f>
        <v>0</v>
      </c>
      <c r="RW74" s="128">
        <v>0</v>
      </c>
      <c r="RX74" s="32">
        <v>0</v>
      </c>
      <c r="RY74" s="100">
        <f t="shared" si="824"/>
        <v>-12420</v>
      </c>
      <c r="SA74" s="37">
        <f t="shared" si="825"/>
        <v>-12420</v>
      </c>
      <c r="SB74" s="141">
        <f>IFERROR(VLOOKUP($D74,'Adient Assende (Belgium) WK.17'!$B:QX,SC$1,0),0)</f>
        <v>780</v>
      </c>
      <c r="SC74" s="140">
        <f>IFERROR(VLOOKUP($D74,'Adient Arendal (Malzia) WK.12'!$B:QY,SC$1,0),0)</f>
        <v>0</v>
      </c>
      <c r="SD74" s="140">
        <f>IFERROR(VLOOKUP($D74,'Adient Taizhou (China) WK.16'!$B:RB,SC$1,0),0)</f>
        <v>0</v>
      </c>
      <c r="SE74" s="128">
        <v>0</v>
      </c>
      <c r="SF74" s="32">
        <v>0</v>
      </c>
      <c r="SG74" s="100">
        <f t="shared" si="826"/>
        <v>-13200</v>
      </c>
      <c r="SI74" s="37">
        <f t="shared" si="827"/>
        <v>-13200</v>
      </c>
      <c r="SJ74" s="141">
        <f>IFERROR(VLOOKUP($D74,'Adient Assende (Belgium) WK.17'!$B:RF,SK$1,0),0)</f>
        <v>780</v>
      </c>
      <c r="SK74" s="140">
        <f>IFERROR(VLOOKUP($D74,'Adient Arendal (Malzia) WK.12'!$B:RG,SK$1,0),0)</f>
        <v>0</v>
      </c>
      <c r="SL74" s="140">
        <f>IFERROR(VLOOKUP($D74,'Adient Taizhou (China) WK.16'!$B:RJ,SK$1,0),0)</f>
        <v>0</v>
      </c>
      <c r="SM74" s="128">
        <v>0</v>
      </c>
      <c r="SN74" s="32">
        <v>0</v>
      </c>
      <c r="SO74" s="100">
        <f t="shared" si="828"/>
        <v>-13980</v>
      </c>
      <c r="SQ74" s="37">
        <f t="shared" si="829"/>
        <v>-13980</v>
      </c>
      <c r="SR74" s="141">
        <f>IFERROR(VLOOKUP($D74,'Adient Assende (Belgium) WK.17'!$B:RN,SS$1,0),0)</f>
        <v>780</v>
      </c>
      <c r="SS74" s="140">
        <f>IFERROR(VLOOKUP($D74,'Adient Arendal (Malzia) WK.12'!$B:RO,SS$1,0),0)</f>
        <v>0</v>
      </c>
      <c r="ST74" s="140">
        <f>IFERROR(VLOOKUP($D74,'Adient Taizhou (China) WK.16'!$B:RR,SS$1,0),0)</f>
        <v>0</v>
      </c>
      <c r="SU74" s="128">
        <v>0</v>
      </c>
      <c r="SV74" s="32">
        <v>0</v>
      </c>
      <c r="SW74" s="100">
        <f t="shared" si="830"/>
        <v>-14760</v>
      </c>
      <c r="SY74" s="37">
        <f t="shared" si="831"/>
        <v>-14760</v>
      </c>
      <c r="SZ74" s="141">
        <f>IFERROR(VLOOKUP($D74,'Adient Assende (Belgium) WK.17'!$B:RV,TA$1,0),0)</f>
        <v>780</v>
      </c>
      <c r="TA74" s="140">
        <f>IFERROR(VLOOKUP($D74,'Adient Arendal (Malzia) WK.12'!$B:RW,TA$1,0),0)</f>
        <v>0</v>
      </c>
      <c r="TB74" s="140">
        <f>IFERROR(VLOOKUP($D74,'Adient Taizhou (China) WK.16'!$B:RZ,TA$1,0),0)</f>
        <v>0</v>
      </c>
      <c r="TC74" s="128">
        <v>0</v>
      </c>
      <c r="TD74" s="32">
        <v>0</v>
      </c>
      <c r="TE74" s="100">
        <f t="shared" si="832"/>
        <v>-15540</v>
      </c>
      <c r="TG74" s="37">
        <f t="shared" si="833"/>
        <v>-15540</v>
      </c>
      <c r="TH74" s="141">
        <f>IFERROR(VLOOKUP($D74,'Adient Assende (Belgium) WK.17'!$B:SD,TI$1,0),0)</f>
        <v>1110</v>
      </c>
      <c r="TI74" s="140">
        <f>IFERROR(VLOOKUP($D74,'Adient Arendal (Malzia) WK.12'!$B:SE,TI$1,0),0)</f>
        <v>0</v>
      </c>
      <c r="TJ74" s="140">
        <f>IFERROR(VLOOKUP($D74,'Adient Taizhou (China) WK.16'!$B:SH,TI$1,0),0)</f>
        <v>0</v>
      </c>
      <c r="TK74" s="128">
        <v>0</v>
      </c>
      <c r="TL74" s="32">
        <v>0</v>
      </c>
      <c r="TM74" s="100">
        <f t="shared" si="834"/>
        <v>-16650</v>
      </c>
      <c r="TO74" s="37">
        <f t="shared" si="835"/>
        <v>-16650</v>
      </c>
      <c r="TP74" s="141">
        <f>IFERROR(VLOOKUP($D74,'Adient Assende (Belgium) WK.17'!$B:SL,TQ$1,0),0)</f>
        <v>1110</v>
      </c>
      <c r="TQ74" s="140">
        <f>IFERROR(VLOOKUP($D74,'Adient Arendal (Malzia) WK.12'!$B:SM,TQ$1,0),0)</f>
        <v>0</v>
      </c>
      <c r="TR74" s="140">
        <f>IFERROR(VLOOKUP($D74,'Adient Taizhou (China) WK.16'!$B:SP,TQ$1,0),0)</f>
        <v>0</v>
      </c>
      <c r="TS74" s="128">
        <v>0</v>
      </c>
      <c r="TT74" s="32">
        <v>0</v>
      </c>
      <c r="TU74" s="100">
        <f t="shared" si="836"/>
        <v>-17760</v>
      </c>
      <c r="TW74" s="37">
        <f t="shared" si="837"/>
        <v>-17760</v>
      </c>
      <c r="TX74" s="141">
        <f>IFERROR(VLOOKUP($D74,'Adient Assende (Belgium) WK.17'!$B:ST,TY$1,0),0)</f>
        <v>1110</v>
      </c>
      <c r="TY74" s="140">
        <f>IFERROR(VLOOKUP($D74,'Adient Arendal (Malzia) WK.12'!$B:SU,TY$1,0),0)</f>
        <v>0</v>
      </c>
      <c r="TZ74" s="140">
        <f>IFERROR(VLOOKUP($D74,'Adient Taizhou (China) WK.16'!$B:SX,TY$1,0),0)</f>
        <v>0</v>
      </c>
      <c r="UA74" s="128">
        <v>0</v>
      </c>
      <c r="UB74" s="32">
        <v>0</v>
      </c>
      <c r="UC74" s="100">
        <f t="shared" si="838"/>
        <v>-18870</v>
      </c>
      <c r="UE74" s="37">
        <f t="shared" si="839"/>
        <v>-18870</v>
      </c>
      <c r="UF74" s="141">
        <f>IFERROR(VLOOKUP($D74,'Adient Assende (Belgium) WK.17'!$B:TB,UG$1,0),0)</f>
        <v>1110</v>
      </c>
      <c r="UG74" s="140">
        <f>IFERROR(VLOOKUP($D74,'Adient Arendal (Malzia) WK.12'!$B:TC,UG$1,0),0)</f>
        <v>0</v>
      </c>
      <c r="UH74" s="140">
        <f>IFERROR(VLOOKUP($D74,'Adient Taizhou (China) WK.16'!$B:TF,UG$1,0),0)</f>
        <v>0</v>
      </c>
      <c r="UI74" s="128">
        <v>0</v>
      </c>
      <c r="UJ74" s="32">
        <v>0</v>
      </c>
      <c r="UK74" s="100">
        <f t="shared" si="840"/>
        <v>-19980</v>
      </c>
      <c r="UM74" s="37">
        <f t="shared" si="841"/>
        <v>-19980</v>
      </c>
      <c r="UN74" s="141">
        <f>IFERROR(VLOOKUP($D74,'Adient Assende (Belgium) WK.17'!$B:TJ,UO$1,0),0)</f>
        <v>1080</v>
      </c>
      <c r="UO74" s="140">
        <f>IFERROR(VLOOKUP($D74,'Adient Arendal (Malzia) WK.12'!$B:TK,UO$1,0),0)</f>
        <v>0</v>
      </c>
      <c r="UP74" s="140">
        <f>IFERROR(VLOOKUP($D74,'Adient Taizhou (China) WK.16'!$B:TN,UO$1,0),0)</f>
        <v>0</v>
      </c>
      <c r="UQ74" s="128">
        <v>0</v>
      </c>
      <c r="UR74" s="32">
        <v>0</v>
      </c>
      <c r="US74" s="100">
        <f t="shared" si="842"/>
        <v>-21060</v>
      </c>
      <c r="UU74" s="37">
        <f t="shared" si="843"/>
        <v>-21060</v>
      </c>
      <c r="UV74" s="141">
        <f>IFERROR(VLOOKUP($D74,'Adient Assende (Belgium) WK.17'!$B:TR,UW$1,0),0)</f>
        <v>1080</v>
      </c>
      <c r="UW74" s="140">
        <f>IFERROR(VLOOKUP($D74,'Adient Arendal (Malzia) WK.12'!$B:TS,UW$1,0),0)</f>
        <v>0</v>
      </c>
      <c r="UX74" s="140">
        <f>IFERROR(VLOOKUP($D74,'Adient Taizhou (China) WK.16'!$B:TV,UW$1,0),0)</f>
        <v>0</v>
      </c>
      <c r="UY74" s="128">
        <v>0</v>
      </c>
      <c r="UZ74" s="32">
        <v>0</v>
      </c>
      <c r="VA74" s="100">
        <f t="shared" si="844"/>
        <v>-22140</v>
      </c>
      <c r="VC74" s="37">
        <f t="shared" si="845"/>
        <v>-22140</v>
      </c>
      <c r="VD74" s="141">
        <f>IFERROR(VLOOKUP($D74,'Adient Assende (Belgium) WK.17'!$B:TZ,VE$1,0),0)</f>
        <v>1080</v>
      </c>
      <c r="VE74" s="140">
        <f>IFERROR(VLOOKUP($D74,'Adient Arendal (Malzia) WK.12'!$B:UA,VE$1,0),0)</f>
        <v>0</v>
      </c>
      <c r="VF74" s="140">
        <f>IFERROR(VLOOKUP($D74,'Adient Taizhou (China) WK.16'!$B:UD,VE$1,0),0)</f>
        <v>0</v>
      </c>
      <c r="VG74" s="128">
        <v>0</v>
      </c>
      <c r="VH74" s="32">
        <v>0</v>
      </c>
      <c r="VI74" s="100">
        <f t="shared" si="846"/>
        <v>-23220</v>
      </c>
      <c r="VK74" s="37">
        <f t="shared" si="847"/>
        <v>-23220</v>
      </c>
      <c r="VL74" s="141">
        <f>IFERROR(VLOOKUP($D74,'Adient Assende (Belgium) WK.17'!$B:UH,VM$1,0),0)</f>
        <v>0</v>
      </c>
      <c r="VM74" s="140">
        <f>IFERROR(VLOOKUP($D74,'Adient Arendal (Malzia) WK.12'!$B:UI,VM$1,0),0)</f>
        <v>0</v>
      </c>
      <c r="VN74" s="140">
        <f>IFERROR(VLOOKUP($D74,'Adient Taizhou (China) WK.16'!$B:UL,VM$1,0),0)</f>
        <v>0</v>
      </c>
      <c r="VO74" s="128">
        <v>0</v>
      </c>
      <c r="VP74" s="32">
        <v>0</v>
      </c>
      <c r="VQ74" s="100">
        <f t="shared" si="848"/>
        <v>-23220</v>
      </c>
    </row>
    <row r="75" spans="1:589" x14ac:dyDescent="0.25">
      <c r="A75" s="10" t="s">
        <v>18</v>
      </c>
      <c r="B75" s="48" t="s">
        <v>20</v>
      </c>
      <c r="C75" s="88">
        <v>32272495</v>
      </c>
      <c r="D75" s="82">
        <v>4429352</v>
      </c>
      <c r="E75" s="11">
        <v>60</v>
      </c>
      <c r="F75" s="12"/>
      <c r="H75" s="122">
        <v>9540</v>
      </c>
      <c r="I75" s="125">
        <f>IFERROR(VLOOKUP($D75,'Adient Assende (Belgium) WK.17'!$B:C,J$1,0),0)</f>
        <v>480</v>
      </c>
      <c r="J75" s="55">
        <f>IFERROR(VLOOKUP($D75,'Adient Arendal (Malzia) WK.12'!$B:C,J$1,0),0)</f>
        <v>0</v>
      </c>
      <c r="K75" s="55">
        <f>IFERROR(VLOOKUP($D75,'Adient Taizhou (China) WK.16'!$B:C,J$1,0),0)</f>
        <v>0</v>
      </c>
      <c r="L75" s="128">
        <v>1200</v>
      </c>
      <c r="M75" s="32">
        <v>0</v>
      </c>
      <c r="N75" s="106">
        <f t="shared" si="233"/>
        <v>8340</v>
      </c>
      <c r="P75" s="37">
        <f t="shared" si="234"/>
        <v>8340</v>
      </c>
      <c r="Q75" s="125">
        <f>IFERROR(VLOOKUP($D75,'Adient Assende (Belgium) WK.17'!$B:K,R$1,0),0)</f>
        <v>1200</v>
      </c>
      <c r="R75" s="55">
        <f>IFERROR(VLOOKUP($D75,'Adient Arendal (Malzia) WK.12'!$B:K,R$1,0),0)</f>
        <v>60</v>
      </c>
      <c r="S75" s="55">
        <f>IFERROR(VLOOKUP($D75,'Adient Taizhou (China) WK.16'!$B:K,R$1,0),0)</f>
        <v>0</v>
      </c>
      <c r="T75" s="41">
        <v>1680</v>
      </c>
      <c r="U75" s="32">
        <v>0</v>
      </c>
      <c r="V75" s="106">
        <f t="shared" si="235"/>
        <v>6600</v>
      </c>
      <c r="X75" s="37">
        <f t="shared" si="236"/>
        <v>6600</v>
      </c>
      <c r="Y75" s="125">
        <f>IFERROR(VLOOKUP($D75,'Adient Assende (Belgium) WK.17'!$B:S,Z$1,0),0)</f>
        <v>1680</v>
      </c>
      <c r="Z75" s="55">
        <f>IFERROR(VLOOKUP($D75,'Adient Arendal (Malzia) WK.12'!$B:S,Z$1,0),0)</f>
        <v>0</v>
      </c>
      <c r="AA75" s="55">
        <f>IFERROR(VLOOKUP($D75,'Adient Taizhou (China) WK.16'!$B:S,Z$1,0),0)</f>
        <v>0</v>
      </c>
      <c r="AB75" s="41">
        <v>1200</v>
      </c>
      <c r="AC75" s="32">
        <v>0</v>
      </c>
      <c r="AD75" s="106">
        <f t="shared" si="237"/>
        <v>5400</v>
      </c>
      <c r="AF75" s="37">
        <f t="shared" si="238"/>
        <v>5400</v>
      </c>
      <c r="AG75" s="125">
        <f>IFERROR(VLOOKUP($D75,'Adient Assende (Belgium) WK.17'!$B:AA,AH$1,0),0)</f>
        <v>1200</v>
      </c>
      <c r="AH75" s="55">
        <f>IFERROR(VLOOKUP($D75,'Adient Arendal (Malzia) WK.12'!$B:AA,AH$1,0),0)</f>
        <v>0</v>
      </c>
      <c r="AI75" s="55">
        <f>IFERROR(VLOOKUP($D75,'Adient Taizhou (China) WK.16'!$B:AA,AH$1,0),0)</f>
        <v>0</v>
      </c>
      <c r="AJ75" s="41">
        <v>1200</v>
      </c>
      <c r="AK75" s="32">
        <v>0</v>
      </c>
      <c r="AL75" s="106">
        <f t="shared" si="239"/>
        <v>4200</v>
      </c>
      <c r="AN75" s="37">
        <f t="shared" si="746"/>
        <v>4200</v>
      </c>
      <c r="AO75" s="125">
        <f>IFERROR(VLOOKUP($D75,'Adient Assende (Belgium) WK.17'!$B:AI,AP$1,0),0)</f>
        <v>1200</v>
      </c>
      <c r="AP75" s="55">
        <f>IFERROR(VLOOKUP($D75,'Adient Arendal (Malzia) WK.12'!$B:AI,AP$1,0),0)</f>
        <v>0</v>
      </c>
      <c r="AQ75" s="55">
        <f>IFERROR(VLOOKUP($D75,'Adient Taizhou (China) WK.16'!$B:AI,AP$1,0),0)</f>
        <v>0</v>
      </c>
      <c r="AR75" s="60">
        <v>0</v>
      </c>
      <c r="AS75" s="41">
        <v>960</v>
      </c>
      <c r="AT75" s="32">
        <v>0</v>
      </c>
      <c r="AU75" s="106">
        <f t="shared" si="240"/>
        <v>3240</v>
      </c>
      <c r="AW75" s="37">
        <f t="shared" si="747"/>
        <v>3240</v>
      </c>
      <c r="AX75" s="125">
        <f>IFERROR(VLOOKUP($D75,'Adient Assende (Belgium) WK.17'!$B:AR,AY$1,0),0)</f>
        <v>960</v>
      </c>
      <c r="AY75" s="55">
        <f>IFERROR(VLOOKUP($D75,'Adient Arendal (Malzia) WK.12'!$B:AR,AY$1,0),0)</f>
        <v>60</v>
      </c>
      <c r="AZ75" s="55">
        <f>IFERROR(VLOOKUP($D75,'Adient Taizhou (China) WK.16'!$B:AU,AY$1,0),0)</f>
        <v>0</v>
      </c>
      <c r="BA75" s="41">
        <v>960</v>
      </c>
      <c r="BB75" s="32">
        <v>0</v>
      </c>
      <c r="BC75" s="106">
        <f t="shared" si="241"/>
        <v>2220</v>
      </c>
      <c r="BE75" s="37">
        <f t="shared" si="748"/>
        <v>2220</v>
      </c>
      <c r="BF75" s="125">
        <f>IFERROR(VLOOKUP($D75,'Adient Assende (Belgium) WK.17'!$B:AX,BG$1,0),0)</f>
        <v>960</v>
      </c>
      <c r="BG75" s="55">
        <f>IFERROR(VLOOKUP($D75,'Adient Arendal (Malzia) WK.12'!$B:AZ,BG$1,0),0)</f>
        <v>0</v>
      </c>
      <c r="BH75" s="55">
        <f>IFERROR(VLOOKUP($D75,'Adient Taizhou (China) WK.16'!$B:BB,BG$1,0),0)</f>
        <v>0</v>
      </c>
      <c r="BI75" s="60">
        <v>0</v>
      </c>
      <c r="BJ75" s="60">
        <v>0</v>
      </c>
      <c r="BK75" s="41">
        <v>720</v>
      </c>
      <c r="BL75" s="32">
        <v>0</v>
      </c>
      <c r="BM75" s="106">
        <f t="shared" si="242"/>
        <v>1500</v>
      </c>
      <c r="BN75" s="8"/>
      <c r="BO75" s="37">
        <f t="shared" si="749"/>
        <v>1500</v>
      </c>
      <c r="BP75" s="125">
        <f>IFERROR(VLOOKUP($D75,'Adient Assende (Belgium) WK.17'!$B:BH,BQ$1,0),0)</f>
        <v>720</v>
      </c>
      <c r="BQ75" s="55">
        <f>IFERROR(VLOOKUP($D75,'Adient Arendal (Malzia) WK.12'!$B:BI,BQ$1,0),0)</f>
        <v>0</v>
      </c>
      <c r="BR75" s="55">
        <f>IFERROR(VLOOKUP($D75,'Adient Taizhou (China) WK.16'!$B:BL,BQ$1,0),0)</f>
        <v>0</v>
      </c>
      <c r="BS75" s="60">
        <v>240</v>
      </c>
      <c r="BT75" s="60">
        <v>0</v>
      </c>
      <c r="BU75" s="60">
        <v>1560</v>
      </c>
      <c r="BV75" s="41">
        <v>1440</v>
      </c>
      <c r="BW75" s="32">
        <v>0</v>
      </c>
      <c r="BX75" s="106">
        <f t="shared" si="243"/>
        <v>1860</v>
      </c>
      <c r="BY75" s="8"/>
      <c r="BZ75" s="37">
        <f t="shared" si="750"/>
        <v>1860</v>
      </c>
      <c r="CA75" s="125">
        <f>IFERROR(VLOOKUP($D75,'Adient Assende (Belgium) WK.17'!$B:BS,CB$1,0),0)</f>
        <v>1440</v>
      </c>
      <c r="CB75" s="55">
        <f>IFERROR(VLOOKUP($D75,'Adient Arendal (Malzia) WK.12'!$B:BT,CB$1,0),0)</f>
        <v>0</v>
      </c>
      <c r="CC75" s="55">
        <f>IFERROR(VLOOKUP($D75,'Adient Taizhou (China) WK.16'!$B:BW,CB$1,0),0)</f>
        <v>0</v>
      </c>
      <c r="CD75" s="60">
        <v>0</v>
      </c>
      <c r="CE75" s="60">
        <v>0</v>
      </c>
      <c r="CF75" s="41">
        <v>1440</v>
      </c>
      <c r="CG75" s="32">
        <v>0</v>
      </c>
      <c r="CH75" s="106">
        <f t="shared" si="244"/>
        <v>420</v>
      </c>
      <c r="CI75" s="8"/>
      <c r="CJ75" s="37">
        <f t="shared" si="751"/>
        <v>420</v>
      </c>
      <c r="CK75" s="125">
        <f>IFERROR(VLOOKUP($D75,'Adient Assende (Belgium) WK.17'!$B:CC,CL$1,0),0)</f>
        <v>1440</v>
      </c>
      <c r="CL75" s="55">
        <f>IFERROR(VLOOKUP($D75,'Adient Arendal (Malzia) WK.12'!$B:CD,CL$1,0),0)</f>
        <v>0</v>
      </c>
      <c r="CM75" s="55">
        <f>IFERROR(VLOOKUP($D75,'Adient Taizhou (China) WK.16'!$B:CG,CL$1,0),0)</f>
        <v>0</v>
      </c>
      <c r="CN75" s="60">
        <v>2640</v>
      </c>
      <c r="CO75" s="149">
        <v>0</v>
      </c>
      <c r="CP75" s="32">
        <v>0</v>
      </c>
      <c r="CQ75" s="106">
        <f t="shared" si="245"/>
        <v>3060</v>
      </c>
      <c r="CR75" s="8"/>
      <c r="CS75" s="122">
        <f t="shared" si="752"/>
        <v>3060</v>
      </c>
      <c r="CT75" s="154">
        <f>IFERROR(VLOOKUP($D75,'Adient Assende (Belgium) WK.17'!$B:CL,CU$1,0),0)</f>
        <v>0</v>
      </c>
      <c r="CU75" s="55">
        <f>IFERROR(VLOOKUP($D75,'Adient Arendal (Malzia) WK.12'!$B:CM,CU$1,0),0)</f>
        <v>0</v>
      </c>
      <c r="CV75" s="55">
        <f>IFERROR(VLOOKUP($D75,'Adient Taizhou (China) WK.16'!$B:CP,CU$1,0),0)</f>
        <v>0</v>
      </c>
      <c r="CW75" s="60">
        <v>0</v>
      </c>
      <c r="CX75" s="60">
        <v>3420</v>
      </c>
      <c r="CY75" s="128">
        <v>960</v>
      </c>
      <c r="CZ75" s="32">
        <v>0</v>
      </c>
      <c r="DA75" s="106">
        <f t="shared" si="246"/>
        <v>5520</v>
      </c>
      <c r="DB75" s="8"/>
      <c r="DC75" s="37">
        <f t="shared" si="753"/>
        <v>5520</v>
      </c>
      <c r="DD75" s="125">
        <f>IFERROR(VLOOKUP($D75,'Adient Assende (Belgium) WK.17'!$B:CS,DE$1,0),0)</f>
        <v>960</v>
      </c>
      <c r="DE75" s="55">
        <f>IFERROR(VLOOKUP($D75,'Adient Arendal (Malzia) WK.12'!$B:CU,DE$1,0),0)</f>
        <v>0</v>
      </c>
      <c r="DF75" s="55">
        <f>IFERROR(VLOOKUP($D75,'Adient Taizhou (China) WK.16'!$B:CX,DE$1,0),0)</f>
        <v>0</v>
      </c>
      <c r="DG75" s="60">
        <v>480</v>
      </c>
      <c r="DH75" s="128">
        <v>1200</v>
      </c>
      <c r="DI75" s="32">
        <v>0</v>
      </c>
      <c r="DJ75" s="106">
        <f t="shared" si="247"/>
        <v>4800</v>
      </c>
      <c r="DL75" s="37">
        <f t="shared" si="754"/>
        <v>4800</v>
      </c>
      <c r="DM75" s="125">
        <f>IFERROR(VLOOKUP($D75,'Adient Assende (Belgium) WK.17'!$B:DB,DN$1,0),0)</f>
        <v>1200</v>
      </c>
      <c r="DN75" s="55">
        <f>IFERROR(VLOOKUP($D75,'Adient Arendal (Malzia) WK.12'!$B:DC,DN$1,0),0)</f>
        <v>0</v>
      </c>
      <c r="DO75" s="55">
        <f>IFERROR(VLOOKUP($D75,'Adient Taizhou (China) WK.16'!$B:DF,DN$1,0),0)</f>
        <v>0</v>
      </c>
      <c r="DP75" s="128">
        <v>1440</v>
      </c>
      <c r="DQ75" s="32">
        <v>0</v>
      </c>
      <c r="DR75" s="106">
        <f t="shared" si="755"/>
        <v>3360</v>
      </c>
      <c r="DS75" s="8"/>
      <c r="DT75" s="37">
        <f t="shared" si="756"/>
        <v>3360</v>
      </c>
      <c r="DU75" s="125">
        <f>IFERROR(VLOOKUP($D75,'Adient Assende (Belgium) WK.17'!$B:DJ,DV$1,0),0)</f>
        <v>1440</v>
      </c>
      <c r="DV75" s="55">
        <f>IFERROR(VLOOKUP($D75,'Adient Arendal (Malzia) WK.12'!$B:DK,DV$1,0),0)</f>
        <v>0</v>
      </c>
      <c r="DW75" s="55">
        <f>IFERROR(VLOOKUP($D75,'Adient Taizhou (China) WK.16'!$B:DN,DV$1,0),0)</f>
        <v>0</v>
      </c>
      <c r="DX75" s="60">
        <v>1440</v>
      </c>
      <c r="DY75" s="60">
        <v>1080</v>
      </c>
      <c r="DZ75" s="128">
        <v>1200</v>
      </c>
      <c r="EA75" s="32">
        <v>0</v>
      </c>
      <c r="EB75" s="106">
        <f t="shared" si="248"/>
        <v>4680</v>
      </c>
      <c r="EC75" s="8"/>
      <c r="ED75" s="37">
        <f t="shared" si="757"/>
        <v>4680</v>
      </c>
      <c r="EE75" s="125">
        <f>IFERROR(VLOOKUP($D75,'Adient Assende (Belgium) WK.17'!$B:DR,EF$1,0),0)</f>
        <v>1200</v>
      </c>
      <c r="EF75" s="55">
        <f>IFERROR(VLOOKUP($D75,'Adient Arendal (Malzia) WK.12'!$B:DS,EF$1,0),0)</f>
        <v>0</v>
      </c>
      <c r="EG75" s="55">
        <f>IFERROR(VLOOKUP($D75,'Adient Taizhou (China) WK.16'!$B:DV,EF$1,0),0)</f>
        <v>0</v>
      </c>
      <c r="EH75" s="60">
        <v>1020</v>
      </c>
      <c r="EI75" s="128">
        <v>960</v>
      </c>
      <c r="EJ75" s="32">
        <v>0</v>
      </c>
      <c r="EK75" s="106">
        <f t="shared" si="249"/>
        <v>4740</v>
      </c>
      <c r="EM75" s="37">
        <f t="shared" si="758"/>
        <v>4740</v>
      </c>
      <c r="EN75" s="125">
        <f>IFERROR(VLOOKUP($D75,'Adient Assende (Belgium) WK.17'!$B:DZ,EO$1,0),0)</f>
        <v>960</v>
      </c>
      <c r="EO75" s="55">
        <f>IFERROR(VLOOKUP($D75,'Adient Arendal (Malzia) WK.12'!$B:EA,EO$1,0),0)</f>
        <v>0</v>
      </c>
      <c r="EP75" s="55">
        <f>IFERROR(VLOOKUP($D75,'Adient Taizhou (China) WK.16'!$B:ED,EO$1,0),0)</f>
        <v>0</v>
      </c>
      <c r="EQ75" s="128">
        <v>1200</v>
      </c>
      <c r="ER75" s="32">
        <v>0</v>
      </c>
      <c r="ES75" s="106">
        <f t="shared" si="250"/>
        <v>3540</v>
      </c>
      <c r="EU75" s="37">
        <f t="shared" si="759"/>
        <v>3540</v>
      </c>
      <c r="EV75" s="125">
        <f>IFERROR(VLOOKUP($D75,'Adient Assende (Belgium) WK.17'!$B:EH,EW$1,0),0)</f>
        <v>1200</v>
      </c>
      <c r="EW75" s="55">
        <f>IFERROR(VLOOKUP($D75,'Adient Arendal (Malzia) WK.12'!$B:EI,EW$1,0),0)</f>
        <v>0</v>
      </c>
      <c r="EX75" s="55">
        <f>IFERROR(VLOOKUP($D75,'Adient Taizhou (China) WK.16'!$B:EL,EW$1,0),0)</f>
        <v>0</v>
      </c>
      <c r="EY75" s="128">
        <v>0</v>
      </c>
      <c r="EZ75" s="32">
        <v>0</v>
      </c>
      <c r="FA75" s="106">
        <f t="shared" si="251"/>
        <v>3540</v>
      </c>
      <c r="FC75" s="37">
        <f t="shared" si="760"/>
        <v>3540</v>
      </c>
      <c r="FD75" s="154">
        <f>IFERROR(VLOOKUP($D75,'Adient Assende (Belgium) WK.17'!$B:EP,FE$1,0),0)</f>
        <v>0</v>
      </c>
      <c r="FE75" s="154">
        <f>IFERROR(VLOOKUP($D75,'Adient Arendal (Malzia) WK.12'!$B:EQ,FE$1,0),0)</f>
        <v>0</v>
      </c>
      <c r="FF75" s="154">
        <f>IFERROR(VLOOKUP($D75,'Adient Taizhou (China) WK.16'!$B:ET,FE$1,0),0)</f>
        <v>0</v>
      </c>
      <c r="FG75" s="128">
        <v>0</v>
      </c>
      <c r="FH75" s="32">
        <v>0</v>
      </c>
      <c r="FI75" s="106">
        <f t="shared" si="252"/>
        <v>3540</v>
      </c>
      <c r="FK75" s="37">
        <f t="shared" si="761"/>
        <v>3540</v>
      </c>
      <c r="FL75" s="125">
        <f>IFERROR(VLOOKUP($D75,'Adient Assende (Belgium) WK.17'!$B:EX,FM$1,0),0)</f>
        <v>0</v>
      </c>
      <c r="FM75" s="55">
        <f>IFERROR(VLOOKUP($D75,'Adient Arendal (Malzia) WK.12'!$B:EY,FM$1,0),0)</f>
        <v>0</v>
      </c>
      <c r="FN75" s="55">
        <f>IFERROR(VLOOKUP($D75,'Adient Taizhou (China) WK.16'!$B:FB,FM$1,0),0)</f>
        <v>0</v>
      </c>
      <c r="FO75" s="128">
        <v>720</v>
      </c>
      <c r="FP75" s="32">
        <v>0</v>
      </c>
      <c r="FQ75" s="106">
        <f t="shared" si="253"/>
        <v>2820</v>
      </c>
      <c r="FR75" s="8"/>
      <c r="FS75" s="37">
        <f t="shared" si="762"/>
        <v>2820</v>
      </c>
      <c r="FT75" s="125">
        <f>IFERROR(VLOOKUP($D75,'Adient Assende (Belgium) WK.17'!$B:FF,FU$1,0),0)</f>
        <v>720</v>
      </c>
      <c r="FU75" s="55">
        <f>IFERROR(VLOOKUP($D75,'Adient Arendal (Malzia) WK.12'!$B:FG,FU$1,0),0)</f>
        <v>0</v>
      </c>
      <c r="FV75" s="55">
        <f>IFERROR(VLOOKUP($D75,'Adient Taizhou (China) WK.16'!$B:FJ,FU$1,0),0)</f>
        <v>0</v>
      </c>
      <c r="FW75" s="60">
        <v>120</v>
      </c>
      <c r="FX75" s="60">
        <v>300</v>
      </c>
      <c r="FY75" s="60">
        <v>1320</v>
      </c>
      <c r="FZ75" s="60">
        <v>1080</v>
      </c>
      <c r="GA75" s="60">
        <v>0</v>
      </c>
      <c r="GB75" s="128">
        <v>960</v>
      </c>
      <c r="GC75" s="32">
        <v>0</v>
      </c>
      <c r="GD75" s="106">
        <f t="shared" si="254"/>
        <v>4680</v>
      </c>
      <c r="GF75" s="37">
        <f t="shared" si="763"/>
        <v>4680</v>
      </c>
      <c r="GG75" s="125">
        <f>IFERROR(VLOOKUP($D75,'Adient Assende (Belgium) WK.17'!$B:FN,GH$1,0),0)</f>
        <v>960</v>
      </c>
      <c r="GH75" s="55">
        <f>IFERROR(VLOOKUP($D75,'Adient Arendal (Malzia) WK.12'!$B:FO,GH$1,0),0)</f>
        <v>0</v>
      </c>
      <c r="GI75" s="55">
        <f>IFERROR(VLOOKUP($D75,'Adient Taizhou (China) WK.16'!$B:FR,GH$1,0),0)</f>
        <v>0</v>
      </c>
      <c r="GJ75" s="60">
        <v>2940</v>
      </c>
      <c r="GK75" s="128">
        <v>720</v>
      </c>
      <c r="GL75" s="32">
        <v>0</v>
      </c>
      <c r="GM75" s="106">
        <f t="shared" si="255"/>
        <v>6900</v>
      </c>
      <c r="GO75" s="37">
        <f t="shared" si="764"/>
        <v>6900</v>
      </c>
      <c r="GP75" s="125">
        <f>IFERROR(VLOOKUP($D75,'Adient Assende (Belgium) WK.17'!$B:FV,GQ$1,0),0)</f>
        <v>720</v>
      </c>
      <c r="GQ75" s="55">
        <f>IFERROR(VLOOKUP($D75,'Adient Arendal (Malzia) WK.12'!$B:FW,GQ$1,0),0)</f>
        <v>0</v>
      </c>
      <c r="GR75" s="55">
        <f>IFERROR(VLOOKUP($D75,'Adient Taizhou (China) WK.16'!$B:FZ,GQ$1,0),0)</f>
        <v>0</v>
      </c>
      <c r="GS75" s="60">
        <v>1080</v>
      </c>
      <c r="GT75" s="128">
        <v>720</v>
      </c>
      <c r="GU75" s="32">
        <v>0</v>
      </c>
      <c r="GV75" s="106">
        <f t="shared" si="256"/>
        <v>7260</v>
      </c>
      <c r="GW75" s="8"/>
      <c r="GX75" s="37">
        <f t="shared" si="765"/>
        <v>7260</v>
      </c>
      <c r="GY75" s="125">
        <f>IFERROR(VLOOKUP($D75,'Adient Assende (Belgium) WK.17'!$B:GD,GZ$1,0),0)</f>
        <v>720</v>
      </c>
      <c r="GZ75" s="55">
        <f>IFERROR(VLOOKUP($D75,'Adient Arendal (Malzia) WK.12'!$B:GE,GZ$1,0),0)</f>
        <v>60</v>
      </c>
      <c r="HA75" s="55">
        <f>IFERROR(VLOOKUP($D75,'Adient Taizhou (China) WK.16'!$B:GH,GZ$1,0),0)</f>
        <v>0</v>
      </c>
      <c r="HB75" s="60">
        <v>1320</v>
      </c>
      <c r="HC75" s="128">
        <v>720</v>
      </c>
      <c r="HD75" s="32">
        <v>0</v>
      </c>
      <c r="HE75" s="106">
        <f t="shared" si="257"/>
        <v>7800</v>
      </c>
      <c r="HF75" s="8"/>
      <c r="HG75" s="37">
        <f t="shared" si="766"/>
        <v>7800</v>
      </c>
      <c r="HH75" s="125">
        <f>IFERROR(VLOOKUP($D75,'Adient Assende (Belgium) WK.17'!$B:GL,HI$1,0),0)</f>
        <v>720</v>
      </c>
      <c r="HI75" s="55">
        <f>IFERROR(VLOOKUP($D75,'Adient Arendal (Malzia) WK.12'!$B:GM,HI$1,0),0)</f>
        <v>0</v>
      </c>
      <c r="HJ75" s="55">
        <f>IFERROR(VLOOKUP($D75,'Adient Taizhou (China) WK.16'!$B:GP,HI$1,0),0)</f>
        <v>0</v>
      </c>
      <c r="HK75" s="60">
        <v>660</v>
      </c>
      <c r="HL75" s="128">
        <v>720</v>
      </c>
      <c r="HM75" s="32">
        <v>0</v>
      </c>
      <c r="HN75" s="106">
        <f t="shared" si="258"/>
        <v>7740</v>
      </c>
      <c r="HO75" s="8"/>
      <c r="HP75" s="37">
        <f t="shared" si="767"/>
        <v>7740</v>
      </c>
      <c r="HQ75" s="125">
        <f>IFERROR(VLOOKUP($D75,'Adient Assende (Belgium) WK.17'!$B:GT,HR$1,0),0)</f>
        <v>720</v>
      </c>
      <c r="HR75" s="55">
        <f>IFERROR(VLOOKUP($D75,'Adient Arendal (Malzia) WK.12'!$B:GU,HR$1,0),0)</f>
        <v>0</v>
      </c>
      <c r="HS75" s="55">
        <f>IFERROR(VLOOKUP($D75,'Adient Taizhou (China) WK.16'!$B:GX,HR$1,0),0)</f>
        <v>0</v>
      </c>
      <c r="HT75" s="60">
        <v>540</v>
      </c>
      <c r="HU75" s="128">
        <v>960</v>
      </c>
      <c r="HV75" s="32">
        <v>0</v>
      </c>
      <c r="HW75" s="106">
        <f t="shared" si="259"/>
        <v>7320</v>
      </c>
      <c r="HX75" s="8"/>
      <c r="HY75" s="37">
        <f t="shared" si="768"/>
        <v>7320</v>
      </c>
      <c r="HZ75" s="125">
        <f>IFERROR(VLOOKUP($D75,'Adient Assende (Belgium) WK.17'!$B:HB,IA$1,0),0)</f>
        <v>960</v>
      </c>
      <c r="IA75" s="55">
        <f>IFERROR(VLOOKUP($D75,'Adient Arendal (Malzia) WK.12'!$B:HC,IA$1,0),0)</f>
        <v>0</v>
      </c>
      <c r="IB75" s="55">
        <f>IFERROR(VLOOKUP($D75,'Adient Taizhou (China) WK.16'!$B:HF,IA$1,0),0)</f>
        <v>0</v>
      </c>
      <c r="IC75" s="60">
        <v>2160</v>
      </c>
      <c r="ID75" s="128">
        <v>960</v>
      </c>
      <c r="IE75" s="32">
        <v>0</v>
      </c>
      <c r="IF75" s="106">
        <f t="shared" si="260"/>
        <v>8520</v>
      </c>
      <c r="IG75" s="8"/>
      <c r="IH75" s="37">
        <f t="shared" si="769"/>
        <v>8520</v>
      </c>
      <c r="II75" s="125">
        <f>IFERROR(VLOOKUP($D75,'Adient Assende (Belgium) WK.17'!$B:HJ,IJ$1,0),0)</f>
        <v>960</v>
      </c>
      <c r="IJ75" s="55">
        <f>IFERROR(VLOOKUP($D75,'Adient Arendal (Malzia) WK.12'!$B:HK,IJ$1,0),0)</f>
        <v>0</v>
      </c>
      <c r="IK75" s="55">
        <f>IFERROR(VLOOKUP($D75,'Adient Taizhou (China) WK.16'!$B:HN,IJ$1,0),0)</f>
        <v>0</v>
      </c>
      <c r="IL75" s="128">
        <v>1200</v>
      </c>
      <c r="IM75" s="32">
        <v>0</v>
      </c>
      <c r="IN75" s="106">
        <f t="shared" si="770"/>
        <v>7320</v>
      </c>
      <c r="IO75" s="8"/>
      <c r="IP75" s="37">
        <f t="shared" si="771"/>
        <v>7320</v>
      </c>
      <c r="IQ75" s="125">
        <f>IFERROR(VLOOKUP($D75,'Adient Assende (Belgium) WK.17'!$B:HR,IR$1,0),0)</f>
        <v>1200</v>
      </c>
      <c r="IR75" s="55">
        <f>IFERROR(VLOOKUP($D75,'Adient Arendal (Malzia) WK.12'!$B:HS,IR$1,0),0)</f>
        <v>0</v>
      </c>
      <c r="IS75" s="55">
        <f>IFERROR(VLOOKUP($D75,'Adient Taizhou (China) WK.16'!$B:HV,IR$1,0),0)</f>
        <v>0</v>
      </c>
      <c r="IT75" s="60">
        <v>0</v>
      </c>
      <c r="IU75" s="128">
        <v>720</v>
      </c>
      <c r="IV75" s="32">
        <v>0</v>
      </c>
      <c r="IW75" s="106">
        <f t="shared" si="261"/>
        <v>6600</v>
      </c>
      <c r="IX75" s="8"/>
      <c r="IY75" s="37">
        <f t="shared" si="772"/>
        <v>6600</v>
      </c>
      <c r="IZ75" s="125">
        <f>IFERROR(VLOOKUP($D75,'Adient Assende (Belgium) WK.17'!$B:HZ,JA$1,0),0)</f>
        <v>720</v>
      </c>
      <c r="JA75" s="55">
        <f>IFERROR(VLOOKUP($D75,'Adient Arendal (Malzia) WK.12'!$B:IA,JA$1,0),0)</f>
        <v>0</v>
      </c>
      <c r="JB75" s="55">
        <f>IFERROR(VLOOKUP($D75,'Adient Taizhou (China) WK.16'!$B:ID,JA$1,0),0)</f>
        <v>0</v>
      </c>
      <c r="JC75" s="128">
        <v>720</v>
      </c>
      <c r="JD75" s="32">
        <v>0</v>
      </c>
      <c r="JE75" s="106">
        <f t="shared" si="773"/>
        <v>5880</v>
      </c>
      <c r="JF75" s="8"/>
      <c r="JG75" s="37">
        <f t="shared" si="774"/>
        <v>5880</v>
      </c>
      <c r="JH75" s="125">
        <f>IFERROR(VLOOKUP($D75,'Adient Assende (Belgium) WK.17'!$B:IH,JI$1,0),0)</f>
        <v>720</v>
      </c>
      <c r="JI75" s="55">
        <f>IFERROR(VLOOKUP($D75,'Adient Arendal (Malzia) WK.12'!$B:II,JI$1,0),0)</f>
        <v>0</v>
      </c>
      <c r="JJ75" s="55">
        <f>IFERROR(VLOOKUP($D75,'Adient Taizhou (China) WK.16'!$B:IL,JI$1,0),0)</f>
        <v>0</v>
      </c>
      <c r="JK75" s="60">
        <v>1500</v>
      </c>
      <c r="JL75" s="128">
        <v>2160</v>
      </c>
      <c r="JM75" s="32">
        <v>0</v>
      </c>
      <c r="JN75" s="106">
        <f t="shared" si="262"/>
        <v>5220</v>
      </c>
      <c r="JO75" s="8"/>
      <c r="JP75" s="37">
        <f t="shared" si="775"/>
        <v>5220</v>
      </c>
      <c r="JQ75" s="125">
        <f>IFERROR(VLOOKUP($D75,'Adient Assende (Belgium) WK.17'!$B:IP,JR$1,0),0)</f>
        <v>2160</v>
      </c>
      <c r="JR75" s="55">
        <f>IFERROR(VLOOKUP($D75,'Adient Arendal (Malzia) WK.12'!$B:IQ,JR$1,0),0)</f>
        <v>0</v>
      </c>
      <c r="JS75" s="55">
        <f>IFERROR(VLOOKUP($D75,'Adient Taizhou (China) WK.16'!$B:IT,JR$1,0),0)</f>
        <v>0</v>
      </c>
      <c r="JT75" s="128">
        <v>0</v>
      </c>
      <c r="JU75" s="32">
        <v>0</v>
      </c>
      <c r="JV75" s="106">
        <f t="shared" si="776"/>
        <v>5220</v>
      </c>
      <c r="JW75" s="8"/>
      <c r="JX75" s="37">
        <f t="shared" si="777"/>
        <v>5220</v>
      </c>
      <c r="JY75" s="154">
        <f>IFERROR(VLOOKUP($D75,'Adient Assende (Belgium) WK.17'!$B:IX,JZ$1,0),0)</f>
        <v>0</v>
      </c>
      <c r="JZ75" s="55">
        <f>IFERROR(VLOOKUP($D75,'Adient Arendal (Malzia) WK.12'!$B:IY,JZ$1,0),0)</f>
        <v>0</v>
      </c>
      <c r="KA75" s="55">
        <f>IFERROR(VLOOKUP($D75,'Adient Taizhou (China) WK.16'!$B:JB,JZ$1,0),0)</f>
        <v>0</v>
      </c>
      <c r="KB75" s="128">
        <v>960</v>
      </c>
      <c r="KC75" s="32">
        <v>0</v>
      </c>
      <c r="KD75" s="106">
        <f t="shared" ref="KD75:KD79" si="849">((JX75-(JZ75+KA75+KB75)+KC75))</f>
        <v>4260</v>
      </c>
      <c r="KE75" s="8"/>
      <c r="KF75" s="37">
        <f t="shared" si="778"/>
        <v>4260</v>
      </c>
      <c r="KG75" s="125">
        <f>IFERROR(VLOOKUP($D75,'Adient Assende (Belgium) WK.17'!$B:JF,KH$1,0),0)</f>
        <v>960</v>
      </c>
      <c r="KH75" s="55">
        <f>IFERROR(VLOOKUP($D75,'Adient Arendal (Malzia) WK.12'!$B:JG,KH$1,0),0)</f>
        <v>0</v>
      </c>
      <c r="KI75" s="55">
        <f>IFERROR(VLOOKUP($D75,'Adient Taizhou (China) WK.16'!$B:JJ,KH$1,0),0)</f>
        <v>0</v>
      </c>
      <c r="KJ75" s="60">
        <v>240</v>
      </c>
      <c r="KK75" s="128">
        <v>960</v>
      </c>
      <c r="KL75" s="32">
        <v>0</v>
      </c>
      <c r="KM75" s="106">
        <f t="shared" ref="KM75:KM79" si="850">((KF75-(KH75+KI75+KK75)+KL75))+KJ75</f>
        <v>3540</v>
      </c>
      <c r="KN75" s="8"/>
      <c r="KO75" s="37">
        <f t="shared" si="779"/>
        <v>3540</v>
      </c>
      <c r="KP75" s="141">
        <f>IFERROR(VLOOKUP($D75,'Adient Assende (Belgium) WK.17'!$B:JN,KQ$1,0),0)</f>
        <v>960</v>
      </c>
      <c r="KQ75" s="140">
        <f>IFERROR(VLOOKUP($D75,'Adient Arendal (Malzia) WK.12'!$B:JO,KQ$1,0),0)</f>
        <v>0</v>
      </c>
      <c r="KR75" s="140">
        <f>IFERROR(VLOOKUP($D75,'Adient Taizhou (China) WK.16'!$B:JR,KQ$1,0),0)</f>
        <v>0</v>
      </c>
      <c r="KS75" s="60">
        <v>1080</v>
      </c>
      <c r="KT75" s="128">
        <v>960</v>
      </c>
      <c r="KU75" s="32">
        <v>0</v>
      </c>
      <c r="KV75" s="106">
        <f t="shared" ref="KV75:KV79" si="851">((KO75-(KQ75+KR75+KT75)+KU75))+KS75</f>
        <v>3660</v>
      </c>
      <c r="KX75" s="37">
        <f t="shared" si="780"/>
        <v>3660</v>
      </c>
      <c r="KY75" s="141">
        <f>IFERROR(VLOOKUP($D75,'Adient Assende (Belgium) WK.17'!$B:JV,KZ$1,0),0)</f>
        <v>960</v>
      </c>
      <c r="KZ75" s="140">
        <f>IFERROR(VLOOKUP($D75,'Adient Arendal (Malzia) WK.12'!$B:JW,KZ$1,0),0)</f>
        <v>0</v>
      </c>
      <c r="LA75" s="140">
        <f>IFERROR(VLOOKUP($D75,'Adient Taizhou (China) WK.16'!$B:JZ,KZ$1,0),0)</f>
        <v>0</v>
      </c>
      <c r="LB75" s="128">
        <v>0</v>
      </c>
      <c r="LC75" s="32">
        <v>0</v>
      </c>
      <c r="LD75" s="106">
        <f t="shared" si="781"/>
        <v>3660</v>
      </c>
      <c r="LF75" s="37">
        <f t="shared" si="782"/>
        <v>3660</v>
      </c>
      <c r="LG75" s="141">
        <f>IFERROR(VLOOKUP($D75,'Adient Assende (Belgium) WK.17'!$B:KD,LH$1,0),0)</f>
        <v>1200</v>
      </c>
      <c r="LH75" s="140">
        <f>IFERROR(VLOOKUP($D75,'Adient Arendal (Malzia) WK.12'!$B:KE,LH$1,0),0)</f>
        <v>0</v>
      </c>
      <c r="LI75" s="140">
        <f>IFERROR(VLOOKUP($D75,'Adient Taizhou (China) WK.16'!$B:KH,LH$1,0),0)</f>
        <v>0</v>
      </c>
      <c r="LJ75" s="60">
        <v>2700</v>
      </c>
      <c r="LK75" s="128">
        <v>0</v>
      </c>
      <c r="LL75" s="32">
        <v>0</v>
      </c>
      <c r="LM75" s="100">
        <f t="shared" ref="LM75:LM79" si="852">((LF75-(LG75+LH75+LI75)+LL75))+LJ75</f>
        <v>5160</v>
      </c>
      <c r="LO75" s="37">
        <f t="shared" si="783"/>
        <v>5160</v>
      </c>
      <c r="LP75" s="141">
        <f>IFERROR(VLOOKUP($D75,'Adient Assende (Belgium) WK.17'!$B:KL,LQ$1,0),0)</f>
        <v>720</v>
      </c>
      <c r="LQ75" s="140">
        <f>IFERROR(VLOOKUP($D75,'Adient Arendal (Malzia) WK.12'!$B:KM,LQ$1,0),0)</f>
        <v>0</v>
      </c>
      <c r="LR75" s="140">
        <f>IFERROR(VLOOKUP($D75,'Adient Taizhou (China) WK.16'!$B:KP,LQ$1,0),0)</f>
        <v>0</v>
      </c>
      <c r="LS75" s="128">
        <v>0</v>
      </c>
      <c r="LT75" s="32">
        <v>0</v>
      </c>
      <c r="LU75" s="100">
        <f t="shared" si="784"/>
        <v>4440</v>
      </c>
      <c r="LW75" s="37">
        <f t="shared" si="785"/>
        <v>4440</v>
      </c>
      <c r="LX75" s="141">
        <f>IFERROR(VLOOKUP($D75,'Adient Assende (Belgium) WK.17'!$B:KT,LY$1,0),0)</f>
        <v>1920</v>
      </c>
      <c r="LY75" s="140">
        <f>IFERROR(VLOOKUP($D75,'Adient Arendal (Malzia) WK.12'!$B:KU,LY$1,0),0)</f>
        <v>0</v>
      </c>
      <c r="LZ75" s="140">
        <f>IFERROR(VLOOKUP($D75,'Adient Taizhou (China) WK.16'!$B:KX,LY$1,0),0)</f>
        <v>0</v>
      </c>
      <c r="MA75" s="128">
        <v>0</v>
      </c>
      <c r="MB75" s="32">
        <v>0</v>
      </c>
      <c r="MC75" s="100">
        <f t="shared" si="786"/>
        <v>2520</v>
      </c>
      <c r="ME75" s="37">
        <f t="shared" si="787"/>
        <v>2520</v>
      </c>
      <c r="MF75" s="154">
        <f>IFERROR(VLOOKUP($D75,'Adient Assende (Belgium) WK.17'!$B:LB,MG$1,0),0)</f>
        <v>0</v>
      </c>
      <c r="MG75" s="140">
        <f>IFERROR(VLOOKUP($D75,'Adient Arendal (Malzia) WK.12'!$B:LC,MG$1,0),0)</f>
        <v>0</v>
      </c>
      <c r="MH75" s="140">
        <f>IFERROR(VLOOKUP($D75,'Adient Taizhou (China) WK.16'!$B:LF,MG$1,0),0)</f>
        <v>0</v>
      </c>
      <c r="MI75" s="128">
        <v>0</v>
      </c>
      <c r="MJ75" s="32">
        <v>0</v>
      </c>
      <c r="MK75" s="100">
        <f t="shared" si="788"/>
        <v>2520</v>
      </c>
      <c r="MM75" s="37">
        <f t="shared" si="789"/>
        <v>2520</v>
      </c>
      <c r="MN75" s="141">
        <f>IFERROR(VLOOKUP($D75,'Adient Assende (Belgium) WK.17'!$B:LJ,MO$1,0),0)</f>
        <v>960</v>
      </c>
      <c r="MO75" s="140">
        <f>IFERROR(VLOOKUP($D75,'Adient Arendal (Malzia) WK.12'!$B:LK,MO$1,0),0)</f>
        <v>0</v>
      </c>
      <c r="MP75" s="140">
        <f>IFERROR(VLOOKUP($D75,'Adient Taizhou (China) WK.16'!$B:LN,MO$1,0),0)</f>
        <v>0</v>
      </c>
      <c r="MQ75" s="128">
        <v>0</v>
      </c>
      <c r="MR75" s="32">
        <v>0</v>
      </c>
      <c r="MS75" s="100">
        <f t="shared" si="790"/>
        <v>1560</v>
      </c>
      <c r="MU75" s="37">
        <f t="shared" si="791"/>
        <v>1560</v>
      </c>
      <c r="MV75" s="141">
        <f>IFERROR(VLOOKUP($D75,'Adient Assende (Belgium) WK.17'!$B:LR,MW$1,0),0)</f>
        <v>1200</v>
      </c>
      <c r="MW75" s="140">
        <f>IFERROR(VLOOKUP($D75,'Adient Arendal (Malzia) WK.12'!$B:LS,MW$1,0),0)</f>
        <v>0</v>
      </c>
      <c r="MX75" s="140">
        <f>IFERROR(VLOOKUP($D75,'Adient Taizhou (China) WK.16'!$B:LV,MW$1,0),0)</f>
        <v>0</v>
      </c>
      <c r="MY75" s="128">
        <v>0</v>
      </c>
      <c r="MZ75" s="32">
        <v>0</v>
      </c>
      <c r="NA75" s="100">
        <f t="shared" si="792"/>
        <v>360</v>
      </c>
      <c r="NC75" s="37">
        <f t="shared" si="793"/>
        <v>360</v>
      </c>
      <c r="ND75" s="141">
        <f>IFERROR(VLOOKUP($D75,'Adient Assende (Belgium) WK.17'!$B:LZ,NE$1,0),0)</f>
        <v>1440</v>
      </c>
      <c r="NE75" s="140">
        <f>IFERROR(VLOOKUP($D75,'Adient Arendal (Malzia) WK.12'!$B:MA,NE$1,0),0)</f>
        <v>0</v>
      </c>
      <c r="NF75" s="140">
        <f>IFERROR(VLOOKUP($D75,'Adient Taizhou (China) WK.16'!$B:MD,NE$1,0),0)</f>
        <v>0</v>
      </c>
      <c r="NG75" s="128">
        <v>0</v>
      </c>
      <c r="NH75" s="32">
        <v>0</v>
      </c>
      <c r="NI75" s="100">
        <f t="shared" si="794"/>
        <v>-1080</v>
      </c>
      <c r="NK75" s="37">
        <f t="shared" si="795"/>
        <v>-1080</v>
      </c>
      <c r="NL75" s="141">
        <f>IFERROR(VLOOKUP($D75,'Adient Assende (Belgium) WK.17'!$B:MH,NM$1,0),0)</f>
        <v>720</v>
      </c>
      <c r="NM75" s="140">
        <f>IFERROR(VLOOKUP($D75,'Adient Arendal (Malzia) WK.12'!$B:MI,NM$1,0),0)</f>
        <v>0</v>
      </c>
      <c r="NN75" s="140">
        <f>IFERROR(VLOOKUP($D75,'Adient Taizhou (China) WK.16'!$B:ML,NM$1,0),0)</f>
        <v>0</v>
      </c>
      <c r="NO75" s="128">
        <v>0</v>
      </c>
      <c r="NP75" s="32">
        <v>0</v>
      </c>
      <c r="NQ75" s="100">
        <f t="shared" si="796"/>
        <v>-1800</v>
      </c>
      <c r="NS75" s="37">
        <f t="shared" si="797"/>
        <v>-1800</v>
      </c>
      <c r="NT75" s="141">
        <f>IFERROR(VLOOKUP($D75,'Adient Assende (Belgium) WK.17'!$B:MP,NU$1,0),0)</f>
        <v>1200</v>
      </c>
      <c r="NU75" s="140">
        <f>IFERROR(VLOOKUP($D75,'Adient Arendal (Malzia) WK.12'!$B:MQ,NU$1,0),0)</f>
        <v>0</v>
      </c>
      <c r="NV75" s="140">
        <f>IFERROR(VLOOKUP($D75,'Adient Taizhou (China) WK.16'!$B:MT,NU$1,0),0)</f>
        <v>0</v>
      </c>
      <c r="NW75" s="128">
        <v>0</v>
      </c>
      <c r="NX75" s="32">
        <v>0</v>
      </c>
      <c r="NY75" s="100">
        <f t="shared" si="798"/>
        <v>-3000</v>
      </c>
      <c r="OA75" s="37">
        <f t="shared" si="799"/>
        <v>-3000</v>
      </c>
      <c r="OB75" s="141">
        <f>IFERROR(VLOOKUP($D75,'Adient Assende (Belgium) WK.17'!$B:MX,OC$1,0),0)</f>
        <v>960</v>
      </c>
      <c r="OC75" s="140">
        <f>IFERROR(VLOOKUP($D75,'Adient Arendal (Malzia) WK.12'!$B:MY,OC$1,0),0)</f>
        <v>0</v>
      </c>
      <c r="OD75" s="140">
        <f>IFERROR(VLOOKUP($D75,'Adient Taizhou (China) WK.16'!$B:NB,OC$1,0),0)</f>
        <v>0</v>
      </c>
      <c r="OE75" s="128">
        <v>0</v>
      </c>
      <c r="OF75" s="32">
        <v>0</v>
      </c>
      <c r="OG75" s="100">
        <f t="shared" si="800"/>
        <v>-3960</v>
      </c>
      <c r="OI75" s="37">
        <f t="shared" si="801"/>
        <v>-3960</v>
      </c>
      <c r="OJ75" s="141">
        <f>IFERROR(VLOOKUP($D75,'Adient Assende (Belgium) WK.17'!$B:NF,OK$1,0),0)</f>
        <v>1680</v>
      </c>
      <c r="OK75" s="140">
        <f>IFERROR(VLOOKUP($D75,'Adient Arendal (Malzia) WK.12'!$B:NG,OK$1,0),0)</f>
        <v>0</v>
      </c>
      <c r="OL75" s="140">
        <f>IFERROR(VLOOKUP($D75,'Adient Taizhou (China) WK.16'!$B:NJ,OK$1,0),0)</f>
        <v>0</v>
      </c>
      <c r="OM75" s="128">
        <v>0</v>
      </c>
      <c r="ON75" s="32">
        <v>0</v>
      </c>
      <c r="OO75" s="100">
        <f t="shared" si="802"/>
        <v>-5640</v>
      </c>
      <c r="OQ75" s="37">
        <f t="shared" si="803"/>
        <v>-5640</v>
      </c>
      <c r="OR75" s="141">
        <f>IFERROR(VLOOKUP($D75,'Adient Assende (Belgium) WK.17'!$B:NN,OS$1,0),0)</f>
        <v>0</v>
      </c>
      <c r="OS75" s="140">
        <f>IFERROR(VLOOKUP($D75,'Adient Arendal (Malzia) WK.12'!$B:NO,OS$1,0),0)</f>
        <v>0</v>
      </c>
      <c r="OT75" s="140">
        <f>IFERROR(VLOOKUP($D75,'Adient Taizhou (China) WK.16'!$B:NR,OS$1,0),0)</f>
        <v>0</v>
      </c>
      <c r="OU75" s="128">
        <v>0</v>
      </c>
      <c r="OV75" s="32">
        <v>0</v>
      </c>
      <c r="OW75" s="100">
        <f t="shared" si="804"/>
        <v>-5640</v>
      </c>
      <c r="OY75" s="37">
        <f t="shared" si="805"/>
        <v>-5640</v>
      </c>
      <c r="OZ75" s="141">
        <f>IFERROR(VLOOKUP($D75,'Adient Assende (Belgium) WK.17'!$B:NV,PA$1,0),0)</f>
        <v>0</v>
      </c>
      <c r="PA75" s="140">
        <f>IFERROR(VLOOKUP($D75,'Adient Arendal (Malzia) WK.12'!$B:NW,PA$1,0),0)</f>
        <v>0</v>
      </c>
      <c r="PB75" s="140">
        <f>IFERROR(VLOOKUP($D75,'Adient Taizhou (China) WK.16'!$B:NZ,PA$1,0),0)</f>
        <v>0</v>
      </c>
      <c r="PC75" s="128">
        <v>0</v>
      </c>
      <c r="PD75" s="32">
        <v>0</v>
      </c>
      <c r="PE75" s="100">
        <f t="shared" si="806"/>
        <v>-5640</v>
      </c>
      <c r="PG75" s="37">
        <f t="shared" si="807"/>
        <v>-5640</v>
      </c>
      <c r="PH75" s="141">
        <f>IFERROR(VLOOKUP($D75,'Adient Assende (Belgium) WK.17'!$B:OD,PI$1,0),0)</f>
        <v>0</v>
      </c>
      <c r="PI75" s="140">
        <f>IFERROR(VLOOKUP($D75,'Adient Arendal (Malzia) WK.12'!$B:OE,PI$1,0),0)</f>
        <v>0</v>
      </c>
      <c r="PJ75" s="140">
        <f>IFERROR(VLOOKUP($D75,'Adient Taizhou (China) WK.16'!$B:OH,PI$1,0),0)</f>
        <v>0</v>
      </c>
      <c r="PK75" s="128">
        <v>0</v>
      </c>
      <c r="PL75" s="32">
        <v>0</v>
      </c>
      <c r="PM75" s="100">
        <f t="shared" si="808"/>
        <v>-5640</v>
      </c>
      <c r="PO75" s="37">
        <f t="shared" si="809"/>
        <v>-5640</v>
      </c>
      <c r="PP75" s="141">
        <f>IFERROR(VLOOKUP($D75,'Adient Assende (Belgium) WK.17'!$B:OL,PQ$1,0),0)</f>
        <v>0</v>
      </c>
      <c r="PQ75" s="140">
        <f>IFERROR(VLOOKUP($D75,'Adient Arendal (Malzia) WK.12'!$B:OM,PQ$1,0),0)</f>
        <v>0</v>
      </c>
      <c r="PR75" s="140">
        <f>IFERROR(VLOOKUP($D75,'Adient Taizhou (China) WK.16'!$B:OP,PQ$1,0),0)</f>
        <v>0</v>
      </c>
      <c r="PS75" s="128">
        <v>0</v>
      </c>
      <c r="PT75" s="32">
        <v>0</v>
      </c>
      <c r="PU75" s="100">
        <f t="shared" si="810"/>
        <v>-5640</v>
      </c>
      <c r="PW75" s="37">
        <f t="shared" si="811"/>
        <v>-5640</v>
      </c>
      <c r="PX75" s="141">
        <f>IFERROR(VLOOKUP($D75,'Adient Assende (Belgium) WK.17'!$B:OT,PY$1,0),0)</f>
        <v>960</v>
      </c>
      <c r="PY75" s="140">
        <f>IFERROR(VLOOKUP($D75,'Adient Arendal (Malzia) WK.12'!$B:OU,PY$1,0),0)</f>
        <v>0</v>
      </c>
      <c r="PZ75" s="140">
        <f>IFERROR(VLOOKUP($D75,'Adient Taizhou (China) WK.16'!$B:OX,PY$1,0),0)</f>
        <v>0</v>
      </c>
      <c r="QA75" s="128">
        <v>0</v>
      </c>
      <c r="QB75" s="32">
        <v>0</v>
      </c>
      <c r="QC75" s="100">
        <f t="shared" si="812"/>
        <v>-6600</v>
      </c>
      <c r="QE75" s="37">
        <f t="shared" si="813"/>
        <v>-6600</v>
      </c>
      <c r="QF75" s="141">
        <f>IFERROR(VLOOKUP($D75,'Adient Assende (Belgium) WK.17'!$B:PB,QG$1,0),0)</f>
        <v>960</v>
      </c>
      <c r="QG75" s="140">
        <f>IFERROR(VLOOKUP($D75,'Adient Arendal (Malzia) WK.12'!$B:PC,QG$1,0),0)</f>
        <v>0</v>
      </c>
      <c r="QH75" s="140">
        <f>IFERROR(VLOOKUP($D75,'Adient Taizhou (China) WK.16'!$B:PF,QG$1,0),0)</f>
        <v>0</v>
      </c>
      <c r="QI75" s="128">
        <v>0</v>
      </c>
      <c r="QJ75" s="32">
        <v>0</v>
      </c>
      <c r="QK75" s="100">
        <f t="shared" si="814"/>
        <v>-7560</v>
      </c>
      <c r="QM75" s="37">
        <f t="shared" si="815"/>
        <v>-7560</v>
      </c>
      <c r="QN75" s="141">
        <f>IFERROR(VLOOKUP($D75,'Adient Assende (Belgium) WK.17'!$B:PJ,QO$1,0),0)</f>
        <v>960</v>
      </c>
      <c r="QO75" s="140">
        <f>IFERROR(VLOOKUP($D75,'Adient Arendal (Malzia) WK.12'!$B:PK,QO$1,0),0)</f>
        <v>0</v>
      </c>
      <c r="QP75" s="140">
        <f>IFERROR(VLOOKUP($D75,'Adient Taizhou (China) WK.16'!$B:PN,QO$1,0),0)</f>
        <v>0</v>
      </c>
      <c r="QQ75" s="128">
        <v>0</v>
      </c>
      <c r="QR75" s="32">
        <v>0</v>
      </c>
      <c r="QS75" s="100">
        <f t="shared" si="816"/>
        <v>-8520</v>
      </c>
      <c r="QU75" s="37">
        <f t="shared" si="817"/>
        <v>-8520</v>
      </c>
      <c r="QV75" s="141">
        <f>IFERROR(VLOOKUP($D75,'Adient Assende (Belgium) WK.17'!$B:PR,QW$1,0),0)</f>
        <v>1020</v>
      </c>
      <c r="QW75" s="140">
        <f>IFERROR(VLOOKUP($D75,'Adient Arendal (Malzia) WK.12'!$B:PS,QW$1,0),0)</f>
        <v>0</v>
      </c>
      <c r="QX75" s="140">
        <f>IFERROR(VLOOKUP($D75,'Adient Taizhou (China) WK.16'!$B:PV,QW$1,0),0)</f>
        <v>0</v>
      </c>
      <c r="QY75" s="128">
        <v>0</v>
      </c>
      <c r="QZ75" s="32">
        <v>0</v>
      </c>
      <c r="RA75" s="100">
        <f t="shared" si="818"/>
        <v>-9540</v>
      </c>
      <c r="RC75" s="37">
        <f t="shared" si="819"/>
        <v>-9540</v>
      </c>
      <c r="RD75" s="141">
        <f>IFERROR(VLOOKUP($D75,'Adient Assende (Belgium) WK.17'!$B:PZ,RE$1,0),0)</f>
        <v>1020</v>
      </c>
      <c r="RE75" s="140">
        <f>IFERROR(VLOOKUP($D75,'Adient Arendal (Malzia) WK.12'!$B:QA,RE$1,0),0)</f>
        <v>0</v>
      </c>
      <c r="RF75" s="140">
        <f>IFERROR(VLOOKUP($D75,'Adient Taizhou (China) WK.16'!$B:QD,RE$1,0),0)</f>
        <v>0</v>
      </c>
      <c r="RG75" s="128">
        <v>0</v>
      </c>
      <c r="RH75" s="32">
        <v>0</v>
      </c>
      <c r="RI75" s="100">
        <f t="shared" si="820"/>
        <v>-10560</v>
      </c>
      <c r="RK75" s="37">
        <f t="shared" si="821"/>
        <v>-10560</v>
      </c>
      <c r="RL75" s="141">
        <f>IFERROR(VLOOKUP($D75,'Adient Assende (Belgium) WK.17'!$B:QH,RM$1,0),0)</f>
        <v>1020</v>
      </c>
      <c r="RM75" s="140">
        <f>IFERROR(VLOOKUP($D75,'Adient Arendal (Malzia) WK.12'!$B:QI,RM$1,0),0)</f>
        <v>0</v>
      </c>
      <c r="RN75" s="140">
        <f>IFERROR(VLOOKUP($D75,'Adient Taizhou (China) WK.16'!$B:QL,RM$1,0),0)</f>
        <v>0</v>
      </c>
      <c r="RO75" s="128">
        <v>0</v>
      </c>
      <c r="RP75" s="32">
        <v>0</v>
      </c>
      <c r="RQ75" s="100">
        <f t="shared" si="822"/>
        <v>-11580</v>
      </c>
      <c r="RS75" s="37">
        <f t="shared" si="823"/>
        <v>-11580</v>
      </c>
      <c r="RT75" s="141">
        <f>IFERROR(VLOOKUP($D75,'Adient Assende (Belgium) WK.17'!$B:QP,RU$1,0),0)</f>
        <v>1020</v>
      </c>
      <c r="RU75" s="140">
        <f>IFERROR(VLOOKUP($D75,'Adient Arendal (Malzia) WK.12'!$B:QQ,RU$1,0),0)</f>
        <v>0</v>
      </c>
      <c r="RV75" s="140">
        <f>IFERROR(VLOOKUP($D75,'Adient Taizhou (China) WK.16'!$B:QT,RU$1,0),0)</f>
        <v>0</v>
      </c>
      <c r="RW75" s="128">
        <v>0</v>
      </c>
      <c r="RX75" s="32">
        <v>0</v>
      </c>
      <c r="RY75" s="100">
        <f t="shared" si="824"/>
        <v>-12600</v>
      </c>
      <c r="SA75" s="37">
        <f t="shared" si="825"/>
        <v>-12600</v>
      </c>
      <c r="SB75" s="141">
        <f>IFERROR(VLOOKUP($D75,'Adient Assende (Belgium) WK.17'!$B:QX,SC$1,0),0)</f>
        <v>780</v>
      </c>
      <c r="SC75" s="140">
        <f>IFERROR(VLOOKUP($D75,'Adient Arendal (Malzia) WK.12'!$B:QY,SC$1,0),0)</f>
        <v>0</v>
      </c>
      <c r="SD75" s="140">
        <f>IFERROR(VLOOKUP($D75,'Adient Taizhou (China) WK.16'!$B:RB,SC$1,0),0)</f>
        <v>0</v>
      </c>
      <c r="SE75" s="128">
        <v>0</v>
      </c>
      <c r="SF75" s="32">
        <v>0</v>
      </c>
      <c r="SG75" s="100">
        <f t="shared" si="826"/>
        <v>-13380</v>
      </c>
      <c r="SI75" s="37">
        <f t="shared" si="827"/>
        <v>-13380</v>
      </c>
      <c r="SJ75" s="141">
        <f>IFERROR(VLOOKUP($D75,'Adient Assende (Belgium) WK.17'!$B:RF,SK$1,0),0)</f>
        <v>780</v>
      </c>
      <c r="SK75" s="140">
        <f>IFERROR(VLOOKUP($D75,'Adient Arendal (Malzia) WK.12'!$B:RG,SK$1,0),0)</f>
        <v>0</v>
      </c>
      <c r="SL75" s="140">
        <f>IFERROR(VLOOKUP($D75,'Adient Taizhou (China) WK.16'!$B:RJ,SK$1,0),0)</f>
        <v>0</v>
      </c>
      <c r="SM75" s="128">
        <v>0</v>
      </c>
      <c r="SN75" s="32">
        <v>0</v>
      </c>
      <c r="SO75" s="100">
        <f t="shared" si="828"/>
        <v>-14160</v>
      </c>
      <c r="SQ75" s="37">
        <f t="shared" si="829"/>
        <v>-14160</v>
      </c>
      <c r="SR75" s="141">
        <f>IFERROR(VLOOKUP($D75,'Adient Assende (Belgium) WK.17'!$B:RN,SS$1,0),0)</f>
        <v>780</v>
      </c>
      <c r="SS75" s="140">
        <f>IFERROR(VLOOKUP($D75,'Adient Arendal (Malzia) WK.12'!$B:RO,SS$1,0),0)</f>
        <v>0</v>
      </c>
      <c r="ST75" s="140">
        <f>IFERROR(VLOOKUP($D75,'Adient Taizhou (China) WK.16'!$B:RR,SS$1,0),0)</f>
        <v>0</v>
      </c>
      <c r="SU75" s="128">
        <v>0</v>
      </c>
      <c r="SV75" s="32">
        <v>0</v>
      </c>
      <c r="SW75" s="100">
        <f t="shared" si="830"/>
        <v>-14940</v>
      </c>
      <c r="SY75" s="37">
        <f t="shared" si="831"/>
        <v>-14940</v>
      </c>
      <c r="SZ75" s="141">
        <f>IFERROR(VLOOKUP($D75,'Adient Assende (Belgium) WK.17'!$B:RV,TA$1,0),0)</f>
        <v>780</v>
      </c>
      <c r="TA75" s="140">
        <f>IFERROR(VLOOKUP($D75,'Adient Arendal (Malzia) WK.12'!$B:RW,TA$1,0),0)</f>
        <v>0</v>
      </c>
      <c r="TB75" s="140">
        <f>IFERROR(VLOOKUP($D75,'Adient Taizhou (China) WK.16'!$B:RZ,TA$1,0),0)</f>
        <v>0</v>
      </c>
      <c r="TC75" s="128">
        <v>0</v>
      </c>
      <c r="TD75" s="32">
        <v>0</v>
      </c>
      <c r="TE75" s="100">
        <f t="shared" si="832"/>
        <v>-15720</v>
      </c>
      <c r="TG75" s="37">
        <f t="shared" si="833"/>
        <v>-15720</v>
      </c>
      <c r="TH75" s="141">
        <f>IFERROR(VLOOKUP($D75,'Adient Assende (Belgium) WK.17'!$B:SD,TI$1,0),0)</f>
        <v>1160</v>
      </c>
      <c r="TI75" s="140">
        <f>IFERROR(VLOOKUP($D75,'Adient Arendal (Malzia) WK.12'!$B:SE,TI$1,0),0)</f>
        <v>0</v>
      </c>
      <c r="TJ75" s="140">
        <f>IFERROR(VLOOKUP($D75,'Adient Taizhou (China) WK.16'!$B:SH,TI$1,0),0)</f>
        <v>0</v>
      </c>
      <c r="TK75" s="128">
        <v>0</v>
      </c>
      <c r="TL75" s="32">
        <v>0</v>
      </c>
      <c r="TM75" s="100">
        <f t="shared" si="834"/>
        <v>-16880</v>
      </c>
      <c r="TO75" s="37">
        <f t="shared" si="835"/>
        <v>-16880</v>
      </c>
      <c r="TP75" s="141">
        <f>IFERROR(VLOOKUP($D75,'Adient Assende (Belgium) WK.17'!$B:SL,TQ$1,0),0)</f>
        <v>1160</v>
      </c>
      <c r="TQ75" s="140">
        <f>IFERROR(VLOOKUP($D75,'Adient Arendal (Malzia) WK.12'!$B:SM,TQ$1,0),0)</f>
        <v>0</v>
      </c>
      <c r="TR75" s="140">
        <f>IFERROR(VLOOKUP($D75,'Adient Taizhou (China) WK.16'!$B:SP,TQ$1,0),0)</f>
        <v>0</v>
      </c>
      <c r="TS75" s="128">
        <v>0</v>
      </c>
      <c r="TT75" s="32">
        <v>0</v>
      </c>
      <c r="TU75" s="100">
        <f t="shared" si="836"/>
        <v>-18040</v>
      </c>
      <c r="TW75" s="37">
        <f t="shared" si="837"/>
        <v>-18040</v>
      </c>
      <c r="TX75" s="141">
        <f>IFERROR(VLOOKUP($D75,'Adient Assende (Belgium) WK.17'!$B:ST,TY$1,0),0)</f>
        <v>1160</v>
      </c>
      <c r="TY75" s="140">
        <f>IFERROR(VLOOKUP($D75,'Adient Arendal (Malzia) WK.12'!$B:SU,TY$1,0),0)</f>
        <v>0</v>
      </c>
      <c r="TZ75" s="140">
        <f>IFERROR(VLOOKUP($D75,'Adient Taizhou (China) WK.16'!$B:SX,TY$1,0),0)</f>
        <v>0</v>
      </c>
      <c r="UA75" s="128">
        <v>0</v>
      </c>
      <c r="UB75" s="32">
        <v>0</v>
      </c>
      <c r="UC75" s="100">
        <f t="shared" si="838"/>
        <v>-19200</v>
      </c>
      <c r="UE75" s="37">
        <f t="shared" si="839"/>
        <v>-19200</v>
      </c>
      <c r="UF75" s="141">
        <f>IFERROR(VLOOKUP($D75,'Adient Assende (Belgium) WK.17'!$B:TB,UG$1,0),0)</f>
        <v>1160</v>
      </c>
      <c r="UG75" s="140">
        <f>IFERROR(VLOOKUP($D75,'Adient Arendal (Malzia) WK.12'!$B:TC,UG$1,0),0)</f>
        <v>0</v>
      </c>
      <c r="UH75" s="140">
        <f>IFERROR(VLOOKUP($D75,'Adient Taizhou (China) WK.16'!$B:TF,UG$1,0),0)</f>
        <v>0</v>
      </c>
      <c r="UI75" s="128">
        <v>0</v>
      </c>
      <c r="UJ75" s="32">
        <v>0</v>
      </c>
      <c r="UK75" s="100">
        <f t="shared" si="840"/>
        <v>-20360</v>
      </c>
      <c r="UM75" s="37">
        <f t="shared" si="841"/>
        <v>-20360</v>
      </c>
      <c r="UN75" s="141">
        <f>IFERROR(VLOOKUP($D75,'Adient Assende (Belgium) WK.17'!$B:TJ,UO$1,0),0)</f>
        <v>1120</v>
      </c>
      <c r="UO75" s="140">
        <f>IFERROR(VLOOKUP($D75,'Adient Arendal (Malzia) WK.12'!$B:TK,UO$1,0),0)</f>
        <v>0</v>
      </c>
      <c r="UP75" s="140">
        <f>IFERROR(VLOOKUP($D75,'Adient Taizhou (China) WK.16'!$B:TN,UO$1,0),0)</f>
        <v>0</v>
      </c>
      <c r="UQ75" s="128">
        <v>0</v>
      </c>
      <c r="UR75" s="32">
        <v>0</v>
      </c>
      <c r="US75" s="100">
        <f t="shared" si="842"/>
        <v>-21480</v>
      </c>
      <c r="UU75" s="37">
        <f t="shared" si="843"/>
        <v>-21480</v>
      </c>
      <c r="UV75" s="141">
        <f>IFERROR(VLOOKUP($D75,'Adient Assende (Belgium) WK.17'!$B:TR,UW$1,0),0)</f>
        <v>960</v>
      </c>
      <c r="UW75" s="140">
        <f>IFERROR(VLOOKUP($D75,'Adient Arendal (Malzia) WK.12'!$B:TS,UW$1,0),0)</f>
        <v>0</v>
      </c>
      <c r="UX75" s="140">
        <f>IFERROR(VLOOKUP($D75,'Adient Taizhou (China) WK.16'!$B:TV,UW$1,0),0)</f>
        <v>0</v>
      </c>
      <c r="UY75" s="128">
        <v>0</v>
      </c>
      <c r="UZ75" s="32">
        <v>0</v>
      </c>
      <c r="VA75" s="100">
        <f t="shared" si="844"/>
        <v>-22440</v>
      </c>
      <c r="VC75" s="37">
        <f t="shared" si="845"/>
        <v>-22440</v>
      </c>
      <c r="VD75" s="141">
        <f>IFERROR(VLOOKUP($D75,'Adient Assende (Belgium) WK.17'!$B:TZ,VE$1,0),0)</f>
        <v>960</v>
      </c>
      <c r="VE75" s="140">
        <f>IFERROR(VLOOKUP($D75,'Adient Arendal (Malzia) WK.12'!$B:UA,VE$1,0),0)</f>
        <v>0</v>
      </c>
      <c r="VF75" s="140">
        <f>IFERROR(VLOOKUP($D75,'Adient Taizhou (China) WK.16'!$B:UD,VE$1,0),0)</f>
        <v>0</v>
      </c>
      <c r="VG75" s="128">
        <v>0</v>
      </c>
      <c r="VH75" s="32">
        <v>0</v>
      </c>
      <c r="VI75" s="100">
        <f t="shared" si="846"/>
        <v>-23400</v>
      </c>
      <c r="VK75" s="37">
        <f t="shared" si="847"/>
        <v>-23400</v>
      </c>
      <c r="VL75" s="141">
        <f>IFERROR(VLOOKUP($D75,'Adient Assende (Belgium) WK.17'!$B:UH,VM$1,0),0)</f>
        <v>0</v>
      </c>
      <c r="VM75" s="140">
        <f>IFERROR(VLOOKUP($D75,'Adient Arendal (Malzia) WK.12'!$B:UI,VM$1,0),0)</f>
        <v>0</v>
      </c>
      <c r="VN75" s="140">
        <f>IFERROR(VLOOKUP($D75,'Adient Taizhou (China) WK.16'!$B:UL,VM$1,0),0)</f>
        <v>0</v>
      </c>
      <c r="VO75" s="128">
        <v>0</v>
      </c>
      <c r="VP75" s="32">
        <v>0</v>
      </c>
      <c r="VQ75" s="100">
        <f t="shared" si="848"/>
        <v>-23400</v>
      </c>
    </row>
    <row r="76" spans="1:589" x14ac:dyDescent="0.25">
      <c r="A76" s="10" t="s">
        <v>18</v>
      </c>
      <c r="B76" s="11" t="s">
        <v>20</v>
      </c>
      <c r="C76" s="87">
        <v>32272496</v>
      </c>
      <c r="D76" s="81">
        <v>4429355</v>
      </c>
      <c r="E76" s="11">
        <v>60</v>
      </c>
      <c r="F76" s="12"/>
      <c r="H76" s="122">
        <v>4560</v>
      </c>
      <c r="I76" s="125">
        <f>IFERROR(VLOOKUP($D76,'Adient Assende (Belgium) WK.17'!$B:C,J$1,0),0)</f>
        <v>1440</v>
      </c>
      <c r="J76" s="55">
        <f>IFERROR(VLOOKUP($D76,'Adient Arendal (Malzia) WK.12'!$B:C,J$1,0),0)</f>
        <v>0</v>
      </c>
      <c r="K76" s="55">
        <f>IFERROR(VLOOKUP($D76,'Adient Taizhou (China) WK.16'!$B:C,J$1,0),0)</f>
        <v>0</v>
      </c>
      <c r="L76" s="128">
        <v>240</v>
      </c>
      <c r="M76" s="32">
        <v>0</v>
      </c>
      <c r="N76" s="106">
        <f t="shared" si="233"/>
        <v>4320</v>
      </c>
      <c r="P76" s="37">
        <f t="shared" si="234"/>
        <v>4320</v>
      </c>
      <c r="Q76" s="125">
        <f>IFERROR(VLOOKUP($D76,'Adient Assende (Belgium) WK.17'!$B:K,R$1,0),0)</f>
        <v>240</v>
      </c>
      <c r="R76" s="55">
        <f>IFERROR(VLOOKUP($D76,'Adient Arendal (Malzia) WK.12'!$B:K,R$1,0),0)</f>
        <v>0</v>
      </c>
      <c r="S76" s="55">
        <f>IFERROR(VLOOKUP($D76,'Adient Taizhou (China) WK.16'!$B:K,R$1,0),0)</f>
        <v>0</v>
      </c>
      <c r="T76" s="41">
        <v>720</v>
      </c>
      <c r="U76" s="32">
        <v>0</v>
      </c>
      <c r="V76" s="106">
        <f t="shared" si="235"/>
        <v>3600</v>
      </c>
      <c r="X76" s="37">
        <f t="shared" si="236"/>
        <v>3600</v>
      </c>
      <c r="Y76" s="125">
        <f>IFERROR(VLOOKUP($D76,'Adient Assende (Belgium) WK.17'!$B:S,Z$1,0),0)</f>
        <v>720</v>
      </c>
      <c r="Z76" s="55">
        <f>IFERROR(VLOOKUP($D76,'Adient Arendal (Malzia) WK.12'!$B:S,Z$1,0),0)</f>
        <v>0</v>
      </c>
      <c r="AA76" s="55">
        <f>IFERROR(VLOOKUP($D76,'Adient Taizhou (China) WK.16'!$B:S,Z$1,0),0)</f>
        <v>0</v>
      </c>
      <c r="AB76" s="41">
        <v>480</v>
      </c>
      <c r="AC76" s="32">
        <v>0</v>
      </c>
      <c r="AD76" s="106">
        <f t="shared" si="237"/>
        <v>3120</v>
      </c>
      <c r="AF76" s="37">
        <f t="shared" si="238"/>
        <v>3120</v>
      </c>
      <c r="AG76" s="125">
        <f>IFERROR(VLOOKUP($D76,'Adient Assende (Belgium) WK.17'!$B:AA,AH$1,0),0)</f>
        <v>480</v>
      </c>
      <c r="AH76" s="55">
        <f>IFERROR(VLOOKUP($D76,'Adient Arendal (Malzia) WK.12'!$B:AA,AH$1,0),0)</f>
        <v>0</v>
      </c>
      <c r="AI76" s="55">
        <f>IFERROR(VLOOKUP($D76,'Adient Taizhou (China) WK.16'!$B:AA,AH$1,0),0)</f>
        <v>0</v>
      </c>
      <c r="AJ76" s="41">
        <v>720</v>
      </c>
      <c r="AK76" s="32">
        <v>0</v>
      </c>
      <c r="AL76" s="106">
        <f t="shared" si="239"/>
        <v>2400</v>
      </c>
      <c r="AN76" s="37">
        <f t="shared" si="746"/>
        <v>2400</v>
      </c>
      <c r="AO76" s="125">
        <f>IFERROR(VLOOKUP($D76,'Adient Assende (Belgium) WK.17'!$B:AI,AP$1,0),0)</f>
        <v>720</v>
      </c>
      <c r="AP76" s="55">
        <f>IFERROR(VLOOKUP($D76,'Adient Arendal (Malzia) WK.12'!$B:AI,AP$1,0),0)</f>
        <v>0</v>
      </c>
      <c r="AQ76" s="55">
        <f>IFERROR(VLOOKUP($D76,'Adient Taizhou (China) WK.16'!$B:AI,AP$1,0),0)</f>
        <v>0</v>
      </c>
      <c r="AR76" s="60">
        <v>0</v>
      </c>
      <c r="AS76" s="41">
        <v>480</v>
      </c>
      <c r="AT76" s="32">
        <v>0</v>
      </c>
      <c r="AU76" s="106">
        <f t="shared" si="240"/>
        <v>1920</v>
      </c>
      <c r="AW76" s="37">
        <f t="shared" si="747"/>
        <v>1920</v>
      </c>
      <c r="AX76" s="125">
        <f>IFERROR(VLOOKUP($D76,'Adient Assende (Belgium) WK.17'!$B:AR,AY$1,0),0)</f>
        <v>480</v>
      </c>
      <c r="AY76" s="55">
        <f>IFERROR(VLOOKUP($D76,'Adient Arendal (Malzia) WK.12'!$B:AR,AY$1,0),0)</f>
        <v>0</v>
      </c>
      <c r="AZ76" s="55">
        <f>IFERROR(VLOOKUP($D76,'Adient Taizhou (China) WK.16'!$B:AU,AY$1,0),0)</f>
        <v>0</v>
      </c>
      <c r="BA76" s="41">
        <v>480</v>
      </c>
      <c r="BB76" s="32">
        <v>0</v>
      </c>
      <c r="BC76" s="106">
        <f t="shared" si="241"/>
        <v>1440</v>
      </c>
      <c r="BE76" s="37">
        <f t="shared" si="748"/>
        <v>1440</v>
      </c>
      <c r="BF76" s="125">
        <f>IFERROR(VLOOKUP($D76,'Adient Assende (Belgium) WK.17'!$B:AX,BG$1,0),0)</f>
        <v>480</v>
      </c>
      <c r="BG76" s="55">
        <f>IFERROR(VLOOKUP($D76,'Adient Arendal (Malzia) WK.12'!$B:AZ,BG$1,0),0)</f>
        <v>0</v>
      </c>
      <c r="BH76" s="55">
        <f>IFERROR(VLOOKUP($D76,'Adient Taizhou (China) WK.16'!$B:BB,BG$1,0),0)</f>
        <v>0</v>
      </c>
      <c r="BI76" s="60">
        <v>0</v>
      </c>
      <c r="BJ76" s="60">
        <v>0</v>
      </c>
      <c r="BK76" s="41">
        <v>480</v>
      </c>
      <c r="BL76" s="32">
        <v>0</v>
      </c>
      <c r="BM76" s="106">
        <f t="shared" si="242"/>
        <v>960</v>
      </c>
      <c r="BN76" s="8"/>
      <c r="BO76" s="37">
        <f t="shared" si="749"/>
        <v>960</v>
      </c>
      <c r="BP76" s="125">
        <f>IFERROR(VLOOKUP($D76,'Adient Assende (Belgium) WK.17'!$B:BH,BQ$1,0),0)</f>
        <v>480</v>
      </c>
      <c r="BQ76" s="55">
        <f>IFERROR(VLOOKUP($D76,'Adient Arendal (Malzia) WK.12'!$B:BI,BQ$1,0),0)</f>
        <v>0</v>
      </c>
      <c r="BR76" s="55">
        <f>IFERROR(VLOOKUP($D76,'Adient Taizhou (China) WK.16'!$B:BL,BQ$1,0),0)</f>
        <v>0</v>
      </c>
      <c r="BS76" s="60">
        <v>360</v>
      </c>
      <c r="BT76" s="60">
        <v>0</v>
      </c>
      <c r="BU76" s="60">
        <v>1320</v>
      </c>
      <c r="BV76" s="41">
        <v>720</v>
      </c>
      <c r="BW76" s="32">
        <v>0</v>
      </c>
      <c r="BX76" s="106">
        <f t="shared" si="243"/>
        <v>1920</v>
      </c>
      <c r="BY76" s="8"/>
      <c r="BZ76" s="37">
        <f t="shared" si="750"/>
        <v>1920</v>
      </c>
      <c r="CA76" s="125">
        <f>IFERROR(VLOOKUP($D76,'Adient Assende (Belgium) WK.17'!$B:BS,CB$1,0),0)</f>
        <v>720</v>
      </c>
      <c r="CB76" s="55">
        <f>IFERROR(VLOOKUP($D76,'Adient Arendal (Malzia) WK.12'!$B:BT,CB$1,0),0)</f>
        <v>0</v>
      </c>
      <c r="CC76" s="55">
        <f>IFERROR(VLOOKUP($D76,'Adient Taizhou (China) WK.16'!$B:BW,CB$1,0),0)</f>
        <v>0</v>
      </c>
      <c r="CD76" s="60">
        <v>0</v>
      </c>
      <c r="CE76" s="60">
        <v>0</v>
      </c>
      <c r="CF76" s="41">
        <v>1200</v>
      </c>
      <c r="CG76" s="32">
        <v>0</v>
      </c>
      <c r="CH76" s="106">
        <f t="shared" si="244"/>
        <v>720</v>
      </c>
      <c r="CI76" s="8"/>
      <c r="CJ76" s="37">
        <f t="shared" si="751"/>
        <v>720</v>
      </c>
      <c r="CK76" s="125">
        <f>IFERROR(VLOOKUP($D76,'Adient Assende (Belgium) WK.17'!$B:CC,CL$1,0),0)</f>
        <v>1200</v>
      </c>
      <c r="CL76" s="55">
        <f>IFERROR(VLOOKUP($D76,'Adient Arendal (Malzia) WK.12'!$B:CD,CL$1,0),0)</f>
        <v>0</v>
      </c>
      <c r="CM76" s="55">
        <f>IFERROR(VLOOKUP($D76,'Adient Taizhou (China) WK.16'!$B:CG,CL$1,0),0)</f>
        <v>0</v>
      </c>
      <c r="CN76" s="60">
        <v>1500</v>
      </c>
      <c r="CO76" s="149">
        <v>0</v>
      </c>
      <c r="CP76" s="32">
        <v>0</v>
      </c>
      <c r="CQ76" s="106">
        <f t="shared" si="245"/>
        <v>2220</v>
      </c>
      <c r="CR76" s="8"/>
      <c r="CS76" s="122">
        <f t="shared" si="752"/>
        <v>2220</v>
      </c>
      <c r="CT76" s="154">
        <f>IFERROR(VLOOKUP($D76,'Adient Assende (Belgium) WK.17'!$B:CL,CU$1,0),0)</f>
        <v>0</v>
      </c>
      <c r="CU76" s="55">
        <f>IFERROR(VLOOKUP($D76,'Adient Arendal (Malzia) WK.12'!$B:CM,CU$1,0),0)</f>
        <v>0</v>
      </c>
      <c r="CV76" s="55">
        <f>IFERROR(VLOOKUP($D76,'Adient Taizhou (China) WK.16'!$B:CP,CU$1,0),0)</f>
        <v>0</v>
      </c>
      <c r="CW76" s="60">
        <v>0</v>
      </c>
      <c r="CX76" s="60">
        <v>480</v>
      </c>
      <c r="CY76" s="128">
        <v>720</v>
      </c>
      <c r="CZ76" s="32">
        <v>0</v>
      </c>
      <c r="DA76" s="106">
        <f t="shared" si="246"/>
        <v>1980</v>
      </c>
      <c r="DB76" s="8"/>
      <c r="DC76" s="37">
        <f t="shared" si="753"/>
        <v>1980</v>
      </c>
      <c r="DD76" s="125">
        <f>IFERROR(VLOOKUP($D76,'Adient Assende (Belgium) WK.17'!$B:CS,DE$1,0),0)</f>
        <v>720</v>
      </c>
      <c r="DE76" s="55">
        <f>IFERROR(VLOOKUP($D76,'Adient Arendal (Malzia) WK.12'!$B:CU,DE$1,0),0)</f>
        <v>0</v>
      </c>
      <c r="DF76" s="55">
        <f>IFERROR(VLOOKUP($D76,'Adient Taizhou (China) WK.16'!$B:CX,DE$1,0),0)</f>
        <v>0</v>
      </c>
      <c r="DG76" s="60">
        <v>2880</v>
      </c>
      <c r="DH76" s="128">
        <v>720</v>
      </c>
      <c r="DI76" s="32">
        <v>0</v>
      </c>
      <c r="DJ76" s="106">
        <f t="shared" si="247"/>
        <v>4140</v>
      </c>
      <c r="DL76" s="37">
        <f t="shared" si="754"/>
        <v>4140</v>
      </c>
      <c r="DM76" s="125">
        <f>IFERROR(VLOOKUP($D76,'Adient Assende (Belgium) WK.17'!$B:DB,DN$1,0),0)</f>
        <v>720</v>
      </c>
      <c r="DN76" s="55">
        <f>IFERROR(VLOOKUP($D76,'Adient Arendal (Malzia) WK.12'!$B:DC,DN$1,0),0)</f>
        <v>0</v>
      </c>
      <c r="DO76" s="55">
        <f>IFERROR(VLOOKUP($D76,'Adient Taizhou (China) WK.16'!$B:DF,DN$1,0),0)</f>
        <v>0</v>
      </c>
      <c r="DP76" s="128">
        <v>480</v>
      </c>
      <c r="DQ76" s="32">
        <v>0</v>
      </c>
      <c r="DR76" s="106">
        <f t="shared" si="755"/>
        <v>3660</v>
      </c>
      <c r="DS76" s="8"/>
      <c r="DT76" s="37">
        <f t="shared" si="756"/>
        <v>3660</v>
      </c>
      <c r="DU76" s="125">
        <f>IFERROR(VLOOKUP($D76,'Adient Assende (Belgium) WK.17'!$B:DJ,DV$1,0),0)</f>
        <v>480</v>
      </c>
      <c r="DV76" s="55">
        <f>IFERROR(VLOOKUP($D76,'Adient Arendal (Malzia) WK.12'!$B:DK,DV$1,0),0)</f>
        <v>0</v>
      </c>
      <c r="DW76" s="55">
        <f>IFERROR(VLOOKUP($D76,'Adient Taizhou (China) WK.16'!$B:DN,DV$1,0),0)</f>
        <v>0</v>
      </c>
      <c r="DX76" s="60">
        <v>480</v>
      </c>
      <c r="DY76" s="60">
        <v>1080</v>
      </c>
      <c r="DZ76" s="128">
        <v>480</v>
      </c>
      <c r="EA76" s="32">
        <v>0</v>
      </c>
      <c r="EB76" s="106">
        <f t="shared" si="248"/>
        <v>4740</v>
      </c>
      <c r="EC76" s="8"/>
      <c r="ED76" s="37">
        <f t="shared" si="757"/>
        <v>4740</v>
      </c>
      <c r="EE76" s="125">
        <f>IFERROR(VLOOKUP($D76,'Adient Assende (Belgium) WK.17'!$B:DR,EF$1,0),0)</f>
        <v>480</v>
      </c>
      <c r="EF76" s="55">
        <f>IFERROR(VLOOKUP($D76,'Adient Arendal (Malzia) WK.12'!$B:DS,EF$1,0),0)</f>
        <v>0</v>
      </c>
      <c r="EG76" s="55">
        <f>IFERROR(VLOOKUP($D76,'Adient Taizhou (China) WK.16'!$B:DV,EF$1,0),0)</f>
        <v>0</v>
      </c>
      <c r="EH76" s="60">
        <v>2160</v>
      </c>
      <c r="EI76" s="128">
        <v>960</v>
      </c>
      <c r="EJ76" s="32">
        <v>0</v>
      </c>
      <c r="EK76" s="106">
        <f t="shared" si="249"/>
        <v>5940</v>
      </c>
      <c r="EM76" s="37">
        <f t="shared" si="758"/>
        <v>5940</v>
      </c>
      <c r="EN76" s="125">
        <f>IFERROR(VLOOKUP($D76,'Adient Assende (Belgium) WK.17'!$B:DZ,EO$1,0),0)</f>
        <v>960</v>
      </c>
      <c r="EO76" s="55">
        <f>IFERROR(VLOOKUP($D76,'Adient Arendal (Malzia) WK.12'!$B:EA,EO$1,0),0)</f>
        <v>0</v>
      </c>
      <c r="EP76" s="55">
        <f>IFERROR(VLOOKUP($D76,'Adient Taizhou (China) WK.16'!$B:ED,EO$1,0),0)</f>
        <v>0</v>
      </c>
      <c r="EQ76" s="128">
        <v>1440</v>
      </c>
      <c r="ER76" s="32">
        <v>0</v>
      </c>
      <c r="ES76" s="106">
        <f t="shared" si="250"/>
        <v>4500</v>
      </c>
      <c r="EU76" s="37">
        <f t="shared" si="759"/>
        <v>4500</v>
      </c>
      <c r="EV76" s="125">
        <f>IFERROR(VLOOKUP($D76,'Adient Assende (Belgium) WK.17'!$B:EH,EW$1,0),0)</f>
        <v>1440</v>
      </c>
      <c r="EW76" s="55">
        <f>IFERROR(VLOOKUP($D76,'Adient Arendal (Malzia) WK.12'!$B:EI,EW$1,0),0)</f>
        <v>0</v>
      </c>
      <c r="EX76" s="55">
        <f>IFERROR(VLOOKUP($D76,'Adient Taizhou (China) WK.16'!$B:EL,EW$1,0),0)</f>
        <v>0</v>
      </c>
      <c r="EY76" s="128">
        <v>0</v>
      </c>
      <c r="EZ76" s="32">
        <v>0</v>
      </c>
      <c r="FA76" s="106">
        <f t="shared" si="251"/>
        <v>4500</v>
      </c>
      <c r="FC76" s="37">
        <f t="shared" si="760"/>
        <v>4500</v>
      </c>
      <c r="FD76" s="154">
        <f>IFERROR(VLOOKUP($D76,'Adient Assende (Belgium) WK.17'!$B:EP,FE$1,0),0)</f>
        <v>0</v>
      </c>
      <c r="FE76" s="154">
        <f>IFERROR(VLOOKUP($D76,'Adient Arendal (Malzia) WK.12'!$B:EQ,FE$1,0),0)</f>
        <v>0</v>
      </c>
      <c r="FF76" s="154">
        <f>IFERROR(VLOOKUP($D76,'Adient Taizhou (China) WK.16'!$B:ET,FE$1,0),0)</f>
        <v>0</v>
      </c>
      <c r="FG76" s="128">
        <v>0</v>
      </c>
      <c r="FH76" s="32">
        <v>0</v>
      </c>
      <c r="FI76" s="106">
        <f t="shared" si="252"/>
        <v>4500</v>
      </c>
      <c r="FK76" s="37">
        <f t="shared" si="761"/>
        <v>4500</v>
      </c>
      <c r="FL76" s="125">
        <f>IFERROR(VLOOKUP($D76,'Adient Assende (Belgium) WK.17'!$B:EX,FM$1,0),0)</f>
        <v>0</v>
      </c>
      <c r="FM76" s="55">
        <f>IFERROR(VLOOKUP($D76,'Adient Arendal (Malzia) WK.12'!$B:EY,FM$1,0),0)</f>
        <v>0</v>
      </c>
      <c r="FN76" s="55">
        <f>IFERROR(VLOOKUP($D76,'Adient Taizhou (China) WK.16'!$B:FB,FM$1,0),0)</f>
        <v>0</v>
      </c>
      <c r="FO76" s="128">
        <v>960</v>
      </c>
      <c r="FP76" s="32">
        <v>0</v>
      </c>
      <c r="FQ76" s="106">
        <f t="shared" si="253"/>
        <v>3540</v>
      </c>
      <c r="FR76" s="8"/>
      <c r="FS76" s="37">
        <f t="shared" si="762"/>
        <v>3540</v>
      </c>
      <c r="FT76" s="125">
        <f>IFERROR(VLOOKUP($D76,'Adient Assende (Belgium) WK.17'!$B:FF,FU$1,0),0)</f>
        <v>960</v>
      </c>
      <c r="FU76" s="55">
        <f>IFERROR(VLOOKUP($D76,'Adient Arendal (Malzia) WK.12'!$B:FG,FU$1,0),0)</f>
        <v>0</v>
      </c>
      <c r="FV76" s="55">
        <f>IFERROR(VLOOKUP($D76,'Adient Taizhou (China) WK.16'!$B:FJ,FU$1,0),0)</f>
        <v>0</v>
      </c>
      <c r="FW76" s="60">
        <v>120</v>
      </c>
      <c r="FX76" s="60">
        <v>0</v>
      </c>
      <c r="FY76" s="60">
        <v>1980</v>
      </c>
      <c r="FZ76" s="60">
        <v>660</v>
      </c>
      <c r="GA76" s="60">
        <v>0</v>
      </c>
      <c r="GB76" s="128">
        <v>1200</v>
      </c>
      <c r="GC76" s="32">
        <v>0</v>
      </c>
      <c r="GD76" s="106">
        <f t="shared" si="254"/>
        <v>5100</v>
      </c>
      <c r="GF76" s="37">
        <f t="shared" si="763"/>
        <v>5100</v>
      </c>
      <c r="GG76" s="125">
        <f>IFERROR(VLOOKUP($D76,'Adient Assende (Belgium) WK.17'!$B:FN,GH$1,0),0)</f>
        <v>1200</v>
      </c>
      <c r="GH76" s="55">
        <f>IFERROR(VLOOKUP($D76,'Adient Arendal (Malzia) WK.12'!$B:FO,GH$1,0),0)</f>
        <v>0</v>
      </c>
      <c r="GI76" s="55">
        <f>IFERROR(VLOOKUP($D76,'Adient Taizhou (China) WK.16'!$B:FR,GH$1,0),0)</f>
        <v>0</v>
      </c>
      <c r="GJ76" s="60">
        <v>2460</v>
      </c>
      <c r="GK76" s="128">
        <v>1200</v>
      </c>
      <c r="GL76" s="32">
        <v>0</v>
      </c>
      <c r="GM76" s="106">
        <f t="shared" si="255"/>
        <v>6360</v>
      </c>
      <c r="GO76" s="37">
        <f t="shared" si="764"/>
        <v>6360</v>
      </c>
      <c r="GP76" s="125">
        <f>IFERROR(VLOOKUP($D76,'Adient Assende (Belgium) WK.17'!$B:FV,GQ$1,0),0)</f>
        <v>1200</v>
      </c>
      <c r="GQ76" s="55">
        <f>IFERROR(VLOOKUP($D76,'Adient Arendal (Malzia) WK.12'!$B:FW,GQ$1,0),0)</f>
        <v>0</v>
      </c>
      <c r="GR76" s="55">
        <f>IFERROR(VLOOKUP($D76,'Adient Taizhou (China) WK.16'!$B:FZ,GQ$1,0),0)</f>
        <v>0</v>
      </c>
      <c r="GS76" s="60">
        <v>1440</v>
      </c>
      <c r="GT76" s="128">
        <v>1200</v>
      </c>
      <c r="GU76" s="32">
        <v>0</v>
      </c>
      <c r="GV76" s="106">
        <f t="shared" si="256"/>
        <v>6600</v>
      </c>
      <c r="GW76" s="8"/>
      <c r="GX76" s="37">
        <f t="shared" si="765"/>
        <v>6600</v>
      </c>
      <c r="GY76" s="125">
        <f>IFERROR(VLOOKUP($D76,'Adient Assende (Belgium) WK.17'!$B:GD,GZ$1,0),0)</f>
        <v>1200</v>
      </c>
      <c r="GZ76" s="55">
        <f>IFERROR(VLOOKUP($D76,'Adient Arendal (Malzia) WK.12'!$B:GE,GZ$1,0),0)</f>
        <v>0</v>
      </c>
      <c r="HA76" s="55">
        <f>IFERROR(VLOOKUP($D76,'Adient Taizhou (China) WK.16'!$B:GH,GZ$1,0),0)</f>
        <v>0</v>
      </c>
      <c r="HB76" s="60">
        <v>1860</v>
      </c>
      <c r="HC76" s="128">
        <v>1200</v>
      </c>
      <c r="HD76" s="32">
        <v>0</v>
      </c>
      <c r="HE76" s="106">
        <f t="shared" si="257"/>
        <v>7260</v>
      </c>
      <c r="HF76" s="8"/>
      <c r="HG76" s="37">
        <f t="shared" si="766"/>
        <v>7260</v>
      </c>
      <c r="HH76" s="125">
        <f>IFERROR(VLOOKUP($D76,'Adient Assende (Belgium) WK.17'!$B:GL,HI$1,0),0)</f>
        <v>1200</v>
      </c>
      <c r="HI76" s="55">
        <f>IFERROR(VLOOKUP($D76,'Adient Arendal (Malzia) WK.12'!$B:GM,HI$1,0),0)</f>
        <v>0</v>
      </c>
      <c r="HJ76" s="55">
        <f>IFERROR(VLOOKUP($D76,'Adient Taizhou (China) WK.16'!$B:GP,HI$1,0),0)</f>
        <v>0</v>
      </c>
      <c r="HK76" s="60">
        <v>180</v>
      </c>
      <c r="HL76" s="128">
        <v>960</v>
      </c>
      <c r="HM76" s="32">
        <v>0</v>
      </c>
      <c r="HN76" s="106">
        <f t="shared" si="258"/>
        <v>6480</v>
      </c>
      <c r="HO76" s="8"/>
      <c r="HP76" s="37">
        <f t="shared" si="767"/>
        <v>6480</v>
      </c>
      <c r="HQ76" s="125">
        <f>IFERROR(VLOOKUP($D76,'Adient Assende (Belgium) WK.17'!$B:GT,HR$1,0),0)</f>
        <v>960</v>
      </c>
      <c r="HR76" s="55">
        <f>IFERROR(VLOOKUP($D76,'Adient Arendal (Malzia) WK.12'!$B:GU,HR$1,0),0)</f>
        <v>0</v>
      </c>
      <c r="HS76" s="55">
        <f>IFERROR(VLOOKUP($D76,'Adient Taizhou (China) WK.16'!$B:GX,HR$1,0),0)</f>
        <v>0</v>
      </c>
      <c r="HT76" s="60">
        <v>1200</v>
      </c>
      <c r="HU76" s="128">
        <v>1200</v>
      </c>
      <c r="HV76" s="32">
        <v>0</v>
      </c>
      <c r="HW76" s="106">
        <f t="shared" si="259"/>
        <v>6480</v>
      </c>
      <c r="HX76" s="8"/>
      <c r="HY76" s="37">
        <f t="shared" si="768"/>
        <v>6480</v>
      </c>
      <c r="HZ76" s="125">
        <f>IFERROR(VLOOKUP($D76,'Adient Assende (Belgium) WK.17'!$B:HB,IA$1,0),0)</f>
        <v>1200</v>
      </c>
      <c r="IA76" s="55">
        <f>IFERROR(VLOOKUP($D76,'Adient Arendal (Malzia) WK.12'!$B:HC,IA$1,0),0)</f>
        <v>0</v>
      </c>
      <c r="IB76" s="55">
        <f>IFERROR(VLOOKUP($D76,'Adient Taizhou (China) WK.16'!$B:HF,IA$1,0),0)</f>
        <v>0</v>
      </c>
      <c r="IC76" s="60">
        <v>1260</v>
      </c>
      <c r="ID76" s="128">
        <v>960</v>
      </c>
      <c r="IE76" s="32">
        <v>0</v>
      </c>
      <c r="IF76" s="106">
        <f t="shared" si="260"/>
        <v>6780</v>
      </c>
      <c r="IG76" s="8"/>
      <c r="IH76" s="37">
        <f t="shared" si="769"/>
        <v>6780</v>
      </c>
      <c r="II76" s="125">
        <f>IFERROR(VLOOKUP($D76,'Adient Assende (Belgium) WK.17'!$B:HJ,IJ$1,0),0)</f>
        <v>960</v>
      </c>
      <c r="IJ76" s="55">
        <f>IFERROR(VLOOKUP($D76,'Adient Arendal (Malzia) WK.12'!$B:HK,IJ$1,0),0)</f>
        <v>0</v>
      </c>
      <c r="IK76" s="55">
        <f>IFERROR(VLOOKUP($D76,'Adient Taizhou (China) WK.16'!$B:HN,IJ$1,0),0)</f>
        <v>0</v>
      </c>
      <c r="IL76" s="128">
        <v>720</v>
      </c>
      <c r="IM76" s="32">
        <v>0</v>
      </c>
      <c r="IN76" s="106">
        <f t="shared" si="770"/>
        <v>6060</v>
      </c>
      <c r="IO76" s="8"/>
      <c r="IP76" s="37">
        <f t="shared" si="771"/>
        <v>6060</v>
      </c>
      <c r="IQ76" s="125">
        <f>IFERROR(VLOOKUP($D76,'Adient Assende (Belgium) WK.17'!$B:HR,IR$1,0),0)</f>
        <v>720</v>
      </c>
      <c r="IR76" s="55">
        <f>IFERROR(VLOOKUP($D76,'Adient Arendal (Malzia) WK.12'!$B:HS,IR$1,0),0)</f>
        <v>0</v>
      </c>
      <c r="IS76" s="55">
        <f>IFERROR(VLOOKUP($D76,'Adient Taizhou (China) WK.16'!$B:HV,IR$1,0),0)</f>
        <v>0</v>
      </c>
      <c r="IT76" s="60">
        <v>1020</v>
      </c>
      <c r="IU76" s="128">
        <v>480</v>
      </c>
      <c r="IV76" s="32">
        <v>0</v>
      </c>
      <c r="IW76" s="106">
        <f t="shared" si="261"/>
        <v>6600</v>
      </c>
      <c r="IX76" s="8"/>
      <c r="IY76" s="37">
        <f t="shared" si="772"/>
        <v>6600</v>
      </c>
      <c r="IZ76" s="125">
        <f>IFERROR(VLOOKUP($D76,'Adient Assende (Belgium) WK.17'!$B:HZ,JA$1,0),0)</f>
        <v>480</v>
      </c>
      <c r="JA76" s="55">
        <f>IFERROR(VLOOKUP($D76,'Adient Arendal (Malzia) WK.12'!$B:IA,JA$1,0),0)</f>
        <v>0</v>
      </c>
      <c r="JB76" s="55">
        <f>IFERROR(VLOOKUP($D76,'Adient Taizhou (China) WK.16'!$B:ID,JA$1,0),0)</f>
        <v>0</v>
      </c>
      <c r="JC76" s="128">
        <v>480</v>
      </c>
      <c r="JD76" s="32">
        <v>0</v>
      </c>
      <c r="JE76" s="106">
        <f t="shared" si="773"/>
        <v>6120</v>
      </c>
      <c r="JF76" s="8"/>
      <c r="JG76" s="37">
        <f t="shared" si="774"/>
        <v>6120</v>
      </c>
      <c r="JH76" s="125">
        <f>IFERROR(VLOOKUP($D76,'Adient Assende (Belgium) WK.17'!$B:IH,JI$1,0),0)</f>
        <v>480</v>
      </c>
      <c r="JI76" s="55">
        <f>IFERROR(VLOOKUP($D76,'Adient Arendal (Malzia) WK.12'!$B:II,JI$1,0),0)</f>
        <v>0</v>
      </c>
      <c r="JJ76" s="55">
        <f>IFERROR(VLOOKUP($D76,'Adient Taizhou (China) WK.16'!$B:IL,JI$1,0),0)</f>
        <v>0</v>
      </c>
      <c r="JK76" s="60">
        <v>1200</v>
      </c>
      <c r="JL76" s="128">
        <v>1200</v>
      </c>
      <c r="JM76" s="32">
        <v>0</v>
      </c>
      <c r="JN76" s="106">
        <f t="shared" si="262"/>
        <v>6120</v>
      </c>
      <c r="JO76" s="8"/>
      <c r="JP76" s="37">
        <f t="shared" si="775"/>
        <v>6120</v>
      </c>
      <c r="JQ76" s="125">
        <f>IFERROR(VLOOKUP($D76,'Adient Assende (Belgium) WK.17'!$B:IP,JR$1,0),0)</f>
        <v>1200</v>
      </c>
      <c r="JR76" s="55">
        <f>IFERROR(VLOOKUP($D76,'Adient Arendal (Malzia) WK.12'!$B:IQ,JR$1,0),0)</f>
        <v>0</v>
      </c>
      <c r="JS76" s="55">
        <f>IFERROR(VLOOKUP($D76,'Adient Taizhou (China) WK.16'!$B:IT,JR$1,0),0)</f>
        <v>0</v>
      </c>
      <c r="JT76" s="128">
        <v>0</v>
      </c>
      <c r="JU76" s="32">
        <v>0</v>
      </c>
      <c r="JV76" s="106">
        <f t="shared" si="776"/>
        <v>6120</v>
      </c>
      <c r="JW76" s="8"/>
      <c r="JX76" s="37">
        <f t="shared" si="777"/>
        <v>6120</v>
      </c>
      <c r="JY76" s="154">
        <f>IFERROR(VLOOKUP($D76,'Adient Assende (Belgium) WK.17'!$B:IX,JZ$1,0),0)</f>
        <v>0</v>
      </c>
      <c r="JZ76" s="55">
        <f>IFERROR(VLOOKUP($D76,'Adient Arendal (Malzia) WK.12'!$B:IY,JZ$1,0),0)</f>
        <v>0</v>
      </c>
      <c r="KA76" s="55">
        <f>IFERROR(VLOOKUP($D76,'Adient Taizhou (China) WK.16'!$B:JB,JZ$1,0),0)</f>
        <v>0</v>
      </c>
      <c r="KB76" s="128">
        <v>960</v>
      </c>
      <c r="KC76" s="32">
        <v>0</v>
      </c>
      <c r="KD76" s="106">
        <f t="shared" si="849"/>
        <v>5160</v>
      </c>
      <c r="KE76" s="8"/>
      <c r="KF76" s="37">
        <f t="shared" si="778"/>
        <v>5160</v>
      </c>
      <c r="KG76" s="125">
        <f>IFERROR(VLOOKUP($D76,'Adient Assende (Belgium) WK.17'!$B:JF,KH$1,0),0)</f>
        <v>960</v>
      </c>
      <c r="KH76" s="55">
        <f>IFERROR(VLOOKUP($D76,'Adient Arendal (Malzia) WK.12'!$B:JG,KH$1,0),0)</f>
        <v>0</v>
      </c>
      <c r="KI76" s="55">
        <f>IFERROR(VLOOKUP($D76,'Adient Taizhou (China) WK.16'!$B:JJ,KH$1,0),0)</f>
        <v>0</v>
      </c>
      <c r="KJ76" s="60">
        <v>0</v>
      </c>
      <c r="KK76" s="128">
        <v>1200</v>
      </c>
      <c r="KL76" s="32">
        <v>0</v>
      </c>
      <c r="KM76" s="106">
        <f t="shared" si="850"/>
        <v>3960</v>
      </c>
      <c r="KN76" s="8"/>
      <c r="KO76" s="37">
        <f t="shared" si="779"/>
        <v>3960</v>
      </c>
      <c r="KP76" s="141">
        <f>IFERROR(VLOOKUP($D76,'Adient Assende (Belgium) WK.17'!$B:JN,KQ$1,0),0)</f>
        <v>1200</v>
      </c>
      <c r="KQ76" s="140">
        <f>IFERROR(VLOOKUP($D76,'Adient Arendal (Malzia) WK.12'!$B:JO,KQ$1,0),0)</f>
        <v>0</v>
      </c>
      <c r="KR76" s="140">
        <f>IFERROR(VLOOKUP($D76,'Adient Taizhou (China) WK.16'!$B:JR,KQ$1,0),0)</f>
        <v>0</v>
      </c>
      <c r="KS76" s="60">
        <v>720</v>
      </c>
      <c r="KT76" s="128">
        <v>720</v>
      </c>
      <c r="KU76" s="32">
        <v>0</v>
      </c>
      <c r="KV76" s="106">
        <f t="shared" si="851"/>
        <v>3960</v>
      </c>
      <c r="KX76" s="37">
        <f t="shared" si="780"/>
        <v>3960</v>
      </c>
      <c r="KY76" s="141">
        <f>IFERROR(VLOOKUP($D76,'Adient Assende (Belgium) WK.17'!$B:JV,KZ$1,0),0)</f>
        <v>720</v>
      </c>
      <c r="KZ76" s="140">
        <f>IFERROR(VLOOKUP($D76,'Adient Arendal (Malzia) WK.12'!$B:JW,KZ$1,0),0)</f>
        <v>0</v>
      </c>
      <c r="LA76" s="140">
        <f>IFERROR(VLOOKUP($D76,'Adient Taizhou (China) WK.16'!$B:JZ,KZ$1,0),0)</f>
        <v>0</v>
      </c>
      <c r="LB76" s="128">
        <v>0</v>
      </c>
      <c r="LC76" s="32">
        <v>0</v>
      </c>
      <c r="LD76" s="106">
        <f t="shared" si="781"/>
        <v>3960</v>
      </c>
      <c r="LF76" s="37">
        <f t="shared" si="782"/>
        <v>3960</v>
      </c>
      <c r="LG76" s="141">
        <f>IFERROR(VLOOKUP($D76,'Adient Assende (Belgium) WK.17'!$B:KD,LH$1,0),0)</f>
        <v>960</v>
      </c>
      <c r="LH76" s="140">
        <f>IFERROR(VLOOKUP($D76,'Adient Arendal (Malzia) WK.12'!$B:KE,LH$1,0),0)</f>
        <v>0</v>
      </c>
      <c r="LI76" s="140">
        <f>IFERROR(VLOOKUP($D76,'Adient Taizhou (China) WK.16'!$B:KH,LH$1,0),0)</f>
        <v>0</v>
      </c>
      <c r="LJ76" s="60">
        <v>420</v>
      </c>
      <c r="LK76" s="128">
        <v>0</v>
      </c>
      <c r="LL76" s="32">
        <v>0</v>
      </c>
      <c r="LM76" s="100">
        <f t="shared" si="852"/>
        <v>3420</v>
      </c>
      <c r="LO76" s="37">
        <f t="shared" si="783"/>
        <v>3420</v>
      </c>
      <c r="LP76" s="141">
        <f>IFERROR(VLOOKUP($D76,'Adient Assende (Belgium) WK.17'!$B:KL,LQ$1,0),0)</f>
        <v>720</v>
      </c>
      <c r="LQ76" s="140">
        <f>IFERROR(VLOOKUP($D76,'Adient Arendal (Malzia) WK.12'!$B:KM,LQ$1,0),0)</f>
        <v>0</v>
      </c>
      <c r="LR76" s="140">
        <f>IFERROR(VLOOKUP($D76,'Adient Taizhou (China) WK.16'!$B:KP,LQ$1,0),0)</f>
        <v>0</v>
      </c>
      <c r="LS76" s="128">
        <v>0</v>
      </c>
      <c r="LT76" s="32">
        <v>0</v>
      </c>
      <c r="LU76" s="100">
        <f t="shared" si="784"/>
        <v>2700</v>
      </c>
      <c r="LW76" s="37">
        <f t="shared" si="785"/>
        <v>2700</v>
      </c>
      <c r="LX76" s="141">
        <f>IFERROR(VLOOKUP($D76,'Adient Assende (Belgium) WK.17'!$B:KT,LY$1,0),0)</f>
        <v>1440</v>
      </c>
      <c r="LY76" s="140">
        <f>IFERROR(VLOOKUP($D76,'Adient Arendal (Malzia) WK.12'!$B:KU,LY$1,0),0)</f>
        <v>0</v>
      </c>
      <c r="LZ76" s="140">
        <f>IFERROR(VLOOKUP($D76,'Adient Taizhou (China) WK.16'!$B:KX,LY$1,0),0)</f>
        <v>0</v>
      </c>
      <c r="MA76" s="128">
        <v>0</v>
      </c>
      <c r="MB76" s="32">
        <v>0</v>
      </c>
      <c r="MC76" s="100">
        <f t="shared" si="786"/>
        <v>1260</v>
      </c>
      <c r="ME76" s="37">
        <f t="shared" si="787"/>
        <v>1260</v>
      </c>
      <c r="MF76" s="154">
        <f>IFERROR(VLOOKUP($D76,'Adient Assende (Belgium) WK.17'!$B:LB,MG$1,0),0)</f>
        <v>0</v>
      </c>
      <c r="MG76" s="140">
        <f>IFERROR(VLOOKUP($D76,'Adient Arendal (Malzia) WK.12'!$B:LC,MG$1,0),0)</f>
        <v>0</v>
      </c>
      <c r="MH76" s="140">
        <f>IFERROR(VLOOKUP($D76,'Adient Taizhou (China) WK.16'!$B:LF,MG$1,0),0)</f>
        <v>0</v>
      </c>
      <c r="MI76" s="128">
        <v>0</v>
      </c>
      <c r="MJ76" s="32">
        <v>0</v>
      </c>
      <c r="MK76" s="100">
        <f t="shared" si="788"/>
        <v>1260</v>
      </c>
      <c r="MM76" s="37">
        <f t="shared" si="789"/>
        <v>1260</v>
      </c>
      <c r="MN76" s="141">
        <f>IFERROR(VLOOKUP($D76,'Adient Assende (Belgium) WK.17'!$B:LJ,MO$1,0),0)</f>
        <v>960</v>
      </c>
      <c r="MO76" s="140">
        <f>IFERROR(VLOOKUP($D76,'Adient Arendal (Malzia) WK.12'!$B:LK,MO$1,0),0)</f>
        <v>0</v>
      </c>
      <c r="MP76" s="140">
        <f>IFERROR(VLOOKUP($D76,'Adient Taizhou (China) WK.16'!$B:LN,MO$1,0),0)</f>
        <v>0</v>
      </c>
      <c r="MQ76" s="128">
        <v>0</v>
      </c>
      <c r="MR76" s="32">
        <v>0</v>
      </c>
      <c r="MS76" s="100">
        <f t="shared" si="790"/>
        <v>300</v>
      </c>
      <c r="MU76" s="37">
        <f t="shared" si="791"/>
        <v>300</v>
      </c>
      <c r="MV76" s="141">
        <f>IFERROR(VLOOKUP($D76,'Adient Assende (Belgium) WK.17'!$B:LR,MW$1,0),0)</f>
        <v>960</v>
      </c>
      <c r="MW76" s="140">
        <f>IFERROR(VLOOKUP($D76,'Adient Arendal (Malzia) WK.12'!$B:LS,MW$1,0),0)</f>
        <v>0</v>
      </c>
      <c r="MX76" s="140">
        <f>IFERROR(VLOOKUP($D76,'Adient Taizhou (China) WK.16'!$B:LV,MW$1,0),0)</f>
        <v>0</v>
      </c>
      <c r="MY76" s="128">
        <v>0</v>
      </c>
      <c r="MZ76" s="32">
        <v>0</v>
      </c>
      <c r="NA76" s="100">
        <f t="shared" si="792"/>
        <v>-660</v>
      </c>
      <c r="NC76" s="37">
        <f t="shared" si="793"/>
        <v>-660</v>
      </c>
      <c r="ND76" s="141">
        <f>IFERROR(VLOOKUP($D76,'Adient Assende (Belgium) WK.17'!$B:LZ,NE$1,0),0)</f>
        <v>1200</v>
      </c>
      <c r="NE76" s="140">
        <f>IFERROR(VLOOKUP($D76,'Adient Arendal (Malzia) WK.12'!$B:MA,NE$1,0),0)</f>
        <v>0</v>
      </c>
      <c r="NF76" s="140">
        <f>IFERROR(VLOOKUP($D76,'Adient Taizhou (China) WK.16'!$B:MD,NE$1,0),0)</f>
        <v>0</v>
      </c>
      <c r="NG76" s="128">
        <v>0</v>
      </c>
      <c r="NH76" s="32">
        <v>0</v>
      </c>
      <c r="NI76" s="100">
        <f t="shared" si="794"/>
        <v>-1860</v>
      </c>
      <c r="NK76" s="37">
        <f t="shared" si="795"/>
        <v>-1860</v>
      </c>
      <c r="NL76" s="141">
        <f>IFERROR(VLOOKUP($D76,'Adient Assende (Belgium) WK.17'!$B:MH,NM$1,0),0)</f>
        <v>960</v>
      </c>
      <c r="NM76" s="140">
        <f>IFERROR(VLOOKUP($D76,'Adient Arendal (Malzia) WK.12'!$B:MI,NM$1,0),0)</f>
        <v>0</v>
      </c>
      <c r="NN76" s="140">
        <f>IFERROR(VLOOKUP($D76,'Adient Taizhou (China) WK.16'!$B:ML,NM$1,0),0)</f>
        <v>0</v>
      </c>
      <c r="NO76" s="128">
        <v>0</v>
      </c>
      <c r="NP76" s="32">
        <v>0</v>
      </c>
      <c r="NQ76" s="100">
        <f t="shared" si="796"/>
        <v>-2820</v>
      </c>
      <c r="NS76" s="37">
        <f t="shared" si="797"/>
        <v>-2820</v>
      </c>
      <c r="NT76" s="141">
        <f>IFERROR(VLOOKUP($D76,'Adient Assende (Belgium) WK.17'!$B:MP,NU$1,0),0)</f>
        <v>1200</v>
      </c>
      <c r="NU76" s="140">
        <f>IFERROR(VLOOKUP($D76,'Adient Arendal (Malzia) WK.12'!$B:MQ,NU$1,0),0)</f>
        <v>0</v>
      </c>
      <c r="NV76" s="140">
        <f>IFERROR(VLOOKUP($D76,'Adient Taizhou (China) WK.16'!$B:MT,NU$1,0),0)</f>
        <v>0</v>
      </c>
      <c r="NW76" s="128">
        <v>0</v>
      </c>
      <c r="NX76" s="32">
        <v>0</v>
      </c>
      <c r="NY76" s="100">
        <f t="shared" si="798"/>
        <v>-4020</v>
      </c>
      <c r="OA76" s="37">
        <f t="shared" si="799"/>
        <v>-4020</v>
      </c>
      <c r="OB76" s="141">
        <f>IFERROR(VLOOKUP($D76,'Adient Assende (Belgium) WK.17'!$B:MX,OC$1,0),0)</f>
        <v>960</v>
      </c>
      <c r="OC76" s="140">
        <f>IFERROR(VLOOKUP($D76,'Adient Arendal (Malzia) WK.12'!$B:MY,OC$1,0),0)</f>
        <v>0</v>
      </c>
      <c r="OD76" s="140">
        <f>IFERROR(VLOOKUP($D76,'Adient Taizhou (China) WK.16'!$B:NB,OC$1,0),0)</f>
        <v>0</v>
      </c>
      <c r="OE76" s="128">
        <v>0</v>
      </c>
      <c r="OF76" s="32">
        <v>0</v>
      </c>
      <c r="OG76" s="100">
        <f t="shared" si="800"/>
        <v>-4980</v>
      </c>
      <c r="OI76" s="37">
        <f t="shared" si="801"/>
        <v>-4980</v>
      </c>
      <c r="OJ76" s="141">
        <f>IFERROR(VLOOKUP($D76,'Adient Assende (Belgium) WK.17'!$B:NF,OK$1,0),0)</f>
        <v>1680</v>
      </c>
      <c r="OK76" s="140">
        <f>IFERROR(VLOOKUP($D76,'Adient Arendal (Malzia) WK.12'!$B:NG,OK$1,0),0)</f>
        <v>0</v>
      </c>
      <c r="OL76" s="140">
        <f>IFERROR(VLOOKUP($D76,'Adient Taizhou (China) WK.16'!$B:NJ,OK$1,0),0)</f>
        <v>0</v>
      </c>
      <c r="OM76" s="128">
        <v>0</v>
      </c>
      <c r="ON76" s="32">
        <v>0</v>
      </c>
      <c r="OO76" s="100">
        <f t="shared" si="802"/>
        <v>-6660</v>
      </c>
      <c r="OQ76" s="37">
        <f t="shared" si="803"/>
        <v>-6660</v>
      </c>
      <c r="OR76" s="141">
        <f>IFERROR(VLOOKUP($D76,'Adient Assende (Belgium) WK.17'!$B:NN,OS$1,0),0)</f>
        <v>0</v>
      </c>
      <c r="OS76" s="140">
        <f>IFERROR(VLOOKUP($D76,'Adient Arendal (Malzia) WK.12'!$B:NO,OS$1,0),0)</f>
        <v>0</v>
      </c>
      <c r="OT76" s="140">
        <f>IFERROR(VLOOKUP($D76,'Adient Taizhou (China) WK.16'!$B:NR,OS$1,0),0)</f>
        <v>0</v>
      </c>
      <c r="OU76" s="128">
        <v>0</v>
      </c>
      <c r="OV76" s="32">
        <v>0</v>
      </c>
      <c r="OW76" s="100">
        <f t="shared" si="804"/>
        <v>-6660</v>
      </c>
      <c r="OY76" s="37">
        <f t="shared" si="805"/>
        <v>-6660</v>
      </c>
      <c r="OZ76" s="141">
        <f>IFERROR(VLOOKUP($D76,'Adient Assende (Belgium) WK.17'!$B:NV,PA$1,0),0)</f>
        <v>0</v>
      </c>
      <c r="PA76" s="140">
        <f>IFERROR(VLOOKUP($D76,'Adient Arendal (Malzia) WK.12'!$B:NW,PA$1,0),0)</f>
        <v>0</v>
      </c>
      <c r="PB76" s="140">
        <f>IFERROR(VLOOKUP($D76,'Adient Taizhou (China) WK.16'!$B:NZ,PA$1,0),0)</f>
        <v>0</v>
      </c>
      <c r="PC76" s="128">
        <v>0</v>
      </c>
      <c r="PD76" s="32">
        <v>0</v>
      </c>
      <c r="PE76" s="100">
        <f t="shared" si="806"/>
        <v>-6660</v>
      </c>
      <c r="PG76" s="37">
        <f t="shared" si="807"/>
        <v>-6660</v>
      </c>
      <c r="PH76" s="141">
        <f>IFERROR(VLOOKUP($D76,'Adient Assende (Belgium) WK.17'!$B:OD,PI$1,0),0)</f>
        <v>0</v>
      </c>
      <c r="PI76" s="140">
        <f>IFERROR(VLOOKUP($D76,'Adient Arendal (Malzia) WK.12'!$B:OE,PI$1,0),0)</f>
        <v>0</v>
      </c>
      <c r="PJ76" s="140">
        <f>IFERROR(VLOOKUP($D76,'Adient Taizhou (China) WK.16'!$B:OH,PI$1,0),0)</f>
        <v>0</v>
      </c>
      <c r="PK76" s="128">
        <v>0</v>
      </c>
      <c r="PL76" s="32">
        <v>0</v>
      </c>
      <c r="PM76" s="100">
        <f t="shared" si="808"/>
        <v>-6660</v>
      </c>
      <c r="PO76" s="37">
        <f t="shared" si="809"/>
        <v>-6660</v>
      </c>
      <c r="PP76" s="141">
        <f>IFERROR(VLOOKUP($D76,'Adient Assende (Belgium) WK.17'!$B:OL,PQ$1,0),0)</f>
        <v>0</v>
      </c>
      <c r="PQ76" s="140">
        <f>IFERROR(VLOOKUP($D76,'Adient Arendal (Malzia) WK.12'!$B:OM,PQ$1,0),0)</f>
        <v>0</v>
      </c>
      <c r="PR76" s="140">
        <f>IFERROR(VLOOKUP($D76,'Adient Taizhou (China) WK.16'!$B:OP,PQ$1,0),0)</f>
        <v>0</v>
      </c>
      <c r="PS76" s="128">
        <v>0</v>
      </c>
      <c r="PT76" s="32">
        <v>0</v>
      </c>
      <c r="PU76" s="100">
        <f t="shared" si="810"/>
        <v>-6660</v>
      </c>
      <c r="PW76" s="37">
        <f t="shared" si="811"/>
        <v>-6660</v>
      </c>
      <c r="PX76" s="141">
        <f>IFERROR(VLOOKUP($D76,'Adient Assende (Belgium) WK.17'!$B:OT,PY$1,0),0)</f>
        <v>720</v>
      </c>
      <c r="PY76" s="140">
        <f>IFERROR(VLOOKUP($D76,'Adient Arendal (Malzia) WK.12'!$B:OU,PY$1,0),0)</f>
        <v>0</v>
      </c>
      <c r="PZ76" s="140">
        <f>IFERROR(VLOOKUP($D76,'Adient Taizhou (China) WK.16'!$B:OX,PY$1,0),0)</f>
        <v>0</v>
      </c>
      <c r="QA76" s="128">
        <v>0</v>
      </c>
      <c r="QB76" s="32">
        <v>0</v>
      </c>
      <c r="QC76" s="100">
        <f t="shared" si="812"/>
        <v>-7380</v>
      </c>
      <c r="QE76" s="37">
        <f t="shared" si="813"/>
        <v>-7380</v>
      </c>
      <c r="QF76" s="141">
        <f>IFERROR(VLOOKUP($D76,'Adient Assende (Belgium) WK.17'!$B:PB,QG$1,0),0)</f>
        <v>720</v>
      </c>
      <c r="QG76" s="140">
        <f>IFERROR(VLOOKUP($D76,'Adient Arendal (Malzia) WK.12'!$B:PC,QG$1,0),0)</f>
        <v>0</v>
      </c>
      <c r="QH76" s="140">
        <f>IFERROR(VLOOKUP($D76,'Adient Taizhou (China) WK.16'!$B:PF,QG$1,0),0)</f>
        <v>0</v>
      </c>
      <c r="QI76" s="128">
        <v>0</v>
      </c>
      <c r="QJ76" s="32">
        <v>0</v>
      </c>
      <c r="QK76" s="100">
        <f t="shared" si="814"/>
        <v>-8100</v>
      </c>
      <c r="QM76" s="37">
        <f t="shared" si="815"/>
        <v>-8100</v>
      </c>
      <c r="QN76" s="141">
        <f>IFERROR(VLOOKUP($D76,'Adient Assende (Belgium) WK.17'!$B:PJ,QO$1,0),0)</f>
        <v>960</v>
      </c>
      <c r="QO76" s="140">
        <f>IFERROR(VLOOKUP($D76,'Adient Arendal (Malzia) WK.12'!$B:PK,QO$1,0),0)</f>
        <v>0</v>
      </c>
      <c r="QP76" s="140">
        <f>IFERROR(VLOOKUP($D76,'Adient Taizhou (China) WK.16'!$B:PN,QO$1,0),0)</f>
        <v>0</v>
      </c>
      <c r="QQ76" s="128">
        <v>0</v>
      </c>
      <c r="QR76" s="32">
        <v>0</v>
      </c>
      <c r="QS76" s="100">
        <f t="shared" si="816"/>
        <v>-9060</v>
      </c>
      <c r="QU76" s="37">
        <f t="shared" si="817"/>
        <v>-9060</v>
      </c>
      <c r="QV76" s="141">
        <f>IFERROR(VLOOKUP($D76,'Adient Assende (Belgium) WK.17'!$B:PR,QW$1,0),0)</f>
        <v>720</v>
      </c>
      <c r="QW76" s="140">
        <f>IFERROR(VLOOKUP($D76,'Adient Arendal (Malzia) WK.12'!$B:PS,QW$1,0),0)</f>
        <v>0</v>
      </c>
      <c r="QX76" s="140">
        <f>IFERROR(VLOOKUP($D76,'Adient Taizhou (China) WK.16'!$B:PV,QW$1,0),0)</f>
        <v>0</v>
      </c>
      <c r="QY76" s="128">
        <v>0</v>
      </c>
      <c r="QZ76" s="32">
        <v>0</v>
      </c>
      <c r="RA76" s="100">
        <f t="shared" si="818"/>
        <v>-9780</v>
      </c>
      <c r="RC76" s="37">
        <f t="shared" si="819"/>
        <v>-9780</v>
      </c>
      <c r="RD76" s="141">
        <f>IFERROR(VLOOKUP($D76,'Adient Assende (Belgium) WK.17'!$B:PZ,RE$1,0),0)</f>
        <v>720</v>
      </c>
      <c r="RE76" s="140">
        <f>IFERROR(VLOOKUP($D76,'Adient Arendal (Malzia) WK.12'!$B:QA,RE$1,0),0)</f>
        <v>0</v>
      </c>
      <c r="RF76" s="140">
        <f>IFERROR(VLOOKUP($D76,'Adient Taizhou (China) WK.16'!$B:QD,RE$1,0),0)</f>
        <v>0</v>
      </c>
      <c r="RG76" s="128">
        <v>0</v>
      </c>
      <c r="RH76" s="32">
        <v>0</v>
      </c>
      <c r="RI76" s="100">
        <f t="shared" si="820"/>
        <v>-10500</v>
      </c>
      <c r="RK76" s="37">
        <f t="shared" si="821"/>
        <v>-10500</v>
      </c>
      <c r="RL76" s="141">
        <f>IFERROR(VLOOKUP($D76,'Adient Assende (Belgium) WK.17'!$B:QH,RM$1,0),0)</f>
        <v>720</v>
      </c>
      <c r="RM76" s="140">
        <f>IFERROR(VLOOKUP($D76,'Adient Arendal (Malzia) WK.12'!$B:QI,RM$1,0),0)</f>
        <v>0</v>
      </c>
      <c r="RN76" s="140">
        <f>IFERROR(VLOOKUP($D76,'Adient Taizhou (China) WK.16'!$B:QL,RM$1,0),0)</f>
        <v>0</v>
      </c>
      <c r="RO76" s="128">
        <v>0</v>
      </c>
      <c r="RP76" s="32">
        <v>0</v>
      </c>
      <c r="RQ76" s="100">
        <f t="shared" si="822"/>
        <v>-11220</v>
      </c>
      <c r="RS76" s="37">
        <f t="shared" si="823"/>
        <v>-11220</v>
      </c>
      <c r="RT76" s="141">
        <f>IFERROR(VLOOKUP($D76,'Adient Assende (Belgium) WK.17'!$B:QP,RU$1,0),0)</f>
        <v>720</v>
      </c>
      <c r="RU76" s="140">
        <f>IFERROR(VLOOKUP($D76,'Adient Arendal (Malzia) WK.12'!$B:QQ,RU$1,0),0)</f>
        <v>0</v>
      </c>
      <c r="RV76" s="140">
        <f>IFERROR(VLOOKUP($D76,'Adient Taizhou (China) WK.16'!$B:QT,RU$1,0),0)</f>
        <v>0</v>
      </c>
      <c r="RW76" s="128">
        <v>0</v>
      </c>
      <c r="RX76" s="32">
        <v>0</v>
      </c>
      <c r="RY76" s="100">
        <f t="shared" si="824"/>
        <v>-11940</v>
      </c>
      <c r="SA76" s="37">
        <f t="shared" si="825"/>
        <v>-11940</v>
      </c>
      <c r="SB76" s="141">
        <f>IFERROR(VLOOKUP($D76,'Adient Assende (Belgium) WK.17'!$B:QX,SC$1,0),0)</f>
        <v>600</v>
      </c>
      <c r="SC76" s="140">
        <f>IFERROR(VLOOKUP($D76,'Adient Arendal (Malzia) WK.12'!$B:QY,SC$1,0),0)</f>
        <v>0</v>
      </c>
      <c r="SD76" s="140">
        <f>IFERROR(VLOOKUP($D76,'Adient Taizhou (China) WK.16'!$B:RB,SC$1,0),0)</f>
        <v>0</v>
      </c>
      <c r="SE76" s="128">
        <v>0</v>
      </c>
      <c r="SF76" s="32">
        <v>0</v>
      </c>
      <c r="SG76" s="100">
        <f t="shared" si="826"/>
        <v>-12540</v>
      </c>
      <c r="SI76" s="37">
        <f t="shared" si="827"/>
        <v>-12540</v>
      </c>
      <c r="SJ76" s="141">
        <f>IFERROR(VLOOKUP($D76,'Adient Assende (Belgium) WK.17'!$B:RF,SK$1,0),0)</f>
        <v>600</v>
      </c>
      <c r="SK76" s="140">
        <f>IFERROR(VLOOKUP($D76,'Adient Arendal (Malzia) WK.12'!$B:RG,SK$1,0),0)</f>
        <v>0</v>
      </c>
      <c r="SL76" s="140">
        <f>IFERROR(VLOOKUP($D76,'Adient Taizhou (China) WK.16'!$B:RJ,SK$1,0),0)</f>
        <v>0</v>
      </c>
      <c r="SM76" s="128">
        <v>0</v>
      </c>
      <c r="SN76" s="32">
        <v>0</v>
      </c>
      <c r="SO76" s="100">
        <f t="shared" si="828"/>
        <v>-13140</v>
      </c>
      <c r="SQ76" s="37">
        <f t="shared" si="829"/>
        <v>-13140</v>
      </c>
      <c r="SR76" s="141">
        <f>IFERROR(VLOOKUP($D76,'Adient Assende (Belgium) WK.17'!$B:RN,SS$1,0),0)</f>
        <v>600</v>
      </c>
      <c r="SS76" s="140">
        <f>IFERROR(VLOOKUP($D76,'Adient Arendal (Malzia) WK.12'!$B:RO,SS$1,0),0)</f>
        <v>0</v>
      </c>
      <c r="ST76" s="140">
        <f>IFERROR(VLOOKUP($D76,'Adient Taizhou (China) WK.16'!$B:RR,SS$1,0),0)</f>
        <v>0</v>
      </c>
      <c r="SU76" s="128">
        <v>0</v>
      </c>
      <c r="SV76" s="32">
        <v>0</v>
      </c>
      <c r="SW76" s="100">
        <f t="shared" si="830"/>
        <v>-13740</v>
      </c>
      <c r="SY76" s="37">
        <f t="shared" si="831"/>
        <v>-13740</v>
      </c>
      <c r="SZ76" s="141">
        <f>IFERROR(VLOOKUP($D76,'Adient Assende (Belgium) WK.17'!$B:RV,TA$1,0),0)</f>
        <v>600</v>
      </c>
      <c r="TA76" s="140">
        <f>IFERROR(VLOOKUP($D76,'Adient Arendal (Malzia) WK.12'!$B:RW,TA$1,0),0)</f>
        <v>0</v>
      </c>
      <c r="TB76" s="140">
        <f>IFERROR(VLOOKUP($D76,'Adient Taizhou (China) WK.16'!$B:RZ,TA$1,0),0)</f>
        <v>0</v>
      </c>
      <c r="TC76" s="128">
        <v>0</v>
      </c>
      <c r="TD76" s="32">
        <v>0</v>
      </c>
      <c r="TE76" s="100">
        <f t="shared" si="832"/>
        <v>-14340</v>
      </c>
      <c r="TG76" s="37">
        <f t="shared" si="833"/>
        <v>-14340</v>
      </c>
      <c r="TH76" s="141">
        <f>IFERROR(VLOOKUP($D76,'Adient Assende (Belgium) WK.17'!$B:SD,TI$1,0),0)</f>
        <v>770</v>
      </c>
      <c r="TI76" s="140">
        <f>IFERROR(VLOOKUP($D76,'Adient Arendal (Malzia) WK.12'!$B:SE,TI$1,0),0)</f>
        <v>0</v>
      </c>
      <c r="TJ76" s="140">
        <f>IFERROR(VLOOKUP($D76,'Adient Taizhou (China) WK.16'!$B:SH,TI$1,0),0)</f>
        <v>0</v>
      </c>
      <c r="TK76" s="128">
        <v>0</v>
      </c>
      <c r="TL76" s="32">
        <v>0</v>
      </c>
      <c r="TM76" s="100">
        <f t="shared" si="834"/>
        <v>-15110</v>
      </c>
      <c r="TO76" s="37">
        <f t="shared" si="835"/>
        <v>-15110</v>
      </c>
      <c r="TP76" s="141">
        <f>IFERROR(VLOOKUP($D76,'Adient Assende (Belgium) WK.17'!$B:SL,TQ$1,0),0)</f>
        <v>770</v>
      </c>
      <c r="TQ76" s="140">
        <f>IFERROR(VLOOKUP($D76,'Adient Arendal (Malzia) WK.12'!$B:SM,TQ$1,0),0)</f>
        <v>0</v>
      </c>
      <c r="TR76" s="140">
        <f>IFERROR(VLOOKUP($D76,'Adient Taizhou (China) WK.16'!$B:SP,TQ$1,0),0)</f>
        <v>0</v>
      </c>
      <c r="TS76" s="128">
        <v>0</v>
      </c>
      <c r="TT76" s="32">
        <v>0</v>
      </c>
      <c r="TU76" s="100">
        <f t="shared" si="836"/>
        <v>-15880</v>
      </c>
      <c r="TW76" s="37">
        <f t="shared" si="837"/>
        <v>-15880</v>
      </c>
      <c r="TX76" s="141">
        <f>IFERROR(VLOOKUP($D76,'Adient Assende (Belgium) WK.17'!$B:ST,TY$1,0),0)</f>
        <v>770</v>
      </c>
      <c r="TY76" s="140">
        <f>IFERROR(VLOOKUP($D76,'Adient Arendal (Malzia) WK.12'!$B:SU,TY$1,0),0)</f>
        <v>0</v>
      </c>
      <c r="TZ76" s="140">
        <f>IFERROR(VLOOKUP($D76,'Adient Taizhou (China) WK.16'!$B:SX,TY$1,0),0)</f>
        <v>0</v>
      </c>
      <c r="UA76" s="128">
        <v>0</v>
      </c>
      <c r="UB76" s="32">
        <v>0</v>
      </c>
      <c r="UC76" s="100">
        <f t="shared" si="838"/>
        <v>-16650</v>
      </c>
      <c r="UE76" s="37">
        <f t="shared" si="839"/>
        <v>-16650</v>
      </c>
      <c r="UF76" s="141">
        <f>IFERROR(VLOOKUP($D76,'Adient Assende (Belgium) WK.17'!$B:TB,UG$1,0),0)</f>
        <v>770</v>
      </c>
      <c r="UG76" s="140">
        <f>IFERROR(VLOOKUP($D76,'Adient Arendal (Malzia) WK.12'!$B:TC,UG$1,0),0)</f>
        <v>0</v>
      </c>
      <c r="UH76" s="140">
        <f>IFERROR(VLOOKUP($D76,'Adient Taizhou (China) WK.16'!$B:TF,UG$1,0),0)</f>
        <v>0</v>
      </c>
      <c r="UI76" s="128">
        <v>0</v>
      </c>
      <c r="UJ76" s="32">
        <v>0</v>
      </c>
      <c r="UK76" s="100">
        <f t="shared" si="840"/>
        <v>-17420</v>
      </c>
      <c r="UM76" s="37">
        <f t="shared" si="841"/>
        <v>-17420</v>
      </c>
      <c r="UN76" s="141">
        <f>IFERROR(VLOOKUP($D76,'Adient Assende (Belgium) WK.17'!$B:TJ,UO$1,0),0)</f>
        <v>760</v>
      </c>
      <c r="UO76" s="140">
        <f>IFERROR(VLOOKUP($D76,'Adient Arendal (Malzia) WK.12'!$B:TK,UO$1,0),0)</f>
        <v>0</v>
      </c>
      <c r="UP76" s="140">
        <f>IFERROR(VLOOKUP($D76,'Adient Taizhou (China) WK.16'!$B:TN,UO$1,0),0)</f>
        <v>0</v>
      </c>
      <c r="UQ76" s="128">
        <v>0</v>
      </c>
      <c r="UR76" s="32">
        <v>0</v>
      </c>
      <c r="US76" s="100">
        <f t="shared" si="842"/>
        <v>-18180</v>
      </c>
      <c r="UU76" s="37">
        <f t="shared" si="843"/>
        <v>-18180</v>
      </c>
      <c r="UV76" s="141">
        <f>IFERROR(VLOOKUP($D76,'Adient Assende (Belgium) WK.17'!$B:TR,UW$1,0),0)</f>
        <v>1080</v>
      </c>
      <c r="UW76" s="140">
        <f>IFERROR(VLOOKUP($D76,'Adient Arendal (Malzia) WK.12'!$B:TS,UW$1,0),0)</f>
        <v>0</v>
      </c>
      <c r="UX76" s="140">
        <f>IFERROR(VLOOKUP($D76,'Adient Taizhou (China) WK.16'!$B:TV,UW$1,0),0)</f>
        <v>0</v>
      </c>
      <c r="UY76" s="128">
        <v>0</v>
      </c>
      <c r="UZ76" s="32">
        <v>0</v>
      </c>
      <c r="VA76" s="100">
        <f t="shared" si="844"/>
        <v>-19260</v>
      </c>
      <c r="VC76" s="37">
        <f t="shared" si="845"/>
        <v>-19260</v>
      </c>
      <c r="VD76" s="141">
        <f>IFERROR(VLOOKUP($D76,'Adient Assende (Belgium) WK.17'!$B:TZ,VE$1,0),0)</f>
        <v>1080</v>
      </c>
      <c r="VE76" s="140">
        <f>IFERROR(VLOOKUP($D76,'Adient Arendal (Malzia) WK.12'!$B:UA,VE$1,0),0)</f>
        <v>0</v>
      </c>
      <c r="VF76" s="140">
        <f>IFERROR(VLOOKUP($D76,'Adient Taizhou (China) WK.16'!$B:UD,VE$1,0),0)</f>
        <v>0</v>
      </c>
      <c r="VG76" s="128">
        <v>0</v>
      </c>
      <c r="VH76" s="32">
        <v>0</v>
      </c>
      <c r="VI76" s="100">
        <f t="shared" si="846"/>
        <v>-20340</v>
      </c>
      <c r="VK76" s="37">
        <f t="shared" si="847"/>
        <v>-20340</v>
      </c>
      <c r="VL76" s="141">
        <f>IFERROR(VLOOKUP($D76,'Adient Assende (Belgium) WK.17'!$B:UH,VM$1,0),0)</f>
        <v>0</v>
      </c>
      <c r="VM76" s="140">
        <f>IFERROR(VLOOKUP($D76,'Adient Arendal (Malzia) WK.12'!$B:UI,VM$1,0),0)</f>
        <v>0</v>
      </c>
      <c r="VN76" s="140">
        <f>IFERROR(VLOOKUP($D76,'Adient Taizhou (China) WK.16'!$B:UL,VM$1,0),0)</f>
        <v>0</v>
      </c>
      <c r="VO76" s="128">
        <v>0</v>
      </c>
      <c r="VP76" s="32">
        <v>0</v>
      </c>
      <c r="VQ76" s="100">
        <f t="shared" si="848"/>
        <v>-20340</v>
      </c>
    </row>
    <row r="77" spans="1:589" ht="15.75" thickBot="1" x14ac:dyDescent="0.3">
      <c r="A77" s="10" t="s">
        <v>18</v>
      </c>
      <c r="B77" s="11" t="s">
        <v>20</v>
      </c>
      <c r="C77" s="87">
        <v>32272497</v>
      </c>
      <c r="D77" s="81">
        <v>4429356</v>
      </c>
      <c r="E77" s="11">
        <v>60</v>
      </c>
      <c r="F77" s="12"/>
      <c r="H77" s="122">
        <v>4980</v>
      </c>
      <c r="I77" s="125">
        <f>IFERROR(VLOOKUP($D77,'Adient Assende (Belgium) WK.17'!$B:C,J$1,0),0)</f>
        <v>1440</v>
      </c>
      <c r="J77" s="55">
        <f>IFERROR(VLOOKUP($D77,'Adient Arendal (Malzia) WK.12'!$B:C,J$1,0),0)</f>
        <v>0</v>
      </c>
      <c r="K77" s="55">
        <f>IFERROR(VLOOKUP($D77,'Adient Taizhou (China) WK.16'!$B:C,J$1,0),0)</f>
        <v>0</v>
      </c>
      <c r="L77" s="128">
        <v>480</v>
      </c>
      <c r="M77" s="31">
        <v>0</v>
      </c>
      <c r="N77" s="110">
        <f t="shared" si="233"/>
        <v>4500</v>
      </c>
      <c r="P77" s="37">
        <f t="shared" si="234"/>
        <v>4500</v>
      </c>
      <c r="Q77" s="125">
        <f>IFERROR(VLOOKUP($D77,'Adient Assende (Belgium) WK.17'!$B:K,R$1,0),0)</f>
        <v>480</v>
      </c>
      <c r="R77" s="55">
        <f>IFERROR(VLOOKUP($D77,'Adient Arendal (Malzia) WK.12'!$B:K,R$1,0),0)</f>
        <v>0</v>
      </c>
      <c r="S77" s="55">
        <f>IFERROR(VLOOKUP($D77,'Adient Taizhou (China) WK.16'!$B:K,R$1,0),0)</f>
        <v>0</v>
      </c>
      <c r="T77" s="41">
        <v>480</v>
      </c>
      <c r="U77" s="31">
        <v>0</v>
      </c>
      <c r="V77" s="110">
        <f t="shared" si="235"/>
        <v>4020</v>
      </c>
      <c r="X77" s="37">
        <f t="shared" si="236"/>
        <v>4020</v>
      </c>
      <c r="Y77" s="125">
        <f>IFERROR(VLOOKUP($D77,'Adient Assende (Belgium) WK.17'!$B:S,Z$1,0),0)</f>
        <v>480</v>
      </c>
      <c r="Z77" s="55">
        <f>IFERROR(VLOOKUP($D77,'Adient Arendal (Malzia) WK.12'!$B:S,Z$1,0),0)</f>
        <v>0</v>
      </c>
      <c r="AA77" s="55">
        <f>IFERROR(VLOOKUP($D77,'Adient Taizhou (China) WK.16'!$B:S,Z$1,0),0)</f>
        <v>0</v>
      </c>
      <c r="AB77" s="41">
        <v>720</v>
      </c>
      <c r="AC77" s="31">
        <v>0</v>
      </c>
      <c r="AD77" s="110">
        <f t="shared" si="237"/>
        <v>3300</v>
      </c>
      <c r="AF77" s="37">
        <f t="shared" si="238"/>
        <v>3300</v>
      </c>
      <c r="AG77" s="125">
        <f>IFERROR(VLOOKUP($D77,'Adient Assende (Belgium) WK.17'!$B:AA,AH$1,0),0)</f>
        <v>720</v>
      </c>
      <c r="AH77" s="55">
        <f>IFERROR(VLOOKUP($D77,'Adient Arendal (Malzia) WK.12'!$B:AA,AH$1,0),0)</f>
        <v>0</v>
      </c>
      <c r="AI77" s="55">
        <f>IFERROR(VLOOKUP($D77,'Adient Taizhou (China) WK.16'!$B:AA,AH$1,0),0)</f>
        <v>0</v>
      </c>
      <c r="AJ77" s="41">
        <v>480</v>
      </c>
      <c r="AK77" s="31">
        <v>0</v>
      </c>
      <c r="AL77" s="110">
        <f t="shared" si="239"/>
        <v>2820</v>
      </c>
      <c r="AN77" s="37">
        <f t="shared" si="746"/>
        <v>2820</v>
      </c>
      <c r="AO77" s="125">
        <f>IFERROR(VLOOKUP($D77,'Adient Assende (Belgium) WK.17'!$B:AI,AP$1,0),0)</f>
        <v>480</v>
      </c>
      <c r="AP77" s="55">
        <f>IFERROR(VLOOKUP($D77,'Adient Arendal (Malzia) WK.12'!$B:AI,AP$1,0),0)</f>
        <v>0</v>
      </c>
      <c r="AQ77" s="55">
        <f>IFERROR(VLOOKUP($D77,'Adient Taizhou (China) WK.16'!$B:AI,AP$1,0),0)</f>
        <v>0</v>
      </c>
      <c r="AR77" s="60">
        <v>0</v>
      </c>
      <c r="AS77" s="41">
        <v>720</v>
      </c>
      <c r="AT77" s="31">
        <v>0</v>
      </c>
      <c r="AU77" s="110">
        <f t="shared" si="240"/>
        <v>2100</v>
      </c>
      <c r="AW77" s="37">
        <f t="shared" si="747"/>
        <v>2100</v>
      </c>
      <c r="AX77" s="125">
        <f>IFERROR(VLOOKUP($D77,'Adient Assende (Belgium) WK.17'!$B:AR,AY$1,0),0)</f>
        <v>720</v>
      </c>
      <c r="AY77" s="55">
        <f>IFERROR(VLOOKUP($D77,'Adient Arendal (Malzia) WK.12'!$B:AR,AY$1,0),0)</f>
        <v>0</v>
      </c>
      <c r="AZ77" s="55">
        <f>IFERROR(VLOOKUP($D77,'Adient Taizhou (China) WK.16'!$B:AU,AY$1,0),0)</f>
        <v>0</v>
      </c>
      <c r="BA77" s="41">
        <v>480</v>
      </c>
      <c r="BB77" s="31">
        <v>0</v>
      </c>
      <c r="BC77" s="110">
        <f t="shared" si="241"/>
        <v>1620</v>
      </c>
      <c r="BE77" s="37">
        <f t="shared" si="748"/>
        <v>1620</v>
      </c>
      <c r="BF77" s="125">
        <f>IFERROR(VLOOKUP($D77,'Adient Assende (Belgium) WK.17'!$B:AX,BG$1,0),0)</f>
        <v>480</v>
      </c>
      <c r="BG77" s="55">
        <f>IFERROR(VLOOKUP($D77,'Adient Arendal (Malzia) WK.12'!$B:AZ,BG$1,0),0)</f>
        <v>0</v>
      </c>
      <c r="BH77" s="55">
        <f>IFERROR(VLOOKUP($D77,'Adient Taizhou (China) WK.16'!$B:BB,BG$1,0),0)</f>
        <v>0</v>
      </c>
      <c r="BI77" s="60">
        <v>0</v>
      </c>
      <c r="BJ77" s="60">
        <v>0</v>
      </c>
      <c r="BK77" s="41">
        <v>480</v>
      </c>
      <c r="BL77" s="31">
        <v>0</v>
      </c>
      <c r="BM77" s="110">
        <f t="shared" si="242"/>
        <v>1140</v>
      </c>
      <c r="BN77" s="8"/>
      <c r="BO77" s="37">
        <f t="shared" si="749"/>
        <v>1140</v>
      </c>
      <c r="BP77" s="125">
        <f>IFERROR(VLOOKUP($D77,'Adient Assende (Belgium) WK.17'!$B:BH,BQ$1,0),0)</f>
        <v>480</v>
      </c>
      <c r="BQ77" s="55">
        <f>IFERROR(VLOOKUP($D77,'Adient Arendal (Malzia) WK.12'!$B:BI,BQ$1,0),0)</f>
        <v>0</v>
      </c>
      <c r="BR77" s="55">
        <f>IFERROR(VLOOKUP($D77,'Adient Taizhou (China) WK.16'!$B:BL,BQ$1,0),0)</f>
        <v>0</v>
      </c>
      <c r="BS77" s="60">
        <v>360</v>
      </c>
      <c r="BT77" s="60">
        <v>0</v>
      </c>
      <c r="BU77" s="60">
        <v>1560</v>
      </c>
      <c r="BV77" s="41">
        <v>720</v>
      </c>
      <c r="BW77" s="31">
        <v>0</v>
      </c>
      <c r="BX77" s="110">
        <f t="shared" si="243"/>
        <v>2340</v>
      </c>
      <c r="BY77" s="8"/>
      <c r="BZ77" s="37">
        <f t="shared" si="750"/>
        <v>2340</v>
      </c>
      <c r="CA77" s="125">
        <f>IFERROR(VLOOKUP($D77,'Adient Assende (Belgium) WK.17'!$B:BS,CB$1,0),0)</f>
        <v>720</v>
      </c>
      <c r="CB77" s="55">
        <f>IFERROR(VLOOKUP($D77,'Adient Arendal (Malzia) WK.12'!$B:BT,CB$1,0),0)</f>
        <v>0</v>
      </c>
      <c r="CC77" s="55">
        <f>IFERROR(VLOOKUP($D77,'Adient Taizhou (China) WK.16'!$B:BW,CB$1,0),0)</f>
        <v>0</v>
      </c>
      <c r="CD77" s="60">
        <v>0</v>
      </c>
      <c r="CE77" s="60">
        <v>0</v>
      </c>
      <c r="CF77" s="41">
        <v>1200</v>
      </c>
      <c r="CG77" s="31">
        <v>0</v>
      </c>
      <c r="CH77" s="110">
        <f t="shared" si="244"/>
        <v>1140</v>
      </c>
      <c r="CI77" s="8"/>
      <c r="CJ77" s="37">
        <f t="shared" si="751"/>
        <v>1140</v>
      </c>
      <c r="CK77" s="125">
        <f>IFERROR(VLOOKUP($D77,'Adient Assende (Belgium) WK.17'!$B:CC,CL$1,0),0)</f>
        <v>1200</v>
      </c>
      <c r="CL77" s="55">
        <f>IFERROR(VLOOKUP($D77,'Adient Arendal (Malzia) WK.12'!$B:CD,CL$1,0),0)</f>
        <v>0</v>
      </c>
      <c r="CM77" s="55">
        <f>IFERROR(VLOOKUP($D77,'Adient Taizhou (China) WK.16'!$B:CG,CL$1,0),0)</f>
        <v>0</v>
      </c>
      <c r="CN77" s="60">
        <v>1200</v>
      </c>
      <c r="CO77" s="149">
        <v>0</v>
      </c>
      <c r="CP77" s="31">
        <v>0</v>
      </c>
      <c r="CQ77" s="110">
        <f t="shared" si="245"/>
        <v>2340</v>
      </c>
      <c r="CR77" s="8"/>
      <c r="CS77" s="122">
        <f t="shared" si="752"/>
        <v>2340</v>
      </c>
      <c r="CT77" s="154">
        <f>IFERROR(VLOOKUP($D77,'Adient Assende (Belgium) WK.17'!$B:CL,CU$1,0),0)</f>
        <v>0</v>
      </c>
      <c r="CU77" s="55">
        <f>IFERROR(VLOOKUP($D77,'Adient Arendal (Malzia) WK.12'!$B:CM,CU$1,0),0)</f>
        <v>0</v>
      </c>
      <c r="CV77" s="55">
        <f>IFERROR(VLOOKUP($D77,'Adient Taizhou (China) WK.16'!$B:CP,CU$1,0),0)</f>
        <v>0</v>
      </c>
      <c r="CW77" s="60">
        <v>0</v>
      </c>
      <c r="CX77" s="60">
        <v>300</v>
      </c>
      <c r="CY77" s="128">
        <v>720</v>
      </c>
      <c r="CZ77" s="31">
        <v>0</v>
      </c>
      <c r="DA77" s="110">
        <f t="shared" si="246"/>
        <v>1920</v>
      </c>
      <c r="DB77" s="8"/>
      <c r="DC77" s="37">
        <f t="shared" si="753"/>
        <v>1920</v>
      </c>
      <c r="DD77" s="125">
        <f>IFERROR(VLOOKUP($D77,'Adient Assende (Belgium) WK.17'!$B:CS,DE$1,0),0)</f>
        <v>720</v>
      </c>
      <c r="DE77" s="55">
        <f>IFERROR(VLOOKUP($D77,'Adient Arendal (Malzia) WK.12'!$B:CU,DE$1,0),0)</f>
        <v>0</v>
      </c>
      <c r="DF77" s="55">
        <f>IFERROR(VLOOKUP($D77,'Adient Taizhou (China) WK.16'!$B:CX,DE$1,0),0)</f>
        <v>0</v>
      </c>
      <c r="DG77" s="60">
        <v>2880</v>
      </c>
      <c r="DH77" s="128">
        <v>720</v>
      </c>
      <c r="DI77" s="31">
        <v>0</v>
      </c>
      <c r="DJ77" s="110">
        <f t="shared" si="247"/>
        <v>4080</v>
      </c>
      <c r="DL77" s="37">
        <f t="shared" si="754"/>
        <v>4080</v>
      </c>
      <c r="DM77" s="125">
        <f>IFERROR(VLOOKUP($D77,'Adient Assende (Belgium) WK.17'!$B:DB,DN$1,0),0)</f>
        <v>720</v>
      </c>
      <c r="DN77" s="55">
        <f>IFERROR(VLOOKUP($D77,'Adient Arendal (Malzia) WK.12'!$B:DC,DN$1,0),0)</f>
        <v>0</v>
      </c>
      <c r="DO77" s="55">
        <f>IFERROR(VLOOKUP($D77,'Adient Taizhou (China) WK.16'!$B:DF,DN$1,0),0)</f>
        <v>0</v>
      </c>
      <c r="DP77" s="128">
        <v>480</v>
      </c>
      <c r="DQ77" s="31">
        <v>0</v>
      </c>
      <c r="DR77" s="110">
        <f t="shared" si="755"/>
        <v>3600</v>
      </c>
      <c r="DS77" s="8"/>
      <c r="DT77" s="37">
        <f t="shared" si="756"/>
        <v>3600</v>
      </c>
      <c r="DU77" s="125">
        <f>IFERROR(VLOOKUP($D77,'Adient Assende (Belgium) WK.17'!$B:DJ,DV$1,0),0)</f>
        <v>480</v>
      </c>
      <c r="DV77" s="55">
        <f>IFERROR(VLOOKUP($D77,'Adient Arendal (Malzia) WK.12'!$B:DK,DV$1,0),0)</f>
        <v>0</v>
      </c>
      <c r="DW77" s="55">
        <f>IFERROR(VLOOKUP($D77,'Adient Taizhou (China) WK.16'!$B:DN,DV$1,0),0)</f>
        <v>0</v>
      </c>
      <c r="DX77" s="60">
        <v>540</v>
      </c>
      <c r="DY77" s="60">
        <v>1020</v>
      </c>
      <c r="DZ77" s="128">
        <v>480</v>
      </c>
      <c r="EA77" s="31">
        <v>0</v>
      </c>
      <c r="EB77" s="110">
        <f t="shared" si="248"/>
        <v>4680</v>
      </c>
      <c r="EC77" s="8"/>
      <c r="ED77" s="37">
        <f t="shared" si="757"/>
        <v>4680</v>
      </c>
      <c r="EE77" s="125">
        <f>IFERROR(VLOOKUP($D77,'Adient Assende (Belgium) WK.17'!$B:DR,EF$1,0),0)</f>
        <v>480</v>
      </c>
      <c r="EF77" s="55">
        <f>IFERROR(VLOOKUP($D77,'Adient Arendal (Malzia) WK.12'!$B:DS,EF$1,0),0)</f>
        <v>0</v>
      </c>
      <c r="EG77" s="55">
        <f>IFERROR(VLOOKUP($D77,'Adient Taizhou (China) WK.16'!$B:DV,EF$1,0),0)</f>
        <v>0</v>
      </c>
      <c r="EH77" s="60">
        <v>1980</v>
      </c>
      <c r="EI77" s="128">
        <v>960</v>
      </c>
      <c r="EJ77" s="31">
        <v>0</v>
      </c>
      <c r="EK77" s="110">
        <f t="shared" si="249"/>
        <v>5700</v>
      </c>
      <c r="EM77" s="37">
        <f t="shared" si="758"/>
        <v>5700</v>
      </c>
      <c r="EN77" s="125">
        <f>IFERROR(VLOOKUP($D77,'Adient Assende (Belgium) WK.17'!$B:DZ,EO$1,0),0)</f>
        <v>960</v>
      </c>
      <c r="EO77" s="55">
        <f>IFERROR(VLOOKUP($D77,'Adient Arendal (Malzia) WK.12'!$B:EA,EO$1,0),0)</f>
        <v>0</v>
      </c>
      <c r="EP77" s="55">
        <f>IFERROR(VLOOKUP($D77,'Adient Taizhou (China) WK.16'!$B:ED,EO$1,0),0)</f>
        <v>0</v>
      </c>
      <c r="EQ77" s="128">
        <v>1440</v>
      </c>
      <c r="ER77" s="31">
        <v>0</v>
      </c>
      <c r="ES77" s="110">
        <f t="shared" si="250"/>
        <v>4260</v>
      </c>
      <c r="EU77" s="37">
        <f t="shared" si="759"/>
        <v>4260</v>
      </c>
      <c r="EV77" s="125">
        <f>IFERROR(VLOOKUP($D77,'Adient Assende (Belgium) WK.17'!$B:EH,EW$1,0),0)</f>
        <v>1440</v>
      </c>
      <c r="EW77" s="55">
        <f>IFERROR(VLOOKUP($D77,'Adient Arendal (Malzia) WK.12'!$B:EI,EW$1,0),0)</f>
        <v>0</v>
      </c>
      <c r="EX77" s="55">
        <f>IFERROR(VLOOKUP($D77,'Adient Taizhou (China) WK.16'!$B:EL,EW$1,0),0)</f>
        <v>0</v>
      </c>
      <c r="EY77" s="128">
        <v>0</v>
      </c>
      <c r="EZ77" s="31">
        <v>0</v>
      </c>
      <c r="FA77" s="110">
        <f t="shared" si="251"/>
        <v>4260</v>
      </c>
      <c r="FC77" s="37">
        <f t="shared" si="760"/>
        <v>4260</v>
      </c>
      <c r="FD77" s="154">
        <f>IFERROR(VLOOKUP($D77,'Adient Assende (Belgium) WK.17'!$B:EP,FE$1,0),0)</f>
        <v>0</v>
      </c>
      <c r="FE77" s="154">
        <f>IFERROR(VLOOKUP($D77,'Adient Arendal (Malzia) WK.12'!$B:EQ,FE$1,0),0)</f>
        <v>0</v>
      </c>
      <c r="FF77" s="154">
        <f>IFERROR(VLOOKUP($D77,'Adient Taizhou (China) WK.16'!$B:ET,FE$1,0),0)</f>
        <v>0</v>
      </c>
      <c r="FG77" s="128">
        <v>0</v>
      </c>
      <c r="FH77" s="31">
        <v>0</v>
      </c>
      <c r="FI77" s="110">
        <f t="shared" si="252"/>
        <v>4260</v>
      </c>
      <c r="FK77" s="37">
        <f t="shared" si="761"/>
        <v>4260</v>
      </c>
      <c r="FL77" s="125">
        <f>IFERROR(VLOOKUP($D77,'Adient Assende (Belgium) WK.17'!$B:EX,FM$1,0),0)</f>
        <v>0</v>
      </c>
      <c r="FM77" s="55">
        <f>IFERROR(VLOOKUP($D77,'Adient Arendal (Malzia) WK.12'!$B:EY,FM$1,0),0)</f>
        <v>0</v>
      </c>
      <c r="FN77" s="55">
        <f>IFERROR(VLOOKUP($D77,'Adient Taizhou (China) WK.16'!$B:FB,FM$1,0),0)</f>
        <v>0</v>
      </c>
      <c r="FO77" s="128">
        <v>960</v>
      </c>
      <c r="FP77" s="31">
        <v>0</v>
      </c>
      <c r="FQ77" s="110">
        <f t="shared" si="253"/>
        <v>3300</v>
      </c>
      <c r="FR77" s="8"/>
      <c r="FS77" s="37">
        <f t="shared" si="762"/>
        <v>3300</v>
      </c>
      <c r="FT77" s="125">
        <f>IFERROR(VLOOKUP($D77,'Adient Assende (Belgium) WK.17'!$B:FF,FU$1,0),0)</f>
        <v>960</v>
      </c>
      <c r="FU77" s="55">
        <f>IFERROR(VLOOKUP($D77,'Adient Arendal (Malzia) WK.12'!$B:FG,FU$1,0),0)</f>
        <v>0</v>
      </c>
      <c r="FV77" s="55">
        <f>IFERROR(VLOOKUP($D77,'Adient Taizhou (China) WK.16'!$B:FJ,FU$1,0),0)</f>
        <v>0</v>
      </c>
      <c r="FW77" s="60">
        <v>300</v>
      </c>
      <c r="FX77" s="60">
        <v>0</v>
      </c>
      <c r="FY77" s="60">
        <v>1320</v>
      </c>
      <c r="FZ77" s="60">
        <v>780</v>
      </c>
      <c r="GA77" s="60">
        <v>0</v>
      </c>
      <c r="GB77" s="128">
        <v>1200</v>
      </c>
      <c r="GC77" s="31">
        <v>0</v>
      </c>
      <c r="GD77" s="110">
        <f t="shared" si="254"/>
        <v>4500</v>
      </c>
      <c r="GF77" s="37">
        <f t="shared" si="763"/>
        <v>4500</v>
      </c>
      <c r="GG77" s="125">
        <f>IFERROR(VLOOKUP($D77,'Adient Assende (Belgium) WK.17'!$B:FN,GH$1,0),0)</f>
        <v>1200</v>
      </c>
      <c r="GH77" s="55">
        <f>IFERROR(VLOOKUP($D77,'Adient Arendal (Malzia) WK.12'!$B:FO,GH$1,0),0)</f>
        <v>0</v>
      </c>
      <c r="GI77" s="55">
        <f>IFERROR(VLOOKUP($D77,'Adient Taizhou (China) WK.16'!$B:FR,GH$1,0),0)</f>
        <v>0</v>
      </c>
      <c r="GJ77" s="60">
        <v>1860</v>
      </c>
      <c r="GK77" s="128">
        <v>960</v>
      </c>
      <c r="GL77" s="31">
        <v>0</v>
      </c>
      <c r="GM77" s="110">
        <f t="shared" si="255"/>
        <v>5400</v>
      </c>
      <c r="GO77" s="37">
        <f t="shared" si="764"/>
        <v>5400</v>
      </c>
      <c r="GP77" s="125">
        <f>IFERROR(VLOOKUP($D77,'Adient Assende (Belgium) WK.17'!$B:FV,GQ$1,0),0)</f>
        <v>960</v>
      </c>
      <c r="GQ77" s="55">
        <f>IFERROR(VLOOKUP($D77,'Adient Arendal (Malzia) WK.12'!$B:FW,GQ$1,0),0)</f>
        <v>0</v>
      </c>
      <c r="GR77" s="55">
        <f>IFERROR(VLOOKUP($D77,'Adient Taizhou (China) WK.16'!$B:FZ,GQ$1,0),0)</f>
        <v>0</v>
      </c>
      <c r="GS77" s="60">
        <v>1380</v>
      </c>
      <c r="GT77" s="128">
        <v>1440</v>
      </c>
      <c r="GU77" s="31">
        <v>0</v>
      </c>
      <c r="GV77" s="110">
        <f t="shared" si="256"/>
        <v>5340</v>
      </c>
      <c r="GW77" s="8"/>
      <c r="GX77" s="37">
        <f t="shared" si="765"/>
        <v>5340</v>
      </c>
      <c r="GY77" s="125">
        <f>IFERROR(VLOOKUP($D77,'Adient Assende (Belgium) WK.17'!$B:GD,GZ$1,0),0)</f>
        <v>1440</v>
      </c>
      <c r="GZ77" s="55">
        <f>IFERROR(VLOOKUP($D77,'Adient Arendal (Malzia) WK.12'!$B:GE,GZ$1,0),0)</f>
        <v>0</v>
      </c>
      <c r="HA77" s="55">
        <f>IFERROR(VLOOKUP($D77,'Adient Taizhou (China) WK.16'!$B:GH,GZ$1,0),0)</f>
        <v>0</v>
      </c>
      <c r="HB77" s="60">
        <v>1740</v>
      </c>
      <c r="HC77" s="128">
        <v>1200</v>
      </c>
      <c r="HD77" s="31">
        <v>0</v>
      </c>
      <c r="HE77" s="110">
        <f t="shared" si="257"/>
        <v>5880</v>
      </c>
      <c r="HF77" s="8"/>
      <c r="HG77" s="37">
        <f t="shared" si="766"/>
        <v>5880</v>
      </c>
      <c r="HH77" s="125">
        <f>IFERROR(VLOOKUP($D77,'Adient Assende (Belgium) WK.17'!$B:GL,HI$1,0),0)</f>
        <v>1200</v>
      </c>
      <c r="HI77" s="55">
        <f>IFERROR(VLOOKUP($D77,'Adient Arendal (Malzia) WK.12'!$B:GM,HI$1,0),0)</f>
        <v>0</v>
      </c>
      <c r="HJ77" s="55">
        <f>IFERROR(VLOOKUP($D77,'Adient Taizhou (China) WK.16'!$B:GP,HI$1,0),0)</f>
        <v>0</v>
      </c>
      <c r="HK77" s="60">
        <v>540</v>
      </c>
      <c r="HL77" s="128">
        <v>960</v>
      </c>
      <c r="HM77" s="31">
        <v>0</v>
      </c>
      <c r="HN77" s="110">
        <f t="shared" si="258"/>
        <v>5460</v>
      </c>
      <c r="HO77" s="8"/>
      <c r="HP77" s="37">
        <f t="shared" si="767"/>
        <v>5460</v>
      </c>
      <c r="HQ77" s="125">
        <f>IFERROR(VLOOKUP($D77,'Adient Assende (Belgium) WK.17'!$B:GT,HR$1,0),0)</f>
        <v>960</v>
      </c>
      <c r="HR77" s="55">
        <f>IFERROR(VLOOKUP($D77,'Adient Arendal (Malzia) WK.12'!$B:GU,HR$1,0),0)</f>
        <v>0</v>
      </c>
      <c r="HS77" s="55">
        <f>IFERROR(VLOOKUP($D77,'Adient Taizhou (China) WK.16'!$B:GX,HR$1,0),0)</f>
        <v>0</v>
      </c>
      <c r="HT77" s="60">
        <v>720</v>
      </c>
      <c r="HU77" s="128">
        <v>1200</v>
      </c>
      <c r="HV77" s="31">
        <v>0</v>
      </c>
      <c r="HW77" s="110">
        <f t="shared" si="259"/>
        <v>4980</v>
      </c>
      <c r="HX77" s="8"/>
      <c r="HY77" s="37">
        <f t="shared" si="768"/>
        <v>4980</v>
      </c>
      <c r="HZ77" s="125">
        <f>IFERROR(VLOOKUP($D77,'Adient Assende (Belgium) WK.17'!$B:HB,IA$1,0),0)</f>
        <v>1200</v>
      </c>
      <c r="IA77" s="55">
        <f>IFERROR(VLOOKUP($D77,'Adient Arendal (Malzia) WK.12'!$B:HC,IA$1,0),0)</f>
        <v>0</v>
      </c>
      <c r="IB77" s="55">
        <f>IFERROR(VLOOKUP($D77,'Adient Taizhou (China) WK.16'!$B:HF,IA$1,0),0)</f>
        <v>0</v>
      </c>
      <c r="IC77" s="60">
        <v>840</v>
      </c>
      <c r="ID77" s="128">
        <v>720</v>
      </c>
      <c r="IE77" s="31">
        <v>0</v>
      </c>
      <c r="IF77" s="110">
        <f t="shared" si="260"/>
        <v>5100</v>
      </c>
      <c r="IG77" s="8"/>
      <c r="IH77" s="37">
        <f t="shared" si="769"/>
        <v>5100</v>
      </c>
      <c r="II77" s="125">
        <f>IFERROR(VLOOKUP($D77,'Adient Assende (Belgium) WK.17'!$B:HJ,IJ$1,0),0)</f>
        <v>720</v>
      </c>
      <c r="IJ77" s="55">
        <f>IFERROR(VLOOKUP($D77,'Adient Arendal (Malzia) WK.12'!$B:HK,IJ$1,0),0)</f>
        <v>0</v>
      </c>
      <c r="IK77" s="55">
        <f>IFERROR(VLOOKUP($D77,'Adient Taizhou (China) WK.16'!$B:HN,IJ$1,0),0)</f>
        <v>0</v>
      </c>
      <c r="IL77" s="128">
        <v>960</v>
      </c>
      <c r="IM77" s="31">
        <v>0</v>
      </c>
      <c r="IN77" s="110">
        <f t="shared" si="770"/>
        <v>4140</v>
      </c>
      <c r="IO77" s="8"/>
      <c r="IP77" s="37">
        <f t="shared" si="771"/>
        <v>4140</v>
      </c>
      <c r="IQ77" s="125">
        <f>IFERROR(VLOOKUP($D77,'Adient Assende (Belgium) WK.17'!$B:HR,IR$1,0),0)</f>
        <v>960</v>
      </c>
      <c r="IR77" s="55">
        <f>IFERROR(VLOOKUP($D77,'Adient Arendal (Malzia) WK.12'!$B:HS,IR$1,0),0)</f>
        <v>0</v>
      </c>
      <c r="IS77" s="55">
        <f>IFERROR(VLOOKUP($D77,'Adient Taizhou (China) WK.16'!$B:HV,IR$1,0),0)</f>
        <v>0</v>
      </c>
      <c r="IT77" s="60">
        <v>1140</v>
      </c>
      <c r="IU77" s="128">
        <v>480</v>
      </c>
      <c r="IV77" s="31">
        <v>0</v>
      </c>
      <c r="IW77" s="110">
        <f t="shared" si="261"/>
        <v>4800</v>
      </c>
      <c r="IX77" s="8"/>
      <c r="IY77" s="37">
        <f t="shared" si="772"/>
        <v>4800</v>
      </c>
      <c r="IZ77" s="125">
        <f>IFERROR(VLOOKUP($D77,'Adient Assende (Belgium) WK.17'!$B:HZ,JA$1,0),0)</f>
        <v>480</v>
      </c>
      <c r="JA77" s="55">
        <f>IFERROR(VLOOKUP($D77,'Adient Arendal (Malzia) WK.12'!$B:IA,JA$1,0),0)</f>
        <v>0</v>
      </c>
      <c r="JB77" s="55">
        <f>IFERROR(VLOOKUP($D77,'Adient Taizhou (China) WK.16'!$B:ID,JA$1,0),0)</f>
        <v>0</v>
      </c>
      <c r="JC77" s="128">
        <v>240</v>
      </c>
      <c r="JD77" s="31">
        <v>0</v>
      </c>
      <c r="JE77" s="110">
        <f t="shared" si="773"/>
        <v>4560</v>
      </c>
      <c r="JF77" s="8"/>
      <c r="JG77" s="37">
        <f t="shared" si="774"/>
        <v>4560</v>
      </c>
      <c r="JH77" s="125">
        <f>IFERROR(VLOOKUP($D77,'Adient Assende (Belgium) WK.17'!$B:IH,JI$1,0),0)</f>
        <v>240</v>
      </c>
      <c r="JI77" s="55">
        <f>IFERROR(VLOOKUP($D77,'Adient Arendal (Malzia) WK.12'!$B:II,JI$1,0),0)</f>
        <v>0</v>
      </c>
      <c r="JJ77" s="55">
        <f>IFERROR(VLOOKUP($D77,'Adient Taizhou (China) WK.16'!$B:IL,JI$1,0),0)</f>
        <v>0</v>
      </c>
      <c r="JK77" s="60">
        <v>960</v>
      </c>
      <c r="JL77" s="128">
        <v>1440</v>
      </c>
      <c r="JM77" s="31">
        <v>0</v>
      </c>
      <c r="JN77" s="110">
        <f t="shared" si="262"/>
        <v>4080</v>
      </c>
      <c r="JO77" s="8"/>
      <c r="JP77" s="37">
        <f t="shared" si="775"/>
        <v>4080</v>
      </c>
      <c r="JQ77" s="125">
        <f>IFERROR(VLOOKUP($D77,'Adient Assende (Belgium) WK.17'!$B:IP,JR$1,0),0)</f>
        <v>1440</v>
      </c>
      <c r="JR77" s="55">
        <f>IFERROR(VLOOKUP($D77,'Adient Arendal (Malzia) WK.12'!$B:IQ,JR$1,0),0)</f>
        <v>0</v>
      </c>
      <c r="JS77" s="55">
        <f>IFERROR(VLOOKUP($D77,'Adient Taizhou (China) WK.16'!$B:IT,JR$1,0),0)</f>
        <v>0</v>
      </c>
      <c r="JT77" s="128">
        <v>0</v>
      </c>
      <c r="JU77" s="31">
        <v>0</v>
      </c>
      <c r="JV77" s="110">
        <f t="shared" si="776"/>
        <v>4080</v>
      </c>
      <c r="JW77" s="8"/>
      <c r="JX77" s="37">
        <f t="shared" si="777"/>
        <v>4080</v>
      </c>
      <c r="JY77" s="154">
        <f>IFERROR(VLOOKUP($D77,'Adient Assende (Belgium) WK.17'!$B:IX,JZ$1,0),0)</f>
        <v>0</v>
      </c>
      <c r="JZ77" s="55">
        <f>IFERROR(VLOOKUP($D77,'Adient Arendal (Malzia) WK.12'!$B:IY,JZ$1,0),0)</f>
        <v>0</v>
      </c>
      <c r="KA77" s="55">
        <f>IFERROR(VLOOKUP($D77,'Adient Taizhou (China) WK.16'!$B:JB,JZ$1,0),0)</f>
        <v>0</v>
      </c>
      <c r="KB77" s="128">
        <v>960</v>
      </c>
      <c r="KC77" s="31">
        <v>0</v>
      </c>
      <c r="KD77" s="110">
        <f t="shared" si="849"/>
        <v>3120</v>
      </c>
      <c r="KE77" s="8"/>
      <c r="KF77" s="37">
        <f t="shared" si="778"/>
        <v>3120</v>
      </c>
      <c r="KG77" s="125">
        <f>IFERROR(VLOOKUP($D77,'Adient Assende (Belgium) WK.17'!$B:JF,KH$1,0),0)</f>
        <v>960</v>
      </c>
      <c r="KH77" s="55">
        <f>IFERROR(VLOOKUP($D77,'Adient Arendal (Malzia) WK.12'!$B:JG,KH$1,0),0)</f>
        <v>0</v>
      </c>
      <c r="KI77" s="55">
        <f>IFERROR(VLOOKUP($D77,'Adient Taizhou (China) WK.16'!$B:JJ,KH$1,0),0)</f>
        <v>0</v>
      </c>
      <c r="KJ77" s="60">
        <v>720</v>
      </c>
      <c r="KK77" s="128">
        <v>960</v>
      </c>
      <c r="KL77" s="31">
        <v>0</v>
      </c>
      <c r="KM77" s="110">
        <f t="shared" si="850"/>
        <v>2880</v>
      </c>
      <c r="KN77" s="8"/>
      <c r="KO77" s="37">
        <f t="shared" si="779"/>
        <v>2880</v>
      </c>
      <c r="KP77" s="141">
        <f>IFERROR(VLOOKUP($D77,'Adient Assende (Belgium) WK.17'!$B:JN,KQ$1,0),0)</f>
        <v>960</v>
      </c>
      <c r="KQ77" s="140">
        <f>IFERROR(VLOOKUP($D77,'Adient Arendal (Malzia) WK.12'!$B:JO,KQ$1,0),0)</f>
        <v>0</v>
      </c>
      <c r="KR77" s="140">
        <f>IFERROR(VLOOKUP($D77,'Adient Taizhou (China) WK.16'!$B:JR,KQ$1,0),0)</f>
        <v>0</v>
      </c>
      <c r="KS77" s="60">
        <v>1440</v>
      </c>
      <c r="KT77" s="128">
        <v>960</v>
      </c>
      <c r="KU77" s="31">
        <v>0</v>
      </c>
      <c r="KV77" s="110">
        <f t="shared" si="851"/>
        <v>3360</v>
      </c>
      <c r="KX77" s="37">
        <f t="shared" si="780"/>
        <v>3360</v>
      </c>
      <c r="KY77" s="141">
        <f>IFERROR(VLOOKUP($D77,'Adient Assende (Belgium) WK.17'!$B:JV,KZ$1,0),0)</f>
        <v>960</v>
      </c>
      <c r="KZ77" s="140">
        <f>IFERROR(VLOOKUP($D77,'Adient Arendal (Malzia) WK.12'!$B:JW,KZ$1,0),0)</f>
        <v>0</v>
      </c>
      <c r="LA77" s="140">
        <f>IFERROR(VLOOKUP($D77,'Adient Taizhou (China) WK.16'!$B:JZ,KZ$1,0),0)</f>
        <v>0</v>
      </c>
      <c r="LB77" s="128">
        <v>0</v>
      </c>
      <c r="LC77" s="31">
        <v>0</v>
      </c>
      <c r="LD77" s="110">
        <f t="shared" si="781"/>
        <v>3360</v>
      </c>
      <c r="LF77" s="37">
        <f t="shared" si="782"/>
        <v>3360</v>
      </c>
      <c r="LG77" s="141">
        <f>IFERROR(VLOOKUP($D77,'Adient Assende (Belgium) WK.17'!$B:KD,LH$1,0),0)</f>
        <v>960</v>
      </c>
      <c r="LH77" s="140">
        <f>IFERROR(VLOOKUP($D77,'Adient Arendal (Malzia) WK.12'!$B:KE,LH$1,0),0)</f>
        <v>0</v>
      </c>
      <c r="LI77" s="140">
        <f>IFERROR(VLOOKUP($D77,'Adient Taizhou (China) WK.16'!$B:KH,LH$1,0),0)</f>
        <v>0</v>
      </c>
      <c r="LJ77" s="60">
        <v>1020</v>
      </c>
      <c r="LK77" s="128">
        <v>0</v>
      </c>
      <c r="LL77" s="31">
        <v>0</v>
      </c>
      <c r="LM77" s="100">
        <f t="shared" si="852"/>
        <v>3420</v>
      </c>
      <c r="LO77" s="37">
        <f t="shared" si="783"/>
        <v>3420</v>
      </c>
      <c r="LP77" s="141">
        <f>IFERROR(VLOOKUP($D77,'Adient Assende (Belgium) WK.17'!$B:KL,LQ$1,0),0)</f>
        <v>480</v>
      </c>
      <c r="LQ77" s="140">
        <f>IFERROR(VLOOKUP($D77,'Adient Arendal (Malzia) WK.12'!$B:KM,LQ$1,0),0)</f>
        <v>0</v>
      </c>
      <c r="LR77" s="140">
        <f>IFERROR(VLOOKUP($D77,'Adient Taizhou (China) WK.16'!$B:KP,LQ$1,0),0)</f>
        <v>0</v>
      </c>
      <c r="LS77" s="128">
        <v>0</v>
      </c>
      <c r="LT77" s="31">
        <v>0</v>
      </c>
      <c r="LU77" s="100">
        <f t="shared" si="784"/>
        <v>2940</v>
      </c>
      <c r="LW77" s="37">
        <f t="shared" si="785"/>
        <v>2940</v>
      </c>
      <c r="LX77" s="141">
        <f>IFERROR(VLOOKUP($D77,'Adient Assende (Belgium) WK.17'!$B:KT,LY$1,0),0)</f>
        <v>1680</v>
      </c>
      <c r="LY77" s="140">
        <f>IFERROR(VLOOKUP($D77,'Adient Arendal (Malzia) WK.12'!$B:KU,LY$1,0),0)</f>
        <v>0</v>
      </c>
      <c r="LZ77" s="140">
        <f>IFERROR(VLOOKUP($D77,'Adient Taizhou (China) WK.16'!$B:KX,LY$1,0),0)</f>
        <v>0</v>
      </c>
      <c r="MA77" s="128">
        <v>0</v>
      </c>
      <c r="MB77" s="31">
        <v>0</v>
      </c>
      <c r="MC77" s="100">
        <f t="shared" si="786"/>
        <v>1260</v>
      </c>
      <c r="ME77" s="37">
        <f t="shared" si="787"/>
        <v>1260</v>
      </c>
      <c r="MF77" s="154">
        <f>IFERROR(VLOOKUP($D77,'Adient Assende (Belgium) WK.17'!$B:LB,MG$1,0),0)</f>
        <v>0</v>
      </c>
      <c r="MG77" s="140">
        <f>IFERROR(VLOOKUP($D77,'Adient Arendal (Malzia) WK.12'!$B:LC,MG$1,0),0)</f>
        <v>0</v>
      </c>
      <c r="MH77" s="140">
        <f>IFERROR(VLOOKUP($D77,'Adient Taizhou (China) WK.16'!$B:LF,MG$1,0),0)</f>
        <v>0</v>
      </c>
      <c r="MI77" s="128">
        <v>0</v>
      </c>
      <c r="MJ77" s="31">
        <v>0</v>
      </c>
      <c r="MK77" s="100">
        <f t="shared" si="788"/>
        <v>1260</v>
      </c>
      <c r="MM77" s="37">
        <f t="shared" si="789"/>
        <v>1260</v>
      </c>
      <c r="MN77" s="141">
        <f>IFERROR(VLOOKUP($D77,'Adient Assende (Belgium) WK.17'!$B:LJ,MO$1,0),0)</f>
        <v>960</v>
      </c>
      <c r="MO77" s="140">
        <f>IFERROR(VLOOKUP($D77,'Adient Arendal (Malzia) WK.12'!$B:LK,MO$1,0),0)</f>
        <v>0</v>
      </c>
      <c r="MP77" s="140">
        <f>IFERROR(VLOOKUP($D77,'Adient Taizhou (China) WK.16'!$B:LN,MO$1,0),0)</f>
        <v>0</v>
      </c>
      <c r="MQ77" s="128">
        <v>0</v>
      </c>
      <c r="MR77" s="31">
        <v>0</v>
      </c>
      <c r="MS77" s="100">
        <f t="shared" si="790"/>
        <v>300</v>
      </c>
      <c r="MU77" s="37">
        <f t="shared" si="791"/>
        <v>300</v>
      </c>
      <c r="MV77" s="141">
        <f>IFERROR(VLOOKUP($D77,'Adient Assende (Belgium) WK.17'!$B:LR,MW$1,0),0)</f>
        <v>960</v>
      </c>
      <c r="MW77" s="140">
        <f>IFERROR(VLOOKUP($D77,'Adient Arendal (Malzia) WK.12'!$B:LS,MW$1,0),0)</f>
        <v>0</v>
      </c>
      <c r="MX77" s="140">
        <f>IFERROR(VLOOKUP($D77,'Adient Taizhou (China) WK.16'!$B:LV,MW$1,0),0)</f>
        <v>0</v>
      </c>
      <c r="MY77" s="128">
        <v>0</v>
      </c>
      <c r="MZ77" s="31">
        <v>0</v>
      </c>
      <c r="NA77" s="100">
        <f t="shared" si="792"/>
        <v>-660</v>
      </c>
      <c r="NC77" s="37">
        <f t="shared" si="793"/>
        <v>-660</v>
      </c>
      <c r="ND77" s="141">
        <f>IFERROR(VLOOKUP($D77,'Adient Assende (Belgium) WK.17'!$B:LZ,NE$1,0),0)</f>
        <v>960</v>
      </c>
      <c r="NE77" s="140">
        <f>IFERROR(VLOOKUP($D77,'Adient Arendal (Malzia) WK.12'!$B:MA,NE$1,0),0)</f>
        <v>0</v>
      </c>
      <c r="NF77" s="140">
        <f>IFERROR(VLOOKUP($D77,'Adient Taizhou (China) WK.16'!$B:MD,NE$1,0),0)</f>
        <v>0</v>
      </c>
      <c r="NG77" s="128">
        <v>0</v>
      </c>
      <c r="NH77" s="31">
        <v>0</v>
      </c>
      <c r="NI77" s="100">
        <f t="shared" si="794"/>
        <v>-1620</v>
      </c>
      <c r="NK77" s="37">
        <f t="shared" si="795"/>
        <v>-1620</v>
      </c>
      <c r="NL77" s="141">
        <f>IFERROR(VLOOKUP($D77,'Adient Assende (Belgium) WK.17'!$B:MH,NM$1,0),0)</f>
        <v>1200</v>
      </c>
      <c r="NM77" s="140">
        <f>IFERROR(VLOOKUP($D77,'Adient Arendal (Malzia) WK.12'!$B:MI,NM$1,0),0)</f>
        <v>0</v>
      </c>
      <c r="NN77" s="140">
        <f>IFERROR(VLOOKUP($D77,'Adient Taizhou (China) WK.16'!$B:ML,NM$1,0),0)</f>
        <v>0</v>
      </c>
      <c r="NO77" s="128">
        <v>0</v>
      </c>
      <c r="NP77" s="31">
        <v>0</v>
      </c>
      <c r="NQ77" s="100">
        <f t="shared" si="796"/>
        <v>-2820</v>
      </c>
      <c r="NS77" s="37">
        <f t="shared" si="797"/>
        <v>-2820</v>
      </c>
      <c r="NT77" s="141">
        <f>IFERROR(VLOOKUP($D77,'Adient Assende (Belgium) WK.17'!$B:MP,NU$1,0),0)</f>
        <v>1200</v>
      </c>
      <c r="NU77" s="140">
        <f>IFERROR(VLOOKUP($D77,'Adient Arendal (Malzia) WK.12'!$B:MQ,NU$1,0),0)</f>
        <v>0</v>
      </c>
      <c r="NV77" s="140">
        <f>IFERROR(VLOOKUP($D77,'Adient Taizhou (China) WK.16'!$B:MT,NU$1,0),0)</f>
        <v>0</v>
      </c>
      <c r="NW77" s="128">
        <v>0</v>
      </c>
      <c r="NX77" s="31">
        <v>0</v>
      </c>
      <c r="NY77" s="100">
        <f t="shared" si="798"/>
        <v>-4020</v>
      </c>
      <c r="OA77" s="37">
        <f t="shared" si="799"/>
        <v>-4020</v>
      </c>
      <c r="OB77" s="141">
        <f>IFERROR(VLOOKUP($D77,'Adient Assende (Belgium) WK.17'!$B:MX,OC$1,0),0)</f>
        <v>960</v>
      </c>
      <c r="OC77" s="140">
        <f>IFERROR(VLOOKUP($D77,'Adient Arendal (Malzia) WK.12'!$B:MY,OC$1,0),0)</f>
        <v>0</v>
      </c>
      <c r="OD77" s="140">
        <f>IFERROR(VLOOKUP($D77,'Adient Taizhou (China) WK.16'!$B:NB,OC$1,0),0)</f>
        <v>0</v>
      </c>
      <c r="OE77" s="128">
        <v>0</v>
      </c>
      <c r="OF77" s="31">
        <v>0</v>
      </c>
      <c r="OG77" s="100">
        <f t="shared" si="800"/>
        <v>-4980</v>
      </c>
      <c r="OI77" s="37">
        <f t="shared" si="801"/>
        <v>-4980</v>
      </c>
      <c r="OJ77" s="141">
        <f>IFERROR(VLOOKUP($D77,'Adient Assende (Belgium) WK.17'!$B:NF,OK$1,0),0)</f>
        <v>1680</v>
      </c>
      <c r="OK77" s="140">
        <f>IFERROR(VLOOKUP($D77,'Adient Arendal (Malzia) WK.12'!$B:NG,OK$1,0),0)</f>
        <v>0</v>
      </c>
      <c r="OL77" s="140">
        <f>IFERROR(VLOOKUP($D77,'Adient Taizhou (China) WK.16'!$B:NJ,OK$1,0),0)</f>
        <v>0</v>
      </c>
      <c r="OM77" s="128">
        <v>0</v>
      </c>
      <c r="ON77" s="31">
        <v>0</v>
      </c>
      <c r="OO77" s="100">
        <f t="shared" si="802"/>
        <v>-6660</v>
      </c>
      <c r="OQ77" s="37">
        <f t="shared" si="803"/>
        <v>-6660</v>
      </c>
      <c r="OR77" s="141">
        <f>IFERROR(VLOOKUP($D77,'Adient Assende (Belgium) WK.17'!$B:NN,OS$1,0),0)</f>
        <v>0</v>
      </c>
      <c r="OS77" s="140">
        <f>IFERROR(VLOOKUP($D77,'Adient Arendal (Malzia) WK.12'!$B:NO,OS$1,0),0)</f>
        <v>0</v>
      </c>
      <c r="OT77" s="140">
        <f>IFERROR(VLOOKUP($D77,'Adient Taizhou (China) WK.16'!$B:NR,OS$1,0),0)</f>
        <v>0</v>
      </c>
      <c r="OU77" s="128">
        <v>0</v>
      </c>
      <c r="OV77" s="31">
        <v>0</v>
      </c>
      <c r="OW77" s="100">
        <f t="shared" si="804"/>
        <v>-6660</v>
      </c>
      <c r="OY77" s="37">
        <f t="shared" si="805"/>
        <v>-6660</v>
      </c>
      <c r="OZ77" s="141">
        <f>IFERROR(VLOOKUP($D77,'Adient Assende (Belgium) WK.17'!$B:NV,PA$1,0),0)</f>
        <v>0</v>
      </c>
      <c r="PA77" s="140">
        <f>IFERROR(VLOOKUP($D77,'Adient Arendal (Malzia) WK.12'!$B:NW,PA$1,0),0)</f>
        <v>0</v>
      </c>
      <c r="PB77" s="140">
        <f>IFERROR(VLOOKUP($D77,'Adient Taizhou (China) WK.16'!$B:NZ,PA$1,0),0)</f>
        <v>0</v>
      </c>
      <c r="PC77" s="128">
        <v>0</v>
      </c>
      <c r="PD77" s="31">
        <v>0</v>
      </c>
      <c r="PE77" s="100">
        <f t="shared" si="806"/>
        <v>-6660</v>
      </c>
      <c r="PG77" s="37">
        <f t="shared" si="807"/>
        <v>-6660</v>
      </c>
      <c r="PH77" s="141">
        <f>IFERROR(VLOOKUP($D77,'Adient Assende (Belgium) WK.17'!$B:OD,PI$1,0),0)</f>
        <v>0</v>
      </c>
      <c r="PI77" s="140">
        <f>IFERROR(VLOOKUP($D77,'Adient Arendal (Malzia) WK.12'!$B:OE,PI$1,0),0)</f>
        <v>0</v>
      </c>
      <c r="PJ77" s="140">
        <f>IFERROR(VLOOKUP($D77,'Adient Taizhou (China) WK.16'!$B:OH,PI$1,0),0)</f>
        <v>0</v>
      </c>
      <c r="PK77" s="128">
        <v>0</v>
      </c>
      <c r="PL77" s="31">
        <v>0</v>
      </c>
      <c r="PM77" s="100">
        <f t="shared" si="808"/>
        <v>-6660</v>
      </c>
      <c r="PO77" s="37">
        <f t="shared" si="809"/>
        <v>-6660</v>
      </c>
      <c r="PP77" s="141">
        <f>IFERROR(VLOOKUP($D77,'Adient Assende (Belgium) WK.17'!$B:OL,PQ$1,0),0)</f>
        <v>0</v>
      </c>
      <c r="PQ77" s="140">
        <f>IFERROR(VLOOKUP($D77,'Adient Arendal (Malzia) WK.12'!$B:OM,PQ$1,0),0)</f>
        <v>0</v>
      </c>
      <c r="PR77" s="140">
        <f>IFERROR(VLOOKUP($D77,'Adient Taizhou (China) WK.16'!$B:OP,PQ$1,0),0)</f>
        <v>0</v>
      </c>
      <c r="PS77" s="128">
        <v>0</v>
      </c>
      <c r="PT77" s="31">
        <v>0</v>
      </c>
      <c r="PU77" s="100">
        <f t="shared" si="810"/>
        <v>-6660</v>
      </c>
      <c r="PW77" s="37">
        <f t="shared" si="811"/>
        <v>-6660</v>
      </c>
      <c r="PX77" s="141">
        <f>IFERROR(VLOOKUP($D77,'Adient Assende (Belgium) WK.17'!$B:OT,PY$1,0),0)</f>
        <v>720</v>
      </c>
      <c r="PY77" s="140">
        <f>IFERROR(VLOOKUP($D77,'Adient Arendal (Malzia) WK.12'!$B:OU,PY$1,0),0)</f>
        <v>0</v>
      </c>
      <c r="PZ77" s="140">
        <f>IFERROR(VLOOKUP($D77,'Adient Taizhou (China) WK.16'!$B:OX,PY$1,0),0)</f>
        <v>0</v>
      </c>
      <c r="QA77" s="128">
        <v>0</v>
      </c>
      <c r="QB77" s="31">
        <v>0</v>
      </c>
      <c r="QC77" s="100">
        <f t="shared" si="812"/>
        <v>-7380</v>
      </c>
      <c r="QE77" s="37">
        <f t="shared" si="813"/>
        <v>-7380</v>
      </c>
      <c r="QF77" s="141">
        <f>IFERROR(VLOOKUP($D77,'Adient Assende (Belgium) WK.17'!$B:PB,QG$1,0),0)</f>
        <v>720</v>
      </c>
      <c r="QG77" s="140">
        <f>IFERROR(VLOOKUP($D77,'Adient Arendal (Malzia) WK.12'!$B:PC,QG$1,0),0)</f>
        <v>0</v>
      </c>
      <c r="QH77" s="140">
        <f>IFERROR(VLOOKUP($D77,'Adient Taizhou (China) WK.16'!$B:PF,QG$1,0),0)</f>
        <v>0</v>
      </c>
      <c r="QI77" s="128">
        <v>0</v>
      </c>
      <c r="QJ77" s="31">
        <v>0</v>
      </c>
      <c r="QK77" s="100">
        <f t="shared" si="814"/>
        <v>-8100</v>
      </c>
      <c r="QM77" s="37">
        <f t="shared" si="815"/>
        <v>-8100</v>
      </c>
      <c r="QN77" s="141">
        <f>IFERROR(VLOOKUP($D77,'Adient Assende (Belgium) WK.17'!$B:PJ,QO$1,0),0)</f>
        <v>720</v>
      </c>
      <c r="QO77" s="140">
        <f>IFERROR(VLOOKUP($D77,'Adient Arendal (Malzia) WK.12'!$B:PK,QO$1,0),0)</f>
        <v>0</v>
      </c>
      <c r="QP77" s="140">
        <f>IFERROR(VLOOKUP($D77,'Adient Taizhou (China) WK.16'!$B:PN,QO$1,0),0)</f>
        <v>0</v>
      </c>
      <c r="QQ77" s="128">
        <v>0</v>
      </c>
      <c r="QR77" s="31">
        <v>0</v>
      </c>
      <c r="QS77" s="100">
        <f t="shared" si="816"/>
        <v>-8820</v>
      </c>
      <c r="QU77" s="37">
        <f t="shared" si="817"/>
        <v>-8820</v>
      </c>
      <c r="QV77" s="141">
        <f>IFERROR(VLOOKUP($D77,'Adient Assende (Belgium) WK.17'!$B:PR,QW$1,0),0)</f>
        <v>780</v>
      </c>
      <c r="QW77" s="140">
        <f>IFERROR(VLOOKUP($D77,'Adient Arendal (Malzia) WK.12'!$B:PS,QW$1,0),0)</f>
        <v>0</v>
      </c>
      <c r="QX77" s="140">
        <f>IFERROR(VLOOKUP($D77,'Adient Taizhou (China) WK.16'!$B:PV,QW$1,0),0)</f>
        <v>0</v>
      </c>
      <c r="QY77" s="128">
        <v>0</v>
      </c>
      <c r="QZ77" s="31">
        <v>0</v>
      </c>
      <c r="RA77" s="100">
        <f t="shared" si="818"/>
        <v>-9600</v>
      </c>
      <c r="RC77" s="37">
        <f t="shared" si="819"/>
        <v>-9600</v>
      </c>
      <c r="RD77" s="141">
        <f>IFERROR(VLOOKUP($D77,'Adient Assende (Belgium) WK.17'!$B:PZ,RE$1,0),0)</f>
        <v>780</v>
      </c>
      <c r="RE77" s="140">
        <f>IFERROR(VLOOKUP($D77,'Adient Arendal (Malzia) WK.12'!$B:QA,RE$1,0),0)</f>
        <v>0</v>
      </c>
      <c r="RF77" s="140">
        <f>IFERROR(VLOOKUP($D77,'Adient Taizhou (China) WK.16'!$B:QD,RE$1,0),0)</f>
        <v>0</v>
      </c>
      <c r="RG77" s="128">
        <v>0</v>
      </c>
      <c r="RH77" s="31">
        <v>0</v>
      </c>
      <c r="RI77" s="100">
        <f t="shared" si="820"/>
        <v>-10380</v>
      </c>
      <c r="RK77" s="37">
        <f t="shared" si="821"/>
        <v>-10380</v>
      </c>
      <c r="RL77" s="141">
        <f>IFERROR(VLOOKUP($D77,'Adient Assende (Belgium) WK.17'!$B:QH,RM$1,0),0)</f>
        <v>780</v>
      </c>
      <c r="RM77" s="140">
        <f>IFERROR(VLOOKUP($D77,'Adient Arendal (Malzia) WK.12'!$B:QI,RM$1,0),0)</f>
        <v>0</v>
      </c>
      <c r="RN77" s="140">
        <f>IFERROR(VLOOKUP($D77,'Adient Taizhou (China) WK.16'!$B:QL,RM$1,0),0)</f>
        <v>0</v>
      </c>
      <c r="RO77" s="128">
        <v>0</v>
      </c>
      <c r="RP77" s="31">
        <v>0</v>
      </c>
      <c r="RQ77" s="100">
        <f t="shared" si="822"/>
        <v>-11160</v>
      </c>
      <c r="RS77" s="37">
        <f t="shared" si="823"/>
        <v>-11160</v>
      </c>
      <c r="RT77" s="141">
        <f>IFERROR(VLOOKUP($D77,'Adient Assende (Belgium) WK.17'!$B:QP,RU$1,0),0)</f>
        <v>780</v>
      </c>
      <c r="RU77" s="140">
        <f>IFERROR(VLOOKUP($D77,'Adient Arendal (Malzia) WK.12'!$B:QQ,RU$1,0),0)</f>
        <v>0</v>
      </c>
      <c r="RV77" s="140">
        <f>IFERROR(VLOOKUP($D77,'Adient Taizhou (China) WK.16'!$B:QT,RU$1,0),0)</f>
        <v>0</v>
      </c>
      <c r="RW77" s="128">
        <v>0</v>
      </c>
      <c r="RX77" s="31">
        <v>0</v>
      </c>
      <c r="RY77" s="100">
        <f t="shared" si="824"/>
        <v>-11940</v>
      </c>
      <c r="SA77" s="37">
        <f t="shared" si="825"/>
        <v>-11940</v>
      </c>
      <c r="SB77" s="141">
        <f>IFERROR(VLOOKUP($D77,'Adient Assende (Belgium) WK.17'!$B:QX,SC$1,0),0)</f>
        <v>600</v>
      </c>
      <c r="SC77" s="140">
        <f>IFERROR(VLOOKUP($D77,'Adient Arendal (Malzia) WK.12'!$B:QY,SC$1,0),0)</f>
        <v>0</v>
      </c>
      <c r="SD77" s="140">
        <f>IFERROR(VLOOKUP($D77,'Adient Taizhou (China) WK.16'!$B:RB,SC$1,0),0)</f>
        <v>0</v>
      </c>
      <c r="SE77" s="128">
        <v>0</v>
      </c>
      <c r="SF77" s="31">
        <v>0</v>
      </c>
      <c r="SG77" s="100">
        <f t="shared" si="826"/>
        <v>-12540</v>
      </c>
      <c r="SI77" s="37">
        <f t="shared" si="827"/>
        <v>-12540</v>
      </c>
      <c r="SJ77" s="141">
        <f>IFERROR(VLOOKUP($D77,'Adient Assende (Belgium) WK.17'!$B:RF,SK$1,0),0)</f>
        <v>600</v>
      </c>
      <c r="SK77" s="140">
        <f>IFERROR(VLOOKUP($D77,'Adient Arendal (Malzia) WK.12'!$B:RG,SK$1,0),0)</f>
        <v>0</v>
      </c>
      <c r="SL77" s="140">
        <f>IFERROR(VLOOKUP($D77,'Adient Taizhou (China) WK.16'!$B:RJ,SK$1,0),0)</f>
        <v>0</v>
      </c>
      <c r="SM77" s="128">
        <v>0</v>
      </c>
      <c r="SN77" s="31">
        <v>0</v>
      </c>
      <c r="SO77" s="100">
        <f t="shared" si="828"/>
        <v>-13140</v>
      </c>
      <c r="SQ77" s="37">
        <f t="shared" si="829"/>
        <v>-13140</v>
      </c>
      <c r="SR77" s="141">
        <f>IFERROR(VLOOKUP($D77,'Adient Assende (Belgium) WK.17'!$B:RN,SS$1,0),0)</f>
        <v>600</v>
      </c>
      <c r="SS77" s="140">
        <f>IFERROR(VLOOKUP($D77,'Adient Arendal (Malzia) WK.12'!$B:RO,SS$1,0),0)</f>
        <v>0</v>
      </c>
      <c r="ST77" s="140">
        <f>IFERROR(VLOOKUP($D77,'Adient Taizhou (China) WK.16'!$B:RR,SS$1,0),0)</f>
        <v>0</v>
      </c>
      <c r="SU77" s="128">
        <v>0</v>
      </c>
      <c r="SV77" s="31">
        <v>0</v>
      </c>
      <c r="SW77" s="100">
        <f t="shared" si="830"/>
        <v>-13740</v>
      </c>
      <c r="SY77" s="37">
        <f t="shared" si="831"/>
        <v>-13740</v>
      </c>
      <c r="SZ77" s="141">
        <f>IFERROR(VLOOKUP($D77,'Adient Assende (Belgium) WK.17'!$B:RV,TA$1,0),0)</f>
        <v>600</v>
      </c>
      <c r="TA77" s="140">
        <f>IFERROR(VLOOKUP($D77,'Adient Arendal (Malzia) WK.12'!$B:RW,TA$1,0),0)</f>
        <v>0</v>
      </c>
      <c r="TB77" s="140">
        <f>IFERROR(VLOOKUP($D77,'Adient Taizhou (China) WK.16'!$B:RZ,TA$1,0),0)</f>
        <v>0</v>
      </c>
      <c r="TC77" s="128">
        <v>0</v>
      </c>
      <c r="TD77" s="31">
        <v>0</v>
      </c>
      <c r="TE77" s="100">
        <f t="shared" si="832"/>
        <v>-14340</v>
      </c>
      <c r="TG77" s="37">
        <f t="shared" si="833"/>
        <v>-14340</v>
      </c>
      <c r="TH77" s="141">
        <f>IFERROR(VLOOKUP($D77,'Adient Assende (Belgium) WK.17'!$B:SD,TI$1,0),0)</f>
        <v>770</v>
      </c>
      <c r="TI77" s="140">
        <f>IFERROR(VLOOKUP($D77,'Adient Arendal (Malzia) WK.12'!$B:SE,TI$1,0),0)</f>
        <v>0</v>
      </c>
      <c r="TJ77" s="140">
        <f>IFERROR(VLOOKUP($D77,'Adient Taizhou (China) WK.16'!$B:SH,TI$1,0),0)</f>
        <v>0</v>
      </c>
      <c r="TK77" s="128">
        <v>0</v>
      </c>
      <c r="TL77" s="31">
        <v>0</v>
      </c>
      <c r="TM77" s="100">
        <f t="shared" si="834"/>
        <v>-15110</v>
      </c>
      <c r="TO77" s="37">
        <f t="shared" si="835"/>
        <v>-15110</v>
      </c>
      <c r="TP77" s="141">
        <f>IFERROR(VLOOKUP($D77,'Adient Assende (Belgium) WK.17'!$B:SL,TQ$1,0),0)</f>
        <v>770</v>
      </c>
      <c r="TQ77" s="140">
        <f>IFERROR(VLOOKUP($D77,'Adient Arendal (Malzia) WK.12'!$B:SM,TQ$1,0),0)</f>
        <v>0</v>
      </c>
      <c r="TR77" s="140">
        <f>IFERROR(VLOOKUP($D77,'Adient Taizhou (China) WK.16'!$B:SP,TQ$1,0),0)</f>
        <v>0</v>
      </c>
      <c r="TS77" s="128">
        <v>0</v>
      </c>
      <c r="TT77" s="31">
        <v>0</v>
      </c>
      <c r="TU77" s="100">
        <f t="shared" si="836"/>
        <v>-15880</v>
      </c>
      <c r="TW77" s="37">
        <f t="shared" si="837"/>
        <v>-15880</v>
      </c>
      <c r="TX77" s="141">
        <f>IFERROR(VLOOKUP($D77,'Adient Assende (Belgium) WK.17'!$B:ST,TY$1,0),0)</f>
        <v>770</v>
      </c>
      <c r="TY77" s="140">
        <f>IFERROR(VLOOKUP($D77,'Adient Arendal (Malzia) WK.12'!$B:SU,TY$1,0),0)</f>
        <v>0</v>
      </c>
      <c r="TZ77" s="140">
        <f>IFERROR(VLOOKUP($D77,'Adient Taizhou (China) WK.16'!$B:SX,TY$1,0),0)</f>
        <v>0</v>
      </c>
      <c r="UA77" s="128">
        <v>0</v>
      </c>
      <c r="UB77" s="31">
        <v>0</v>
      </c>
      <c r="UC77" s="100">
        <f t="shared" si="838"/>
        <v>-16650</v>
      </c>
      <c r="UE77" s="37">
        <f t="shared" si="839"/>
        <v>-16650</v>
      </c>
      <c r="UF77" s="141">
        <f>IFERROR(VLOOKUP($D77,'Adient Assende (Belgium) WK.17'!$B:TB,UG$1,0),0)</f>
        <v>770</v>
      </c>
      <c r="UG77" s="140">
        <f>IFERROR(VLOOKUP($D77,'Adient Arendal (Malzia) WK.12'!$B:TC,UG$1,0),0)</f>
        <v>0</v>
      </c>
      <c r="UH77" s="140">
        <f>IFERROR(VLOOKUP($D77,'Adient Taizhou (China) WK.16'!$B:TF,UG$1,0),0)</f>
        <v>0</v>
      </c>
      <c r="UI77" s="128">
        <v>0</v>
      </c>
      <c r="UJ77" s="31">
        <v>0</v>
      </c>
      <c r="UK77" s="100">
        <f t="shared" si="840"/>
        <v>-17420</v>
      </c>
      <c r="UM77" s="37">
        <f t="shared" si="841"/>
        <v>-17420</v>
      </c>
      <c r="UN77" s="141">
        <f>IFERROR(VLOOKUP($D77,'Adient Assende (Belgium) WK.17'!$B:TJ,UO$1,0),0)</f>
        <v>760</v>
      </c>
      <c r="UO77" s="140">
        <f>IFERROR(VLOOKUP($D77,'Adient Arendal (Malzia) WK.12'!$B:TK,UO$1,0),0)</f>
        <v>0</v>
      </c>
      <c r="UP77" s="140">
        <f>IFERROR(VLOOKUP($D77,'Adient Taizhou (China) WK.16'!$B:TN,UO$1,0),0)</f>
        <v>0</v>
      </c>
      <c r="UQ77" s="128">
        <v>0</v>
      </c>
      <c r="UR77" s="31">
        <v>0</v>
      </c>
      <c r="US77" s="100">
        <f t="shared" si="842"/>
        <v>-18180</v>
      </c>
      <c r="UU77" s="37">
        <f t="shared" si="843"/>
        <v>-18180</v>
      </c>
      <c r="UV77" s="141">
        <f>IFERROR(VLOOKUP($D77,'Adient Assende (Belgium) WK.17'!$B:TR,UW$1,0),0)</f>
        <v>1080</v>
      </c>
      <c r="UW77" s="140">
        <f>IFERROR(VLOOKUP($D77,'Adient Arendal (Malzia) WK.12'!$B:TS,UW$1,0),0)</f>
        <v>0</v>
      </c>
      <c r="UX77" s="140">
        <f>IFERROR(VLOOKUP($D77,'Adient Taizhou (China) WK.16'!$B:TV,UW$1,0),0)</f>
        <v>0</v>
      </c>
      <c r="UY77" s="128">
        <v>0</v>
      </c>
      <c r="UZ77" s="31">
        <v>0</v>
      </c>
      <c r="VA77" s="100">
        <f t="shared" si="844"/>
        <v>-19260</v>
      </c>
      <c r="VC77" s="37">
        <f t="shared" si="845"/>
        <v>-19260</v>
      </c>
      <c r="VD77" s="141">
        <f>IFERROR(VLOOKUP($D77,'Adient Assende (Belgium) WK.17'!$B:TZ,VE$1,0),0)</f>
        <v>1080</v>
      </c>
      <c r="VE77" s="140">
        <f>IFERROR(VLOOKUP($D77,'Adient Arendal (Malzia) WK.12'!$B:UA,VE$1,0),0)</f>
        <v>0</v>
      </c>
      <c r="VF77" s="140">
        <f>IFERROR(VLOOKUP($D77,'Adient Taizhou (China) WK.16'!$B:UD,VE$1,0),0)</f>
        <v>0</v>
      </c>
      <c r="VG77" s="128">
        <v>0</v>
      </c>
      <c r="VH77" s="31">
        <v>0</v>
      </c>
      <c r="VI77" s="100">
        <f t="shared" si="846"/>
        <v>-20340</v>
      </c>
      <c r="VK77" s="37">
        <f t="shared" si="847"/>
        <v>-20340</v>
      </c>
      <c r="VL77" s="141">
        <f>IFERROR(VLOOKUP($D77,'Adient Assende (Belgium) WK.17'!$B:UH,VM$1,0),0)</f>
        <v>0</v>
      </c>
      <c r="VM77" s="140">
        <f>IFERROR(VLOOKUP($D77,'Adient Arendal (Malzia) WK.12'!$B:UI,VM$1,0),0)</f>
        <v>0</v>
      </c>
      <c r="VN77" s="140">
        <f>IFERROR(VLOOKUP($D77,'Adient Taizhou (China) WK.16'!$B:UL,VM$1,0),0)</f>
        <v>0</v>
      </c>
      <c r="VO77" s="128">
        <v>0</v>
      </c>
      <c r="VP77" s="31">
        <v>0</v>
      </c>
      <c r="VQ77" s="100">
        <f t="shared" si="848"/>
        <v>-20340</v>
      </c>
    </row>
    <row r="78" spans="1:589" ht="15.75" thickBot="1" x14ac:dyDescent="0.3">
      <c r="A78" s="24" t="s">
        <v>6</v>
      </c>
      <c r="B78" s="25"/>
      <c r="C78" s="86"/>
      <c r="D78" s="84"/>
      <c r="E78" s="25"/>
      <c r="F78" s="26"/>
      <c r="H78" s="123">
        <f t="shared" ref="H78:CT78" si="853">SUM(H72:H77)</f>
        <v>45250</v>
      </c>
      <c r="I78" s="123">
        <f t="shared" si="853"/>
        <v>5600</v>
      </c>
      <c r="J78" s="123">
        <f t="shared" si="853"/>
        <v>0</v>
      </c>
      <c r="K78" s="123">
        <f t="shared" si="853"/>
        <v>0</v>
      </c>
      <c r="L78" s="123">
        <f t="shared" si="853"/>
        <v>4720</v>
      </c>
      <c r="M78" s="123">
        <f t="shared" si="853"/>
        <v>0</v>
      </c>
      <c r="N78" s="13">
        <f t="shared" si="853"/>
        <v>40530</v>
      </c>
      <c r="P78" s="13">
        <f t="shared" si="853"/>
        <v>40530</v>
      </c>
      <c r="Q78" s="13">
        <f t="shared" si="853"/>
        <v>4720</v>
      </c>
      <c r="R78" s="13">
        <f t="shared" si="853"/>
        <v>120</v>
      </c>
      <c r="S78" s="13">
        <f t="shared" si="853"/>
        <v>0</v>
      </c>
      <c r="T78" s="13">
        <f t="shared" si="853"/>
        <v>7360</v>
      </c>
      <c r="U78" s="13">
        <f t="shared" si="853"/>
        <v>0</v>
      </c>
      <c r="V78" s="13">
        <f t="shared" si="853"/>
        <v>33050</v>
      </c>
      <c r="X78" s="13">
        <f t="shared" si="853"/>
        <v>33050</v>
      </c>
      <c r="Y78" s="13">
        <f t="shared" si="853"/>
        <v>7360</v>
      </c>
      <c r="Z78" s="13">
        <f t="shared" si="853"/>
        <v>0</v>
      </c>
      <c r="AA78" s="13">
        <f t="shared" si="853"/>
        <v>0</v>
      </c>
      <c r="AB78" s="13">
        <f t="shared" si="853"/>
        <v>6000</v>
      </c>
      <c r="AC78" s="13">
        <f t="shared" si="853"/>
        <v>0</v>
      </c>
      <c r="AD78" s="13">
        <f t="shared" si="853"/>
        <v>27050</v>
      </c>
      <c r="AF78" s="13">
        <f t="shared" si="853"/>
        <v>27050</v>
      </c>
      <c r="AG78" s="13">
        <f t="shared" si="853"/>
        <v>6000</v>
      </c>
      <c r="AH78" s="13">
        <f t="shared" si="853"/>
        <v>0</v>
      </c>
      <c r="AI78" s="13">
        <f t="shared" si="853"/>
        <v>0</v>
      </c>
      <c r="AJ78" s="13">
        <f t="shared" si="853"/>
        <v>5600</v>
      </c>
      <c r="AK78" s="13">
        <f t="shared" si="853"/>
        <v>0</v>
      </c>
      <c r="AL78" s="13">
        <f t="shared" si="853"/>
        <v>21450</v>
      </c>
      <c r="AN78" s="13">
        <f t="shared" si="853"/>
        <v>21450</v>
      </c>
      <c r="AO78" s="13">
        <f t="shared" si="853"/>
        <v>5600</v>
      </c>
      <c r="AP78" s="13">
        <f t="shared" si="853"/>
        <v>0</v>
      </c>
      <c r="AQ78" s="13">
        <f t="shared" si="853"/>
        <v>0</v>
      </c>
      <c r="AR78" s="13">
        <f t="shared" si="853"/>
        <v>0</v>
      </c>
      <c r="AS78" s="13">
        <f t="shared" si="853"/>
        <v>5520</v>
      </c>
      <c r="AT78" s="13">
        <f t="shared" si="853"/>
        <v>0</v>
      </c>
      <c r="AU78" s="13">
        <f t="shared" si="853"/>
        <v>15930</v>
      </c>
      <c r="AW78" s="13">
        <f t="shared" si="853"/>
        <v>15930</v>
      </c>
      <c r="AX78" s="13">
        <f t="shared" si="853"/>
        <v>5520</v>
      </c>
      <c r="AY78" s="13">
        <f t="shared" si="853"/>
        <v>60</v>
      </c>
      <c r="AZ78" s="13">
        <f t="shared" si="853"/>
        <v>0</v>
      </c>
      <c r="BA78" s="13">
        <f t="shared" si="853"/>
        <v>5080</v>
      </c>
      <c r="BB78" s="13">
        <f t="shared" si="853"/>
        <v>0</v>
      </c>
      <c r="BC78" s="13">
        <f t="shared" si="853"/>
        <v>10790</v>
      </c>
      <c r="BE78" s="13">
        <f t="shared" si="853"/>
        <v>10790</v>
      </c>
      <c r="BF78" s="13">
        <f t="shared" si="853"/>
        <v>5080</v>
      </c>
      <c r="BG78" s="13">
        <f t="shared" si="853"/>
        <v>60</v>
      </c>
      <c r="BH78" s="13">
        <f t="shared" si="853"/>
        <v>0</v>
      </c>
      <c r="BI78" s="13">
        <f t="shared" si="853"/>
        <v>1900</v>
      </c>
      <c r="BJ78" s="13">
        <f t="shared" si="853"/>
        <v>0</v>
      </c>
      <c r="BK78" s="13">
        <f t="shared" si="853"/>
        <v>4840</v>
      </c>
      <c r="BL78" s="13">
        <f t="shared" si="853"/>
        <v>0</v>
      </c>
      <c r="BM78" s="13">
        <f t="shared" si="853"/>
        <v>7790</v>
      </c>
      <c r="BN78" s="8"/>
      <c r="BO78" s="13">
        <f t="shared" si="853"/>
        <v>7790</v>
      </c>
      <c r="BP78" s="13">
        <f t="shared" si="853"/>
        <v>4840</v>
      </c>
      <c r="BQ78" s="13">
        <f t="shared" si="853"/>
        <v>0</v>
      </c>
      <c r="BR78" s="13">
        <f t="shared" si="853"/>
        <v>0</v>
      </c>
      <c r="BS78" s="13">
        <f t="shared" si="853"/>
        <v>3160</v>
      </c>
      <c r="BT78" s="13">
        <f t="shared" si="853"/>
        <v>1200</v>
      </c>
      <c r="BU78" s="13">
        <f t="shared" si="853"/>
        <v>5690</v>
      </c>
      <c r="BV78" s="13">
        <f t="shared" si="853"/>
        <v>6480</v>
      </c>
      <c r="BW78" s="13">
        <f t="shared" si="853"/>
        <v>0</v>
      </c>
      <c r="BX78" s="13">
        <f t="shared" si="853"/>
        <v>11360</v>
      </c>
      <c r="BY78" s="8"/>
      <c r="BZ78" s="13">
        <f t="shared" si="853"/>
        <v>11360</v>
      </c>
      <c r="CA78" s="13">
        <f t="shared" ref="CA78:CC78" si="854">SUM(CA72:CA77)</f>
        <v>6480</v>
      </c>
      <c r="CB78" s="13">
        <f t="shared" si="854"/>
        <v>0</v>
      </c>
      <c r="CC78" s="13">
        <f t="shared" si="854"/>
        <v>0</v>
      </c>
      <c r="CD78" s="13">
        <f t="shared" ref="CD78:CE78" si="855">SUM(CD72:CD77)</f>
        <v>0</v>
      </c>
      <c r="CE78" s="13">
        <f t="shared" si="855"/>
        <v>0</v>
      </c>
      <c r="CF78" s="13">
        <v>8830</v>
      </c>
      <c r="CG78" s="13">
        <f t="shared" si="853"/>
        <v>0</v>
      </c>
      <c r="CH78" s="13">
        <f t="shared" ref="CH78" si="856">SUM(CH72:CH77)</f>
        <v>2530</v>
      </c>
      <c r="CI78" s="8"/>
      <c r="CJ78" s="13">
        <f t="shared" si="853"/>
        <v>2530</v>
      </c>
      <c r="CK78" s="13">
        <f t="shared" si="853"/>
        <v>8830</v>
      </c>
      <c r="CL78" s="13">
        <f t="shared" si="853"/>
        <v>0</v>
      </c>
      <c r="CM78" s="13">
        <f t="shared" si="853"/>
        <v>0</v>
      </c>
      <c r="CN78" s="13">
        <f t="shared" si="853"/>
        <v>13320</v>
      </c>
      <c r="CO78" s="13">
        <f t="shared" si="853"/>
        <v>0</v>
      </c>
      <c r="CP78" s="13">
        <f t="shared" si="853"/>
        <v>0</v>
      </c>
      <c r="CQ78" s="13">
        <f t="shared" si="853"/>
        <v>15850</v>
      </c>
      <c r="CR78" s="8"/>
      <c r="CS78" s="123">
        <f t="shared" si="853"/>
        <v>15850</v>
      </c>
      <c r="CT78" s="123">
        <f t="shared" si="853"/>
        <v>0</v>
      </c>
      <c r="CU78" s="123">
        <f t="shared" ref="CU78:DA78" si="857">SUM(CU72:CU77)</f>
        <v>0</v>
      </c>
      <c r="CV78" s="123">
        <f t="shared" si="857"/>
        <v>0</v>
      </c>
      <c r="CW78" s="123">
        <f t="shared" si="857"/>
        <v>0</v>
      </c>
      <c r="CX78" s="123">
        <f t="shared" si="857"/>
        <v>11740</v>
      </c>
      <c r="CY78" s="123">
        <f t="shared" si="857"/>
        <v>5760</v>
      </c>
      <c r="CZ78" s="123">
        <f t="shared" si="857"/>
        <v>0</v>
      </c>
      <c r="DA78" s="123">
        <f t="shared" si="857"/>
        <v>21830</v>
      </c>
      <c r="DB78" s="8"/>
      <c r="DC78" s="13">
        <f t="shared" ref="DC78:GH78" si="858">SUM(DC72:DC77)</f>
        <v>21830</v>
      </c>
      <c r="DD78" s="123">
        <f t="shared" si="858"/>
        <v>5760</v>
      </c>
      <c r="DE78" s="123">
        <f t="shared" si="858"/>
        <v>60</v>
      </c>
      <c r="DF78" s="123">
        <f t="shared" si="858"/>
        <v>0</v>
      </c>
      <c r="DG78" s="13">
        <f t="shared" ref="DG78" si="859">SUM(DG72:DG77)</f>
        <v>9490</v>
      </c>
      <c r="DH78" s="13">
        <f t="shared" si="858"/>
        <v>5840</v>
      </c>
      <c r="DI78" s="13">
        <f t="shared" si="858"/>
        <v>0</v>
      </c>
      <c r="DJ78" s="13">
        <f t="shared" ref="DJ78" si="860">SUM(DJ72:DJ77)</f>
        <v>25420</v>
      </c>
      <c r="DL78" s="13">
        <f t="shared" si="858"/>
        <v>25420</v>
      </c>
      <c r="DM78" s="13">
        <f t="shared" si="858"/>
        <v>5840</v>
      </c>
      <c r="DN78" s="13">
        <f t="shared" si="858"/>
        <v>0</v>
      </c>
      <c r="DO78" s="13">
        <f t="shared" si="858"/>
        <v>0</v>
      </c>
      <c r="DP78" s="13">
        <f t="shared" si="858"/>
        <v>5840</v>
      </c>
      <c r="DQ78" s="13">
        <f t="shared" si="858"/>
        <v>0</v>
      </c>
      <c r="DR78" s="13">
        <f t="shared" si="858"/>
        <v>19580</v>
      </c>
      <c r="DS78" s="8"/>
      <c r="DT78" s="13">
        <f t="shared" si="858"/>
        <v>19580</v>
      </c>
      <c r="DU78" s="13">
        <f t="shared" si="858"/>
        <v>5840</v>
      </c>
      <c r="DV78" s="13">
        <f t="shared" si="858"/>
        <v>0</v>
      </c>
      <c r="DW78" s="13">
        <f t="shared" si="858"/>
        <v>0</v>
      </c>
      <c r="DX78" s="13">
        <f t="shared" si="858"/>
        <v>8410</v>
      </c>
      <c r="DY78" s="13">
        <f t="shared" si="858"/>
        <v>7310</v>
      </c>
      <c r="DZ78" s="13">
        <f t="shared" si="858"/>
        <v>6160</v>
      </c>
      <c r="EA78" s="13">
        <f t="shared" si="858"/>
        <v>0</v>
      </c>
      <c r="EB78" s="13">
        <f t="shared" si="858"/>
        <v>29140</v>
      </c>
      <c r="EC78" s="8"/>
      <c r="ED78" s="13">
        <f t="shared" si="858"/>
        <v>29140</v>
      </c>
      <c r="EE78" s="13">
        <f t="shared" si="858"/>
        <v>6160</v>
      </c>
      <c r="EF78" s="13">
        <f t="shared" si="858"/>
        <v>0</v>
      </c>
      <c r="EG78" s="13">
        <f t="shared" si="858"/>
        <v>0</v>
      </c>
      <c r="EH78" s="13">
        <f t="shared" si="858"/>
        <v>8230</v>
      </c>
      <c r="EI78" s="13">
        <f t="shared" si="858"/>
        <v>6640</v>
      </c>
      <c r="EJ78" s="13">
        <f t="shared" si="858"/>
        <v>0</v>
      </c>
      <c r="EK78" s="13">
        <f t="shared" si="858"/>
        <v>30730</v>
      </c>
      <c r="EM78" s="13">
        <f t="shared" si="858"/>
        <v>30730</v>
      </c>
      <c r="EN78" s="13">
        <f t="shared" si="858"/>
        <v>6640</v>
      </c>
      <c r="EO78" s="13">
        <f t="shared" si="858"/>
        <v>0</v>
      </c>
      <c r="EP78" s="13">
        <f t="shared" si="858"/>
        <v>0</v>
      </c>
      <c r="EQ78" s="13">
        <f t="shared" si="858"/>
        <v>8080</v>
      </c>
      <c r="ER78" s="13">
        <f t="shared" si="858"/>
        <v>0</v>
      </c>
      <c r="ES78" s="13">
        <f t="shared" si="858"/>
        <v>22650</v>
      </c>
      <c r="EU78" s="13">
        <f t="shared" si="858"/>
        <v>22650</v>
      </c>
      <c r="EV78" s="13">
        <f t="shared" si="858"/>
        <v>8080</v>
      </c>
      <c r="EW78" s="13">
        <f t="shared" si="858"/>
        <v>0</v>
      </c>
      <c r="EX78" s="13">
        <f t="shared" si="858"/>
        <v>0</v>
      </c>
      <c r="EY78" s="13">
        <f t="shared" si="858"/>
        <v>0</v>
      </c>
      <c r="EZ78" s="13">
        <f t="shared" si="858"/>
        <v>0</v>
      </c>
      <c r="FA78" s="13">
        <f t="shared" si="858"/>
        <v>22650</v>
      </c>
      <c r="FC78" s="13">
        <f t="shared" si="858"/>
        <v>22650</v>
      </c>
      <c r="FD78" s="13">
        <f t="shared" si="858"/>
        <v>0</v>
      </c>
      <c r="FE78" s="13">
        <f t="shared" si="858"/>
        <v>0</v>
      </c>
      <c r="FF78" s="13">
        <f t="shared" si="858"/>
        <v>0</v>
      </c>
      <c r="FG78" s="13">
        <f t="shared" si="858"/>
        <v>0</v>
      </c>
      <c r="FH78" s="13">
        <f t="shared" si="858"/>
        <v>0</v>
      </c>
      <c r="FI78" s="13">
        <f t="shared" si="858"/>
        <v>22650</v>
      </c>
      <c r="FK78" s="13">
        <f t="shared" si="858"/>
        <v>22650</v>
      </c>
      <c r="FL78" s="13">
        <f t="shared" si="858"/>
        <v>0</v>
      </c>
      <c r="FM78" s="13">
        <f t="shared" si="858"/>
        <v>0</v>
      </c>
      <c r="FN78" s="13">
        <f t="shared" si="858"/>
        <v>0</v>
      </c>
      <c r="FO78" s="13">
        <f t="shared" si="858"/>
        <v>6160</v>
      </c>
      <c r="FP78" s="13">
        <f t="shared" si="858"/>
        <v>0</v>
      </c>
      <c r="FQ78" s="13">
        <f t="shared" si="858"/>
        <v>16490</v>
      </c>
      <c r="FR78" s="8"/>
      <c r="FS78" s="13">
        <f t="shared" si="858"/>
        <v>16490</v>
      </c>
      <c r="FT78" s="13">
        <f t="shared" si="858"/>
        <v>6160</v>
      </c>
      <c r="FU78" s="13">
        <f t="shared" si="858"/>
        <v>60</v>
      </c>
      <c r="FV78" s="13">
        <f t="shared" si="858"/>
        <v>0</v>
      </c>
      <c r="FW78" s="13">
        <f t="shared" si="858"/>
        <v>5540</v>
      </c>
      <c r="FX78" s="13">
        <f t="shared" si="858"/>
        <v>1260</v>
      </c>
      <c r="FY78" s="13">
        <f t="shared" si="858"/>
        <v>8740</v>
      </c>
      <c r="FZ78" s="13">
        <f t="shared" si="858"/>
        <v>6480</v>
      </c>
      <c r="GA78" s="13">
        <f t="shared" si="858"/>
        <v>600</v>
      </c>
      <c r="GB78" s="13">
        <f t="shared" si="858"/>
        <v>7120</v>
      </c>
      <c r="GC78" s="13">
        <f t="shared" si="858"/>
        <v>0</v>
      </c>
      <c r="GD78" s="13">
        <f t="shared" si="858"/>
        <v>31930</v>
      </c>
      <c r="GF78" s="13">
        <f t="shared" si="858"/>
        <v>31930</v>
      </c>
      <c r="GG78" s="13">
        <f t="shared" si="858"/>
        <v>7120</v>
      </c>
      <c r="GH78" s="13">
        <f t="shared" si="858"/>
        <v>0</v>
      </c>
      <c r="GI78" s="13">
        <f t="shared" ref="GI78:GM78" si="861">SUM(GI72:GI77)</f>
        <v>0</v>
      </c>
      <c r="GJ78" s="13">
        <f t="shared" si="861"/>
        <v>17280</v>
      </c>
      <c r="GK78" s="13">
        <f t="shared" si="861"/>
        <v>6000</v>
      </c>
      <c r="GL78" s="13">
        <f t="shared" si="861"/>
        <v>0</v>
      </c>
      <c r="GM78" s="13">
        <f t="shared" si="861"/>
        <v>43210</v>
      </c>
      <c r="GO78" s="13">
        <f t="shared" ref="GO78:JY78" si="862">SUM(GO72:GO77)</f>
        <v>43210</v>
      </c>
      <c r="GP78" s="13">
        <f t="shared" si="862"/>
        <v>6000</v>
      </c>
      <c r="GQ78" s="13">
        <f t="shared" si="862"/>
        <v>0</v>
      </c>
      <c r="GR78" s="13">
        <f t="shared" si="862"/>
        <v>0</v>
      </c>
      <c r="GS78" s="13">
        <f t="shared" si="862"/>
        <v>8460</v>
      </c>
      <c r="GT78" s="13">
        <f t="shared" si="862"/>
        <v>7280</v>
      </c>
      <c r="GU78" s="13">
        <f t="shared" si="862"/>
        <v>0</v>
      </c>
      <c r="GV78" s="13">
        <f t="shared" si="862"/>
        <v>44390</v>
      </c>
      <c r="GW78" s="8"/>
      <c r="GX78" s="13">
        <f t="shared" si="862"/>
        <v>44390</v>
      </c>
      <c r="GY78" s="13">
        <f t="shared" si="862"/>
        <v>7280</v>
      </c>
      <c r="GZ78" s="13">
        <f t="shared" si="862"/>
        <v>60</v>
      </c>
      <c r="HA78" s="13">
        <f t="shared" si="862"/>
        <v>0</v>
      </c>
      <c r="HB78" s="13">
        <f t="shared" ref="HB78" si="863">SUM(HB72:HB77)</f>
        <v>7990</v>
      </c>
      <c r="HC78" s="13">
        <f t="shared" si="862"/>
        <v>6640</v>
      </c>
      <c r="HD78" s="13">
        <f t="shared" si="862"/>
        <v>0</v>
      </c>
      <c r="HE78" s="13">
        <f t="shared" ref="HE78" si="864">SUM(HE72:HE77)</f>
        <v>45680</v>
      </c>
      <c r="HF78" s="8"/>
      <c r="HG78" s="13">
        <f t="shared" si="862"/>
        <v>45680</v>
      </c>
      <c r="HH78" s="13">
        <f t="shared" si="862"/>
        <v>6640</v>
      </c>
      <c r="HI78" s="13">
        <f t="shared" si="862"/>
        <v>0</v>
      </c>
      <c r="HJ78" s="13">
        <f t="shared" si="862"/>
        <v>0</v>
      </c>
      <c r="HK78" s="13">
        <f t="shared" ref="HK78" si="865">SUM(HK72:HK77)</f>
        <v>4980</v>
      </c>
      <c r="HL78" s="13">
        <f t="shared" si="862"/>
        <v>6160</v>
      </c>
      <c r="HM78" s="13">
        <f t="shared" si="862"/>
        <v>0</v>
      </c>
      <c r="HN78" s="13">
        <f t="shared" ref="HN78" si="866">SUM(HN72:HN77)</f>
        <v>44500</v>
      </c>
      <c r="HO78" s="8"/>
      <c r="HP78" s="13">
        <f t="shared" si="862"/>
        <v>44500</v>
      </c>
      <c r="HQ78" s="13">
        <f t="shared" si="862"/>
        <v>6160</v>
      </c>
      <c r="HR78" s="13">
        <f t="shared" si="862"/>
        <v>0</v>
      </c>
      <c r="HS78" s="13">
        <f t="shared" si="862"/>
        <v>0</v>
      </c>
      <c r="HT78" s="13">
        <f t="shared" ref="HT78" si="867">SUM(HT72:HT77)</f>
        <v>7430</v>
      </c>
      <c r="HU78" s="13">
        <f t="shared" si="862"/>
        <v>6320</v>
      </c>
      <c r="HV78" s="13">
        <f t="shared" si="862"/>
        <v>0</v>
      </c>
      <c r="HW78" s="13">
        <f t="shared" ref="HW78" si="868">SUM(HW72:HW77)</f>
        <v>45610</v>
      </c>
      <c r="HX78" s="8"/>
      <c r="HY78" s="13">
        <f t="shared" si="862"/>
        <v>45610</v>
      </c>
      <c r="HZ78" s="13">
        <f t="shared" si="862"/>
        <v>6320</v>
      </c>
      <c r="IA78" s="13">
        <f t="shared" si="862"/>
        <v>0</v>
      </c>
      <c r="IB78" s="13">
        <f t="shared" si="862"/>
        <v>0</v>
      </c>
      <c r="IC78" s="13">
        <f t="shared" ref="IC78" si="869">SUM(IC72:IC77)</f>
        <v>8060</v>
      </c>
      <c r="ID78" s="13">
        <f t="shared" si="862"/>
        <v>6400</v>
      </c>
      <c r="IE78" s="13">
        <f t="shared" si="862"/>
        <v>0</v>
      </c>
      <c r="IF78" s="13">
        <f t="shared" ref="IF78" si="870">SUM(IF72:IF77)</f>
        <v>47270</v>
      </c>
      <c r="IG78" s="8"/>
      <c r="IH78" s="13">
        <f t="shared" si="862"/>
        <v>47270</v>
      </c>
      <c r="II78" s="13">
        <f t="shared" si="862"/>
        <v>6400</v>
      </c>
      <c r="IJ78" s="13">
        <f t="shared" si="862"/>
        <v>0</v>
      </c>
      <c r="IK78" s="13">
        <f t="shared" si="862"/>
        <v>0</v>
      </c>
      <c r="IL78" s="13">
        <f t="shared" si="862"/>
        <v>7080</v>
      </c>
      <c r="IM78" s="13">
        <f t="shared" si="862"/>
        <v>0</v>
      </c>
      <c r="IN78" s="13">
        <f t="shared" si="862"/>
        <v>40190</v>
      </c>
      <c r="IO78" s="8"/>
      <c r="IP78" s="13">
        <f t="shared" si="862"/>
        <v>40190</v>
      </c>
      <c r="IQ78" s="13">
        <f t="shared" ref="IQ78:IW78" si="871">SUM(IQ72:IQ77)</f>
        <v>7080</v>
      </c>
      <c r="IR78" s="13">
        <f t="shared" si="871"/>
        <v>0</v>
      </c>
      <c r="IS78" s="13">
        <f t="shared" si="871"/>
        <v>0</v>
      </c>
      <c r="IT78" s="13">
        <f t="shared" si="871"/>
        <v>2760</v>
      </c>
      <c r="IU78" s="13">
        <f t="shared" si="871"/>
        <v>5200</v>
      </c>
      <c r="IV78" s="13">
        <f t="shared" si="871"/>
        <v>0</v>
      </c>
      <c r="IW78" s="13">
        <f t="shared" si="871"/>
        <v>37750</v>
      </c>
      <c r="IX78" s="8"/>
      <c r="IY78" s="13">
        <f t="shared" si="862"/>
        <v>37750</v>
      </c>
      <c r="IZ78" s="13">
        <f t="shared" si="862"/>
        <v>5200</v>
      </c>
      <c r="JA78" s="13">
        <f t="shared" si="862"/>
        <v>0</v>
      </c>
      <c r="JB78" s="13">
        <f t="shared" si="862"/>
        <v>0</v>
      </c>
      <c r="JC78" s="13">
        <f t="shared" si="862"/>
        <v>3560</v>
      </c>
      <c r="JD78" s="13">
        <f t="shared" si="862"/>
        <v>0</v>
      </c>
      <c r="JE78" s="13">
        <f t="shared" si="862"/>
        <v>34190</v>
      </c>
      <c r="JF78" s="8"/>
      <c r="JG78" s="13">
        <f t="shared" si="862"/>
        <v>34190</v>
      </c>
      <c r="JH78" s="13">
        <f t="shared" si="862"/>
        <v>3560</v>
      </c>
      <c r="JI78" s="13">
        <f t="shared" si="862"/>
        <v>0</v>
      </c>
      <c r="JJ78" s="13">
        <f t="shared" si="862"/>
        <v>0</v>
      </c>
      <c r="JK78" s="13">
        <f t="shared" si="862"/>
        <v>8040</v>
      </c>
      <c r="JL78" s="13">
        <f t="shared" si="862"/>
        <v>11960</v>
      </c>
      <c r="JM78" s="13">
        <f t="shared" si="862"/>
        <v>0</v>
      </c>
      <c r="JN78" s="13">
        <f t="shared" si="862"/>
        <v>30270</v>
      </c>
      <c r="JO78" s="8"/>
      <c r="JP78" s="13">
        <f t="shared" si="862"/>
        <v>30270</v>
      </c>
      <c r="JQ78" s="13">
        <f t="shared" si="862"/>
        <v>11960</v>
      </c>
      <c r="JR78" s="13">
        <f t="shared" si="862"/>
        <v>0</v>
      </c>
      <c r="JS78" s="13">
        <f t="shared" si="862"/>
        <v>0</v>
      </c>
      <c r="JT78" s="13">
        <f t="shared" si="862"/>
        <v>0</v>
      </c>
      <c r="JU78" s="13">
        <f t="shared" si="862"/>
        <v>0</v>
      </c>
      <c r="JV78" s="13">
        <f t="shared" si="862"/>
        <v>30270</v>
      </c>
      <c r="JW78" s="8"/>
      <c r="JX78" s="13">
        <f t="shared" si="862"/>
        <v>30270</v>
      </c>
      <c r="JY78" s="13">
        <f t="shared" si="862"/>
        <v>0</v>
      </c>
      <c r="JZ78" s="13">
        <f t="shared" ref="JZ78:KD78" si="872">SUM(JZ72:JZ77)</f>
        <v>0</v>
      </c>
      <c r="KA78" s="13">
        <f t="shared" si="872"/>
        <v>0</v>
      </c>
      <c r="KB78" s="13">
        <f t="shared" si="872"/>
        <v>6240</v>
      </c>
      <c r="KC78" s="13">
        <f t="shared" si="872"/>
        <v>0</v>
      </c>
      <c r="KD78" s="13">
        <f t="shared" si="872"/>
        <v>24030</v>
      </c>
      <c r="KE78" s="8"/>
      <c r="KF78" s="13">
        <f t="shared" ref="KF78:LF78" si="873">SUM(KF72:KF77)</f>
        <v>24030</v>
      </c>
      <c r="KG78" s="13">
        <f t="shared" ref="KG78:KM78" si="874">SUM(KG72:KG77)</f>
        <v>6240</v>
      </c>
      <c r="KH78" s="13">
        <f t="shared" si="874"/>
        <v>0</v>
      </c>
      <c r="KI78" s="13">
        <f t="shared" si="874"/>
        <v>0</v>
      </c>
      <c r="KJ78" s="13">
        <f t="shared" si="874"/>
        <v>4440</v>
      </c>
      <c r="KK78" s="13">
        <f t="shared" si="874"/>
        <v>6280</v>
      </c>
      <c r="KL78" s="13">
        <f t="shared" si="874"/>
        <v>0</v>
      </c>
      <c r="KM78" s="13">
        <f t="shared" si="874"/>
        <v>22190</v>
      </c>
      <c r="KN78" s="8"/>
      <c r="KO78" s="13">
        <f t="shared" si="873"/>
        <v>22190</v>
      </c>
      <c r="KP78" s="13">
        <f t="shared" si="873"/>
        <v>6280</v>
      </c>
      <c r="KQ78" s="13">
        <f t="shared" si="873"/>
        <v>0</v>
      </c>
      <c r="KR78" s="13">
        <f t="shared" si="873"/>
        <v>0</v>
      </c>
      <c r="KS78" s="13">
        <f t="shared" si="873"/>
        <v>4320</v>
      </c>
      <c r="KT78" s="13">
        <f t="shared" si="873"/>
        <v>5000</v>
      </c>
      <c r="KU78" s="13">
        <f t="shared" si="873"/>
        <v>0</v>
      </c>
      <c r="KV78" s="13">
        <f t="shared" si="873"/>
        <v>21510</v>
      </c>
      <c r="KX78" s="13">
        <f t="shared" si="873"/>
        <v>21510</v>
      </c>
      <c r="KY78" s="13">
        <f t="shared" si="873"/>
        <v>5000</v>
      </c>
      <c r="KZ78" s="13">
        <f t="shared" si="873"/>
        <v>0</v>
      </c>
      <c r="LA78" s="13">
        <f t="shared" si="873"/>
        <v>0</v>
      </c>
      <c r="LB78" s="13">
        <f t="shared" si="873"/>
        <v>0</v>
      </c>
      <c r="LC78" s="13">
        <f t="shared" si="873"/>
        <v>0</v>
      </c>
      <c r="LD78" s="13">
        <f t="shared" si="873"/>
        <v>21510</v>
      </c>
      <c r="LF78" s="13">
        <f t="shared" si="873"/>
        <v>21510</v>
      </c>
      <c r="LG78" s="123">
        <f t="shared" ref="LG78:LM78" si="875">SUM(LG72:LG77)</f>
        <v>6520</v>
      </c>
      <c r="LH78" s="123">
        <f t="shared" si="875"/>
        <v>0</v>
      </c>
      <c r="LI78" s="123">
        <f t="shared" si="875"/>
        <v>0</v>
      </c>
      <c r="LJ78" s="13">
        <f t="shared" si="875"/>
        <v>12600</v>
      </c>
      <c r="LK78" s="123">
        <f t="shared" si="875"/>
        <v>0</v>
      </c>
      <c r="LL78" s="123">
        <f t="shared" si="875"/>
        <v>0</v>
      </c>
      <c r="LM78" s="13">
        <f t="shared" si="875"/>
        <v>27590</v>
      </c>
      <c r="LO78" s="13">
        <f t="shared" ref="LO78" si="876">SUM(LO72:LO77)</f>
        <v>27590</v>
      </c>
      <c r="LP78" s="123">
        <f t="shared" ref="LP78:LU78" si="877">SUM(LP72:LP77)</f>
        <v>3600</v>
      </c>
      <c r="LQ78" s="123">
        <f t="shared" si="877"/>
        <v>0</v>
      </c>
      <c r="LR78" s="123">
        <f t="shared" si="877"/>
        <v>0</v>
      </c>
      <c r="LS78" s="123">
        <f t="shared" si="877"/>
        <v>0</v>
      </c>
      <c r="LT78" s="123">
        <f t="shared" si="877"/>
        <v>0</v>
      </c>
      <c r="LU78" s="13">
        <f t="shared" si="877"/>
        <v>23990</v>
      </c>
      <c r="LW78" s="13">
        <f t="shared" ref="LW78" si="878">SUM(LW72:LW77)</f>
        <v>23990</v>
      </c>
      <c r="LX78" s="123">
        <f t="shared" ref="LX78:MC78" si="879">SUM(LX72:LX77)</f>
        <v>11400</v>
      </c>
      <c r="LY78" s="123">
        <f t="shared" si="879"/>
        <v>0</v>
      </c>
      <c r="LZ78" s="123">
        <f t="shared" si="879"/>
        <v>0</v>
      </c>
      <c r="MA78" s="123">
        <f t="shared" si="879"/>
        <v>0</v>
      </c>
      <c r="MB78" s="123">
        <f t="shared" si="879"/>
        <v>0</v>
      </c>
      <c r="MC78" s="13">
        <f t="shared" si="879"/>
        <v>12590</v>
      </c>
      <c r="ME78" s="13">
        <f t="shared" ref="ME78" si="880">SUM(ME72:ME77)</f>
        <v>12590</v>
      </c>
      <c r="MF78" s="123">
        <f t="shared" ref="MF78:MK78" si="881">SUM(MF72:MF77)</f>
        <v>0</v>
      </c>
      <c r="MG78" s="123">
        <f t="shared" si="881"/>
        <v>0</v>
      </c>
      <c r="MH78" s="123">
        <f t="shared" si="881"/>
        <v>0</v>
      </c>
      <c r="MI78" s="123">
        <f t="shared" si="881"/>
        <v>0</v>
      </c>
      <c r="MJ78" s="123">
        <f t="shared" si="881"/>
        <v>0</v>
      </c>
      <c r="MK78" s="13">
        <f t="shared" si="881"/>
        <v>12590</v>
      </c>
      <c r="MM78" s="13">
        <f t="shared" ref="MM78" si="882">SUM(MM72:MM77)</f>
        <v>12590</v>
      </c>
      <c r="MN78" s="123">
        <f t="shared" ref="MN78:MS78" si="883">SUM(MN72:MN77)</f>
        <v>6840</v>
      </c>
      <c r="MO78" s="123">
        <f t="shared" si="883"/>
        <v>0</v>
      </c>
      <c r="MP78" s="123">
        <f t="shared" si="883"/>
        <v>0</v>
      </c>
      <c r="MQ78" s="123">
        <f t="shared" si="883"/>
        <v>0</v>
      </c>
      <c r="MR78" s="123">
        <f t="shared" si="883"/>
        <v>0</v>
      </c>
      <c r="MS78" s="13">
        <f t="shared" si="883"/>
        <v>5750</v>
      </c>
      <c r="MU78" s="13">
        <f t="shared" ref="MU78:NA78" si="884">SUM(MU72:MU77)</f>
        <v>5750</v>
      </c>
      <c r="MV78" s="123">
        <f t="shared" si="884"/>
        <v>7320</v>
      </c>
      <c r="MW78" s="123">
        <f t="shared" si="884"/>
        <v>0</v>
      </c>
      <c r="MX78" s="123">
        <f t="shared" si="884"/>
        <v>0</v>
      </c>
      <c r="MY78" s="123">
        <f t="shared" si="884"/>
        <v>0</v>
      </c>
      <c r="MZ78" s="123">
        <f t="shared" si="884"/>
        <v>0</v>
      </c>
      <c r="NA78" s="13">
        <f t="shared" si="884"/>
        <v>-1570</v>
      </c>
      <c r="NC78" s="13">
        <f t="shared" ref="NC78:NI78" si="885">SUM(NC72:NC77)</f>
        <v>-1570</v>
      </c>
      <c r="ND78" s="123">
        <f t="shared" si="885"/>
        <v>8240</v>
      </c>
      <c r="NE78" s="123">
        <f t="shared" si="885"/>
        <v>0</v>
      </c>
      <c r="NF78" s="123">
        <f t="shared" si="885"/>
        <v>0</v>
      </c>
      <c r="NG78" s="123">
        <f t="shared" si="885"/>
        <v>0</v>
      </c>
      <c r="NH78" s="123">
        <f t="shared" si="885"/>
        <v>0</v>
      </c>
      <c r="NI78" s="13">
        <f t="shared" si="885"/>
        <v>-9810</v>
      </c>
      <c r="NK78" s="13">
        <f t="shared" ref="NK78:NQ78" si="886">SUM(NK72:NK77)</f>
        <v>-9810</v>
      </c>
      <c r="NL78" s="123">
        <f t="shared" si="886"/>
        <v>6200</v>
      </c>
      <c r="NM78" s="123">
        <f t="shared" si="886"/>
        <v>0</v>
      </c>
      <c r="NN78" s="123">
        <f t="shared" si="886"/>
        <v>0</v>
      </c>
      <c r="NO78" s="123">
        <f t="shared" si="886"/>
        <v>0</v>
      </c>
      <c r="NP78" s="123">
        <f t="shared" si="886"/>
        <v>0</v>
      </c>
      <c r="NQ78" s="13">
        <f t="shared" si="886"/>
        <v>-16010</v>
      </c>
      <c r="NS78" s="13">
        <f t="shared" ref="NS78:NY78" si="887">SUM(NS72:NS77)</f>
        <v>-16010</v>
      </c>
      <c r="NT78" s="123">
        <f t="shared" si="887"/>
        <v>7800</v>
      </c>
      <c r="NU78" s="123">
        <f t="shared" si="887"/>
        <v>0</v>
      </c>
      <c r="NV78" s="123">
        <f t="shared" si="887"/>
        <v>0</v>
      </c>
      <c r="NW78" s="123">
        <f t="shared" si="887"/>
        <v>0</v>
      </c>
      <c r="NX78" s="123">
        <f t="shared" si="887"/>
        <v>0</v>
      </c>
      <c r="NY78" s="13">
        <f t="shared" si="887"/>
        <v>-23810</v>
      </c>
      <c r="OA78" s="13">
        <f t="shared" ref="OA78:OG78" si="888">SUM(OA72:OA77)</f>
        <v>-23810</v>
      </c>
      <c r="OB78" s="123">
        <f t="shared" si="888"/>
        <v>6440</v>
      </c>
      <c r="OC78" s="123">
        <f t="shared" si="888"/>
        <v>0</v>
      </c>
      <c r="OD78" s="123">
        <f t="shared" si="888"/>
        <v>0</v>
      </c>
      <c r="OE78" s="123">
        <f t="shared" si="888"/>
        <v>0</v>
      </c>
      <c r="OF78" s="123">
        <f t="shared" si="888"/>
        <v>0</v>
      </c>
      <c r="OG78" s="13">
        <f t="shared" si="888"/>
        <v>-30250</v>
      </c>
      <c r="OI78" s="13">
        <f t="shared" ref="OI78:OO78" si="889">SUM(OI72:OI77)</f>
        <v>-30250</v>
      </c>
      <c r="OJ78" s="123">
        <f t="shared" si="889"/>
        <v>11120</v>
      </c>
      <c r="OK78" s="123">
        <f t="shared" si="889"/>
        <v>0</v>
      </c>
      <c r="OL78" s="123">
        <f t="shared" si="889"/>
        <v>0</v>
      </c>
      <c r="OM78" s="123">
        <f t="shared" si="889"/>
        <v>0</v>
      </c>
      <c r="ON78" s="123">
        <f t="shared" si="889"/>
        <v>0</v>
      </c>
      <c r="OO78" s="13">
        <f t="shared" si="889"/>
        <v>-41370</v>
      </c>
      <c r="OQ78" s="13">
        <f t="shared" ref="OQ78:OW78" si="890">SUM(OQ72:OQ77)</f>
        <v>-41370</v>
      </c>
      <c r="OR78" s="123">
        <f t="shared" si="890"/>
        <v>0</v>
      </c>
      <c r="OS78" s="123">
        <f t="shared" si="890"/>
        <v>0</v>
      </c>
      <c r="OT78" s="123">
        <f t="shared" si="890"/>
        <v>0</v>
      </c>
      <c r="OU78" s="123">
        <f t="shared" si="890"/>
        <v>0</v>
      </c>
      <c r="OV78" s="123">
        <f t="shared" si="890"/>
        <v>0</v>
      </c>
      <c r="OW78" s="13">
        <f t="shared" si="890"/>
        <v>-41370</v>
      </c>
      <c r="OY78" s="13">
        <f t="shared" ref="OY78:PE78" si="891">SUM(OY72:OY77)</f>
        <v>-41370</v>
      </c>
      <c r="OZ78" s="123">
        <f t="shared" si="891"/>
        <v>0</v>
      </c>
      <c r="PA78" s="123">
        <f t="shared" si="891"/>
        <v>0</v>
      </c>
      <c r="PB78" s="123">
        <f t="shared" si="891"/>
        <v>0</v>
      </c>
      <c r="PC78" s="123">
        <f t="shared" si="891"/>
        <v>0</v>
      </c>
      <c r="PD78" s="123">
        <f t="shared" si="891"/>
        <v>0</v>
      </c>
      <c r="PE78" s="13">
        <f t="shared" si="891"/>
        <v>-41370</v>
      </c>
      <c r="PG78" s="13">
        <f t="shared" ref="PG78:PM78" si="892">SUM(PG72:PG77)</f>
        <v>-41370</v>
      </c>
      <c r="PH78" s="123">
        <f t="shared" si="892"/>
        <v>0</v>
      </c>
      <c r="PI78" s="123">
        <f t="shared" si="892"/>
        <v>0</v>
      </c>
      <c r="PJ78" s="123">
        <f t="shared" si="892"/>
        <v>0</v>
      </c>
      <c r="PK78" s="123">
        <f t="shared" si="892"/>
        <v>0</v>
      </c>
      <c r="PL78" s="123">
        <f t="shared" si="892"/>
        <v>0</v>
      </c>
      <c r="PM78" s="13">
        <f t="shared" si="892"/>
        <v>-41370</v>
      </c>
      <c r="PO78" s="13">
        <f t="shared" ref="PO78:PU78" si="893">SUM(PO72:PO77)</f>
        <v>-41370</v>
      </c>
      <c r="PP78" s="123">
        <f t="shared" si="893"/>
        <v>0</v>
      </c>
      <c r="PQ78" s="123">
        <f t="shared" si="893"/>
        <v>0</v>
      </c>
      <c r="PR78" s="123">
        <f t="shared" si="893"/>
        <v>0</v>
      </c>
      <c r="PS78" s="123">
        <f t="shared" si="893"/>
        <v>0</v>
      </c>
      <c r="PT78" s="123">
        <f t="shared" si="893"/>
        <v>0</v>
      </c>
      <c r="PU78" s="13">
        <f t="shared" si="893"/>
        <v>-41370</v>
      </c>
      <c r="PW78" s="13">
        <f t="shared" ref="PW78:QC78" si="894">SUM(PW72:PW77)</f>
        <v>-41370</v>
      </c>
      <c r="PX78" s="123">
        <f t="shared" si="894"/>
        <v>5760</v>
      </c>
      <c r="PY78" s="123">
        <f t="shared" si="894"/>
        <v>0</v>
      </c>
      <c r="PZ78" s="123">
        <f t="shared" si="894"/>
        <v>0</v>
      </c>
      <c r="QA78" s="123">
        <f t="shared" si="894"/>
        <v>0</v>
      </c>
      <c r="QB78" s="123">
        <f t="shared" si="894"/>
        <v>0</v>
      </c>
      <c r="QC78" s="13">
        <f t="shared" si="894"/>
        <v>-47130</v>
      </c>
      <c r="QE78" s="13">
        <f t="shared" ref="QE78:QK78" si="895">SUM(QE72:QE77)</f>
        <v>-47130</v>
      </c>
      <c r="QF78" s="123">
        <f t="shared" si="895"/>
        <v>5560</v>
      </c>
      <c r="QG78" s="123">
        <f t="shared" si="895"/>
        <v>0</v>
      </c>
      <c r="QH78" s="123">
        <f t="shared" si="895"/>
        <v>0</v>
      </c>
      <c r="QI78" s="123">
        <f t="shared" si="895"/>
        <v>0</v>
      </c>
      <c r="QJ78" s="123">
        <f t="shared" si="895"/>
        <v>0</v>
      </c>
      <c r="QK78" s="13">
        <f t="shared" si="895"/>
        <v>-52690</v>
      </c>
      <c r="QM78" s="13">
        <f t="shared" ref="QM78:QS78" si="896">SUM(QM72:QM77)</f>
        <v>-52690</v>
      </c>
      <c r="QN78" s="123">
        <f t="shared" si="896"/>
        <v>6000</v>
      </c>
      <c r="QO78" s="123">
        <f t="shared" si="896"/>
        <v>0</v>
      </c>
      <c r="QP78" s="123">
        <f t="shared" si="896"/>
        <v>0</v>
      </c>
      <c r="QQ78" s="123">
        <f t="shared" si="896"/>
        <v>0</v>
      </c>
      <c r="QR78" s="123">
        <f t="shared" si="896"/>
        <v>0</v>
      </c>
      <c r="QS78" s="13">
        <f t="shared" si="896"/>
        <v>-58690</v>
      </c>
      <c r="QU78" s="13">
        <f t="shared" ref="QU78:RA78" si="897">SUM(QU72:QU77)</f>
        <v>-58690</v>
      </c>
      <c r="QV78" s="123">
        <f t="shared" si="897"/>
        <v>5940</v>
      </c>
      <c r="QW78" s="123">
        <f t="shared" si="897"/>
        <v>0</v>
      </c>
      <c r="QX78" s="123">
        <f t="shared" si="897"/>
        <v>0</v>
      </c>
      <c r="QY78" s="123">
        <f t="shared" si="897"/>
        <v>0</v>
      </c>
      <c r="QZ78" s="123">
        <f t="shared" si="897"/>
        <v>0</v>
      </c>
      <c r="RA78" s="13">
        <f t="shared" si="897"/>
        <v>-64630</v>
      </c>
      <c r="RC78" s="13">
        <f t="shared" ref="RC78:RI78" si="898">SUM(RC72:RC77)</f>
        <v>-64630</v>
      </c>
      <c r="RD78" s="123">
        <f t="shared" si="898"/>
        <v>5940</v>
      </c>
      <c r="RE78" s="123">
        <f t="shared" si="898"/>
        <v>0</v>
      </c>
      <c r="RF78" s="123">
        <f t="shared" si="898"/>
        <v>0</v>
      </c>
      <c r="RG78" s="123">
        <f t="shared" si="898"/>
        <v>0</v>
      </c>
      <c r="RH78" s="123">
        <f t="shared" si="898"/>
        <v>0</v>
      </c>
      <c r="RI78" s="13">
        <f t="shared" si="898"/>
        <v>-70570</v>
      </c>
      <c r="RK78" s="13">
        <f t="shared" ref="RK78:RQ78" si="899">SUM(RK72:RK77)</f>
        <v>-70570</v>
      </c>
      <c r="RL78" s="123">
        <f t="shared" si="899"/>
        <v>5940</v>
      </c>
      <c r="RM78" s="123">
        <f t="shared" si="899"/>
        <v>0</v>
      </c>
      <c r="RN78" s="123">
        <f t="shared" si="899"/>
        <v>0</v>
      </c>
      <c r="RO78" s="123">
        <f t="shared" si="899"/>
        <v>0</v>
      </c>
      <c r="RP78" s="123">
        <f t="shared" si="899"/>
        <v>0</v>
      </c>
      <c r="RQ78" s="13">
        <f t="shared" si="899"/>
        <v>-76510</v>
      </c>
      <c r="RS78" s="13">
        <f t="shared" ref="RS78:RY78" si="900">SUM(RS72:RS77)</f>
        <v>-76510</v>
      </c>
      <c r="RT78" s="123">
        <f t="shared" si="900"/>
        <v>5940</v>
      </c>
      <c r="RU78" s="123">
        <f t="shared" si="900"/>
        <v>0</v>
      </c>
      <c r="RV78" s="123">
        <f t="shared" si="900"/>
        <v>0</v>
      </c>
      <c r="RW78" s="123">
        <f t="shared" si="900"/>
        <v>0</v>
      </c>
      <c r="RX78" s="123">
        <f t="shared" si="900"/>
        <v>0</v>
      </c>
      <c r="RY78" s="13">
        <f t="shared" si="900"/>
        <v>-82450</v>
      </c>
      <c r="SA78" s="13">
        <f t="shared" ref="SA78:SG78" si="901">SUM(SA72:SA77)</f>
        <v>-82450</v>
      </c>
      <c r="SB78" s="123">
        <f t="shared" si="901"/>
        <v>4610</v>
      </c>
      <c r="SC78" s="123">
        <f t="shared" si="901"/>
        <v>0</v>
      </c>
      <c r="SD78" s="123">
        <f t="shared" si="901"/>
        <v>0</v>
      </c>
      <c r="SE78" s="123">
        <f t="shared" si="901"/>
        <v>0</v>
      </c>
      <c r="SF78" s="123">
        <f t="shared" si="901"/>
        <v>0</v>
      </c>
      <c r="SG78" s="13">
        <f t="shared" si="901"/>
        <v>-87060</v>
      </c>
      <c r="SI78" s="13">
        <f t="shared" ref="SI78:SO78" si="902">SUM(SI72:SI77)</f>
        <v>-87060</v>
      </c>
      <c r="SJ78" s="123">
        <f t="shared" si="902"/>
        <v>4610</v>
      </c>
      <c r="SK78" s="123">
        <f t="shared" si="902"/>
        <v>0</v>
      </c>
      <c r="SL78" s="123">
        <f t="shared" si="902"/>
        <v>0</v>
      </c>
      <c r="SM78" s="123">
        <f t="shared" si="902"/>
        <v>0</v>
      </c>
      <c r="SN78" s="123">
        <f t="shared" si="902"/>
        <v>0</v>
      </c>
      <c r="SO78" s="13">
        <f t="shared" si="902"/>
        <v>-91670</v>
      </c>
      <c r="SQ78" s="13">
        <f t="shared" ref="SQ78:SW78" si="903">SUM(SQ72:SQ77)</f>
        <v>-91670</v>
      </c>
      <c r="SR78" s="123">
        <f t="shared" si="903"/>
        <v>4610</v>
      </c>
      <c r="SS78" s="123">
        <f t="shared" si="903"/>
        <v>0</v>
      </c>
      <c r="ST78" s="123">
        <f t="shared" si="903"/>
        <v>0</v>
      </c>
      <c r="SU78" s="123">
        <f t="shared" si="903"/>
        <v>0</v>
      </c>
      <c r="SV78" s="123">
        <f t="shared" si="903"/>
        <v>0</v>
      </c>
      <c r="SW78" s="13">
        <f t="shared" si="903"/>
        <v>-96280</v>
      </c>
      <c r="SY78" s="13">
        <f t="shared" ref="SY78:TE78" si="904">SUM(SY72:SY77)</f>
        <v>-96280</v>
      </c>
      <c r="SZ78" s="123">
        <f t="shared" si="904"/>
        <v>4610</v>
      </c>
      <c r="TA78" s="123">
        <f t="shared" si="904"/>
        <v>0</v>
      </c>
      <c r="TB78" s="123">
        <f t="shared" si="904"/>
        <v>0</v>
      </c>
      <c r="TC78" s="123">
        <f t="shared" si="904"/>
        <v>0</v>
      </c>
      <c r="TD78" s="123">
        <f t="shared" si="904"/>
        <v>0</v>
      </c>
      <c r="TE78" s="13">
        <f t="shared" si="904"/>
        <v>-100890</v>
      </c>
      <c r="TG78" s="13">
        <f t="shared" ref="TG78:TM78" si="905">SUM(TG72:TG77)</f>
        <v>-100890</v>
      </c>
      <c r="TH78" s="123">
        <f t="shared" si="905"/>
        <v>6250</v>
      </c>
      <c r="TI78" s="123">
        <f t="shared" si="905"/>
        <v>0</v>
      </c>
      <c r="TJ78" s="123">
        <f t="shared" si="905"/>
        <v>0</v>
      </c>
      <c r="TK78" s="123">
        <f t="shared" si="905"/>
        <v>0</v>
      </c>
      <c r="TL78" s="123">
        <f t="shared" si="905"/>
        <v>0</v>
      </c>
      <c r="TM78" s="13">
        <f t="shared" si="905"/>
        <v>-107140</v>
      </c>
      <c r="TO78" s="13">
        <f t="shared" ref="TO78:TU78" si="906">SUM(TO72:TO77)</f>
        <v>-107140</v>
      </c>
      <c r="TP78" s="123">
        <f t="shared" si="906"/>
        <v>6250</v>
      </c>
      <c r="TQ78" s="123">
        <f t="shared" si="906"/>
        <v>0</v>
      </c>
      <c r="TR78" s="123">
        <f t="shared" si="906"/>
        <v>0</v>
      </c>
      <c r="TS78" s="123">
        <f t="shared" si="906"/>
        <v>0</v>
      </c>
      <c r="TT78" s="123">
        <f t="shared" si="906"/>
        <v>0</v>
      </c>
      <c r="TU78" s="13">
        <f t="shared" si="906"/>
        <v>-113390</v>
      </c>
      <c r="TW78" s="13">
        <f t="shared" ref="TW78:UC78" si="907">SUM(TW72:TW77)</f>
        <v>-113390</v>
      </c>
      <c r="TX78" s="123">
        <f t="shared" si="907"/>
        <v>6250</v>
      </c>
      <c r="TY78" s="123">
        <f t="shared" si="907"/>
        <v>0</v>
      </c>
      <c r="TZ78" s="123">
        <f t="shared" si="907"/>
        <v>0</v>
      </c>
      <c r="UA78" s="123">
        <f t="shared" si="907"/>
        <v>0</v>
      </c>
      <c r="UB78" s="123">
        <f t="shared" si="907"/>
        <v>0</v>
      </c>
      <c r="UC78" s="13">
        <f t="shared" si="907"/>
        <v>-119640</v>
      </c>
      <c r="UE78" s="13">
        <f t="shared" ref="UE78:UK78" si="908">SUM(UE72:UE77)</f>
        <v>-119640</v>
      </c>
      <c r="UF78" s="123">
        <f t="shared" si="908"/>
        <v>6250</v>
      </c>
      <c r="UG78" s="123">
        <f t="shared" si="908"/>
        <v>0</v>
      </c>
      <c r="UH78" s="123">
        <f t="shared" si="908"/>
        <v>0</v>
      </c>
      <c r="UI78" s="123">
        <f t="shared" si="908"/>
        <v>0</v>
      </c>
      <c r="UJ78" s="123">
        <f t="shared" si="908"/>
        <v>0</v>
      </c>
      <c r="UK78" s="13">
        <f t="shared" si="908"/>
        <v>-125890</v>
      </c>
      <c r="UM78" s="13">
        <f t="shared" ref="UM78:US78" si="909">SUM(UM72:UM77)</f>
        <v>-125890</v>
      </c>
      <c r="UN78" s="123">
        <f t="shared" si="909"/>
        <v>6160</v>
      </c>
      <c r="UO78" s="123">
        <f t="shared" si="909"/>
        <v>0</v>
      </c>
      <c r="UP78" s="123">
        <f t="shared" si="909"/>
        <v>0</v>
      </c>
      <c r="UQ78" s="123">
        <f t="shared" si="909"/>
        <v>0</v>
      </c>
      <c r="UR78" s="123">
        <f t="shared" si="909"/>
        <v>0</v>
      </c>
      <c r="US78" s="13">
        <f t="shared" si="909"/>
        <v>-132050</v>
      </c>
      <c r="UU78" s="13">
        <f t="shared" ref="UU78:VA78" si="910">SUM(UU72:UU77)</f>
        <v>-132050</v>
      </c>
      <c r="UV78" s="123">
        <f t="shared" si="910"/>
        <v>6700</v>
      </c>
      <c r="UW78" s="123">
        <f t="shared" si="910"/>
        <v>0</v>
      </c>
      <c r="UX78" s="123">
        <f t="shared" si="910"/>
        <v>0</v>
      </c>
      <c r="UY78" s="123">
        <f t="shared" si="910"/>
        <v>0</v>
      </c>
      <c r="UZ78" s="123">
        <f t="shared" si="910"/>
        <v>0</v>
      </c>
      <c r="VA78" s="13">
        <f t="shared" si="910"/>
        <v>-138750</v>
      </c>
      <c r="VC78" s="13">
        <f t="shared" ref="VC78:VI78" si="911">SUM(VC72:VC77)</f>
        <v>-138750</v>
      </c>
      <c r="VD78" s="123">
        <f t="shared" si="911"/>
        <v>6700</v>
      </c>
      <c r="VE78" s="123">
        <f t="shared" si="911"/>
        <v>0</v>
      </c>
      <c r="VF78" s="123">
        <f t="shared" si="911"/>
        <v>0</v>
      </c>
      <c r="VG78" s="123">
        <f t="shared" si="911"/>
        <v>0</v>
      </c>
      <c r="VH78" s="123">
        <f t="shared" si="911"/>
        <v>0</v>
      </c>
      <c r="VI78" s="13">
        <f t="shared" si="911"/>
        <v>-145450</v>
      </c>
      <c r="VK78" s="13">
        <f t="shared" ref="VK78:VQ78" si="912">SUM(VK72:VK77)</f>
        <v>-145450</v>
      </c>
      <c r="VL78" s="123">
        <f t="shared" si="912"/>
        <v>0</v>
      </c>
      <c r="VM78" s="123">
        <f t="shared" si="912"/>
        <v>0</v>
      </c>
      <c r="VN78" s="123">
        <f t="shared" si="912"/>
        <v>0</v>
      </c>
      <c r="VO78" s="123">
        <f t="shared" si="912"/>
        <v>0</v>
      </c>
      <c r="VP78" s="123">
        <f t="shared" si="912"/>
        <v>0</v>
      </c>
      <c r="VQ78" s="13">
        <f t="shared" si="912"/>
        <v>-145450</v>
      </c>
    </row>
    <row r="79" spans="1:589" ht="15.75" thickBot="1" x14ac:dyDescent="0.3">
      <c r="A79" s="10" t="s">
        <v>18</v>
      </c>
      <c r="B79" s="11" t="s">
        <v>21</v>
      </c>
      <c r="C79" s="87">
        <v>32272490</v>
      </c>
      <c r="D79" s="81">
        <v>4429358</v>
      </c>
      <c r="E79" s="11">
        <v>120</v>
      </c>
      <c r="F79" s="12"/>
      <c r="H79" s="122">
        <v>30720</v>
      </c>
      <c r="I79" s="126">
        <f>IFERROR(VLOOKUP($D79,'Adient Assende (Belgium) WK.17'!$B:C,J$1,0),0)</f>
        <v>4800</v>
      </c>
      <c r="J79" s="127">
        <f>IFERROR(VLOOKUP($D79,'Adient Arendal (Malzia) WK.12'!$B:C,J$1,0),0)</f>
        <v>0</v>
      </c>
      <c r="K79" s="127">
        <f>IFERROR(VLOOKUP($D79,'Adient Taizhou (China) WK.16'!$B:C,J$1,0),0)</f>
        <v>0</v>
      </c>
      <c r="L79" s="128">
        <v>1920</v>
      </c>
      <c r="M79" s="31">
        <v>0</v>
      </c>
      <c r="N79" s="110">
        <f t="shared" si="233"/>
        <v>28800</v>
      </c>
      <c r="P79" s="37">
        <f t="shared" si="234"/>
        <v>28800</v>
      </c>
      <c r="Q79" s="126">
        <f>IFERROR(VLOOKUP($D79,'Adient Assende (Belgium) WK.17'!$B:K,R$1,0),0)</f>
        <v>1920</v>
      </c>
      <c r="R79" s="127">
        <f>IFERROR(VLOOKUP($D79,'Adient Arendal (Malzia) WK.12'!$B:K,R$1,0),0)</f>
        <v>0</v>
      </c>
      <c r="S79" s="127">
        <f>IFERROR(VLOOKUP($D79,'Adient Taizhou (China) WK.16'!$B:K,R$1,0),0)</f>
        <v>0</v>
      </c>
      <c r="T79" s="41">
        <v>3840</v>
      </c>
      <c r="U79" s="31">
        <v>0</v>
      </c>
      <c r="V79" s="110">
        <f t="shared" si="235"/>
        <v>24960</v>
      </c>
      <c r="X79" s="37">
        <f t="shared" si="236"/>
        <v>24960</v>
      </c>
      <c r="Y79" s="126">
        <f>IFERROR(VLOOKUP($D79,'Adient Assende (Belgium) WK.17'!$B:S,Z$1,0),0)</f>
        <v>3840</v>
      </c>
      <c r="Z79" s="127">
        <f>IFERROR(VLOOKUP($D79,'Adient Arendal (Malzia) WK.12'!$B:S,Z$1,0),0)</f>
        <v>0</v>
      </c>
      <c r="AA79" s="127">
        <f>IFERROR(VLOOKUP($D79,'Adient Taizhou (China) WK.16'!$B:S,Z$1,0),0)</f>
        <v>0</v>
      </c>
      <c r="AB79" s="41">
        <v>3840</v>
      </c>
      <c r="AC79" s="31">
        <v>0</v>
      </c>
      <c r="AD79" s="110">
        <f t="shared" si="237"/>
        <v>21120</v>
      </c>
      <c r="AF79" s="37">
        <f t="shared" si="238"/>
        <v>21120</v>
      </c>
      <c r="AG79" s="126">
        <f>IFERROR(VLOOKUP($D79,'Adient Assende (Belgium) WK.17'!$B:AA,AH$1,0),0)</f>
        <v>3840</v>
      </c>
      <c r="AH79" s="127">
        <f>IFERROR(VLOOKUP($D79,'Adient Arendal (Malzia) WK.12'!$B:AA,AH$1,0),0)</f>
        <v>0</v>
      </c>
      <c r="AI79" s="127">
        <f>IFERROR(VLOOKUP($D79,'Adient Taizhou (China) WK.16'!$B:AA,AH$1,0),0)</f>
        <v>0</v>
      </c>
      <c r="AJ79" s="41">
        <v>2880</v>
      </c>
      <c r="AK79" s="31">
        <v>0</v>
      </c>
      <c r="AL79" s="110">
        <f t="shared" si="239"/>
        <v>18240</v>
      </c>
      <c r="AN79" s="37">
        <f t="shared" ref="AN79" si="913">AL79</f>
        <v>18240</v>
      </c>
      <c r="AO79" s="126">
        <f>IFERROR(VLOOKUP($D79,'Adient Assende (Belgium) WK.17'!$B:AI,AP$1,0),0)</f>
        <v>2880</v>
      </c>
      <c r="AP79" s="127">
        <f>IFERROR(VLOOKUP($D79,'Adient Arendal (Malzia) WK.12'!$B:AI,AP$1,0),0)</f>
        <v>0</v>
      </c>
      <c r="AQ79" s="127">
        <f>IFERROR(VLOOKUP($D79,'Adient Taizhou (China) WK.16'!$B:AI,AP$1,0),0)</f>
        <v>0</v>
      </c>
      <c r="AR79" s="60">
        <v>0</v>
      </c>
      <c r="AS79" s="41">
        <v>3840</v>
      </c>
      <c r="AT79" s="31">
        <v>0</v>
      </c>
      <c r="AU79" s="110">
        <f t="shared" si="240"/>
        <v>14400</v>
      </c>
      <c r="AW79" s="37">
        <f>AU79</f>
        <v>14400</v>
      </c>
      <c r="AX79" s="126">
        <f>IFERROR(VLOOKUP($D79,'Adient Assende (Belgium) WK.17'!$B:AR,AY$1,0),0)</f>
        <v>3840</v>
      </c>
      <c r="AY79" s="127">
        <f>IFERROR(VLOOKUP($D79,'Adient Arendal (Malzia) WK.12'!$B:AR,AY$1,0),0)</f>
        <v>0</v>
      </c>
      <c r="AZ79" s="127">
        <f>IFERROR(VLOOKUP($D79,'Adient Taizhou (China) WK.16'!$B:AU,AY$1,0),0)</f>
        <v>0</v>
      </c>
      <c r="BA79" s="41">
        <v>2880</v>
      </c>
      <c r="BB79" s="31">
        <v>0</v>
      </c>
      <c r="BC79" s="110">
        <f t="shared" si="241"/>
        <v>11520</v>
      </c>
      <c r="BE79" s="37">
        <f t="shared" ref="BE79" si="914">BC79</f>
        <v>11520</v>
      </c>
      <c r="BF79" s="126">
        <f>IFERROR(VLOOKUP($D79,'Adient Assende (Belgium) WK.17'!$B:AX,BG$1,0),0)</f>
        <v>2880</v>
      </c>
      <c r="BG79" s="127">
        <f>IFERROR(VLOOKUP($D79,'Adient Arendal (Malzia) WK.12'!$B:AZ,BG$1,0),0)</f>
        <v>0</v>
      </c>
      <c r="BH79" s="127">
        <f>IFERROR(VLOOKUP($D79,'Adient Taizhou (China) WK.16'!$B:BB,BG$1,0),0)</f>
        <v>0</v>
      </c>
      <c r="BI79" s="60">
        <v>0</v>
      </c>
      <c r="BJ79" s="60">
        <v>0</v>
      </c>
      <c r="BK79" s="41">
        <v>2880</v>
      </c>
      <c r="BL79" s="31">
        <v>0</v>
      </c>
      <c r="BM79" s="110">
        <f t="shared" si="242"/>
        <v>8640</v>
      </c>
      <c r="BN79" s="8"/>
      <c r="BO79" s="37">
        <f t="shared" ref="BO79" si="915">BM79</f>
        <v>8640</v>
      </c>
      <c r="BP79" s="126">
        <f>IFERROR(VLOOKUP($D79,'Adient Assende (Belgium) WK.17'!$B:BH,BQ$1,0),0)</f>
        <v>2880</v>
      </c>
      <c r="BQ79" s="127">
        <f>IFERROR(VLOOKUP($D79,'Adient Arendal (Malzia) WK.12'!$B:BI,BQ$1,0),0)</f>
        <v>0</v>
      </c>
      <c r="BR79" s="127">
        <f>IFERROR(VLOOKUP($D79,'Adient Taizhou (China) WK.16'!$B:BL,BQ$1,0),0)</f>
        <v>0</v>
      </c>
      <c r="BS79" s="60">
        <v>1440</v>
      </c>
      <c r="BT79" s="60">
        <v>0</v>
      </c>
      <c r="BU79" s="60">
        <v>0</v>
      </c>
      <c r="BV79" s="41">
        <v>3840</v>
      </c>
      <c r="BW79" s="31">
        <v>0</v>
      </c>
      <c r="BX79" s="110">
        <f t="shared" si="243"/>
        <v>6240</v>
      </c>
      <c r="BY79" s="8"/>
      <c r="BZ79" s="37">
        <f t="shared" ref="BZ79" si="916">BX79</f>
        <v>6240</v>
      </c>
      <c r="CA79" s="126">
        <f>IFERROR(VLOOKUP($D79,'Adient Assende (Belgium) WK.17'!$B:BS,CB$1,0),0)</f>
        <v>3840</v>
      </c>
      <c r="CB79" s="127">
        <f>IFERROR(VLOOKUP($D79,'Adient Arendal (Malzia) WK.12'!$B:BT,CB$1,0),0)</f>
        <v>0</v>
      </c>
      <c r="CC79" s="127">
        <f>IFERROR(VLOOKUP($D79,'Adient Taizhou (China) WK.16'!$B:BW,CB$1,0),0)</f>
        <v>0</v>
      </c>
      <c r="CD79" s="60">
        <v>0</v>
      </c>
      <c r="CE79" s="60">
        <v>0</v>
      </c>
      <c r="CF79" s="41">
        <v>6240</v>
      </c>
      <c r="CG79" s="31">
        <v>0</v>
      </c>
      <c r="CH79" s="110">
        <f t="shared" si="244"/>
        <v>0</v>
      </c>
      <c r="CI79" s="8"/>
      <c r="CJ79" s="37">
        <f t="shared" ref="CJ79" si="917">CH79</f>
        <v>0</v>
      </c>
      <c r="CK79" s="126">
        <f>IFERROR(VLOOKUP($D79,'Adient Assende (Belgium) WK.17'!$B:CC,CL$1,0),0)</f>
        <v>6240</v>
      </c>
      <c r="CL79" s="127">
        <f>IFERROR(VLOOKUP($D79,'Adient Arendal (Malzia) WK.12'!$B:CD,CL$1,0),0)</f>
        <v>0</v>
      </c>
      <c r="CM79" s="127">
        <f>IFERROR(VLOOKUP($D79,'Adient Taizhou (China) WK.16'!$B:CG,CL$1,0),0)</f>
        <v>0</v>
      </c>
      <c r="CN79" s="60">
        <v>8640</v>
      </c>
      <c r="CO79" s="149">
        <v>0</v>
      </c>
      <c r="CP79" s="31">
        <v>0</v>
      </c>
      <c r="CQ79" s="110">
        <f t="shared" si="245"/>
        <v>8640</v>
      </c>
      <c r="CR79" s="8"/>
      <c r="CS79" s="122">
        <f t="shared" ref="CS79" si="918">CQ79</f>
        <v>8640</v>
      </c>
      <c r="CT79" s="154">
        <f>IFERROR(VLOOKUP($D79,'Adient Assende (Belgium) WK.17'!$B:CL,CU$1,0),0)</f>
        <v>0</v>
      </c>
      <c r="CU79" s="127">
        <f>IFERROR(VLOOKUP($D79,'Adient Arendal (Malzia) WK.12'!$B:CM,CU$1,0),0)</f>
        <v>0</v>
      </c>
      <c r="CV79" s="127">
        <f>IFERROR(VLOOKUP($D79,'Adient Taizhou (China) WK.16'!$B:CP,CU$1,0),0)</f>
        <v>0</v>
      </c>
      <c r="CW79" s="60">
        <v>0</v>
      </c>
      <c r="CX79" s="60">
        <v>6960</v>
      </c>
      <c r="CY79" s="128">
        <v>3840</v>
      </c>
      <c r="CZ79" s="31">
        <v>0</v>
      </c>
      <c r="DA79" s="110">
        <f t="shared" si="246"/>
        <v>11760</v>
      </c>
      <c r="DB79" s="8"/>
      <c r="DC79" s="37">
        <f t="shared" ref="DC79" si="919">DA79</f>
        <v>11760</v>
      </c>
      <c r="DD79" s="126">
        <f>IFERROR(VLOOKUP($D79,'Adient Assende (Belgium) WK.17'!$B:CS,DE$1,0),0)</f>
        <v>3840</v>
      </c>
      <c r="DE79" s="127">
        <f>IFERROR(VLOOKUP($D79,'Adient Arendal (Malzia) WK.12'!$B:CU,DE$1,0),0)</f>
        <v>0</v>
      </c>
      <c r="DF79" s="127">
        <f>IFERROR(VLOOKUP($D79,'Adient Taizhou (China) WK.16'!$B:CX,DE$1,0),0)</f>
        <v>0</v>
      </c>
      <c r="DG79" s="60">
        <v>6240</v>
      </c>
      <c r="DH79" s="128">
        <v>3840</v>
      </c>
      <c r="DI79" s="31">
        <v>0</v>
      </c>
      <c r="DJ79" s="110">
        <f t="shared" si="247"/>
        <v>14160</v>
      </c>
      <c r="DL79" s="37">
        <f t="shared" ref="DL79" si="920">DJ79</f>
        <v>14160</v>
      </c>
      <c r="DM79" s="125">
        <f>IFERROR(VLOOKUP($D79,'Adient Assende (Belgium) WK.17'!$B:DB,DN$1,0),0)</f>
        <v>3840</v>
      </c>
      <c r="DN79" s="55">
        <f>IFERROR(VLOOKUP($D79,'Adient Arendal (Malzia) WK.12'!$B:DC,DN$1,0),0)</f>
        <v>0</v>
      </c>
      <c r="DO79" s="55">
        <f>IFERROR(VLOOKUP($D79,'Adient Taizhou (China) WK.16'!$B:DF,DN$1,0),0)</f>
        <v>0</v>
      </c>
      <c r="DP79" s="128">
        <v>2880</v>
      </c>
      <c r="DQ79" s="31">
        <v>0</v>
      </c>
      <c r="DR79" s="110">
        <f>((DL79-(DN79+DO79+DP79)+DQ79))</f>
        <v>11280</v>
      </c>
      <c r="DS79" s="8"/>
      <c r="DT79" s="37">
        <f t="shared" ref="DT79" si="921">DR79</f>
        <v>11280</v>
      </c>
      <c r="DU79" s="125">
        <f>IFERROR(VLOOKUP($D79,'Adient Assende (Belgium) WK.17'!$B:DJ,DV$1,0),0)</f>
        <v>2880</v>
      </c>
      <c r="DV79" s="55">
        <f>IFERROR(VLOOKUP($D79,'Adient Arendal (Malzia) WK.12'!$B:DK,DV$1,0),0)</f>
        <v>0</v>
      </c>
      <c r="DW79" s="55">
        <f>IFERROR(VLOOKUP($D79,'Adient Taizhou (China) WK.16'!$B:DN,DV$1,0),0)</f>
        <v>0</v>
      </c>
      <c r="DX79" s="60">
        <v>2880</v>
      </c>
      <c r="DY79" s="60">
        <v>2880</v>
      </c>
      <c r="DZ79" s="128">
        <v>3840</v>
      </c>
      <c r="EA79" s="31">
        <v>0</v>
      </c>
      <c r="EB79" s="110">
        <f t="shared" si="248"/>
        <v>13200</v>
      </c>
      <c r="EC79" s="8"/>
      <c r="ED79" s="37">
        <f t="shared" ref="ED79" si="922">EB79</f>
        <v>13200</v>
      </c>
      <c r="EE79" s="125">
        <f>IFERROR(VLOOKUP($D79,'Adient Assende (Belgium) WK.17'!$B:DR,EF$1,0),0)</f>
        <v>3840</v>
      </c>
      <c r="EF79" s="55">
        <f>IFERROR(VLOOKUP($D79,'Adient Arendal (Malzia) WK.12'!$B:DS,EF$1,0),0)</f>
        <v>0</v>
      </c>
      <c r="EG79" s="55">
        <f>IFERROR(VLOOKUP($D79,'Adient Taizhou (China) WK.16'!$B:DV,EF$1,0),0)</f>
        <v>0</v>
      </c>
      <c r="EH79" s="60">
        <v>1440</v>
      </c>
      <c r="EI79" s="128">
        <v>4800</v>
      </c>
      <c r="EJ79" s="31">
        <v>0</v>
      </c>
      <c r="EK79" s="110">
        <f t="shared" si="249"/>
        <v>9840</v>
      </c>
      <c r="EM79" s="37">
        <f>EK79</f>
        <v>9840</v>
      </c>
      <c r="EN79" s="125">
        <f>IFERROR(VLOOKUP($D79,'Adient Assende (Belgium) WK.17'!$B:DZ,EO$1,0),0)</f>
        <v>4800</v>
      </c>
      <c r="EO79" s="55">
        <f>IFERROR(VLOOKUP($D79,'Adient Arendal (Malzia) WK.12'!$B:EA,EO$1,0),0)</f>
        <v>0</v>
      </c>
      <c r="EP79" s="55">
        <f>IFERROR(VLOOKUP($D79,'Adient Taizhou (China) WK.16'!$B:ED,EO$1,0),0)</f>
        <v>0</v>
      </c>
      <c r="EQ79" s="128">
        <v>4800</v>
      </c>
      <c r="ER79" s="31">
        <v>0</v>
      </c>
      <c r="ES79" s="110">
        <f t="shared" si="250"/>
        <v>5040</v>
      </c>
      <c r="EU79" s="37">
        <f t="shared" ref="EU79" si="923">ES79</f>
        <v>5040</v>
      </c>
      <c r="EV79" s="125">
        <f>IFERROR(VLOOKUP($D79,'Adient Assende (Belgium) WK.17'!$B:EH,EW$1,0),0)</f>
        <v>4800</v>
      </c>
      <c r="EW79" s="55">
        <f>IFERROR(VLOOKUP($D79,'Adient Arendal (Malzia) WK.12'!$B:EI,EW$1,0),0)</f>
        <v>0</v>
      </c>
      <c r="EX79" s="55">
        <f>IFERROR(VLOOKUP($D79,'Adient Taizhou (China) WK.16'!$B:EL,EW$1,0),0)</f>
        <v>0</v>
      </c>
      <c r="EY79" s="128">
        <v>0</v>
      </c>
      <c r="EZ79" s="31">
        <v>0</v>
      </c>
      <c r="FA79" s="110">
        <f t="shared" si="251"/>
        <v>5040</v>
      </c>
      <c r="FC79" s="37">
        <f t="shared" ref="FC79" si="924">FA79</f>
        <v>5040</v>
      </c>
      <c r="FD79" s="154">
        <f>IFERROR(VLOOKUP($D79,'Adient Assende (Belgium) WK.17'!$B:EP,FE$1,0),0)</f>
        <v>0</v>
      </c>
      <c r="FE79" s="154">
        <f>IFERROR(VLOOKUP($D79,'Adient Arendal (Malzia) WK.12'!$B:EQ,FE$1,0),0)</f>
        <v>0</v>
      </c>
      <c r="FF79" s="154">
        <f>IFERROR(VLOOKUP($D79,'Adient Taizhou (China) WK.16'!$B:ET,FE$1,0),0)</f>
        <v>0</v>
      </c>
      <c r="FG79" s="128">
        <v>0</v>
      </c>
      <c r="FH79" s="31">
        <v>0</v>
      </c>
      <c r="FI79" s="110">
        <f t="shared" si="252"/>
        <v>5040</v>
      </c>
      <c r="FK79" s="37">
        <f t="shared" ref="FK79" si="925">FI79</f>
        <v>5040</v>
      </c>
      <c r="FL79" s="125">
        <f>IFERROR(VLOOKUP($D79,'Adient Assende (Belgium) WK.17'!$B:EX,FM$1,0),0)</f>
        <v>0</v>
      </c>
      <c r="FM79" s="55">
        <f>IFERROR(VLOOKUP($D79,'Adient Arendal (Malzia) WK.12'!$B:EY,FM$1,0),0)</f>
        <v>0</v>
      </c>
      <c r="FN79" s="55">
        <f>IFERROR(VLOOKUP($D79,'Adient Taizhou (China) WK.16'!$B:FB,FM$1,0),0)</f>
        <v>0</v>
      </c>
      <c r="FO79" s="128">
        <v>4800</v>
      </c>
      <c r="FP79" s="31">
        <v>0</v>
      </c>
      <c r="FQ79" s="110">
        <f t="shared" si="253"/>
        <v>240</v>
      </c>
      <c r="FR79" s="8"/>
      <c r="FS79" s="37">
        <f>FQ79</f>
        <v>240</v>
      </c>
      <c r="FT79" s="125">
        <f>IFERROR(VLOOKUP($D79,'Adient Assende (Belgium) WK.17'!$B:FF,FU$1,0),0)</f>
        <v>4800</v>
      </c>
      <c r="FU79" s="55">
        <f>IFERROR(VLOOKUP($D79,'Adient Arendal (Malzia) WK.12'!$B:FG,FU$1,0),0)</f>
        <v>0</v>
      </c>
      <c r="FV79" s="55">
        <f>IFERROR(VLOOKUP($D79,'Adient Taizhou (China) WK.16'!$B:FJ,FU$1,0),0)</f>
        <v>0</v>
      </c>
      <c r="FW79" s="60">
        <v>5760</v>
      </c>
      <c r="FX79" s="60">
        <v>0</v>
      </c>
      <c r="FY79" s="60">
        <v>4320</v>
      </c>
      <c r="FZ79" s="60">
        <v>4200</v>
      </c>
      <c r="GA79" s="60">
        <v>7200</v>
      </c>
      <c r="GB79" s="128">
        <v>4320</v>
      </c>
      <c r="GC79" s="31">
        <v>0</v>
      </c>
      <c r="GD79" s="110">
        <f t="shared" si="254"/>
        <v>17400</v>
      </c>
      <c r="GF79" s="37">
        <f t="shared" ref="GF79" si="926">GD79</f>
        <v>17400</v>
      </c>
      <c r="GG79" s="125">
        <f>IFERROR(VLOOKUP($D79,'Adient Assende (Belgium) WK.17'!$B:FN,GH$1,0),0)</f>
        <v>4320</v>
      </c>
      <c r="GH79" s="55">
        <f>IFERROR(VLOOKUP($D79,'Adient Arendal (Malzia) WK.12'!$B:FO,GH$1,0),0)</f>
        <v>0</v>
      </c>
      <c r="GI79" s="55">
        <f>IFERROR(VLOOKUP($D79,'Adient Taizhou (China) WK.16'!$B:FR,GH$1,0),0)</f>
        <v>0</v>
      </c>
      <c r="GJ79" s="60">
        <v>7200</v>
      </c>
      <c r="GK79" s="128">
        <v>6720</v>
      </c>
      <c r="GL79" s="31">
        <v>0</v>
      </c>
      <c r="GM79" s="110">
        <f t="shared" si="255"/>
        <v>17880</v>
      </c>
      <c r="GO79" s="37">
        <f t="shared" ref="GO79" si="927">GM79</f>
        <v>17880</v>
      </c>
      <c r="GP79" s="125">
        <f>IFERROR(VLOOKUP($D79,'Adient Assende (Belgium) WK.17'!$B:FV,GQ$1,0),0)</f>
        <v>6720</v>
      </c>
      <c r="GQ79" s="55">
        <f>IFERROR(VLOOKUP($D79,'Adient Arendal (Malzia) WK.12'!$B:FW,GQ$1,0),0)</f>
        <v>0</v>
      </c>
      <c r="GR79" s="55">
        <f>IFERROR(VLOOKUP($D79,'Adient Taizhou (China) WK.16'!$B:FZ,GQ$1,0),0)</f>
        <v>0</v>
      </c>
      <c r="GS79" s="60">
        <v>8160</v>
      </c>
      <c r="GT79" s="128">
        <v>4800</v>
      </c>
      <c r="GU79" s="31">
        <v>0</v>
      </c>
      <c r="GV79" s="110">
        <f t="shared" si="256"/>
        <v>21240</v>
      </c>
      <c r="GW79" s="8"/>
      <c r="GX79" s="37">
        <f t="shared" ref="GX79" si="928">GV79</f>
        <v>21240</v>
      </c>
      <c r="GY79" s="125">
        <f>IFERROR(VLOOKUP($D79,'Adient Assende (Belgium) WK.17'!$B:GD,GZ$1,0),0)</f>
        <v>4800</v>
      </c>
      <c r="GZ79" s="55">
        <f>IFERROR(VLOOKUP($D79,'Adient Arendal (Malzia) WK.12'!$B:GE,GZ$1,0),0)</f>
        <v>0</v>
      </c>
      <c r="HA79" s="55">
        <f>IFERROR(VLOOKUP($D79,'Adient Taizhou (China) WK.16'!$B:GH,GZ$1,0),0)</f>
        <v>0</v>
      </c>
      <c r="HB79" s="60">
        <v>4320</v>
      </c>
      <c r="HC79" s="128">
        <v>4800</v>
      </c>
      <c r="HD79" s="31">
        <v>0</v>
      </c>
      <c r="HE79" s="110">
        <f t="shared" si="257"/>
        <v>20760</v>
      </c>
      <c r="HF79" s="8"/>
      <c r="HG79" s="37">
        <f t="shared" ref="HG79" si="929">HE79</f>
        <v>20760</v>
      </c>
      <c r="HH79" s="125">
        <f>IFERROR(VLOOKUP($D79,'Adient Assende (Belgium) WK.17'!$B:GL,HI$1,0),0)</f>
        <v>4800</v>
      </c>
      <c r="HI79" s="55">
        <f>IFERROR(VLOOKUP($D79,'Adient Arendal (Malzia) WK.12'!$B:GM,HI$1,0),0)</f>
        <v>0</v>
      </c>
      <c r="HJ79" s="55">
        <f>IFERROR(VLOOKUP($D79,'Adient Taizhou (China) WK.16'!$B:GP,HI$1,0),0)</f>
        <v>0</v>
      </c>
      <c r="HK79" s="60">
        <v>5760</v>
      </c>
      <c r="HL79" s="128">
        <v>4800</v>
      </c>
      <c r="HM79" s="31">
        <v>0</v>
      </c>
      <c r="HN79" s="110">
        <f t="shared" si="258"/>
        <v>21720</v>
      </c>
      <c r="HO79" s="8"/>
      <c r="HP79" s="37">
        <f t="shared" ref="HP79" si="930">HN79</f>
        <v>21720</v>
      </c>
      <c r="HQ79" s="125">
        <f>IFERROR(VLOOKUP($D79,'Adient Assende (Belgium) WK.17'!$B:GT,HR$1,0),0)</f>
        <v>4800</v>
      </c>
      <c r="HR79" s="55">
        <f>IFERROR(VLOOKUP($D79,'Adient Arendal (Malzia) WK.12'!$B:GU,HR$1,0),0)</f>
        <v>0</v>
      </c>
      <c r="HS79" s="55">
        <f>IFERROR(VLOOKUP($D79,'Adient Taizhou (China) WK.16'!$B:GX,HR$1,0),0)</f>
        <v>0</v>
      </c>
      <c r="HT79" s="60">
        <v>9000</v>
      </c>
      <c r="HU79" s="128">
        <v>4800</v>
      </c>
      <c r="HV79" s="31">
        <v>0</v>
      </c>
      <c r="HW79" s="110">
        <f t="shared" si="259"/>
        <v>25920</v>
      </c>
      <c r="HX79" s="8"/>
      <c r="HY79" s="37">
        <f t="shared" ref="HY79" si="931">HW79</f>
        <v>25920</v>
      </c>
      <c r="HZ79" s="125">
        <f>IFERROR(VLOOKUP($D79,'Adient Assende (Belgium) WK.17'!$B:HB,IA$1,0),0)</f>
        <v>4800</v>
      </c>
      <c r="IA79" s="55">
        <f>IFERROR(VLOOKUP($D79,'Adient Arendal (Malzia) WK.12'!$B:HC,IA$1,0),0)</f>
        <v>0</v>
      </c>
      <c r="IB79" s="55">
        <f>IFERROR(VLOOKUP($D79,'Adient Taizhou (China) WK.16'!$B:HF,IA$1,0),0)</f>
        <v>0</v>
      </c>
      <c r="IC79" s="60">
        <v>6360</v>
      </c>
      <c r="ID79" s="128">
        <v>4800</v>
      </c>
      <c r="IE79" s="31">
        <v>0</v>
      </c>
      <c r="IF79" s="110">
        <f t="shared" si="260"/>
        <v>27480</v>
      </c>
      <c r="IG79" s="8"/>
      <c r="IH79" s="37">
        <f t="shared" ref="IH79" si="932">IF79</f>
        <v>27480</v>
      </c>
      <c r="II79" s="125">
        <f>IFERROR(VLOOKUP($D79,'Adient Assende (Belgium) WK.17'!$B:HJ,IJ$1,0),0)</f>
        <v>4800</v>
      </c>
      <c r="IJ79" s="55">
        <f>IFERROR(VLOOKUP($D79,'Adient Arendal (Malzia) WK.12'!$B:HK,IJ$1,0),0)</f>
        <v>0</v>
      </c>
      <c r="IK79" s="55">
        <f>IFERROR(VLOOKUP($D79,'Adient Taizhou (China) WK.16'!$B:HN,IJ$1,0),0)</f>
        <v>0</v>
      </c>
      <c r="IL79" s="128">
        <v>3840</v>
      </c>
      <c r="IM79" s="31">
        <v>0</v>
      </c>
      <c r="IN79" s="110">
        <f>((IH79-(IJ79+IK79+IL79)+IM79))</f>
        <v>23640</v>
      </c>
      <c r="IO79" s="8"/>
      <c r="IP79" s="37">
        <f t="shared" ref="IP79" si="933">IN79</f>
        <v>23640</v>
      </c>
      <c r="IQ79" s="125">
        <f>IFERROR(VLOOKUP($D79,'Adient Assende (Belgium) WK.17'!$B:HR,IR$1,0),0)</f>
        <v>3840</v>
      </c>
      <c r="IR79" s="55">
        <f>IFERROR(VLOOKUP($D79,'Adient Arendal (Malzia) WK.12'!$B:HS,IR$1,0),0)</f>
        <v>0</v>
      </c>
      <c r="IS79" s="55">
        <f>IFERROR(VLOOKUP($D79,'Adient Taizhou (China) WK.16'!$B:HV,IR$1,0),0)</f>
        <v>0</v>
      </c>
      <c r="IT79" s="60">
        <v>4320</v>
      </c>
      <c r="IU79" s="128">
        <v>3840</v>
      </c>
      <c r="IV79" s="31">
        <v>0</v>
      </c>
      <c r="IW79" s="110">
        <f t="shared" si="261"/>
        <v>24120</v>
      </c>
      <c r="IX79" s="8"/>
      <c r="IY79" s="37">
        <f t="shared" ref="IY79" si="934">IW79</f>
        <v>24120</v>
      </c>
      <c r="IZ79" s="125">
        <f>IFERROR(VLOOKUP($D79,'Adient Assende (Belgium) WK.17'!$B:HZ,JA$1,0),0)</f>
        <v>3840</v>
      </c>
      <c r="JA79" s="55">
        <f>IFERROR(VLOOKUP($D79,'Adient Arendal (Malzia) WK.12'!$B:IA,JA$1,0),0)</f>
        <v>0</v>
      </c>
      <c r="JB79" s="55">
        <f>IFERROR(VLOOKUP($D79,'Adient Taizhou (China) WK.16'!$B:ID,JA$1,0),0)</f>
        <v>0</v>
      </c>
      <c r="JC79" s="128">
        <v>2880</v>
      </c>
      <c r="JD79" s="31">
        <v>0</v>
      </c>
      <c r="JE79" s="110">
        <f>((IY79-(JA79+JB79+JC79)+JD79))</f>
        <v>21240</v>
      </c>
      <c r="JF79" s="8"/>
      <c r="JG79" s="37">
        <f t="shared" ref="JG79" si="935">JE79</f>
        <v>21240</v>
      </c>
      <c r="JH79" s="125">
        <f>IFERROR(VLOOKUP($D79,'Adient Assende (Belgium) WK.17'!$B:IH,JI$1,0),0)</f>
        <v>2880</v>
      </c>
      <c r="JI79" s="55">
        <f>IFERROR(VLOOKUP($D79,'Adient Arendal (Malzia) WK.12'!$B:II,JI$1,0),0)</f>
        <v>0</v>
      </c>
      <c r="JJ79" s="55">
        <f>IFERROR(VLOOKUP($D79,'Adient Taizhou (China) WK.16'!$B:IL,JI$1,0),0)</f>
        <v>0</v>
      </c>
      <c r="JK79" s="60">
        <v>4320</v>
      </c>
      <c r="JL79" s="128">
        <v>7680</v>
      </c>
      <c r="JM79" s="31">
        <v>0</v>
      </c>
      <c r="JN79" s="110">
        <f t="shared" si="262"/>
        <v>17880</v>
      </c>
      <c r="JO79" s="8"/>
      <c r="JP79" s="37">
        <f t="shared" ref="JP79" si="936">JN79</f>
        <v>17880</v>
      </c>
      <c r="JQ79" s="125">
        <f>IFERROR(VLOOKUP($D79,'Adient Assende (Belgium) WK.17'!$B:IP,JR$1,0),0)</f>
        <v>7680</v>
      </c>
      <c r="JR79" s="55">
        <f>IFERROR(VLOOKUP($D79,'Adient Arendal (Malzia) WK.12'!$B:IQ,JR$1,0),0)</f>
        <v>0</v>
      </c>
      <c r="JS79" s="55">
        <f>IFERROR(VLOOKUP($D79,'Adient Taizhou (China) WK.16'!$B:IT,JR$1,0),0)</f>
        <v>0</v>
      </c>
      <c r="JT79" s="128">
        <v>0</v>
      </c>
      <c r="JU79" s="31">
        <v>0</v>
      </c>
      <c r="JV79" s="110">
        <f>((JP79-(JR79+JS79+JT79)+JU79))</f>
        <v>17880</v>
      </c>
      <c r="JW79" s="8"/>
      <c r="JX79" s="37">
        <f t="shared" ref="JX79" si="937">JV79</f>
        <v>17880</v>
      </c>
      <c r="JY79" s="154">
        <f>IFERROR(VLOOKUP($D79,'Adient Assende (Belgium) WK.17'!$B:IX,JZ$1,0),0)</f>
        <v>0</v>
      </c>
      <c r="JZ79" s="55">
        <f>IFERROR(VLOOKUP($D79,'Adient Arendal (Malzia) WK.12'!$B:IY,JZ$1,0),0)</f>
        <v>0</v>
      </c>
      <c r="KA79" s="55">
        <f>IFERROR(VLOOKUP($D79,'Adient Taizhou (China) WK.16'!$B:JB,JZ$1,0),0)</f>
        <v>0</v>
      </c>
      <c r="KB79" s="128">
        <v>3840</v>
      </c>
      <c r="KC79" s="31">
        <v>0</v>
      </c>
      <c r="KD79" s="110">
        <f t="shared" si="849"/>
        <v>14040</v>
      </c>
      <c r="KE79" s="8"/>
      <c r="KF79" s="37">
        <f t="shared" ref="KF79" si="938">KD79</f>
        <v>14040</v>
      </c>
      <c r="KG79" s="125">
        <f>IFERROR(VLOOKUP($D79,'Adient Assende (Belgium) WK.17'!$B:JF,KH$1,0),0)</f>
        <v>3840</v>
      </c>
      <c r="KH79" s="55">
        <f>IFERROR(VLOOKUP($D79,'Adient Arendal (Malzia) WK.12'!$B:JG,KH$1,0),0)</f>
        <v>0</v>
      </c>
      <c r="KI79" s="55">
        <f>IFERROR(VLOOKUP($D79,'Adient Taizhou (China) WK.16'!$B:JJ,KH$1,0),0)</f>
        <v>0</v>
      </c>
      <c r="KJ79" s="60">
        <v>1440</v>
      </c>
      <c r="KK79" s="128">
        <v>4800</v>
      </c>
      <c r="KL79" s="31">
        <v>0</v>
      </c>
      <c r="KM79" s="110">
        <f t="shared" si="850"/>
        <v>10680</v>
      </c>
      <c r="KN79" s="8"/>
      <c r="KO79" s="37">
        <f t="shared" ref="KO79" si="939">KM79</f>
        <v>10680</v>
      </c>
      <c r="KP79" s="141">
        <f>IFERROR(VLOOKUP($D79,'Adient Assende (Belgium) WK.17'!$B:JN,KQ$1,0),0)</f>
        <v>4800</v>
      </c>
      <c r="KQ79" s="140">
        <f>IFERROR(VLOOKUP($D79,'Adient Arendal (Malzia) WK.12'!$B:JO,KQ$1,0),0)</f>
        <v>0</v>
      </c>
      <c r="KR79" s="140">
        <f>IFERROR(VLOOKUP($D79,'Adient Taizhou (China) WK.16'!$B:JR,KQ$1,0),0)</f>
        <v>0</v>
      </c>
      <c r="KS79" s="60">
        <v>1440</v>
      </c>
      <c r="KT79" s="128">
        <v>2880</v>
      </c>
      <c r="KU79" s="31">
        <v>0</v>
      </c>
      <c r="KV79" s="110">
        <f t="shared" si="851"/>
        <v>9240</v>
      </c>
      <c r="KX79" s="37">
        <f t="shared" ref="KX79" si="940">KV79</f>
        <v>9240</v>
      </c>
      <c r="KY79" s="141">
        <f>IFERROR(VLOOKUP($D79,'Adient Assende (Belgium) WK.17'!$B:JV,KZ$1,0),0)</f>
        <v>2880</v>
      </c>
      <c r="KZ79" s="140">
        <f>IFERROR(VLOOKUP($D79,'Adient Arendal (Malzia) WK.12'!$B:JW,KZ$1,0),0)</f>
        <v>0</v>
      </c>
      <c r="LA79" s="140">
        <f>IFERROR(VLOOKUP($D79,'Adient Taizhou (China) WK.16'!$B:JZ,KZ$1,0),0)</f>
        <v>0</v>
      </c>
      <c r="LB79" s="128">
        <v>0</v>
      </c>
      <c r="LC79" s="31">
        <v>0</v>
      </c>
      <c r="LD79" s="110">
        <f>((KX79-(KZ79+LA79+LB79)+LC79))</f>
        <v>9240</v>
      </c>
      <c r="LF79" s="37">
        <f t="shared" ref="LF79" si="941">LD79</f>
        <v>9240</v>
      </c>
      <c r="LG79" s="141">
        <f>IFERROR(VLOOKUP($D79,'Adient Assende (Belgium) WK.17'!$B:KD,LH$1,0),0)</f>
        <v>3840</v>
      </c>
      <c r="LH79" s="140">
        <f>IFERROR(VLOOKUP($D79,'Adient Arendal (Malzia) WK.12'!$B:KE,LH$1,0),0)</f>
        <v>0</v>
      </c>
      <c r="LI79" s="140">
        <f>IFERROR(VLOOKUP($D79,'Adient Taizhou (China) WK.16'!$B:KH,LH$1,0),0)</f>
        <v>0</v>
      </c>
      <c r="LJ79" s="60">
        <v>5760</v>
      </c>
      <c r="LK79" s="128">
        <v>0</v>
      </c>
      <c r="LL79" s="31">
        <v>0</v>
      </c>
      <c r="LM79" s="100">
        <f t="shared" si="852"/>
        <v>11160</v>
      </c>
      <c r="LO79" s="37">
        <f t="shared" ref="LO79" si="942">LM79</f>
        <v>11160</v>
      </c>
      <c r="LP79" s="141">
        <f>IFERROR(VLOOKUP($D79,'Adient Assende (Belgium) WK.17'!$B:KL,LQ$1,0),0)</f>
        <v>2880</v>
      </c>
      <c r="LQ79" s="140">
        <f>IFERROR(VLOOKUP($D79,'Adient Arendal (Malzia) WK.12'!$B:KM,LQ$1,0),0)</f>
        <v>0</v>
      </c>
      <c r="LR79" s="140">
        <f>IFERROR(VLOOKUP($D79,'Adient Taizhou (China) WK.16'!$B:KP,LQ$1,0),0)</f>
        <v>0</v>
      </c>
      <c r="LS79" s="128">
        <v>0</v>
      </c>
      <c r="LT79" s="31">
        <v>0</v>
      </c>
      <c r="LU79" s="100">
        <f t="shared" ref="LU79" si="943">((LO79-(LP79+LQ79+LR79)+LT79))</f>
        <v>8280</v>
      </c>
      <c r="LW79" s="37">
        <f t="shared" ref="LW79" si="944">LU79</f>
        <v>8280</v>
      </c>
      <c r="LX79" s="141">
        <f>IFERROR(VLOOKUP($D79,'Adient Assende (Belgium) WK.17'!$B:KT,LY$1,0),0)</f>
        <v>6720</v>
      </c>
      <c r="LY79" s="140">
        <f>IFERROR(VLOOKUP($D79,'Adient Arendal (Malzia) WK.12'!$B:KU,LY$1,0),0)</f>
        <v>0</v>
      </c>
      <c r="LZ79" s="140">
        <f>IFERROR(VLOOKUP($D79,'Adient Taizhou (China) WK.16'!$B:KX,LY$1,0),0)</f>
        <v>0</v>
      </c>
      <c r="MA79" s="128">
        <v>0</v>
      </c>
      <c r="MB79" s="31">
        <v>0</v>
      </c>
      <c r="MC79" s="100">
        <f t="shared" ref="MC79" si="945">((LW79-(LX79+LY79+LZ79)+MB79))</f>
        <v>1560</v>
      </c>
      <c r="ME79" s="37">
        <f t="shared" ref="ME79" si="946">MC79</f>
        <v>1560</v>
      </c>
      <c r="MF79" s="154">
        <f>IFERROR(VLOOKUP($D79,'Adient Assende (Belgium) WK.17'!$B:LB,MG$1,0),0)</f>
        <v>0</v>
      </c>
      <c r="MG79" s="140">
        <f>IFERROR(VLOOKUP($D79,'Adient Arendal (Malzia) WK.12'!$B:LC,MG$1,0),0)</f>
        <v>0</v>
      </c>
      <c r="MH79" s="140">
        <f>IFERROR(VLOOKUP($D79,'Adient Taizhou (China) WK.16'!$B:LF,MG$1,0),0)</f>
        <v>0</v>
      </c>
      <c r="MI79" s="128">
        <v>0</v>
      </c>
      <c r="MJ79" s="31">
        <v>0</v>
      </c>
      <c r="MK79" s="100">
        <f t="shared" ref="MK79" si="947">((ME79-(MF79+MG79+MH79)+MJ79))</f>
        <v>1560</v>
      </c>
      <c r="MM79" s="37">
        <f t="shared" ref="MM79" si="948">MK79</f>
        <v>1560</v>
      </c>
      <c r="MN79" s="141">
        <f>IFERROR(VLOOKUP($D79,'Adient Assende (Belgium) WK.17'!$B:LJ,MO$1,0),0)</f>
        <v>4800</v>
      </c>
      <c r="MO79" s="140">
        <f>IFERROR(VLOOKUP($D79,'Adient Arendal (Malzia) WK.12'!$B:LK,MO$1,0),0)</f>
        <v>0</v>
      </c>
      <c r="MP79" s="140">
        <f>IFERROR(VLOOKUP($D79,'Adient Taizhou (China) WK.16'!$B:LN,MO$1,0),0)</f>
        <v>0</v>
      </c>
      <c r="MQ79" s="128">
        <v>0</v>
      </c>
      <c r="MR79" s="31">
        <v>0</v>
      </c>
      <c r="MS79" s="100">
        <f t="shared" ref="MS79" si="949">((MM79-(MN79+MO79+MP79)+MR79))</f>
        <v>-3240</v>
      </c>
      <c r="MU79" s="37">
        <f t="shared" ref="MU79" si="950">MS79</f>
        <v>-3240</v>
      </c>
      <c r="MV79" s="141">
        <f>IFERROR(VLOOKUP($D79,'Adient Assende (Belgium) WK.17'!$B:LR,MW$1,0),0)</f>
        <v>5760</v>
      </c>
      <c r="MW79" s="140">
        <f>IFERROR(VLOOKUP($D79,'Adient Arendal (Malzia) WK.12'!$B:LS,MW$1,0),0)</f>
        <v>0</v>
      </c>
      <c r="MX79" s="140">
        <f>IFERROR(VLOOKUP($D79,'Adient Taizhou (China) WK.16'!$B:LV,MW$1,0),0)</f>
        <v>0</v>
      </c>
      <c r="MY79" s="128">
        <v>0</v>
      </c>
      <c r="MZ79" s="31">
        <v>0</v>
      </c>
      <c r="NA79" s="100">
        <f t="shared" ref="NA79" si="951">((MU79-(MV79+MW79+MX79)+MZ79))</f>
        <v>-9000</v>
      </c>
      <c r="NC79" s="37">
        <f t="shared" ref="NC79" si="952">NA79</f>
        <v>-9000</v>
      </c>
      <c r="ND79" s="141">
        <f>IFERROR(VLOOKUP($D79,'Adient Assende (Belgium) WK.17'!$B:LZ,NE$1,0),0)</f>
        <v>4800</v>
      </c>
      <c r="NE79" s="140">
        <f>IFERROR(VLOOKUP($D79,'Adient Arendal (Malzia) WK.12'!$B:MA,NE$1,0),0)</f>
        <v>0</v>
      </c>
      <c r="NF79" s="140">
        <f>IFERROR(VLOOKUP($D79,'Adient Taizhou (China) WK.16'!$B:MD,NE$1,0),0)</f>
        <v>0</v>
      </c>
      <c r="NG79" s="128">
        <v>0</v>
      </c>
      <c r="NH79" s="31">
        <v>0</v>
      </c>
      <c r="NI79" s="100">
        <f t="shared" ref="NI79" si="953">((NC79-(ND79+NE79+NF79)+NH79))</f>
        <v>-13800</v>
      </c>
      <c r="NK79" s="37">
        <f t="shared" ref="NK79" si="954">NI79</f>
        <v>-13800</v>
      </c>
      <c r="NL79" s="141">
        <f>IFERROR(VLOOKUP($D79,'Adient Assende (Belgium) WK.17'!$B:MH,NM$1,0),0)</f>
        <v>4800</v>
      </c>
      <c r="NM79" s="140">
        <f>IFERROR(VLOOKUP($D79,'Adient Arendal (Malzia) WK.12'!$B:MI,NM$1,0),0)</f>
        <v>0</v>
      </c>
      <c r="NN79" s="140">
        <f>IFERROR(VLOOKUP($D79,'Adient Taizhou (China) WK.16'!$B:ML,NM$1,0),0)</f>
        <v>0</v>
      </c>
      <c r="NO79" s="128">
        <v>0</v>
      </c>
      <c r="NP79" s="31">
        <v>0</v>
      </c>
      <c r="NQ79" s="100">
        <f t="shared" ref="NQ79" si="955">((NK79-(NL79+NM79+NN79)+NP79))</f>
        <v>-18600</v>
      </c>
      <c r="NS79" s="37">
        <f t="shared" ref="NS79" si="956">NQ79</f>
        <v>-18600</v>
      </c>
      <c r="NT79" s="141">
        <f>IFERROR(VLOOKUP($D79,'Adient Assende (Belgium) WK.17'!$B:MP,NU$1,0),0)</f>
        <v>5760</v>
      </c>
      <c r="NU79" s="140">
        <f>IFERROR(VLOOKUP($D79,'Adient Arendal (Malzia) WK.12'!$B:MQ,NU$1,0),0)</f>
        <v>0</v>
      </c>
      <c r="NV79" s="140">
        <f>IFERROR(VLOOKUP($D79,'Adient Taizhou (China) WK.16'!$B:MT,NU$1,0),0)</f>
        <v>0</v>
      </c>
      <c r="NW79" s="128">
        <v>0</v>
      </c>
      <c r="NX79" s="31">
        <v>0</v>
      </c>
      <c r="NY79" s="100">
        <f t="shared" ref="NY79" si="957">((NS79-(NT79+NU79+NV79)+NX79))</f>
        <v>-24360</v>
      </c>
      <c r="OA79" s="37">
        <f t="shared" ref="OA79" si="958">NY79</f>
        <v>-24360</v>
      </c>
      <c r="OB79" s="141">
        <f>IFERROR(VLOOKUP($D79,'Adient Assende (Belgium) WK.17'!$B:MX,OC$1,0),0)</f>
        <v>3840</v>
      </c>
      <c r="OC79" s="140">
        <f>IFERROR(VLOOKUP($D79,'Adient Arendal (Malzia) WK.12'!$B:MY,OC$1,0),0)</f>
        <v>0</v>
      </c>
      <c r="OD79" s="140">
        <f>IFERROR(VLOOKUP($D79,'Adient Taizhou (China) WK.16'!$B:NB,OC$1,0),0)</f>
        <v>0</v>
      </c>
      <c r="OE79" s="128">
        <v>0</v>
      </c>
      <c r="OF79" s="31">
        <v>0</v>
      </c>
      <c r="OG79" s="100">
        <f t="shared" ref="OG79" si="959">((OA79-(OB79+OC79+OD79)+OF79))</f>
        <v>-28200</v>
      </c>
      <c r="OI79" s="37">
        <f t="shared" ref="OI79" si="960">OG79</f>
        <v>-28200</v>
      </c>
      <c r="OJ79" s="141">
        <f>IFERROR(VLOOKUP($D79,'Adient Assende (Belgium) WK.17'!$B:NF,OK$1,0),0)</f>
        <v>7680</v>
      </c>
      <c r="OK79" s="140">
        <f>IFERROR(VLOOKUP($D79,'Adient Arendal (Malzia) WK.12'!$B:NG,OK$1,0),0)</f>
        <v>0</v>
      </c>
      <c r="OL79" s="140">
        <f>IFERROR(VLOOKUP($D79,'Adient Taizhou (China) WK.16'!$B:NJ,OK$1,0),0)</f>
        <v>0</v>
      </c>
      <c r="OM79" s="128">
        <v>0</v>
      </c>
      <c r="ON79" s="31">
        <v>0</v>
      </c>
      <c r="OO79" s="100">
        <f t="shared" ref="OO79" si="961">((OI79-(OJ79+OK79+OL79)+ON79))</f>
        <v>-35880</v>
      </c>
      <c r="OQ79" s="37">
        <f t="shared" ref="OQ79" si="962">OO79</f>
        <v>-35880</v>
      </c>
      <c r="OR79" s="141">
        <f>IFERROR(VLOOKUP($D79,'Adient Assende (Belgium) WK.17'!$B:NN,OS$1,0),0)</f>
        <v>0</v>
      </c>
      <c r="OS79" s="140">
        <f>IFERROR(VLOOKUP($D79,'Adient Arendal (Malzia) WK.12'!$B:NO,OS$1,0),0)</f>
        <v>0</v>
      </c>
      <c r="OT79" s="140">
        <f>IFERROR(VLOOKUP($D79,'Adient Taizhou (China) WK.16'!$B:NR,OS$1,0),0)</f>
        <v>0</v>
      </c>
      <c r="OU79" s="128">
        <v>0</v>
      </c>
      <c r="OV79" s="31">
        <v>0</v>
      </c>
      <c r="OW79" s="100">
        <f t="shared" ref="OW79" si="963">((OQ79-(OR79+OS79+OT79)+OV79))</f>
        <v>-35880</v>
      </c>
      <c r="OY79" s="37">
        <f t="shared" ref="OY79" si="964">OW79</f>
        <v>-35880</v>
      </c>
      <c r="OZ79" s="141">
        <f>IFERROR(VLOOKUP($D79,'Adient Assende (Belgium) WK.17'!$B:NV,PA$1,0),0)</f>
        <v>0</v>
      </c>
      <c r="PA79" s="140">
        <f>IFERROR(VLOOKUP($D79,'Adient Arendal (Malzia) WK.12'!$B:NW,PA$1,0),0)</f>
        <v>0</v>
      </c>
      <c r="PB79" s="140">
        <f>IFERROR(VLOOKUP($D79,'Adient Taizhou (China) WK.16'!$B:NZ,PA$1,0),0)</f>
        <v>0</v>
      </c>
      <c r="PC79" s="128">
        <v>0</v>
      </c>
      <c r="PD79" s="31">
        <v>0</v>
      </c>
      <c r="PE79" s="100">
        <f t="shared" ref="PE79" si="965">((OY79-(OZ79+PA79+PB79)+PD79))</f>
        <v>-35880</v>
      </c>
      <c r="PG79" s="37">
        <f t="shared" ref="PG79" si="966">PE79</f>
        <v>-35880</v>
      </c>
      <c r="PH79" s="141">
        <f>IFERROR(VLOOKUP($D79,'Adient Assende (Belgium) WK.17'!$B:OD,PI$1,0),0)</f>
        <v>0</v>
      </c>
      <c r="PI79" s="140">
        <f>IFERROR(VLOOKUP($D79,'Adient Arendal (Malzia) WK.12'!$B:OE,PI$1,0),0)</f>
        <v>0</v>
      </c>
      <c r="PJ79" s="140">
        <f>IFERROR(VLOOKUP($D79,'Adient Taizhou (China) WK.16'!$B:OH,PI$1,0),0)</f>
        <v>0</v>
      </c>
      <c r="PK79" s="128">
        <v>0</v>
      </c>
      <c r="PL79" s="31">
        <v>0</v>
      </c>
      <c r="PM79" s="100">
        <f t="shared" ref="PM79" si="967">((PG79-(PH79+PI79+PJ79)+PL79))</f>
        <v>-35880</v>
      </c>
      <c r="PO79" s="37">
        <f t="shared" ref="PO79" si="968">PM79</f>
        <v>-35880</v>
      </c>
      <c r="PP79" s="141">
        <f>IFERROR(VLOOKUP($D79,'Adient Assende (Belgium) WK.17'!$B:OL,PQ$1,0),0)</f>
        <v>0</v>
      </c>
      <c r="PQ79" s="140">
        <f>IFERROR(VLOOKUP($D79,'Adient Arendal (Malzia) WK.12'!$B:OM,PQ$1,0),0)</f>
        <v>0</v>
      </c>
      <c r="PR79" s="140">
        <f>IFERROR(VLOOKUP($D79,'Adient Taizhou (China) WK.16'!$B:OP,PQ$1,0),0)</f>
        <v>0</v>
      </c>
      <c r="PS79" s="128">
        <v>0</v>
      </c>
      <c r="PT79" s="31">
        <v>0</v>
      </c>
      <c r="PU79" s="100">
        <f t="shared" ref="PU79" si="969">((PO79-(PP79+PQ79+PR79)+PT79))</f>
        <v>-35880</v>
      </c>
      <c r="PW79" s="37">
        <f t="shared" ref="PW79" si="970">PU79</f>
        <v>-35880</v>
      </c>
      <c r="PX79" s="141">
        <f>IFERROR(VLOOKUP($D79,'Adient Assende (Belgium) WK.17'!$B:OT,PY$1,0),0)</f>
        <v>3840</v>
      </c>
      <c r="PY79" s="140">
        <f>IFERROR(VLOOKUP($D79,'Adient Arendal (Malzia) WK.12'!$B:OU,PY$1,0),0)</f>
        <v>0</v>
      </c>
      <c r="PZ79" s="140">
        <f>IFERROR(VLOOKUP($D79,'Adient Taizhou (China) WK.16'!$B:OX,PY$1,0),0)</f>
        <v>0</v>
      </c>
      <c r="QA79" s="128">
        <v>0</v>
      </c>
      <c r="QB79" s="31">
        <v>0</v>
      </c>
      <c r="QC79" s="100">
        <f t="shared" ref="QC79" si="971">((PW79-(PX79+PY79+PZ79)+QB79))</f>
        <v>-39720</v>
      </c>
      <c r="QE79" s="37">
        <f t="shared" ref="QE79" si="972">QC79</f>
        <v>-39720</v>
      </c>
      <c r="QF79" s="141">
        <f>IFERROR(VLOOKUP($D79,'Adient Assende (Belgium) WK.17'!$B:PB,QG$1,0),0)</f>
        <v>3840</v>
      </c>
      <c r="QG79" s="140">
        <f>IFERROR(VLOOKUP($D79,'Adient Arendal (Malzia) WK.12'!$B:PC,QG$1,0),0)</f>
        <v>0</v>
      </c>
      <c r="QH79" s="140">
        <f>IFERROR(VLOOKUP($D79,'Adient Taizhou (China) WK.16'!$B:PF,QG$1,0),0)</f>
        <v>0</v>
      </c>
      <c r="QI79" s="128">
        <v>0</v>
      </c>
      <c r="QJ79" s="31">
        <v>0</v>
      </c>
      <c r="QK79" s="100">
        <f t="shared" ref="QK79" si="973">((QE79-(QF79+QG79+QH79)+QJ79))</f>
        <v>-43560</v>
      </c>
      <c r="QM79" s="37">
        <f t="shared" ref="QM79" si="974">QK79</f>
        <v>-43560</v>
      </c>
      <c r="QN79" s="141">
        <f>IFERROR(VLOOKUP($D79,'Adient Assende (Belgium) WK.17'!$B:PJ,QO$1,0),0)</f>
        <v>3840</v>
      </c>
      <c r="QO79" s="140">
        <f>IFERROR(VLOOKUP($D79,'Adient Arendal (Malzia) WK.12'!$B:PK,QO$1,0),0)</f>
        <v>0</v>
      </c>
      <c r="QP79" s="140">
        <f>IFERROR(VLOOKUP($D79,'Adient Taizhou (China) WK.16'!$B:PN,QO$1,0),0)</f>
        <v>0</v>
      </c>
      <c r="QQ79" s="128">
        <v>0</v>
      </c>
      <c r="QR79" s="31">
        <v>0</v>
      </c>
      <c r="QS79" s="100">
        <f t="shared" ref="QS79" si="975">((QM79-(QN79+QO79+QP79)+QR79))</f>
        <v>-47400</v>
      </c>
      <c r="QU79" s="37">
        <f t="shared" ref="QU79" si="976">QS79</f>
        <v>-47400</v>
      </c>
      <c r="QV79" s="141">
        <f>IFERROR(VLOOKUP($D79,'Adient Assende (Belgium) WK.17'!$B:PR,QW$1,0),0)</f>
        <v>4080</v>
      </c>
      <c r="QW79" s="140">
        <f>IFERROR(VLOOKUP($D79,'Adient Arendal (Malzia) WK.12'!$B:PS,QW$1,0),0)</f>
        <v>0</v>
      </c>
      <c r="QX79" s="140">
        <f>IFERROR(VLOOKUP($D79,'Adient Taizhou (China) WK.16'!$B:PV,QW$1,0),0)</f>
        <v>0</v>
      </c>
      <c r="QY79" s="128">
        <v>0</v>
      </c>
      <c r="QZ79" s="31">
        <v>0</v>
      </c>
      <c r="RA79" s="100">
        <f t="shared" ref="RA79" si="977">((QU79-(QV79+QW79+QX79)+QZ79))</f>
        <v>-51480</v>
      </c>
      <c r="RC79" s="37">
        <f t="shared" ref="RC79" si="978">RA79</f>
        <v>-51480</v>
      </c>
      <c r="RD79" s="141">
        <f>IFERROR(VLOOKUP($D79,'Adient Assende (Belgium) WK.17'!$B:PZ,RE$1,0),0)</f>
        <v>4080</v>
      </c>
      <c r="RE79" s="140">
        <f>IFERROR(VLOOKUP($D79,'Adient Arendal (Malzia) WK.12'!$B:QA,RE$1,0),0)</f>
        <v>0</v>
      </c>
      <c r="RF79" s="140">
        <f>IFERROR(VLOOKUP($D79,'Adient Taizhou (China) WK.16'!$B:QD,RE$1,0),0)</f>
        <v>0</v>
      </c>
      <c r="RG79" s="128">
        <v>0</v>
      </c>
      <c r="RH79" s="31">
        <v>0</v>
      </c>
      <c r="RI79" s="100">
        <f t="shared" ref="RI79" si="979">((RC79-(RD79+RE79+RF79)+RH79))</f>
        <v>-55560</v>
      </c>
      <c r="RK79" s="37">
        <f t="shared" ref="RK79" si="980">RI79</f>
        <v>-55560</v>
      </c>
      <c r="RL79" s="141">
        <f>IFERROR(VLOOKUP($D79,'Adient Assende (Belgium) WK.17'!$B:QH,RM$1,0),0)</f>
        <v>4080</v>
      </c>
      <c r="RM79" s="140">
        <f>IFERROR(VLOOKUP($D79,'Adient Arendal (Malzia) WK.12'!$B:QI,RM$1,0),0)</f>
        <v>0</v>
      </c>
      <c r="RN79" s="140">
        <f>IFERROR(VLOOKUP($D79,'Adient Taizhou (China) WK.16'!$B:QL,RM$1,0),0)</f>
        <v>0</v>
      </c>
      <c r="RO79" s="128">
        <v>0</v>
      </c>
      <c r="RP79" s="31">
        <v>0</v>
      </c>
      <c r="RQ79" s="100">
        <f t="shared" ref="RQ79" si="981">((RK79-(RL79+RM79+RN79)+RP79))</f>
        <v>-59640</v>
      </c>
      <c r="RS79" s="37">
        <f t="shared" ref="RS79" si="982">RQ79</f>
        <v>-59640</v>
      </c>
      <c r="RT79" s="141">
        <f>IFERROR(VLOOKUP($D79,'Adient Assende (Belgium) WK.17'!$B:QP,RU$1,0),0)</f>
        <v>4080</v>
      </c>
      <c r="RU79" s="140">
        <f>IFERROR(VLOOKUP($D79,'Adient Arendal (Malzia) WK.12'!$B:QQ,RU$1,0),0)</f>
        <v>0</v>
      </c>
      <c r="RV79" s="140">
        <f>IFERROR(VLOOKUP($D79,'Adient Taizhou (China) WK.16'!$B:QT,RU$1,0),0)</f>
        <v>0</v>
      </c>
      <c r="RW79" s="128">
        <v>0</v>
      </c>
      <c r="RX79" s="31">
        <v>0</v>
      </c>
      <c r="RY79" s="100">
        <f t="shared" ref="RY79" si="983">((RS79-(RT79+RU79+RV79)+RX79))</f>
        <v>-63720</v>
      </c>
      <c r="SA79" s="37">
        <f t="shared" ref="SA79" si="984">RY79</f>
        <v>-63720</v>
      </c>
      <c r="SB79" s="141">
        <f>IFERROR(VLOOKUP($D79,'Adient Assende (Belgium) WK.17'!$B:QX,SC$1,0),0)</f>
        <v>2880</v>
      </c>
      <c r="SC79" s="140">
        <f>IFERROR(VLOOKUP($D79,'Adient Arendal (Malzia) WK.12'!$B:QY,SC$1,0),0)</f>
        <v>0</v>
      </c>
      <c r="SD79" s="140">
        <f>IFERROR(VLOOKUP($D79,'Adient Taizhou (China) WK.16'!$B:RB,SC$1,0),0)</f>
        <v>0</v>
      </c>
      <c r="SE79" s="128">
        <v>0</v>
      </c>
      <c r="SF79" s="31">
        <v>0</v>
      </c>
      <c r="SG79" s="100">
        <f t="shared" ref="SG79" si="985">((SA79-(SB79+SC79+SD79)+SF79))</f>
        <v>-66600</v>
      </c>
      <c r="SI79" s="37">
        <f t="shared" ref="SI79" si="986">SG79</f>
        <v>-66600</v>
      </c>
      <c r="SJ79" s="141">
        <f>IFERROR(VLOOKUP($D79,'Adient Assende (Belgium) WK.17'!$B:RF,SK$1,0),0)</f>
        <v>2880</v>
      </c>
      <c r="SK79" s="140">
        <f>IFERROR(VLOOKUP($D79,'Adient Arendal (Malzia) WK.12'!$B:RG,SK$1,0),0)</f>
        <v>0</v>
      </c>
      <c r="SL79" s="140">
        <f>IFERROR(VLOOKUP($D79,'Adient Taizhou (China) WK.16'!$B:RJ,SK$1,0),0)</f>
        <v>0</v>
      </c>
      <c r="SM79" s="128">
        <v>0</v>
      </c>
      <c r="SN79" s="31">
        <v>0</v>
      </c>
      <c r="SO79" s="100">
        <f t="shared" ref="SO79" si="987">((SI79-(SJ79+SK79+SL79)+SN79))</f>
        <v>-69480</v>
      </c>
      <c r="SQ79" s="37">
        <f t="shared" ref="SQ79" si="988">SO79</f>
        <v>-69480</v>
      </c>
      <c r="SR79" s="141">
        <f>IFERROR(VLOOKUP($D79,'Adient Assende (Belgium) WK.17'!$B:RN,SS$1,0),0)</f>
        <v>2880</v>
      </c>
      <c r="SS79" s="140">
        <f>IFERROR(VLOOKUP($D79,'Adient Arendal (Malzia) WK.12'!$B:RO,SS$1,0),0)</f>
        <v>0</v>
      </c>
      <c r="ST79" s="140">
        <f>IFERROR(VLOOKUP($D79,'Adient Taizhou (China) WK.16'!$B:RR,SS$1,0),0)</f>
        <v>0</v>
      </c>
      <c r="SU79" s="128">
        <v>0</v>
      </c>
      <c r="SV79" s="31">
        <v>0</v>
      </c>
      <c r="SW79" s="100">
        <f t="shared" ref="SW79" si="989">((SQ79-(SR79+SS79+ST79)+SV79))</f>
        <v>-72360</v>
      </c>
      <c r="SY79" s="37">
        <f t="shared" ref="SY79" si="990">SW79</f>
        <v>-72360</v>
      </c>
      <c r="SZ79" s="141">
        <f>IFERROR(VLOOKUP($D79,'Adient Assende (Belgium) WK.17'!$B:RV,TA$1,0),0)</f>
        <v>2880</v>
      </c>
      <c r="TA79" s="140">
        <f>IFERROR(VLOOKUP($D79,'Adient Arendal (Malzia) WK.12'!$B:RW,TA$1,0),0)</f>
        <v>0</v>
      </c>
      <c r="TB79" s="140">
        <f>IFERROR(VLOOKUP($D79,'Adient Taizhou (China) WK.16'!$B:RZ,TA$1,0),0)</f>
        <v>0</v>
      </c>
      <c r="TC79" s="128">
        <v>0</v>
      </c>
      <c r="TD79" s="31">
        <v>0</v>
      </c>
      <c r="TE79" s="100">
        <f t="shared" ref="TE79" si="991">((SY79-(SZ79+TA79+TB79)+TD79))</f>
        <v>-75240</v>
      </c>
      <c r="TG79" s="37">
        <f t="shared" ref="TG79" si="992">TE79</f>
        <v>-75240</v>
      </c>
      <c r="TH79" s="141">
        <f>IFERROR(VLOOKUP($D79,'Adient Assende (Belgium) WK.17'!$B:SD,TI$1,0),0)</f>
        <v>4040</v>
      </c>
      <c r="TI79" s="140">
        <f>IFERROR(VLOOKUP($D79,'Adient Arendal (Malzia) WK.12'!$B:SE,TI$1,0),0)</f>
        <v>0</v>
      </c>
      <c r="TJ79" s="140">
        <f>IFERROR(VLOOKUP($D79,'Adient Taizhou (China) WK.16'!$B:SH,TI$1,0),0)</f>
        <v>0</v>
      </c>
      <c r="TK79" s="128">
        <v>0</v>
      </c>
      <c r="TL79" s="31">
        <v>0</v>
      </c>
      <c r="TM79" s="100">
        <f t="shared" ref="TM79" si="993">((TG79-(TH79+TI79+TJ79)+TL79))</f>
        <v>-79280</v>
      </c>
      <c r="TO79" s="37">
        <f t="shared" ref="TO79" si="994">TM79</f>
        <v>-79280</v>
      </c>
      <c r="TP79" s="141">
        <f>IFERROR(VLOOKUP($D79,'Adient Assende (Belgium) WK.17'!$B:SL,TQ$1,0),0)</f>
        <v>4040</v>
      </c>
      <c r="TQ79" s="140">
        <f>IFERROR(VLOOKUP($D79,'Adient Arendal (Malzia) WK.12'!$B:SM,TQ$1,0),0)</f>
        <v>0</v>
      </c>
      <c r="TR79" s="140">
        <f>IFERROR(VLOOKUP($D79,'Adient Taizhou (China) WK.16'!$B:SP,TQ$1,0),0)</f>
        <v>0</v>
      </c>
      <c r="TS79" s="128">
        <v>0</v>
      </c>
      <c r="TT79" s="31">
        <v>0</v>
      </c>
      <c r="TU79" s="100">
        <f t="shared" ref="TU79" si="995">((TO79-(TP79+TQ79+TR79)+TT79))</f>
        <v>-83320</v>
      </c>
      <c r="TW79" s="37">
        <f t="shared" ref="TW79" si="996">TU79</f>
        <v>-83320</v>
      </c>
      <c r="TX79" s="141">
        <f>IFERROR(VLOOKUP($D79,'Adient Assende (Belgium) WK.17'!$B:ST,TY$1,0),0)</f>
        <v>4040</v>
      </c>
      <c r="TY79" s="140">
        <f>IFERROR(VLOOKUP($D79,'Adient Arendal (Malzia) WK.12'!$B:SU,TY$1,0),0)</f>
        <v>0</v>
      </c>
      <c r="TZ79" s="140">
        <f>IFERROR(VLOOKUP($D79,'Adient Taizhou (China) WK.16'!$B:SX,TY$1,0),0)</f>
        <v>0</v>
      </c>
      <c r="UA79" s="128">
        <v>0</v>
      </c>
      <c r="UB79" s="31">
        <v>0</v>
      </c>
      <c r="UC79" s="100">
        <f t="shared" ref="UC79" si="997">((TW79-(TX79+TY79+TZ79)+UB79))</f>
        <v>-87360</v>
      </c>
      <c r="UE79" s="37">
        <f t="shared" ref="UE79" si="998">UC79</f>
        <v>-87360</v>
      </c>
      <c r="UF79" s="141">
        <f>IFERROR(VLOOKUP($D79,'Adient Assende (Belgium) WK.17'!$B:TB,UG$1,0),0)</f>
        <v>4040</v>
      </c>
      <c r="UG79" s="140">
        <f>IFERROR(VLOOKUP($D79,'Adient Arendal (Malzia) WK.12'!$B:TC,UG$1,0),0)</f>
        <v>0</v>
      </c>
      <c r="UH79" s="140">
        <f>IFERROR(VLOOKUP($D79,'Adient Taizhou (China) WK.16'!$B:TF,UG$1,0),0)</f>
        <v>0</v>
      </c>
      <c r="UI79" s="128">
        <v>0</v>
      </c>
      <c r="UJ79" s="31">
        <v>0</v>
      </c>
      <c r="UK79" s="100">
        <f t="shared" ref="UK79" si="999">((UE79-(UF79+UG79+UH79)+UJ79))</f>
        <v>-91400</v>
      </c>
      <c r="UM79" s="37">
        <f t="shared" ref="UM79" si="1000">UK79</f>
        <v>-91400</v>
      </c>
      <c r="UN79" s="141">
        <f>IFERROR(VLOOKUP($D79,'Adient Assende (Belgium) WK.17'!$B:TJ,UO$1,0),0)</f>
        <v>4000</v>
      </c>
      <c r="UO79" s="140">
        <f>IFERROR(VLOOKUP($D79,'Adient Arendal (Malzia) WK.12'!$B:TK,UO$1,0),0)</f>
        <v>0</v>
      </c>
      <c r="UP79" s="140">
        <f>IFERROR(VLOOKUP($D79,'Adient Taizhou (China) WK.16'!$B:TN,UO$1,0),0)</f>
        <v>0</v>
      </c>
      <c r="UQ79" s="128">
        <v>0</v>
      </c>
      <c r="UR79" s="31">
        <v>0</v>
      </c>
      <c r="US79" s="100">
        <f t="shared" ref="US79" si="1001">((UM79-(UN79+UO79+UP79)+UR79))</f>
        <v>-95400</v>
      </c>
      <c r="UU79" s="37">
        <f t="shared" ref="UU79" si="1002">US79</f>
        <v>-95400</v>
      </c>
      <c r="UV79" s="141">
        <f>IFERROR(VLOOKUP($D79,'Adient Assende (Belgium) WK.17'!$B:TR,UW$1,0),0)</f>
        <v>4800</v>
      </c>
      <c r="UW79" s="140">
        <f>IFERROR(VLOOKUP($D79,'Adient Arendal (Malzia) WK.12'!$B:TS,UW$1,0),0)</f>
        <v>0</v>
      </c>
      <c r="UX79" s="140">
        <f>IFERROR(VLOOKUP($D79,'Adient Taizhou (China) WK.16'!$B:TV,UW$1,0),0)</f>
        <v>0</v>
      </c>
      <c r="UY79" s="128">
        <v>0</v>
      </c>
      <c r="UZ79" s="31">
        <v>0</v>
      </c>
      <c r="VA79" s="100">
        <f t="shared" ref="VA79" si="1003">((UU79-(UV79+UW79+UX79)+UZ79))</f>
        <v>-100200</v>
      </c>
      <c r="VC79" s="37">
        <f t="shared" ref="VC79" si="1004">VA79</f>
        <v>-100200</v>
      </c>
      <c r="VD79" s="141">
        <f>IFERROR(VLOOKUP($D79,'Adient Assende (Belgium) WK.17'!$B:TZ,VE$1,0),0)</f>
        <v>4800</v>
      </c>
      <c r="VE79" s="140">
        <f>IFERROR(VLOOKUP($D79,'Adient Arendal (Malzia) WK.12'!$B:UA,VE$1,0),0)</f>
        <v>0</v>
      </c>
      <c r="VF79" s="140">
        <f>IFERROR(VLOOKUP($D79,'Adient Taizhou (China) WK.16'!$B:UD,VE$1,0),0)</f>
        <v>0</v>
      </c>
      <c r="VG79" s="128">
        <v>0</v>
      </c>
      <c r="VH79" s="31">
        <v>0</v>
      </c>
      <c r="VI79" s="100">
        <f t="shared" ref="VI79" si="1005">((VC79-(VD79+VE79+VF79)+VH79))</f>
        <v>-105000</v>
      </c>
      <c r="VK79" s="37">
        <f t="shared" ref="VK79" si="1006">VI79</f>
        <v>-105000</v>
      </c>
      <c r="VL79" s="141">
        <f>IFERROR(VLOOKUP($D79,'Adient Assende (Belgium) WK.17'!$B:UH,VM$1,0),0)</f>
        <v>0</v>
      </c>
      <c r="VM79" s="140">
        <f>IFERROR(VLOOKUP($D79,'Adient Arendal (Malzia) WK.12'!$B:UI,VM$1,0),0)</f>
        <v>0</v>
      </c>
      <c r="VN79" s="140">
        <f>IFERROR(VLOOKUP($D79,'Adient Taizhou (China) WK.16'!$B:UL,VM$1,0),0)</f>
        <v>0</v>
      </c>
      <c r="VO79" s="128">
        <v>0</v>
      </c>
      <c r="VP79" s="31">
        <v>0</v>
      </c>
      <c r="VQ79" s="100">
        <f t="shared" ref="VQ79" si="1007">((VK79-(VL79+VM79+VN79)+VP79))</f>
        <v>-105000</v>
      </c>
    </row>
    <row r="80" spans="1:589" ht="15.75" thickBot="1" x14ac:dyDescent="0.3">
      <c r="A80" s="24" t="s">
        <v>6</v>
      </c>
      <c r="B80" s="25"/>
      <c r="C80" s="25"/>
      <c r="D80" s="25"/>
      <c r="E80" s="25"/>
      <c r="F80" s="26"/>
      <c r="H80" s="13">
        <f t="shared" ref="H80" si="1008">SUM(H79)</f>
        <v>30720</v>
      </c>
      <c r="I80" s="13">
        <f t="shared" ref="I80:N80" si="1009">SUM(I79)</f>
        <v>4800</v>
      </c>
      <c r="J80" s="13">
        <f t="shared" si="1009"/>
        <v>0</v>
      </c>
      <c r="K80" s="13">
        <f t="shared" si="1009"/>
        <v>0</v>
      </c>
      <c r="L80" s="13">
        <f t="shared" si="1009"/>
        <v>1920</v>
      </c>
      <c r="M80" s="13">
        <f t="shared" si="1009"/>
        <v>0</v>
      </c>
      <c r="N80" s="13">
        <f t="shared" si="1009"/>
        <v>28800</v>
      </c>
      <c r="P80" s="13">
        <f t="shared" ref="P80:CS80" si="1010">SUM(P79)</f>
        <v>28800</v>
      </c>
      <c r="Q80" s="13">
        <f t="shared" ref="Q80:V80" si="1011">SUM(Q79)</f>
        <v>1920</v>
      </c>
      <c r="R80" s="13">
        <f t="shared" si="1011"/>
        <v>0</v>
      </c>
      <c r="S80" s="13">
        <f t="shared" si="1011"/>
        <v>0</v>
      </c>
      <c r="T80" s="13">
        <f t="shared" si="1011"/>
        <v>3840</v>
      </c>
      <c r="U80" s="13">
        <f t="shared" si="1011"/>
        <v>0</v>
      </c>
      <c r="V80" s="13">
        <f t="shared" si="1011"/>
        <v>24960</v>
      </c>
      <c r="X80" s="13">
        <f t="shared" si="1010"/>
        <v>24960</v>
      </c>
      <c r="Y80" s="13">
        <f t="shared" ref="Y80:AD80" si="1012">SUM(Y79)</f>
        <v>3840</v>
      </c>
      <c r="Z80" s="13">
        <f t="shared" si="1012"/>
        <v>0</v>
      </c>
      <c r="AA80" s="13">
        <f t="shared" si="1012"/>
        <v>0</v>
      </c>
      <c r="AB80" s="13">
        <f t="shared" si="1012"/>
        <v>3840</v>
      </c>
      <c r="AC80" s="13">
        <f t="shared" si="1012"/>
        <v>0</v>
      </c>
      <c r="AD80" s="13">
        <f t="shared" si="1012"/>
        <v>21120</v>
      </c>
      <c r="AF80" s="13">
        <f t="shared" si="1010"/>
        <v>21120</v>
      </c>
      <c r="AG80" s="13">
        <f t="shared" ref="AG80:AL80" si="1013">SUM(AG79)</f>
        <v>3840</v>
      </c>
      <c r="AH80" s="13">
        <f t="shared" si="1013"/>
        <v>0</v>
      </c>
      <c r="AI80" s="13">
        <f t="shared" si="1013"/>
        <v>0</v>
      </c>
      <c r="AJ80" s="13">
        <f t="shared" si="1013"/>
        <v>2880</v>
      </c>
      <c r="AK80" s="13">
        <f t="shared" si="1013"/>
        <v>0</v>
      </c>
      <c r="AL80" s="13">
        <f t="shared" si="1013"/>
        <v>18240</v>
      </c>
      <c r="AN80" s="13">
        <f t="shared" si="1010"/>
        <v>18240</v>
      </c>
      <c r="AO80" s="13">
        <f t="shared" ref="AO80" si="1014">SUM(AO79)</f>
        <v>2880</v>
      </c>
      <c r="AP80" s="13">
        <f t="shared" ref="AP80:AU80" si="1015">SUM(AP79)</f>
        <v>0</v>
      </c>
      <c r="AQ80" s="13">
        <f t="shared" si="1015"/>
        <v>0</v>
      </c>
      <c r="AR80" s="13">
        <f t="shared" si="1015"/>
        <v>0</v>
      </c>
      <c r="AS80" s="13">
        <f t="shared" si="1015"/>
        <v>3840</v>
      </c>
      <c r="AT80" s="13">
        <f t="shared" si="1015"/>
        <v>0</v>
      </c>
      <c r="AU80" s="13">
        <f t="shared" si="1015"/>
        <v>14400</v>
      </c>
      <c r="AW80" s="13">
        <f t="shared" si="1010"/>
        <v>14400</v>
      </c>
      <c r="AX80" s="13">
        <f t="shared" ref="AX80:BC80" si="1016">SUM(AX79)</f>
        <v>3840</v>
      </c>
      <c r="AY80" s="13">
        <f t="shared" si="1016"/>
        <v>0</v>
      </c>
      <c r="AZ80" s="13">
        <f t="shared" si="1016"/>
        <v>0</v>
      </c>
      <c r="BA80" s="13">
        <f t="shared" si="1016"/>
        <v>2880</v>
      </c>
      <c r="BB80" s="13">
        <f t="shared" si="1016"/>
        <v>0</v>
      </c>
      <c r="BC80" s="13">
        <f t="shared" si="1016"/>
        <v>11520</v>
      </c>
      <c r="BE80" s="13">
        <f t="shared" si="1010"/>
        <v>11520</v>
      </c>
      <c r="BF80" s="13">
        <f t="shared" ref="BF80:BG80" si="1017">SUM(BF79)</f>
        <v>2880</v>
      </c>
      <c r="BG80" s="13">
        <f t="shared" si="1017"/>
        <v>0</v>
      </c>
      <c r="BH80" s="13">
        <f t="shared" ref="BH80:BM80" si="1018">SUM(BH79)</f>
        <v>0</v>
      </c>
      <c r="BI80" s="13">
        <f t="shared" si="1018"/>
        <v>0</v>
      </c>
      <c r="BJ80" s="13">
        <f t="shared" si="1018"/>
        <v>0</v>
      </c>
      <c r="BK80" s="13">
        <f t="shared" si="1018"/>
        <v>2880</v>
      </c>
      <c r="BL80" s="13">
        <f t="shared" si="1018"/>
        <v>0</v>
      </c>
      <c r="BM80" s="13">
        <f t="shared" si="1018"/>
        <v>8640</v>
      </c>
      <c r="BN80" s="8"/>
      <c r="BO80" s="13">
        <f t="shared" si="1010"/>
        <v>8640</v>
      </c>
      <c r="BP80" s="13">
        <f t="shared" ref="BP80:BX80" si="1019">SUM(BP79)</f>
        <v>2880</v>
      </c>
      <c r="BQ80" s="13">
        <f t="shared" si="1019"/>
        <v>0</v>
      </c>
      <c r="BR80" s="13">
        <f t="shared" si="1019"/>
        <v>0</v>
      </c>
      <c r="BS80" s="13">
        <f t="shared" si="1019"/>
        <v>1440</v>
      </c>
      <c r="BT80" s="13">
        <f t="shared" si="1019"/>
        <v>0</v>
      </c>
      <c r="BU80" s="13">
        <f t="shared" si="1019"/>
        <v>0</v>
      </c>
      <c r="BV80" s="13">
        <f t="shared" si="1019"/>
        <v>3840</v>
      </c>
      <c r="BW80" s="13">
        <f t="shared" si="1019"/>
        <v>0</v>
      </c>
      <c r="BX80" s="13">
        <f t="shared" si="1019"/>
        <v>6240</v>
      </c>
      <c r="BY80" s="8"/>
      <c r="BZ80" s="13">
        <f t="shared" si="1010"/>
        <v>6240</v>
      </c>
      <c r="CA80" s="13">
        <f t="shared" si="1010"/>
        <v>3840</v>
      </c>
      <c r="CB80" s="13">
        <f t="shared" si="1010"/>
        <v>0</v>
      </c>
      <c r="CC80" s="13">
        <f t="shared" si="1010"/>
        <v>0</v>
      </c>
      <c r="CD80" s="13">
        <f t="shared" si="1010"/>
        <v>0</v>
      </c>
      <c r="CE80" s="13">
        <f t="shared" si="1010"/>
        <v>0</v>
      </c>
      <c r="CF80" s="13">
        <f t="shared" si="1010"/>
        <v>6240</v>
      </c>
      <c r="CG80" s="13">
        <f t="shared" ref="CG80:CH80" si="1020">SUM(CG79)</f>
        <v>0</v>
      </c>
      <c r="CH80" s="13">
        <f t="shared" si="1020"/>
        <v>0</v>
      </c>
      <c r="CI80" s="8"/>
      <c r="CJ80" s="13">
        <f t="shared" si="1010"/>
        <v>0</v>
      </c>
      <c r="CK80" s="13">
        <f t="shared" ref="CK80:CQ80" si="1021">SUM(CK79)</f>
        <v>6240</v>
      </c>
      <c r="CL80" s="13">
        <f t="shared" si="1021"/>
        <v>0</v>
      </c>
      <c r="CM80" s="13">
        <f t="shared" si="1021"/>
        <v>0</v>
      </c>
      <c r="CN80" s="13">
        <f t="shared" si="1021"/>
        <v>8640</v>
      </c>
      <c r="CO80" s="13">
        <f t="shared" si="1021"/>
        <v>0</v>
      </c>
      <c r="CP80" s="13">
        <f t="shared" si="1021"/>
        <v>0</v>
      </c>
      <c r="CQ80" s="13">
        <f t="shared" si="1021"/>
        <v>8640</v>
      </c>
      <c r="CR80" s="8"/>
      <c r="CS80" s="123">
        <f t="shared" si="1010"/>
        <v>8640</v>
      </c>
      <c r="CT80" s="123">
        <f t="shared" ref="CT80:DA80" si="1022">SUM(CT79)</f>
        <v>0</v>
      </c>
      <c r="CU80" s="123">
        <f t="shared" si="1022"/>
        <v>0</v>
      </c>
      <c r="CV80" s="123">
        <f t="shared" si="1022"/>
        <v>0</v>
      </c>
      <c r="CW80" s="123">
        <f t="shared" si="1022"/>
        <v>0</v>
      </c>
      <c r="CX80" s="123">
        <f t="shared" si="1022"/>
        <v>6960</v>
      </c>
      <c r="CY80" s="123">
        <f t="shared" si="1022"/>
        <v>3840</v>
      </c>
      <c r="CZ80" s="123">
        <f t="shared" si="1022"/>
        <v>0</v>
      </c>
      <c r="DA80" s="123">
        <f t="shared" si="1022"/>
        <v>11760</v>
      </c>
      <c r="DB80" s="8"/>
      <c r="DC80" s="13">
        <f t="shared" ref="DC80:GF80" si="1023">SUM(DC79)</f>
        <v>11760</v>
      </c>
      <c r="DD80" s="13">
        <f t="shared" ref="DD80:DJ80" si="1024">SUM(DD79)</f>
        <v>3840</v>
      </c>
      <c r="DE80" s="13">
        <f t="shared" si="1024"/>
        <v>0</v>
      </c>
      <c r="DF80" s="13">
        <f t="shared" si="1024"/>
        <v>0</v>
      </c>
      <c r="DG80" s="13">
        <f t="shared" ref="DG80" si="1025">SUM(DG79)</f>
        <v>6240</v>
      </c>
      <c r="DH80" s="13">
        <f t="shared" si="1024"/>
        <v>3840</v>
      </c>
      <c r="DI80" s="13">
        <f t="shared" si="1024"/>
        <v>0</v>
      </c>
      <c r="DJ80" s="13">
        <f t="shared" si="1024"/>
        <v>14160</v>
      </c>
      <c r="DL80" s="13">
        <f t="shared" si="1023"/>
        <v>14160</v>
      </c>
      <c r="DM80" s="13">
        <f t="shared" ref="DM80:DO80" si="1026">SUM(DM79)</f>
        <v>3840</v>
      </c>
      <c r="DN80" s="13">
        <f t="shared" si="1026"/>
        <v>0</v>
      </c>
      <c r="DO80" s="13">
        <f t="shared" si="1026"/>
        <v>0</v>
      </c>
      <c r="DP80" s="13">
        <f t="shared" ref="DP80:DR80" si="1027">SUM(DP79)</f>
        <v>2880</v>
      </c>
      <c r="DQ80" s="13">
        <f t="shared" si="1027"/>
        <v>0</v>
      </c>
      <c r="DR80" s="13">
        <f t="shared" si="1027"/>
        <v>11280</v>
      </c>
      <c r="DS80" s="8"/>
      <c r="DT80" s="13">
        <f t="shared" si="1023"/>
        <v>11280</v>
      </c>
      <c r="DU80" s="13">
        <f t="shared" ref="DU80:EB80" si="1028">SUM(DU79)</f>
        <v>2880</v>
      </c>
      <c r="DV80" s="13">
        <f t="shared" si="1028"/>
        <v>0</v>
      </c>
      <c r="DW80" s="13">
        <f t="shared" si="1028"/>
        <v>0</v>
      </c>
      <c r="DX80" s="13">
        <f t="shared" si="1028"/>
        <v>2880</v>
      </c>
      <c r="DY80" s="13">
        <f t="shared" si="1028"/>
        <v>2880</v>
      </c>
      <c r="DZ80" s="13">
        <f t="shared" si="1028"/>
        <v>3840</v>
      </c>
      <c r="EA80" s="13">
        <f t="shared" si="1028"/>
        <v>0</v>
      </c>
      <c r="EB80" s="13">
        <f t="shared" si="1028"/>
        <v>13200</v>
      </c>
      <c r="EC80" s="8"/>
      <c r="ED80" s="13">
        <f t="shared" si="1023"/>
        <v>13200</v>
      </c>
      <c r="EE80" s="13">
        <f t="shared" ref="EE80:EK80" si="1029">SUM(EE79)</f>
        <v>3840</v>
      </c>
      <c r="EF80" s="13">
        <f t="shared" si="1029"/>
        <v>0</v>
      </c>
      <c r="EG80" s="13">
        <f t="shared" si="1029"/>
        <v>0</v>
      </c>
      <c r="EH80" s="13">
        <f t="shared" si="1029"/>
        <v>1440</v>
      </c>
      <c r="EI80" s="13">
        <f t="shared" si="1029"/>
        <v>4800</v>
      </c>
      <c r="EJ80" s="13">
        <f t="shared" si="1029"/>
        <v>0</v>
      </c>
      <c r="EK80" s="13">
        <f t="shared" si="1029"/>
        <v>9840</v>
      </c>
      <c r="EM80" s="13">
        <f t="shared" si="1023"/>
        <v>9840</v>
      </c>
      <c r="EN80" s="13">
        <f t="shared" ref="EN80:ES80" si="1030">SUM(EN79)</f>
        <v>4800</v>
      </c>
      <c r="EO80" s="13">
        <f t="shared" si="1030"/>
        <v>0</v>
      </c>
      <c r="EP80" s="13">
        <f t="shared" si="1030"/>
        <v>0</v>
      </c>
      <c r="EQ80" s="13">
        <f t="shared" si="1030"/>
        <v>4800</v>
      </c>
      <c r="ER80" s="13">
        <f t="shared" si="1030"/>
        <v>0</v>
      </c>
      <c r="ES80" s="13">
        <f t="shared" si="1030"/>
        <v>5040</v>
      </c>
      <c r="EU80" s="13">
        <f t="shared" si="1023"/>
        <v>5040</v>
      </c>
      <c r="EV80" s="13">
        <f t="shared" ref="EV80:FA80" si="1031">SUM(EV79)</f>
        <v>4800</v>
      </c>
      <c r="EW80" s="13">
        <f t="shared" si="1031"/>
        <v>0</v>
      </c>
      <c r="EX80" s="13">
        <f t="shared" si="1031"/>
        <v>0</v>
      </c>
      <c r="EY80" s="13">
        <f t="shared" si="1031"/>
        <v>0</v>
      </c>
      <c r="EZ80" s="13">
        <f t="shared" si="1031"/>
        <v>0</v>
      </c>
      <c r="FA80" s="13">
        <f t="shared" si="1031"/>
        <v>5040</v>
      </c>
      <c r="FC80" s="13">
        <f t="shared" si="1023"/>
        <v>5040</v>
      </c>
      <c r="FD80" s="13">
        <f t="shared" ref="FD80:FI80" si="1032">SUM(FD79)</f>
        <v>0</v>
      </c>
      <c r="FE80" s="13">
        <f t="shared" si="1032"/>
        <v>0</v>
      </c>
      <c r="FF80" s="13">
        <f t="shared" si="1032"/>
        <v>0</v>
      </c>
      <c r="FG80" s="13">
        <f t="shared" si="1032"/>
        <v>0</v>
      </c>
      <c r="FH80" s="13">
        <f t="shared" si="1032"/>
        <v>0</v>
      </c>
      <c r="FI80" s="13">
        <f t="shared" si="1032"/>
        <v>5040</v>
      </c>
      <c r="FK80" s="13">
        <f t="shared" si="1023"/>
        <v>5040</v>
      </c>
      <c r="FL80" s="13">
        <f t="shared" ref="FL80:FN80" si="1033">SUM(FL79)</f>
        <v>0</v>
      </c>
      <c r="FM80" s="13">
        <f t="shared" si="1033"/>
        <v>0</v>
      </c>
      <c r="FN80" s="13">
        <f t="shared" si="1033"/>
        <v>0</v>
      </c>
      <c r="FO80" s="13">
        <f t="shared" ref="FO80:FQ80" si="1034">SUM(FO79)</f>
        <v>4800</v>
      </c>
      <c r="FP80" s="13">
        <f t="shared" si="1034"/>
        <v>0</v>
      </c>
      <c r="FQ80" s="13">
        <f t="shared" si="1034"/>
        <v>240</v>
      </c>
      <c r="FR80" s="8"/>
      <c r="FS80" s="13">
        <f t="shared" si="1023"/>
        <v>240</v>
      </c>
      <c r="FT80" s="13">
        <f t="shared" ref="FT80:FV80" si="1035">SUM(FT79)</f>
        <v>4800</v>
      </c>
      <c r="FU80" s="13">
        <f t="shared" si="1035"/>
        <v>0</v>
      </c>
      <c r="FV80" s="13">
        <f t="shared" si="1035"/>
        <v>0</v>
      </c>
      <c r="FW80" s="13">
        <f t="shared" ref="FW80:GD80" si="1036">SUM(FW79)</f>
        <v>5760</v>
      </c>
      <c r="FX80" s="13">
        <f t="shared" si="1036"/>
        <v>0</v>
      </c>
      <c r="FY80" s="13">
        <f t="shared" si="1036"/>
        <v>4320</v>
      </c>
      <c r="FZ80" s="13">
        <f t="shared" si="1036"/>
        <v>4200</v>
      </c>
      <c r="GA80" s="13">
        <f t="shared" si="1036"/>
        <v>7200</v>
      </c>
      <c r="GB80" s="13">
        <f t="shared" si="1036"/>
        <v>4320</v>
      </c>
      <c r="GC80" s="13">
        <f t="shared" si="1036"/>
        <v>0</v>
      </c>
      <c r="GD80" s="13">
        <f t="shared" si="1036"/>
        <v>17400</v>
      </c>
      <c r="GF80" s="13">
        <f t="shared" si="1023"/>
        <v>17400</v>
      </c>
      <c r="GG80" s="13">
        <f t="shared" ref="GG80:GM80" si="1037">SUM(GG79)</f>
        <v>4320</v>
      </c>
      <c r="GH80" s="13">
        <f t="shared" si="1037"/>
        <v>0</v>
      </c>
      <c r="GI80" s="13">
        <f t="shared" si="1037"/>
        <v>0</v>
      </c>
      <c r="GJ80" s="13">
        <f t="shared" si="1037"/>
        <v>7200</v>
      </c>
      <c r="GK80" s="13">
        <f t="shared" si="1037"/>
        <v>6720</v>
      </c>
      <c r="GL80" s="13">
        <f t="shared" si="1037"/>
        <v>0</v>
      </c>
      <c r="GM80" s="13">
        <f t="shared" si="1037"/>
        <v>17880</v>
      </c>
      <c r="GO80" s="13">
        <f t="shared" ref="GO80:JX80" si="1038">SUM(GO79)</f>
        <v>17880</v>
      </c>
      <c r="GP80" s="13">
        <f t="shared" ref="GP80" si="1039">SUM(GP79)</f>
        <v>6720</v>
      </c>
      <c r="GQ80" s="13">
        <f t="shared" ref="GQ80:GV80" si="1040">SUM(GQ79)</f>
        <v>0</v>
      </c>
      <c r="GR80" s="13">
        <f t="shared" si="1040"/>
        <v>0</v>
      </c>
      <c r="GS80" s="13">
        <f t="shared" si="1040"/>
        <v>8160</v>
      </c>
      <c r="GT80" s="13">
        <f t="shared" si="1040"/>
        <v>4800</v>
      </c>
      <c r="GU80" s="13">
        <f t="shared" si="1040"/>
        <v>0</v>
      </c>
      <c r="GV80" s="13">
        <f t="shared" si="1040"/>
        <v>21240</v>
      </c>
      <c r="GW80" s="8"/>
      <c r="GX80" s="13">
        <f t="shared" si="1038"/>
        <v>21240</v>
      </c>
      <c r="GY80" s="13">
        <f t="shared" ref="GY80:GZ80" si="1041">SUM(GY79)</f>
        <v>4800</v>
      </c>
      <c r="GZ80" s="13">
        <f t="shared" si="1041"/>
        <v>0</v>
      </c>
      <c r="HA80" s="13">
        <f t="shared" ref="HA80:HE80" si="1042">SUM(HA79)</f>
        <v>0</v>
      </c>
      <c r="HB80" s="13">
        <f t="shared" ref="HB80" si="1043">SUM(HB79)</f>
        <v>4320</v>
      </c>
      <c r="HC80" s="13">
        <f t="shared" si="1042"/>
        <v>4800</v>
      </c>
      <c r="HD80" s="13">
        <f t="shared" si="1042"/>
        <v>0</v>
      </c>
      <c r="HE80" s="13">
        <f t="shared" si="1042"/>
        <v>20760</v>
      </c>
      <c r="HF80" s="8"/>
      <c r="HG80" s="13">
        <f t="shared" si="1038"/>
        <v>20760</v>
      </c>
      <c r="HH80" s="13">
        <f t="shared" ref="HH80:HN80" si="1044">SUM(HH79)</f>
        <v>4800</v>
      </c>
      <c r="HI80" s="13">
        <f t="shared" si="1044"/>
        <v>0</v>
      </c>
      <c r="HJ80" s="13">
        <f t="shared" si="1044"/>
        <v>0</v>
      </c>
      <c r="HK80" s="13">
        <f t="shared" ref="HK80" si="1045">SUM(HK79)</f>
        <v>5760</v>
      </c>
      <c r="HL80" s="13">
        <f t="shared" si="1044"/>
        <v>4800</v>
      </c>
      <c r="HM80" s="13">
        <f t="shared" si="1044"/>
        <v>0</v>
      </c>
      <c r="HN80" s="13">
        <f t="shared" si="1044"/>
        <v>21720</v>
      </c>
      <c r="HO80" s="8"/>
      <c r="HP80" s="13">
        <f t="shared" si="1038"/>
        <v>21720</v>
      </c>
      <c r="HQ80" s="13">
        <f t="shared" ref="HQ80:HW80" si="1046">SUM(HQ79)</f>
        <v>4800</v>
      </c>
      <c r="HR80" s="13">
        <f t="shared" si="1046"/>
        <v>0</v>
      </c>
      <c r="HS80" s="13">
        <f t="shared" si="1046"/>
        <v>0</v>
      </c>
      <c r="HT80" s="13">
        <f t="shared" ref="HT80" si="1047">SUM(HT79)</f>
        <v>9000</v>
      </c>
      <c r="HU80" s="13">
        <f t="shared" ref="HU80" si="1048">SUM(HU79)</f>
        <v>4800</v>
      </c>
      <c r="HV80" s="13">
        <f t="shared" si="1046"/>
        <v>0</v>
      </c>
      <c r="HW80" s="13">
        <f t="shared" si="1046"/>
        <v>25920</v>
      </c>
      <c r="HX80" s="8"/>
      <c r="HY80" s="13">
        <f t="shared" si="1038"/>
        <v>25920</v>
      </c>
      <c r="HZ80" s="13">
        <f t="shared" ref="HZ80:IB80" si="1049">SUM(HZ79)</f>
        <v>4800</v>
      </c>
      <c r="IA80" s="13">
        <f t="shared" si="1049"/>
        <v>0</v>
      </c>
      <c r="IB80" s="13">
        <f t="shared" si="1049"/>
        <v>0</v>
      </c>
      <c r="IC80" s="13">
        <f t="shared" ref="IC80" si="1050">SUM(IC79)</f>
        <v>6360</v>
      </c>
      <c r="ID80" s="13">
        <f t="shared" ref="ID80:IF80" si="1051">SUM(ID79)</f>
        <v>4800</v>
      </c>
      <c r="IE80" s="13">
        <f t="shared" si="1051"/>
        <v>0</v>
      </c>
      <c r="IF80" s="13">
        <f t="shared" si="1051"/>
        <v>27480</v>
      </c>
      <c r="IG80" s="8"/>
      <c r="IH80" s="13">
        <f t="shared" si="1038"/>
        <v>27480</v>
      </c>
      <c r="II80" s="13">
        <f t="shared" ref="II80:IN80" si="1052">SUM(II79)</f>
        <v>4800</v>
      </c>
      <c r="IJ80" s="13">
        <f t="shared" si="1052"/>
        <v>0</v>
      </c>
      <c r="IK80" s="13">
        <f t="shared" si="1052"/>
        <v>0</v>
      </c>
      <c r="IL80" s="13">
        <f t="shared" ref="IL80" si="1053">SUM(IL79)</f>
        <v>3840</v>
      </c>
      <c r="IM80" s="13">
        <f t="shared" si="1052"/>
        <v>0</v>
      </c>
      <c r="IN80" s="13">
        <f t="shared" si="1052"/>
        <v>23640</v>
      </c>
      <c r="IO80" s="8"/>
      <c r="IP80" s="13">
        <f t="shared" si="1038"/>
        <v>23640</v>
      </c>
      <c r="IQ80" s="123">
        <f t="shared" ref="IQ80" si="1054">SUM(IQ79)</f>
        <v>3840</v>
      </c>
      <c r="IR80" s="123">
        <f t="shared" ref="IR80:IW80" si="1055">SUM(IR79)</f>
        <v>0</v>
      </c>
      <c r="IS80" s="123">
        <f t="shared" si="1055"/>
        <v>0</v>
      </c>
      <c r="IT80" s="123">
        <f t="shared" si="1055"/>
        <v>4320</v>
      </c>
      <c r="IU80" s="123">
        <f t="shared" si="1055"/>
        <v>3840</v>
      </c>
      <c r="IV80" s="123">
        <f t="shared" si="1055"/>
        <v>0</v>
      </c>
      <c r="IW80" s="123">
        <f t="shared" si="1055"/>
        <v>24120</v>
      </c>
      <c r="IX80" s="8"/>
      <c r="IY80" s="13">
        <f t="shared" si="1038"/>
        <v>24120</v>
      </c>
      <c r="IZ80" s="13">
        <f t="shared" ref="IZ80:JE80" si="1056">SUM(IZ79)</f>
        <v>3840</v>
      </c>
      <c r="JA80" s="13">
        <f t="shared" si="1056"/>
        <v>0</v>
      </c>
      <c r="JB80" s="13">
        <f t="shared" si="1056"/>
        <v>0</v>
      </c>
      <c r="JC80" s="13">
        <f t="shared" ref="JC80:JD80" si="1057">SUM(JC79)</f>
        <v>2880</v>
      </c>
      <c r="JD80" s="13">
        <f t="shared" si="1057"/>
        <v>0</v>
      </c>
      <c r="JE80" s="13">
        <f t="shared" si="1056"/>
        <v>21240</v>
      </c>
      <c r="JF80" s="8"/>
      <c r="JG80" s="13">
        <f t="shared" si="1038"/>
        <v>21240</v>
      </c>
      <c r="JH80" s="13">
        <f t="shared" ref="JH80:JK80" si="1058">SUM(JH79)</f>
        <v>2880</v>
      </c>
      <c r="JI80" s="13">
        <f t="shared" si="1058"/>
        <v>0</v>
      </c>
      <c r="JJ80" s="13">
        <f t="shared" si="1058"/>
        <v>0</v>
      </c>
      <c r="JK80" s="13">
        <f t="shared" si="1058"/>
        <v>4320</v>
      </c>
      <c r="JL80" s="13">
        <f t="shared" ref="JL80" si="1059">SUM(JL79)</f>
        <v>7680</v>
      </c>
      <c r="JM80" s="13">
        <f t="shared" ref="JM80:JN80" si="1060">SUM(JM79)</f>
        <v>0</v>
      </c>
      <c r="JN80" s="13">
        <f t="shared" si="1060"/>
        <v>17880</v>
      </c>
      <c r="JO80" s="8"/>
      <c r="JP80" s="13">
        <f t="shared" si="1038"/>
        <v>17880</v>
      </c>
      <c r="JQ80" s="13">
        <f t="shared" ref="JQ80:JV80" si="1061">SUM(JQ79)</f>
        <v>7680</v>
      </c>
      <c r="JR80" s="13">
        <f t="shared" si="1061"/>
        <v>0</v>
      </c>
      <c r="JS80" s="13">
        <f t="shared" si="1061"/>
        <v>0</v>
      </c>
      <c r="JT80" s="13">
        <f t="shared" si="1061"/>
        <v>0</v>
      </c>
      <c r="JU80" s="13">
        <f t="shared" si="1061"/>
        <v>0</v>
      </c>
      <c r="JV80" s="13">
        <f t="shared" si="1061"/>
        <v>17880</v>
      </c>
      <c r="JW80" s="8"/>
      <c r="JX80" s="13">
        <f t="shared" si="1038"/>
        <v>17880</v>
      </c>
      <c r="JY80" s="13">
        <f t="shared" ref="JY80:KD80" si="1062">SUM(JY79)</f>
        <v>0</v>
      </c>
      <c r="JZ80" s="13">
        <f t="shared" si="1062"/>
        <v>0</v>
      </c>
      <c r="KA80" s="13">
        <f t="shared" si="1062"/>
        <v>0</v>
      </c>
      <c r="KB80" s="13">
        <f t="shared" si="1062"/>
        <v>3840</v>
      </c>
      <c r="KC80" s="13">
        <f t="shared" si="1062"/>
        <v>0</v>
      </c>
      <c r="KD80" s="13">
        <f t="shared" si="1062"/>
        <v>14040</v>
      </c>
      <c r="KE80" s="8"/>
      <c r="KF80" s="13">
        <f t="shared" ref="KF80:LM80" si="1063">SUM(KF79)</f>
        <v>14040</v>
      </c>
      <c r="KG80" s="13">
        <f t="shared" si="1063"/>
        <v>3840</v>
      </c>
      <c r="KH80" s="13">
        <f t="shared" ref="KH80:KM80" si="1064">SUM(KH79)</f>
        <v>0</v>
      </c>
      <c r="KI80" s="13">
        <f t="shared" si="1064"/>
        <v>0</v>
      </c>
      <c r="KJ80" s="13">
        <f t="shared" si="1064"/>
        <v>1440</v>
      </c>
      <c r="KK80" s="13">
        <f t="shared" ref="KK80" si="1065">SUM(KK79)</f>
        <v>4800</v>
      </c>
      <c r="KL80" s="13">
        <f t="shared" si="1064"/>
        <v>0</v>
      </c>
      <c r="KM80" s="13">
        <f t="shared" si="1064"/>
        <v>10680</v>
      </c>
      <c r="KN80" s="8"/>
      <c r="KO80" s="13">
        <f t="shared" si="1063"/>
        <v>10680</v>
      </c>
      <c r="KP80" s="13">
        <f t="shared" ref="KP80:KV80" si="1066">SUM(KP79)</f>
        <v>4800</v>
      </c>
      <c r="KQ80" s="13">
        <f t="shared" si="1066"/>
        <v>0</v>
      </c>
      <c r="KR80" s="13">
        <f t="shared" si="1066"/>
        <v>0</v>
      </c>
      <c r="KS80" s="13">
        <f t="shared" si="1066"/>
        <v>1440</v>
      </c>
      <c r="KT80" s="13">
        <f t="shared" si="1066"/>
        <v>2880</v>
      </c>
      <c r="KU80" s="13">
        <f t="shared" si="1066"/>
        <v>0</v>
      </c>
      <c r="KV80" s="13">
        <f t="shared" si="1066"/>
        <v>9240</v>
      </c>
      <c r="KX80" s="13">
        <f t="shared" si="1063"/>
        <v>9240</v>
      </c>
      <c r="KY80" s="13">
        <f t="shared" ref="KY80:LD80" si="1067">SUM(KY79)</f>
        <v>2880</v>
      </c>
      <c r="KZ80" s="13">
        <f t="shared" si="1067"/>
        <v>0</v>
      </c>
      <c r="LA80" s="13">
        <f t="shared" si="1067"/>
        <v>0</v>
      </c>
      <c r="LB80" s="13">
        <f t="shared" si="1067"/>
        <v>0</v>
      </c>
      <c r="LC80" s="13">
        <f t="shared" si="1067"/>
        <v>0</v>
      </c>
      <c r="LD80" s="13">
        <f t="shared" si="1067"/>
        <v>9240</v>
      </c>
      <c r="LF80" s="13">
        <f t="shared" si="1063"/>
        <v>9240</v>
      </c>
      <c r="LG80" s="123">
        <f t="shared" si="1063"/>
        <v>3840</v>
      </c>
      <c r="LH80" s="123">
        <f t="shared" si="1063"/>
        <v>0</v>
      </c>
      <c r="LI80" s="123">
        <f t="shared" si="1063"/>
        <v>0</v>
      </c>
      <c r="LJ80" s="13">
        <f t="shared" si="1063"/>
        <v>5760</v>
      </c>
      <c r="LK80" s="123">
        <f t="shared" si="1063"/>
        <v>0</v>
      </c>
      <c r="LL80" s="123">
        <f t="shared" si="1063"/>
        <v>0</v>
      </c>
      <c r="LM80" s="13">
        <f t="shared" si="1063"/>
        <v>11160</v>
      </c>
      <c r="LO80" s="13">
        <f t="shared" ref="LO80:LU80" si="1068">SUM(LO79)</f>
        <v>11160</v>
      </c>
      <c r="LP80" s="123">
        <f t="shared" si="1068"/>
        <v>2880</v>
      </c>
      <c r="LQ80" s="123">
        <f t="shared" si="1068"/>
        <v>0</v>
      </c>
      <c r="LR80" s="123">
        <f t="shared" si="1068"/>
        <v>0</v>
      </c>
      <c r="LS80" s="123">
        <f t="shared" si="1068"/>
        <v>0</v>
      </c>
      <c r="LT80" s="123">
        <f t="shared" si="1068"/>
        <v>0</v>
      </c>
      <c r="LU80" s="13">
        <f t="shared" si="1068"/>
        <v>8280</v>
      </c>
      <c r="LW80" s="13">
        <f t="shared" ref="LW80:MC80" si="1069">SUM(LW79)</f>
        <v>8280</v>
      </c>
      <c r="LX80" s="123">
        <f t="shared" si="1069"/>
        <v>6720</v>
      </c>
      <c r="LY80" s="123">
        <f t="shared" si="1069"/>
        <v>0</v>
      </c>
      <c r="LZ80" s="123">
        <f t="shared" si="1069"/>
        <v>0</v>
      </c>
      <c r="MA80" s="123">
        <f t="shared" si="1069"/>
        <v>0</v>
      </c>
      <c r="MB80" s="123">
        <f t="shared" si="1069"/>
        <v>0</v>
      </c>
      <c r="MC80" s="13">
        <f t="shared" si="1069"/>
        <v>1560</v>
      </c>
      <c r="ME80" s="13">
        <f t="shared" ref="ME80:MK80" si="1070">SUM(ME79)</f>
        <v>1560</v>
      </c>
      <c r="MF80" s="123">
        <f t="shared" si="1070"/>
        <v>0</v>
      </c>
      <c r="MG80" s="123">
        <f t="shared" si="1070"/>
        <v>0</v>
      </c>
      <c r="MH80" s="123">
        <f t="shared" si="1070"/>
        <v>0</v>
      </c>
      <c r="MI80" s="123">
        <f t="shared" si="1070"/>
        <v>0</v>
      </c>
      <c r="MJ80" s="123">
        <f t="shared" si="1070"/>
        <v>0</v>
      </c>
      <c r="MK80" s="13">
        <f t="shared" si="1070"/>
        <v>1560</v>
      </c>
      <c r="MM80" s="13">
        <f t="shared" ref="MM80:MS80" si="1071">SUM(MM79)</f>
        <v>1560</v>
      </c>
      <c r="MN80" s="123">
        <f t="shared" si="1071"/>
        <v>4800</v>
      </c>
      <c r="MO80" s="123">
        <f t="shared" si="1071"/>
        <v>0</v>
      </c>
      <c r="MP80" s="123">
        <f t="shared" si="1071"/>
        <v>0</v>
      </c>
      <c r="MQ80" s="123">
        <f t="shared" si="1071"/>
        <v>0</v>
      </c>
      <c r="MR80" s="123">
        <f t="shared" si="1071"/>
        <v>0</v>
      </c>
      <c r="MS80" s="13">
        <f t="shared" si="1071"/>
        <v>-3240</v>
      </c>
      <c r="MU80" s="13">
        <f t="shared" ref="MU80:NA80" si="1072">SUM(MU79)</f>
        <v>-3240</v>
      </c>
      <c r="MV80" s="123">
        <f t="shared" si="1072"/>
        <v>5760</v>
      </c>
      <c r="MW80" s="123">
        <f t="shared" si="1072"/>
        <v>0</v>
      </c>
      <c r="MX80" s="123">
        <f t="shared" si="1072"/>
        <v>0</v>
      </c>
      <c r="MY80" s="123">
        <f t="shared" si="1072"/>
        <v>0</v>
      </c>
      <c r="MZ80" s="123">
        <f t="shared" si="1072"/>
        <v>0</v>
      </c>
      <c r="NA80" s="13">
        <f t="shared" si="1072"/>
        <v>-9000</v>
      </c>
      <c r="NC80" s="13">
        <f t="shared" ref="NC80:NI80" si="1073">SUM(NC79)</f>
        <v>-9000</v>
      </c>
      <c r="ND80" s="123">
        <f t="shared" si="1073"/>
        <v>4800</v>
      </c>
      <c r="NE80" s="123">
        <f t="shared" si="1073"/>
        <v>0</v>
      </c>
      <c r="NF80" s="123">
        <f t="shared" si="1073"/>
        <v>0</v>
      </c>
      <c r="NG80" s="123">
        <f t="shared" si="1073"/>
        <v>0</v>
      </c>
      <c r="NH80" s="123">
        <f t="shared" si="1073"/>
        <v>0</v>
      </c>
      <c r="NI80" s="13">
        <f t="shared" si="1073"/>
        <v>-13800</v>
      </c>
      <c r="NK80" s="13">
        <f t="shared" ref="NK80:NQ80" si="1074">SUM(NK79)</f>
        <v>-13800</v>
      </c>
      <c r="NL80" s="123">
        <f t="shared" si="1074"/>
        <v>4800</v>
      </c>
      <c r="NM80" s="123">
        <f t="shared" si="1074"/>
        <v>0</v>
      </c>
      <c r="NN80" s="123">
        <f t="shared" si="1074"/>
        <v>0</v>
      </c>
      <c r="NO80" s="123">
        <f t="shared" si="1074"/>
        <v>0</v>
      </c>
      <c r="NP80" s="123">
        <f t="shared" si="1074"/>
        <v>0</v>
      </c>
      <c r="NQ80" s="13">
        <f t="shared" si="1074"/>
        <v>-18600</v>
      </c>
      <c r="NS80" s="13">
        <f t="shared" ref="NS80:NY80" si="1075">SUM(NS79)</f>
        <v>-18600</v>
      </c>
      <c r="NT80" s="123">
        <f t="shared" si="1075"/>
        <v>5760</v>
      </c>
      <c r="NU80" s="123">
        <f t="shared" si="1075"/>
        <v>0</v>
      </c>
      <c r="NV80" s="123">
        <f t="shared" si="1075"/>
        <v>0</v>
      </c>
      <c r="NW80" s="123">
        <f t="shared" si="1075"/>
        <v>0</v>
      </c>
      <c r="NX80" s="123">
        <f t="shared" si="1075"/>
        <v>0</v>
      </c>
      <c r="NY80" s="13">
        <f t="shared" si="1075"/>
        <v>-24360</v>
      </c>
      <c r="OA80" s="13">
        <f t="shared" ref="OA80:OG80" si="1076">SUM(OA79)</f>
        <v>-24360</v>
      </c>
      <c r="OB80" s="123">
        <f t="shared" si="1076"/>
        <v>3840</v>
      </c>
      <c r="OC80" s="123">
        <f t="shared" si="1076"/>
        <v>0</v>
      </c>
      <c r="OD80" s="123">
        <f t="shared" si="1076"/>
        <v>0</v>
      </c>
      <c r="OE80" s="123">
        <f t="shared" si="1076"/>
        <v>0</v>
      </c>
      <c r="OF80" s="123">
        <f t="shared" si="1076"/>
        <v>0</v>
      </c>
      <c r="OG80" s="13">
        <f t="shared" si="1076"/>
        <v>-28200</v>
      </c>
      <c r="OI80" s="13">
        <f t="shared" ref="OI80:OO80" si="1077">SUM(OI79)</f>
        <v>-28200</v>
      </c>
      <c r="OJ80" s="123">
        <f t="shared" si="1077"/>
        <v>7680</v>
      </c>
      <c r="OK80" s="123">
        <f t="shared" si="1077"/>
        <v>0</v>
      </c>
      <c r="OL80" s="123">
        <f t="shared" si="1077"/>
        <v>0</v>
      </c>
      <c r="OM80" s="123">
        <f t="shared" si="1077"/>
        <v>0</v>
      </c>
      <c r="ON80" s="123">
        <f t="shared" si="1077"/>
        <v>0</v>
      </c>
      <c r="OO80" s="13">
        <f t="shared" si="1077"/>
        <v>-35880</v>
      </c>
      <c r="OQ80" s="13">
        <f t="shared" ref="OQ80:OW80" si="1078">SUM(OQ79)</f>
        <v>-35880</v>
      </c>
      <c r="OR80" s="123">
        <f t="shared" si="1078"/>
        <v>0</v>
      </c>
      <c r="OS80" s="123">
        <f t="shared" si="1078"/>
        <v>0</v>
      </c>
      <c r="OT80" s="123">
        <f t="shared" si="1078"/>
        <v>0</v>
      </c>
      <c r="OU80" s="123">
        <f t="shared" si="1078"/>
        <v>0</v>
      </c>
      <c r="OV80" s="123">
        <f t="shared" si="1078"/>
        <v>0</v>
      </c>
      <c r="OW80" s="13">
        <f t="shared" si="1078"/>
        <v>-35880</v>
      </c>
      <c r="OY80" s="13">
        <f t="shared" ref="OY80:PE80" si="1079">SUM(OY79)</f>
        <v>-35880</v>
      </c>
      <c r="OZ80" s="123">
        <f t="shared" si="1079"/>
        <v>0</v>
      </c>
      <c r="PA80" s="123">
        <f t="shared" si="1079"/>
        <v>0</v>
      </c>
      <c r="PB80" s="123">
        <f t="shared" si="1079"/>
        <v>0</v>
      </c>
      <c r="PC80" s="123">
        <f t="shared" si="1079"/>
        <v>0</v>
      </c>
      <c r="PD80" s="123">
        <f t="shared" si="1079"/>
        <v>0</v>
      </c>
      <c r="PE80" s="13">
        <f t="shared" si="1079"/>
        <v>-35880</v>
      </c>
      <c r="PG80" s="13">
        <f t="shared" ref="PG80:PM80" si="1080">SUM(PG79)</f>
        <v>-35880</v>
      </c>
      <c r="PH80" s="123">
        <f t="shared" si="1080"/>
        <v>0</v>
      </c>
      <c r="PI80" s="123">
        <f t="shared" si="1080"/>
        <v>0</v>
      </c>
      <c r="PJ80" s="123">
        <f t="shared" si="1080"/>
        <v>0</v>
      </c>
      <c r="PK80" s="123">
        <f t="shared" si="1080"/>
        <v>0</v>
      </c>
      <c r="PL80" s="123">
        <f t="shared" si="1080"/>
        <v>0</v>
      </c>
      <c r="PM80" s="13">
        <f t="shared" si="1080"/>
        <v>-35880</v>
      </c>
      <c r="PO80" s="13">
        <f t="shared" ref="PO80:PU80" si="1081">SUM(PO79)</f>
        <v>-35880</v>
      </c>
      <c r="PP80" s="123">
        <f t="shared" si="1081"/>
        <v>0</v>
      </c>
      <c r="PQ80" s="123">
        <f t="shared" si="1081"/>
        <v>0</v>
      </c>
      <c r="PR80" s="123">
        <f t="shared" si="1081"/>
        <v>0</v>
      </c>
      <c r="PS80" s="123">
        <f t="shared" si="1081"/>
        <v>0</v>
      </c>
      <c r="PT80" s="123">
        <f t="shared" si="1081"/>
        <v>0</v>
      </c>
      <c r="PU80" s="13">
        <f t="shared" si="1081"/>
        <v>-35880</v>
      </c>
      <c r="PW80" s="13">
        <f t="shared" ref="PW80:QC80" si="1082">SUM(PW79)</f>
        <v>-35880</v>
      </c>
      <c r="PX80" s="123">
        <f t="shared" si="1082"/>
        <v>3840</v>
      </c>
      <c r="PY80" s="123">
        <f t="shared" si="1082"/>
        <v>0</v>
      </c>
      <c r="PZ80" s="123">
        <f t="shared" si="1082"/>
        <v>0</v>
      </c>
      <c r="QA80" s="123">
        <f t="shared" si="1082"/>
        <v>0</v>
      </c>
      <c r="QB80" s="123">
        <f t="shared" si="1082"/>
        <v>0</v>
      </c>
      <c r="QC80" s="13">
        <f t="shared" si="1082"/>
        <v>-39720</v>
      </c>
      <c r="QE80" s="13">
        <f t="shared" ref="QE80:QK80" si="1083">SUM(QE79)</f>
        <v>-39720</v>
      </c>
      <c r="QF80" s="123">
        <f t="shared" si="1083"/>
        <v>3840</v>
      </c>
      <c r="QG80" s="123">
        <f t="shared" si="1083"/>
        <v>0</v>
      </c>
      <c r="QH80" s="123">
        <f t="shared" si="1083"/>
        <v>0</v>
      </c>
      <c r="QI80" s="123">
        <f t="shared" si="1083"/>
        <v>0</v>
      </c>
      <c r="QJ80" s="123">
        <f t="shared" si="1083"/>
        <v>0</v>
      </c>
      <c r="QK80" s="13">
        <f t="shared" si="1083"/>
        <v>-43560</v>
      </c>
      <c r="QM80" s="13">
        <f t="shared" ref="QM80:QS80" si="1084">SUM(QM79)</f>
        <v>-43560</v>
      </c>
      <c r="QN80" s="123">
        <f t="shared" si="1084"/>
        <v>3840</v>
      </c>
      <c r="QO80" s="123">
        <f t="shared" si="1084"/>
        <v>0</v>
      </c>
      <c r="QP80" s="123">
        <f t="shared" si="1084"/>
        <v>0</v>
      </c>
      <c r="QQ80" s="123">
        <f t="shared" si="1084"/>
        <v>0</v>
      </c>
      <c r="QR80" s="123">
        <f t="shared" si="1084"/>
        <v>0</v>
      </c>
      <c r="QS80" s="13">
        <f t="shared" si="1084"/>
        <v>-47400</v>
      </c>
      <c r="QU80" s="13">
        <f t="shared" ref="QU80:RA80" si="1085">SUM(QU79)</f>
        <v>-47400</v>
      </c>
      <c r="QV80" s="123">
        <f t="shared" si="1085"/>
        <v>4080</v>
      </c>
      <c r="QW80" s="123">
        <f t="shared" si="1085"/>
        <v>0</v>
      </c>
      <c r="QX80" s="123">
        <f t="shared" si="1085"/>
        <v>0</v>
      </c>
      <c r="QY80" s="123">
        <f t="shared" si="1085"/>
        <v>0</v>
      </c>
      <c r="QZ80" s="123">
        <f t="shared" si="1085"/>
        <v>0</v>
      </c>
      <c r="RA80" s="13">
        <f t="shared" si="1085"/>
        <v>-51480</v>
      </c>
      <c r="RC80" s="13">
        <f t="shared" ref="RC80:RI80" si="1086">SUM(RC79)</f>
        <v>-51480</v>
      </c>
      <c r="RD80" s="123">
        <f t="shared" si="1086"/>
        <v>4080</v>
      </c>
      <c r="RE80" s="123">
        <f t="shared" si="1086"/>
        <v>0</v>
      </c>
      <c r="RF80" s="123">
        <f t="shared" si="1086"/>
        <v>0</v>
      </c>
      <c r="RG80" s="123">
        <f t="shared" si="1086"/>
        <v>0</v>
      </c>
      <c r="RH80" s="123">
        <f t="shared" si="1086"/>
        <v>0</v>
      </c>
      <c r="RI80" s="13">
        <f t="shared" si="1086"/>
        <v>-55560</v>
      </c>
      <c r="RK80" s="13">
        <f t="shared" ref="RK80:RQ80" si="1087">SUM(RK79)</f>
        <v>-55560</v>
      </c>
      <c r="RL80" s="123">
        <f t="shared" si="1087"/>
        <v>4080</v>
      </c>
      <c r="RM80" s="123">
        <f t="shared" si="1087"/>
        <v>0</v>
      </c>
      <c r="RN80" s="123">
        <f t="shared" si="1087"/>
        <v>0</v>
      </c>
      <c r="RO80" s="123">
        <f t="shared" si="1087"/>
        <v>0</v>
      </c>
      <c r="RP80" s="123">
        <f t="shared" si="1087"/>
        <v>0</v>
      </c>
      <c r="RQ80" s="13">
        <f t="shared" si="1087"/>
        <v>-59640</v>
      </c>
      <c r="RS80" s="13">
        <f t="shared" ref="RS80:RY80" si="1088">SUM(RS79)</f>
        <v>-59640</v>
      </c>
      <c r="RT80" s="123">
        <f t="shared" si="1088"/>
        <v>4080</v>
      </c>
      <c r="RU80" s="123">
        <f t="shared" si="1088"/>
        <v>0</v>
      </c>
      <c r="RV80" s="123">
        <f t="shared" si="1088"/>
        <v>0</v>
      </c>
      <c r="RW80" s="123">
        <f t="shared" si="1088"/>
        <v>0</v>
      </c>
      <c r="RX80" s="123">
        <f t="shared" si="1088"/>
        <v>0</v>
      </c>
      <c r="RY80" s="13">
        <f t="shared" si="1088"/>
        <v>-63720</v>
      </c>
      <c r="SA80" s="13">
        <f t="shared" ref="SA80:SG80" si="1089">SUM(SA79)</f>
        <v>-63720</v>
      </c>
      <c r="SB80" s="123">
        <f t="shared" si="1089"/>
        <v>2880</v>
      </c>
      <c r="SC80" s="123">
        <f t="shared" si="1089"/>
        <v>0</v>
      </c>
      <c r="SD80" s="123">
        <f t="shared" si="1089"/>
        <v>0</v>
      </c>
      <c r="SE80" s="123">
        <f t="shared" si="1089"/>
        <v>0</v>
      </c>
      <c r="SF80" s="123">
        <f t="shared" si="1089"/>
        <v>0</v>
      </c>
      <c r="SG80" s="13">
        <f t="shared" si="1089"/>
        <v>-66600</v>
      </c>
      <c r="SI80" s="13">
        <f t="shared" ref="SI80:SO80" si="1090">SUM(SI79)</f>
        <v>-66600</v>
      </c>
      <c r="SJ80" s="123">
        <f t="shared" si="1090"/>
        <v>2880</v>
      </c>
      <c r="SK80" s="123">
        <f t="shared" si="1090"/>
        <v>0</v>
      </c>
      <c r="SL80" s="123">
        <f t="shared" si="1090"/>
        <v>0</v>
      </c>
      <c r="SM80" s="123">
        <f t="shared" si="1090"/>
        <v>0</v>
      </c>
      <c r="SN80" s="123">
        <f t="shared" si="1090"/>
        <v>0</v>
      </c>
      <c r="SO80" s="13">
        <f t="shared" si="1090"/>
        <v>-69480</v>
      </c>
      <c r="SQ80" s="13">
        <f t="shared" ref="SQ80:SW80" si="1091">SUM(SQ79)</f>
        <v>-69480</v>
      </c>
      <c r="SR80" s="123">
        <f t="shared" si="1091"/>
        <v>2880</v>
      </c>
      <c r="SS80" s="123">
        <f t="shared" si="1091"/>
        <v>0</v>
      </c>
      <c r="ST80" s="123">
        <f t="shared" si="1091"/>
        <v>0</v>
      </c>
      <c r="SU80" s="123">
        <f t="shared" si="1091"/>
        <v>0</v>
      </c>
      <c r="SV80" s="123">
        <f t="shared" si="1091"/>
        <v>0</v>
      </c>
      <c r="SW80" s="13">
        <f t="shared" si="1091"/>
        <v>-72360</v>
      </c>
      <c r="SY80" s="13">
        <f t="shared" ref="SY80:TE80" si="1092">SUM(SY79)</f>
        <v>-72360</v>
      </c>
      <c r="SZ80" s="123">
        <f t="shared" si="1092"/>
        <v>2880</v>
      </c>
      <c r="TA80" s="123">
        <f t="shared" si="1092"/>
        <v>0</v>
      </c>
      <c r="TB80" s="123">
        <f t="shared" si="1092"/>
        <v>0</v>
      </c>
      <c r="TC80" s="123">
        <f t="shared" si="1092"/>
        <v>0</v>
      </c>
      <c r="TD80" s="123">
        <f t="shared" si="1092"/>
        <v>0</v>
      </c>
      <c r="TE80" s="13">
        <f t="shared" si="1092"/>
        <v>-75240</v>
      </c>
      <c r="TG80" s="13">
        <f t="shared" ref="TG80:TM80" si="1093">SUM(TG79)</f>
        <v>-75240</v>
      </c>
      <c r="TH80" s="123">
        <f t="shared" si="1093"/>
        <v>4040</v>
      </c>
      <c r="TI80" s="123">
        <f t="shared" si="1093"/>
        <v>0</v>
      </c>
      <c r="TJ80" s="123">
        <f t="shared" si="1093"/>
        <v>0</v>
      </c>
      <c r="TK80" s="123">
        <f t="shared" si="1093"/>
        <v>0</v>
      </c>
      <c r="TL80" s="123">
        <f t="shared" si="1093"/>
        <v>0</v>
      </c>
      <c r="TM80" s="13">
        <f t="shared" si="1093"/>
        <v>-79280</v>
      </c>
      <c r="TO80" s="13">
        <f t="shared" ref="TO80:TU80" si="1094">SUM(TO79)</f>
        <v>-79280</v>
      </c>
      <c r="TP80" s="123">
        <f t="shared" si="1094"/>
        <v>4040</v>
      </c>
      <c r="TQ80" s="123">
        <f t="shared" si="1094"/>
        <v>0</v>
      </c>
      <c r="TR80" s="123">
        <f t="shared" si="1094"/>
        <v>0</v>
      </c>
      <c r="TS80" s="123">
        <f t="shared" si="1094"/>
        <v>0</v>
      </c>
      <c r="TT80" s="123">
        <f t="shared" si="1094"/>
        <v>0</v>
      </c>
      <c r="TU80" s="13">
        <f t="shared" si="1094"/>
        <v>-83320</v>
      </c>
      <c r="TW80" s="13">
        <f t="shared" ref="TW80:UC80" si="1095">SUM(TW79)</f>
        <v>-83320</v>
      </c>
      <c r="TX80" s="123">
        <f t="shared" si="1095"/>
        <v>4040</v>
      </c>
      <c r="TY80" s="123">
        <f t="shared" si="1095"/>
        <v>0</v>
      </c>
      <c r="TZ80" s="123">
        <f t="shared" si="1095"/>
        <v>0</v>
      </c>
      <c r="UA80" s="123">
        <f t="shared" si="1095"/>
        <v>0</v>
      </c>
      <c r="UB80" s="123">
        <f t="shared" si="1095"/>
        <v>0</v>
      </c>
      <c r="UC80" s="13">
        <f t="shared" si="1095"/>
        <v>-87360</v>
      </c>
      <c r="UE80" s="13">
        <f t="shared" ref="UE80:UK80" si="1096">SUM(UE79)</f>
        <v>-87360</v>
      </c>
      <c r="UF80" s="123">
        <f t="shared" si="1096"/>
        <v>4040</v>
      </c>
      <c r="UG80" s="123">
        <f t="shared" si="1096"/>
        <v>0</v>
      </c>
      <c r="UH80" s="123">
        <f t="shared" si="1096"/>
        <v>0</v>
      </c>
      <c r="UI80" s="123">
        <f t="shared" si="1096"/>
        <v>0</v>
      </c>
      <c r="UJ80" s="123">
        <f t="shared" si="1096"/>
        <v>0</v>
      </c>
      <c r="UK80" s="13">
        <f t="shared" si="1096"/>
        <v>-91400</v>
      </c>
      <c r="UM80" s="13">
        <f t="shared" ref="UM80:US80" si="1097">SUM(UM79)</f>
        <v>-91400</v>
      </c>
      <c r="UN80" s="123">
        <f t="shared" si="1097"/>
        <v>4000</v>
      </c>
      <c r="UO80" s="123">
        <f t="shared" si="1097"/>
        <v>0</v>
      </c>
      <c r="UP80" s="123">
        <f t="shared" si="1097"/>
        <v>0</v>
      </c>
      <c r="UQ80" s="123">
        <f t="shared" si="1097"/>
        <v>0</v>
      </c>
      <c r="UR80" s="123">
        <f t="shared" si="1097"/>
        <v>0</v>
      </c>
      <c r="US80" s="13">
        <f t="shared" si="1097"/>
        <v>-95400</v>
      </c>
      <c r="UU80" s="13">
        <f t="shared" ref="UU80:VA80" si="1098">SUM(UU79)</f>
        <v>-95400</v>
      </c>
      <c r="UV80" s="123">
        <f t="shared" si="1098"/>
        <v>4800</v>
      </c>
      <c r="UW80" s="123">
        <f t="shared" si="1098"/>
        <v>0</v>
      </c>
      <c r="UX80" s="123">
        <f t="shared" si="1098"/>
        <v>0</v>
      </c>
      <c r="UY80" s="123">
        <f t="shared" si="1098"/>
        <v>0</v>
      </c>
      <c r="UZ80" s="123">
        <f t="shared" si="1098"/>
        <v>0</v>
      </c>
      <c r="VA80" s="13">
        <f t="shared" si="1098"/>
        <v>-100200</v>
      </c>
      <c r="VC80" s="13">
        <f t="shared" ref="VC80:VI80" si="1099">SUM(VC79)</f>
        <v>-100200</v>
      </c>
      <c r="VD80" s="123">
        <f t="shared" si="1099"/>
        <v>4800</v>
      </c>
      <c r="VE80" s="123">
        <f t="shared" si="1099"/>
        <v>0</v>
      </c>
      <c r="VF80" s="123">
        <f t="shared" si="1099"/>
        <v>0</v>
      </c>
      <c r="VG80" s="123">
        <f t="shared" si="1099"/>
        <v>0</v>
      </c>
      <c r="VH80" s="123">
        <f t="shared" si="1099"/>
        <v>0</v>
      </c>
      <c r="VI80" s="13">
        <f t="shared" si="1099"/>
        <v>-105000</v>
      </c>
      <c r="VK80" s="13">
        <f t="shared" ref="VK80:VQ80" si="1100">SUM(VK79)</f>
        <v>-105000</v>
      </c>
      <c r="VL80" s="123">
        <f t="shared" si="1100"/>
        <v>0</v>
      </c>
      <c r="VM80" s="123">
        <f t="shared" si="1100"/>
        <v>0</v>
      </c>
      <c r="VN80" s="123">
        <f t="shared" si="1100"/>
        <v>0</v>
      </c>
      <c r="VO80" s="123">
        <f t="shared" si="1100"/>
        <v>0</v>
      </c>
      <c r="VP80" s="123">
        <f t="shared" si="1100"/>
        <v>0</v>
      </c>
      <c r="VQ80" s="13">
        <f t="shared" si="1100"/>
        <v>-105000</v>
      </c>
    </row>
    <row r="81" spans="1:589" ht="15.75" thickBot="1" x14ac:dyDescent="0.3">
      <c r="A81" s="61" t="s">
        <v>6</v>
      </c>
      <c r="B81" s="62"/>
      <c r="C81" s="62"/>
      <c r="D81" s="62"/>
      <c r="E81" s="62"/>
      <c r="F81" s="63"/>
      <c r="H81" s="58">
        <f t="shared" ref="H81:N81" si="1101">H80+H78+H71+H39</f>
        <v>144564</v>
      </c>
      <c r="I81" s="58">
        <f t="shared" si="1101"/>
        <v>17080</v>
      </c>
      <c r="J81" s="58">
        <f t="shared" si="1101"/>
        <v>0</v>
      </c>
      <c r="K81" s="58">
        <f t="shared" si="1101"/>
        <v>0</v>
      </c>
      <c r="L81" s="58">
        <f t="shared" si="1101"/>
        <v>13040</v>
      </c>
      <c r="M81" s="58">
        <f t="shared" si="1101"/>
        <v>-20</v>
      </c>
      <c r="N81" s="58">
        <f t="shared" si="1101"/>
        <v>131504</v>
      </c>
      <c r="P81" s="58">
        <f t="shared" ref="P81:V81" si="1102">P80+P78+P71+P39</f>
        <v>131504</v>
      </c>
      <c r="Q81" s="58">
        <f t="shared" si="1102"/>
        <v>13040</v>
      </c>
      <c r="R81" s="58">
        <f t="shared" si="1102"/>
        <v>180</v>
      </c>
      <c r="S81" s="58">
        <f t="shared" si="1102"/>
        <v>0</v>
      </c>
      <c r="T81" s="58">
        <f t="shared" si="1102"/>
        <v>20280</v>
      </c>
      <c r="U81" s="58">
        <f t="shared" si="1102"/>
        <v>-20</v>
      </c>
      <c r="V81" s="58">
        <f t="shared" si="1102"/>
        <v>111024</v>
      </c>
      <c r="X81" s="58">
        <f t="shared" ref="X81:AD81" si="1103">X80+X78+X71+X39</f>
        <v>111024</v>
      </c>
      <c r="Y81" s="58">
        <f t="shared" si="1103"/>
        <v>20280</v>
      </c>
      <c r="Z81" s="58">
        <f t="shared" si="1103"/>
        <v>0</v>
      </c>
      <c r="AA81" s="58">
        <f t="shared" si="1103"/>
        <v>0</v>
      </c>
      <c r="AB81" s="58">
        <f t="shared" si="1103"/>
        <v>17160</v>
      </c>
      <c r="AC81" s="58">
        <f t="shared" si="1103"/>
        <v>0</v>
      </c>
      <c r="AD81" s="58">
        <f t="shared" si="1103"/>
        <v>93864</v>
      </c>
      <c r="AF81" s="58">
        <f t="shared" ref="AF81:AL81" si="1104">AF80+AF78+AF71+AF39</f>
        <v>93864</v>
      </c>
      <c r="AG81" s="58">
        <f t="shared" si="1104"/>
        <v>17160</v>
      </c>
      <c r="AH81" s="58">
        <f t="shared" si="1104"/>
        <v>0</v>
      </c>
      <c r="AI81" s="58">
        <f t="shared" si="1104"/>
        <v>0</v>
      </c>
      <c r="AJ81" s="58">
        <f t="shared" si="1104"/>
        <v>15780</v>
      </c>
      <c r="AK81" s="58">
        <f t="shared" si="1104"/>
        <v>20</v>
      </c>
      <c r="AL81" s="58">
        <f t="shared" si="1104"/>
        <v>78104</v>
      </c>
      <c r="AN81" s="58">
        <f t="shared" ref="AN81:AU81" si="1105">AN80+AN78+AN71+AN39</f>
        <v>78104</v>
      </c>
      <c r="AO81" s="58">
        <f t="shared" si="1105"/>
        <v>15780</v>
      </c>
      <c r="AP81" s="58">
        <f t="shared" si="1105"/>
        <v>0</v>
      </c>
      <c r="AQ81" s="58">
        <f t="shared" si="1105"/>
        <v>0</v>
      </c>
      <c r="AR81" s="58">
        <f t="shared" si="1105"/>
        <v>700</v>
      </c>
      <c r="AS81" s="58">
        <f t="shared" si="1105"/>
        <v>16460</v>
      </c>
      <c r="AT81" s="58">
        <f t="shared" si="1105"/>
        <v>-2</v>
      </c>
      <c r="AU81" s="58">
        <f t="shared" si="1105"/>
        <v>62342</v>
      </c>
      <c r="AW81" s="58">
        <f t="shared" ref="AW81:BC81" si="1106">AW80+AW78+AW71+AW39</f>
        <v>62342</v>
      </c>
      <c r="AX81" s="58">
        <f t="shared" si="1106"/>
        <v>16460</v>
      </c>
      <c r="AY81" s="58">
        <f t="shared" si="1106"/>
        <v>60</v>
      </c>
      <c r="AZ81" s="58">
        <f t="shared" si="1106"/>
        <v>0</v>
      </c>
      <c r="BA81" s="58">
        <f t="shared" si="1106"/>
        <v>14920</v>
      </c>
      <c r="BB81" s="58">
        <f t="shared" si="1106"/>
        <v>0</v>
      </c>
      <c r="BC81" s="58">
        <f t="shared" si="1106"/>
        <v>47362</v>
      </c>
      <c r="BE81" s="58">
        <f t="shared" ref="BE81:BM81" si="1107">BE80+BE78+BE71+BE39</f>
        <v>47362</v>
      </c>
      <c r="BF81" s="58">
        <f t="shared" si="1107"/>
        <v>14920</v>
      </c>
      <c r="BG81" s="58">
        <f t="shared" si="1107"/>
        <v>100</v>
      </c>
      <c r="BH81" s="58">
        <f t="shared" si="1107"/>
        <v>0</v>
      </c>
      <c r="BI81" s="58">
        <f t="shared" si="1107"/>
        <v>3497</v>
      </c>
      <c r="BJ81" s="58">
        <f t="shared" si="1107"/>
        <v>410</v>
      </c>
      <c r="BK81" s="58">
        <f t="shared" si="1107"/>
        <v>13440</v>
      </c>
      <c r="BL81" s="58">
        <f t="shared" si="1107"/>
        <v>0</v>
      </c>
      <c r="BM81" s="58">
        <f t="shared" si="1107"/>
        <v>37729</v>
      </c>
      <c r="BN81" s="8"/>
      <c r="BO81" s="58">
        <f t="shared" ref="BO81:BX81" si="1108">BO80+BO78+BO71+BO39</f>
        <v>37729</v>
      </c>
      <c r="BP81" s="58">
        <f t="shared" si="1108"/>
        <v>13440</v>
      </c>
      <c r="BQ81" s="58">
        <f t="shared" si="1108"/>
        <v>0</v>
      </c>
      <c r="BR81" s="58">
        <f t="shared" si="1108"/>
        <v>60</v>
      </c>
      <c r="BS81" s="58">
        <f t="shared" si="1108"/>
        <v>7990</v>
      </c>
      <c r="BT81" s="58">
        <f t="shared" si="1108"/>
        <v>4915</v>
      </c>
      <c r="BU81" s="58">
        <f t="shared" si="1108"/>
        <v>6090</v>
      </c>
      <c r="BV81" s="58">
        <f t="shared" si="1108"/>
        <v>19020</v>
      </c>
      <c r="BW81" s="58">
        <f t="shared" si="1108"/>
        <v>20</v>
      </c>
      <c r="BX81" s="58">
        <f t="shared" si="1108"/>
        <v>37664</v>
      </c>
      <c r="BY81" s="8"/>
      <c r="BZ81" s="58">
        <f t="shared" ref="BZ81:CH81" si="1109">BZ80+BZ78+BZ71+BZ39</f>
        <v>37664</v>
      </c>
      <c r="CA81" s="58">
        <f t="shared" si="1109"/>
        <v>19020</v>
      </c>
      <c r="CB81" s="58">
        <f t="shared" si="1109"/>
        <v>100</v>
      </c>
      <c r="CC81" s="58">
        <f t="shared" si="1109"/>
        <v>160</v>
      </c>
      <c r="CD81" s="58">
        <f t="shared" si="1109"/>
        <v>340</v>
      </c>
      <c r="CE81" s="58">
        <f t="shared" si="1109"/>
        <v>440</v>
      </c>
      <c r="CF81" s="58">
        <f t="shared" si="1109"/>
        <v>26930</v>
      </c>
      <c r="CG81" s="58">
        <f t="shared" si="1109"/>
        <v>0</v>
      </c>
      <c r="CH81" s="58">
        <f t="shared" si="1109"/>
        <v>11254</v>
      </c>
      <c r="CI81" s="8"/>
      <c r="CJ81" s="58">
        <f t="shared" ref="CJ81:CQ81" si="1110">CJ80+CJ78+CJ71+CJ39</f>
        <v>11254</v>
      </c>
      <c r="CK81" s="58">
        <f t="shared" si="1110"/>
        <v>26930</v>
      </c>
      <c r="CL81" s="58">
        <f t="shared" si="1110"/>
        <v>0</v>
      </c>
      <c r="CM81" s="58">
        <f t="shared" si="1110"/>
        <v>0</v>
      </c>
      <c r="CN81" s="58">
        <f t="shared" si="1110"/>
        <v>34480</v>
      </c>
      <c r="CO81" s="58">
        <f t="shared" si="1110"/>
        <v>0</v>
      </c>
      <c r="CP81" s="58">
        <f t="shared" si="1110"/>
        <v>0</v>
      </c>
      <c r="CQ81" s="58">
        <f t="shared" si="1110"/>
        <v>45734</v>
      </c>
      <c r="CR81" s="8"/>
      <c r="CS81" s="135">
        <f t="shared" ref="CS81:DA81" si="1111">CS80+CS78+CS71+CS39</f>
        <v>45734</v>
      </c>
      <c r="CT81" s="135">
        <f t="shared" si="1111"/>
        <v>0</v>
      </c>
      <c r="CU81" s="135">
        <f t="shared" si="1111"/>
        <v>0</v>
      </c>
      <c r="CV81" s="135">
        <f t="shared" si="1111"/>
        <v>0</v>
      </c>
      <c r="CW81" s="135">
        <f t="shared" si="1111"/>
        <v>340</v>
      </c>
      <c r="CX81" s="135">
        <f t="shared" si="1111"/>
        <v>27135</v>
      </c>
      <c r="CY81" s="135">
        <f t="shared" si="1111"/>
        <v>16860</v>
      </c>
      <c r="CZ81" s="135">
        <f t="shared" si="1111"/>
        <v>0</v>
      </c>
      <c r="DA81" s="135">
        <f t="shared" si="1111"/>
        <v>56349</v>
      </c>
      <c r="DB81" s="8"/>
      <c r="DC81" s="58">
        <f t="shared" ref="DC81:DJ81" si="1112">DC80+DC78+DC71+DC39</f>
        <v>56349</v>
      </c>
      <c r="DD81" s="58">
        <f t="shared" si="1112"/>
        <v>16860</v>
      </c>
      <c r="DE81" s="58">
        <f t="shared" si="1112"/>
        <v>80</v>
      </c>
      <c r="DF81" s="58">
        <f t="shared" si="1112"/>
        <v>0</v>
      </c>
      <c r="DG81" s="58">
        <f t="shared" si="1112"/>
        <v>27960</v>
      </c>
      <c r="DH81" s="58">
        <f t="shared" si="1112"/>
        <v>16600</v>
      </c>
      <c r="DI81" s="58">
        <f t="shared" si="1112"/>
        <v>0</v>
      </c>
      <c r="DJ81" s="58">
        <f t="shared" si="1112"/>
        <v>67629</v>
      </c>
      <c r="DL81" s="58">
        <f t="shared" ref="DL81:DR81" si="1113">DL80+DL78+DL71+DL39</f>
        <v>67629</v>
      </c>
      <c r="DM81" s="58">
        <f t="shared" si="1113"/>
        <v>16600</v>
      </c>
      <c r="DN81" s="58">
        <f t="shared" si="1113"/>
        <v>0</v>
      </c>
      <c r="DO81" s="58">
        <f t="shared" si="1113"/>
        <v>80</v>
      </c>
      <c r="DP81" s="58">
        <f t="shared" si="1113"/>
        <v>16500</v>
      </c>
      <c r="DQ81" s="58">
        <f t="shared" si="1113"/>
        <v>0</v>
      </c>
      <c r="DR81" s="58">
        <f t="shared" si="1113"/>
        <v>51049</v>
      </c>
      <c r="DS81" s="8"/>
      <c r="DT81" s="58">
        <f t="shared" ref="DT81:EB81" si="1114">DT80+DT78+DT71+DT39</f>
        <v>51049</v>
      </c>
      <c r="DU81" s="58">
        <f t="shared" si="1114"/>
        <v>16500</v>
      </c>
      <c r="DV81" s="58">
        <f t="shared" si="1114"/>
        <v>20</v>
      </c>
      <c r="DW81" s="58">
        <f t="shared" si="1114"/>
        <v>40</v>
      </c>
      <c r="DX81" s="58">
        <f t="shared" si="1114"/>
        <v>22355</v>
      </c>
      <c r="DY81" s="58">
        <f t="shared" si="1114"/>
        <v>20235</v>
      </c>
      <c r="DZ81" s="58">
        <f t="shared" si="1114"/>
        <v>17600</v>
      </c>
      <c r="EA81" s="58">
        <f t="shared" si="1114"/>
        <v>0</v>
      </c>
      <c r="EB81" s="58">
        <f t="shared" si="1114"/>
        <v>75979</v>
      </c>
      <c r="EC81" s="8"/>
      <c r="ED81" s="58">
        <f t="shared" ref="ED81:EK81" si="1115">ED80+ED78+ED71+ED39</f>
        <v>75979</v>
      </c>
      <c r="EE81" s="58">
        <f t="shared" si="1115"/>
        <v>17600</v>
      </c>
      <c r="EF81" s="58">
        <f t="shared" si="1115"/>
        <v>0</v>
      </c>
      <c r="EG81" s="58">
        <f t="shared" si="1115"/>
        <v>40</v>
      </c>
      <c r="EH81" s="58">
        <f t="shared" si="1115"/>
        <v>19275</v>
      </c>
      <c r="EI81" s="58">
        <f t="shared" si="1115"/>
        <v>20080</v>
      </c>
      <c r="EJ81" s="58">
        <f t="shared" si="1115"/>
        <v>0</v>
      </c>
      <c r="EK81" s="58">
        <f t="shared" si="1115"/>
        <v>75134</v>
      </c>
      <c r="EM81" s="58">
        <f t="shared" ref="EM81:ES81" si="1116">EM80+EM78+EM71+EM39</f>
        <v>75134</v>
      </c>
      <c r="EN81" s="58">
        <f t="shared" si="1116"/>
        <v>20080</v>
      </c>
      <c r="EO81" s="58">
        <f t="shared" si="1116"/>
        <v>0</v>
      </c>
      <c r="EP81" s="58">
        <f t="shared" si="1116"/>
        <v>80</v>
      </c>
      <c r="EQ81" s="58">
        <f t="shared" si="1116"/>
        <v>21100</v>
      </c>
      <c r="ER81" s="58">
        <f t="shared" si="1116"/>
        <v>0</v>
      </c>
      <c r="ES81" s="58">
        <f t="shared" si="1116"/>
        <v>53954</v>
      </c>
      <c r="EU81" s="58">
        <f t="shared" ref="EU81:FA81" si="1117">EU80+EU78+EU71+EU39</f>
        <v>53954</v>
      </c>
      <c r="EV81" s="58">
        <f t="shared" si="1117"/>
        <v>21100</v>
      </c>
      <c r="EW81" s="58">
        <f t="shared" si="1117"/>
        <v>0</v>
      </c>
      <c r="EX81" s="58">
        <f t="shared" si="1117"/>
        <v>0</v>
      </c>
      <c r="EY81" s="58">
        <f t="shared" si="1117"/>
        <v>0</v>
      </c>
      <c r="EZ81" s="58">
        <f t="shared" si="1117"/>
        <v>0</v>
      </c>
      <c r="FA81" s="58">
        <f t="shared" si="1117"/>
        <v>53954</v>
      </c>
      <c r="FC81" s="58">
        <f t="shared" ref="FC81:FI81" si="1118">FC80+FC78+FC71+FC39</f>
        <v>53954</v>
      </c>
      <c r="FD81" s="58">
        <f t="shared" si="1118"/>
        <v>0</v>
      </c>
      <c r="FE81" s="58">
        <f t="shared" si="1118"/>
        <v>0</v>
      </c>
      <c r="FF81" s="58">
        <f t="shared" si="1118"/>
        <v>0</v>
      </c>
      <c r="FG81" s="58">
        <f t="shared" si="1118"/>
        <v>0</v>
      </c>
      <c r="FH81" s="58">
        <f t="shared" si="1118"/>
        <v>0</v>
      </c>
      <c r="FI81" s="58">
        <f t="shared" si="1118"/>
        <v>53954</v>
      </c>
      <c r="FK81" s="58">
        <f t="shared" ref="FK81:FQ81" si="1119">FK80+FK78+FK71+FK39</f>
        <v>53954</v>
      </c>
      <c r="FL81" s="58">
        <f t="shared" si="1119"/>
        <v>0</v>
      </c>
      <c r="FM81" s="58">
        <f t="shared" si="1119"/>
        <v>0</v>
      </c>
      <c r="FN81" s="58">
        <f t="shared" si="1119"/>
        <v>0</v>
      </c>
      <c r="FO81" s="58">
        <f t="shared" si="1119"/>
        <v>19760</v>
      </c>
      <c r="FP81" s="58">
        <f t="shared" si="1119"/>
        <v>0</v>
      </c>
      <c r="FQ81" s="58">
        <f t="shared" si="1119"/>
        <v>34194</v>
      </c>
      <c r="FR81" s="8"/>
      <c r="FS81" s="58">
        <f t="shared" ref="FS81:GD81" si="1120">FS80+FS78+FS71+FS39</f>
        <v>34194</v>
      </c>
      <c r="FT81" s="58">
        <f t="shared" si="1120"/>
        <v>19760</v>
      </c>
      <c r="FU81" s="58">
        <f t="shared" si="1120"/>
        <v>140</v>
      </c>
      <c r="FV81" s="58">
        <f t="shared" si="1120"/>
        <v>40</v>
      </c>
      <c r="FW81" s="58">
        <f t="shared" si="1120"/>
        <v>17030</v>
      </c>
      <c r="FX81" s="58">
        <f t="shared" si="1120"/>
        <v>2385</v>
      </c>
      <c r="FY81" s="58">
        <f t="shared" si="1120"/>
        <v>22760</v>
      </c>
      <c r="FZ81" s="58">
        <f t="shared" si="1120"/>
        <v>17910</v>
      </c>
      <c r="GA81" s="58">
        <f t="shared" si="1120"/>
        <v>19480</v>
      </c>
      <c r="GB81" s="58">
        <f t="shared" si="1120"/>
        <v>18820</v>
      </c>
      <c r="GC81" s="58">
        <f t="shared" si="1120"/>
        <v>0</v>
      </c>
      <c r="GD81" s="58">
        <f t="shared" si="1120"/>
        <v>94759</v>
      </c>
      <c r="GF81" s="58">
        <f t="shared" ref="GF81:GM81" si="1121">GF80+GF78+GF71+GF39</f>
        <v>94759</v>
      </c>
      <c r="GG81" s="58">
        <f t="shared" si="1121"/>
        <v>18820</v>
      </c>
      <c r="GH81" s="58">
        <f t="shared" si="1121"/>
        <v>0</v>
      </c>
      <c r="GI81" s="58">
        <f t="shared" si="1121"/>
        <v>0</v>
      </c>
      <c r="GJ81" s="58">
        <f t="shared" si="1121"/>
        <v>32615</v>
      </c>
      <c r="GK81" s="58">
        <f t="shared" si="1121"/>
        <v>20360</v>
      </c>
      <c r="GL81" s="58">
        <f t="shared" si="1121"/>
        <v>0</v>
      </c>
      <c r="GM81" s="58">
        <f t="shared" si="1121"/>
        <v>107014</v>
      </c>
      <c r="GO81" s="58">
        <f t="shared" ref="GO81:GV81" si="1122">GO80+GO78+GO71+GO39</f>
        <v>107014</v>
      </c>
      <c r="GP81" s="58">
        <f t="shared" si="1122"/>
        <v>20360</v>
      </c>
      <c r="GQ81" s="58">
        <f t="shared" si="1122"/>
        <v>40</v>
      </c>
      <c r="GR81" s="58">
        <f t="shared" si="1122"/>
        <v>0</v>
      </c>
      <c r="GS81" s="58">
        <f t="shared" si="1122"/>
        <v>25470</v>
      </c>
      <c r="GT81" s="58">
        <f t="shared" si="1122"/>
        <v>20660</v>
      </c>
      <c r="GU81" s="58">
        <f t="shared" si="1122"/>
        <v>0</v>
      </c>
      <c r="GV81" s="58">
        <f t="shared" si="1122"/>
        <v>111784</v>
      </c>
      <c r="GW81" s="8"/>
      <c r="GX81" s="58">
        <f t="shared" ref="GX81:HE81" si="1123">GX80+GX78+GX71+GX39</f>
        <v>111784</v>
      </c>
      <c r="GY81" s="58">
        <f t="shared" si="1123"/>
        <v>20660</v>
      </c>
      <c r="GZ81" s="58">
        <f t="shared" si="1123"/>
        <v>100</v>
      </c>
      <c r="HA81" s="58">
        <f t="shared" si="1123"/>
        <v>0</v>
      </c>
      <c r="HB81" s="58">
        <f t="shared" si="1123"/>
        <v>20225</v>
      </c>
      <c r="HC81" s="58">
        <f t="shared" si="1123"/>
        <v>19060</v>
      </c>
      <c r="HD81" s="58">
        <f t="shared" si="1123"/>
        <v>0</v>
      </c>
      <c r="HE81" s="58">
        <f t="shared" si="1123"/>
        <v>112849</v>
      </c>
      <c r="HF81" s="8"/>
      <c r="HG81" s="58">
        <f t="shared" ref="HG81:HN81" si="1124">HG80+HG78+HG71+HG39</f>
        <v>112849</v>
      </c>
      <c r="HH81" s="58">
        <f t="shared" si="1124"/>
        <v>19060</v>
      </c>
      <c r="HI81" s="58">
        <f t="shared" si="1124"/>
        <v>20</v>
      </c>
      <c r="HJ81" s="58">
        <f t="shared" si="1124"/>
        <v>0</v>
      </c>
      <c r="HK81" s="58">
        <f t="shared" si="1124"/>
        <v>17605</v>
      </c>
      <c r="HL81" s="58">
        <f t="shared" si="1124"/>
        <v>18340</v>
      </c>
      <c r="HM81" s="58">
        <f t="shared" si="1124"/>
        <v>0</v>
      </c>
      <c r="HN81" s="58">
        <f t="shared" si="1124"/>
        <v>112094</v>
      </c>
      <c r="HO81" s="8"/>
      <c r="HP81" s="58">
        <f t="shared" ref="HP81:HW81" si="1125">HP80+HP78+HP71+HP39</f>
        <v>112094</v>
      </c>
      <c r="HQ81" s="58">
        <f t="shared" si="1125"/>
        <v>18340</v>
      </c>
      <c r="HR81" s="58">
        <f t="shared" si="1125"/>
        <v>0</v>
      </c>
      <c r="HS81" s="58">
        <f t="shared" si="1125"/>
        <v>18</v>
      </c>
      <c r="HT81" s="58">
        <f t="shared" si="1125"/>
        <v>24490</v>
      </c>
      <c r="HU81" s="58">
        <f t="shared" si="1125"/>
        <v>18220</v>
      </c>
      <c r="HV81" s="58">
        <f t="shared" si="1125"/>
        <v>0</v>
      </c>
      <c r="HW81" s="58">
        <f t="shared" si="1125"/>
        <v>118346</v>
      </c>
      <c r="HX81" s="8"/>
      <c r="HY81" s="58">
        <f t="shared" ref="HY81:IF81" si="1126">HY80+HY78+HY71+HY39</f>
        <v>118346</v>
      </c>
      <c r="HZ81" s="58">
        <f t="shared" si="1126"/>
        <v>18220</v>
      </c>
      <c r="IA81" s="58">
        <f t="shared" si="1126"/>
        <v>0</v>
      </c>
      <c r="IB81" s="58">
        <f t="shared" si="1126"/>
        <v>0</v>
      </c>
      <c r="IC81" s="58">
        <f t="shared" si="1126"/>
        <v>23300</v>
      </c>
      <c r="ID81" s="58">
        <f t="shared" si="1126"/>
        <v>20020</v>
      </c>
      <c r="IE81" s="58">
        <f t="shared" si="1126"/>
        <v>0</v>
      </c>
      <c r="IF81" s="58">
        <f t="shared" si="1126"/>
        <v>121626</v>
      </c>
      <c r="IG81" s="8"/>
      <c r="IH81" s="58">
        <f t="shared" ref="IH81:IN81" si="1127">IH80+IH78+IH71+IH39</f>
        <v>121626</v>
      </c>
      <c r="II81" s="58">
        <f t="shared" si="1127"/>
        <v>20020</v>
      </c>
      <c r="IJ81" s="58">
        <f t="shared" si="1127"/>
        <v>0</v>
      </c>
      <c r="IK81" s="58">
        <f t="shared" si="1127"/>
        <v>0</v>
      </c>
      <c r="IL81" s="58">
        <f t="shared" si="1127"/>
        <v>19340</v>
      </c>
      <c r="IM81" s="58">
        <f t="shared" si="1127"/>
        <v>0</v>
      </c>
      <c r="IN81" s="58">
        <f t="shared" si="1127"/>
        <v>102286</v>
      </c>
      <c r="IO81" s="8"/>
      <c r="IP81" s="58">
        <f t="shared" ref="IP81:IW81" si="1128">IP80+IP78+IP71+IP39</f>
        <v>102286</v>
      </c>
      <c r="IQ81" s="135">
        <f t="shared" si="1128"/>
        <v>19340</v>
      </c>
      <c r="IR81" s="135">
        <f t="shared" si="1128"/>
        <v>0</v>
      </c>
      <c r="IS81" s="135">
        <f t="shared" si="1128"/>
        <v>0</v>
      </c>
      <c r="IT81" s="135">
        <f t="shared" si="1128"/>
        <v>15700</v>
      </c>
      <c r="IU81" s="135">
        <f t="shared" si="1128"/>
        <v>16620</v>
      </c>
      <c r="IV81" s="135">
        <f t="shared" si="1128"/>
        <v>0</v>
      </c>
      <c r="IW81" s="135">
        <f t="shared" si="1128"/>
        <v>101366</v>
      </c>
      <c r="IX81" s="8"/>
      <c r="IY81" s="58">
        <f t="shared" ref="IY81:JE81" si="1129">IY80+IY78+IY71+IY39</f>
        <v>101336</v>
      </c>
      <c r="IZ81" s="58">
        <f t="shared" si="1129"/>
        <v>16620</v>
      </c>
      <c r="JA81" s="58">
        <f t="shared" si="1129"/>
        <v>0</v>
      </c>
      <c r="JB81" s="58">
        <f t="shared" si="1129"/>
        <v>0</v>
      </c>
      <c r="JC81" s="58">
        <f t="shared" si="1129"/>
        <v>10100</v>
      </c>
      <c r="JD81" s="58">
        <f t="shared" si="1129"/>
        <v>0</v>
      </c>
      <c r="JE81" s="58">
        <f t="shared" si="1129"/>
        <v>91236</v>
      </c>
      <c r="JF81" s="8"/>
      <c r="JG81" s="58">
        <f t="shared" ref="JG81:JN81" si="1130">JG80+JG78+JG71+JG39</f>
        <v>91236</v>
      </c>
      <c r="JH81" s="58">
        <f t="shared" si="1130"/>
        <v>10100</v>
      </c>
      <c r="JI81" s="58">
        <f t="shared" si="1130"/>
        <v>40</v>
      </c>
      <c r="JJ81" s="58">
        <f t="shared" si="1130"/>
        <v>65</v>
      </c>
      <c r="JK81" s="58">
        <f t="shared" si="1130"/>
        <v>23650</v>
      </c>
      <c r="JL81" s="58">
        <f t="shared" si="1130"/>
        <v>34520</v>
      </c>
      <c r="JM81" s="58">
        <f t="shared" si="1130"/>
        <v>0</v>
      </c>
      <c r="JN81" s="58">
        <f t="shared" si="1130"/>
        <v>80261</v>
      </c>
      <c r="JO81" s="8"/>
      <c r="JP81" s="58">
        <f t="shared" ref="JP81" si="1131">JP80+JP78+JP71+JP39</f>
        <v>80232</v>
      </c>
      <c r="JQ81" s="58">
        <f t="shared" ref="JQ81:JV81" si="1132">JQ80+JQ78+JQ71+JQ39</f>
        <v>34520</v>
      </c>
      <c r="JR81" s="58">
        <f t="shared" si="1132"/>
        <v>0</v>
      </c>
      <c r="JS81" s="58">
        <f t="shared" si="1132"/>
        <v>40</v>
      </c>
      <c r="JT81" s="58">
        <f t="shared" si="1132"/>
        <v>0</v>
      </c>
      <c r="JU81" s="58">
        <f t="shared" si="1132"/>
        <v>0</v>
      </c>
      <c r="JV81" s="58">
        <f t="shared" si="1132"/>
        <v>80192</v>
      </c>
      <c r="JW81" s="8"/>
      <c r="JX81" s="58">
        <f t="shared" ref="JX81:KD81" si="1133">JX80+JX78+JX71+JX39</f>
        <v>80172</v>
      </c>
      <c r="JY81" s="58">
        <f t="shared" si="1133"/>
        <v>0</v>
      </c>
      <c r="JZ81" s="58">
        <f t="shared" si="1133"/>
        <v>0</v>
      </c>
      <c r="KA81" s="58">
        <f t="shared" si="1133"/>
        <v>0</v>
      </c>
      <c r="KB81" s="58">
        <f t="shared" si="1133"/>
        <v>18720</v>
      </c>
      <c r="KC81" s="58">
        <f t="shared" si="1133"/>
        <v>0</v>
      </c>
      <c r="KD81" s="58">
        <f t="shared" si="1133"/>
        <v>61452</v>
      </c>
      <c r="KE81" s="8"/>
      <c r="KF81" s="58">
        <f t="shared" ref="KF81:KG81" si="1134">KF80+KF78+KF71+KF39</f>
        <v>61452</v>
      </c>
      <c r="KG81" s="58">
        <f t="shared" si="1134"/>
        <v>18720</v>
      </c>
      <c r="KH81" s="58">
        <f t="shared" ref="KH81:KM81" si="1135">KH80+KH78+KH71+KH39</f>
        <v>0</v>
      </c>
      <c r="KI81" s="58">
        <f t="shared" si="1135"/>
        <v>80</v>
      </c>
      <c r="KJ81" s="58">
        <f t="shared" si="1135"/>
        <v>14545</v>
      </c>
      <c r="KK81" s="58">
        <f t="shared" ref="KK81" si="1136">KK80+KK78+KK71+KK39</f>
        <v>19020</v>
      </c>
      <c r="KL81" s="58">
        <f t="shared" si="1135"/>
        <v>0</v>
      </c>
      <c r="KM81" s="58">
        <f t="shared" si="1135"/>
        <v>56897</v>
      </c>
      <c r="KN81" s="8"/>
      <c r="KO81" s="58">
        <f t="shared" ref="KO81" si="1137">KO80+KO78+KO71+KO39</f>
        <v>56897</v>
      </c>
      <c r="KP81" s="58">
        <f t="shared" ref="KP81:KV81" si="1138">KP80+KP78+KP71+KP39</f>
        <v>19020</v>
      </c>
      <c r="KQ81" s="58">
        <f t="shared" si="1138"/>
        <v>0</v>
      </c>
      <c r="KR81" s="58">
        <f t="shared" si="1138"/>
        <v>0</v>
      </c>
      <c r="KS81" s="58">
        <f t="shared" si="1138"/>
        <v>17340</v>
      </c>
      <c r="KT81" s="58">
        <f t="shared" si="1138"/>
        <v>13500</v>
      </c>
      <c r="KU81" s="58">
        <f t="shared" si="1138"/>
        <v>0</v>
      </c>
      <c r="KV81" s="58">
        <f t="shared" si="1138"/>
        <v>60737</v>
      </c>
      <c r="KX81" s="58">
        <f t="shared" ref="KX81" si="1139">KX80+KX78+KX71+KX39</f>
        <v>60737</v>
      </c>
      <c r="KY81" s="58">
        <f t="shared" ref="KY81:LD81" si="1140">KY80+KY78+KY71+KY39</f>
        <v>13500</v>
      </c>
      <c r="KZ81" s="58">
        <f t="shared" si="1140"/>
        <v>0</v>
      </c>
      <c r="LA81" s="58">
        <f t="shared" si="1140"/>
        <v>0</v>
      </c>
      <c r="LB81" s="58">
        <f t="shared" si="1140"/>
        <v>0</v>
      </c>
      <c r="LC81" s="58">
        <f t="shared" si="1140"/>
        <v>0</v>
      </c>
      <c r="LD81" s="58">
        <f t="shared" si="1140"/>
        <v>60737</v>
      </c>
      <c r="LF81" s="58">
        <f t="shared" ref="LF81:LM81" si="1141">LF80+LF78+LF71+LF39</f>
        <v>60737</v>
      </c>
      <c r="LG81" s="135">
        <f t="shared" si="1141"/>
        <v>18480</v>
      </c>
      <c r="LH81" s="135">
        <f t="shared" si="1141"/>
        <v>0</v>
      </c>
      <c r="LI81" s="135">
        <f t="shared" si="1141"/>
        <v>40</v>
      </c>
      <c r="LJ81" s="58">
        <f t="shared" si="1141"/>
        <v>20835</v>
      </c>
      <c r="LK81" s="135">
        <f t="shared" si="1141"/>
        <v>0</v>
      </c>
      <c r="LL81" s="135">
        <f t="shared" si="1141"/>
        <v>0</v>
      </c>
      <c r="LM81" s="58">
        <f t="shared" si="1141"/>
        <v>63052</v>
      </c>
      <c r="LO81" s="58">
        <f t="shared" ref="LO81:LU81" si="1142">LO80+LO78+LO71+LO39</f>
        <v>63052</v>
      </c>
      <c r="LP81" s="135">
        <f t="shared" si="1142"/>
        <v>11420</v>
      </c>
      <c r="LQ81" s="135">
        <f t="shared" si="1142"/>
        <v>0</v>
      </c>
      <c r="LR81" s="135">
        <f t="shared" si="1142"/>
        <v>0</v>
      </c>
      <c r="LS81" s="135">
        <f t="shared" si="1142"/>
        <v>0</v>
      </c>
      <c r="LT81" s="135">
        <f t="shared" si="1142"/>
        <v>0</v>
      </c>
      <c r="LU81" s="58">
        <f t="shared" si="1142"/>
        <v>51632</v>
      </c>
      <c r="LW81" s="58">
        <f t="shared" ref="LW81:MC81" si="1143">LW80+LW78+LW71+LW39</f>
        <v>51632</v>
      </c>
      <c r="LX81" s="135">
        <f t="shared" si="1143"/>
        <v>32260</v>
      </c>
      <c r="LY81" s="135">
        <f t="shared" si="1143"/>
        <v>0</v>
      </c>
      <c r="LZ81" s="135">
        <f t="shared" si="1143"/>
        <v>40</v>
      </c>
      <c r="MA81" s="135">
        <f t="shared" si="1143"/>
        <v>0</v>
      </c>
      <c r="MB81" s="135">
        <f t="shared" si="1143"/>
        <v>0</v>
      </c>
      <c r="MC81" s="58">
        <f t="shared" si="1143"/>
        <v>19332</v>
      </c>
      <c r="ME81" s="58">
        <f t="shared" ref="ME81:MK81" si="1144">ME80+ME78+ME71+ME39</f>
        <v>19332</v>
      </c>
      <c r="MF81" s="135">
        <f t="shared" si="1144"/>
        <v>0</v>
      </c>
      <c r="MG81" s="135">
        <f t="shared" si="1144"/>
        <v>0</v>
      </c>
      <c r="MH81" s="135">
        <f t="shared" si="1144"/>
        <v>120</v>
      </c>
      <c r="MI81" s="135">
        <f t="shared" si="1144"/>
        <v>0</v>
      </c>
      <c r="MJ81" s="135">
        <f t="shared" si="1144"/>
        <v>0</v>
      </c>
      <c r="MK81" s="58">
        <f t="shared" si="1144"/>
        <v>19212</v>
      </c>
      <c r="MM81" s="58">
        <f t="shared" ref="MM81:MS81" si="1145">MM80+MM78+MM71+MM39</f>
        <v>19212</v>
      </c>
      <c r="MN81" s="135">
        <f t="shared" si="1145"/>
        <v>19860</v>
      </c>
      <c r="MO81" s="135">
        <f t="shared" si="1145"/>
        <v>0</v>
      </c>
      <c r="MP81" s="135">
        <f t="shared" si="1145"/>
        <v>80</v>
      </c>
      <c r="MQ81" s="135">
        <f t="shared" si="1145"/>
        <v>0</v>
      </c>
      <c r="MR81" s="135">
        <f t="shared" si="1145"/>
        <v>0</v>
      </c>
      <c r="MS81" s="58">
        <f t="shared" si="1145"/>
        <v>-728</v>
      </c>
      <c r="MU81" s="58">
        <f t="shared" ref="MU81:NA81" si="1146">MU80+MU78+MU71+MU39</f>
        <v>-728</v>
      </c>
      <c r="MV81" s="135">
        <f t="shared" si="1146"/>
        <v>21680</v>
      </c>
      <c r="MW81" s="135">
        <f t="shared" si="1146"/>
        <v>0</v>
      </c>
      <c r="MX81" s="135">
        <f t="shared" si="1146"/>
        <v>100</v>
      </c>
      <c r="MY81" s="135">
        <f t="shared" si="1146"/>
        <v>0</v>
      </c>
      <c r="MZ81" s="135">
        <f t="shared" si="1146"/>
        <v>0</v>
      </c>
      <c r="NA81" s="58">
        <f t="shared" si="1146"/>
        <v>-22508</v>
      </c>
      <c r="NC81" s="58">
        <f t="shared" ref="NC81:NI81" si="1147">NC80+NC78+NC71+NC39</f>
        <v>-22508</v>
      </c>
      <c r="ND81" s="135">
        <f t="shared" si="1147"/>
        <v>21840</v>
      </c>
      <c r="NE81" s="135">
        <f t="shared" si="1147"/>
        <v>0</v>
      </c>
      <c r="NF81" s="135">
        <f t="shared" si="1147"/>
        <v>0</v>
      </c>
      <c r="NG81" s="135">
        <f t="shared" si="1147"/>
        <v>0</v>
      </c>
      <c r="NH81" s="135">
        <f t="shared" si="1147"/>
        <v>0</v>
      </c>
      <c r="NI81" s="58">
        <f t="shared" si="1147"/>
        <v>-44348</v>
      </c>
      <c r="NK81" s="58">
        <f t="shared" ref="NK81:NQ81" si="1148">NK80+NK78+NK71+NK39</f>
        <v>-44348</v>
      </c>
      <c r="NL81" s="135">
        <f t="shared" si="1148"/>
        <v>18460</v>
      </c>
      <c r="NM81" s="135">
        <f t="shared" si="1148"/>
        <v>0</v>
      </c>
      <c r="NN81" s="135">
        <f t="shared" si="1148"/>
        <v>0</v>
      </c>
      <c r="NO81" s="135">
        <f t="shared" si="1148"/>
        <v>0</v>
      </c>
      <c r="NP81" s="135">
        <f t="shared" si="1148"/>
        <v>0</v>
      </c>
      <c r="NQ81" s="58">
        <f t="shared" si="1148"/>
        <v>-62808</v>
      </c>
      <c r="NS81" s="58">
        <f t="shared" ref="NS81:NY81" si="1149">NS80+NS78+NS71+NS39</f>
        <v>-62808</v>
      </c>
      <c r="NT81" s="135">
        <f t="shared" si="1149"/>
        <v>22520</v>
      </c>
      <c r="NU81" s="135">
        <f t="shared" si="1149"/>
        <v>0</v>
      </c>
      <c r="NV81" s="135">
        <f t="shared" si="1149"/>
        <v>0</v>
      </c>
      <c r="NW81" s="135">
        <f t="shared" si="1149"/>
        <v>0</v>
      </c>
      <c r="NX81" s="135">
        <f t="shared" si="1149"/>
        <v>0</v>
      </c>
      <c r="NY81" s="58">
        <f t="shared" si="1149"/>
        <v>-85328</v>
      </c>
      <c r="OA81" s="58">
        <f t="shared" ref="OA81:OG81" si="1150">OA80+OA78+OA71+OA39</f>
        <v>-85328</v>
      </c>
      <c r="OB81" s="135">
        <f t="shared" si="1150"/>
        <v>17840</v>
      </c>
      <c r="OC81" s="135">
        <f t="shared" si="1150"/>
        <v>0</v>
      </c>
      <c r="OD81" s="135">
        <f t="shared" si="1150"/>
        <v>0</v>
      </c>
      <c r="OE81" s="135">
        <f t="shared" si="1150"/>
        <v>0</v>
      </c>
      <c r="OF81" s="135">
        <f t="shared" si="1150"/>
        <v>0</v>
      </c>
      <c r="OG81" s="58">
        <f t="shared" si="1150"/>
        <v>-103168</v>
      </c>
      <c r="OI81" s="58">
        <f t="shared" ref="OI81:OO81" si="1151">OI80+OI78+OI71+OI39</f>
        <v>-103168</v>
      </c>
      <c r="OJ81" s="135">
        <f t="shared" si="1151"/>
        <v>31660</v>
      </c>
      <c r="OK81" s="135">
        <f t="shared" si="1151"/>
        <v>0</v>
      </c>
      <c r="OL81" s="135">
        <f t="shared" si="1151"/>
        <v>0</v>
      </c>
      <c r="OM81" s="135">
        <f t="shared" si="1151"/>
        <v>0</v>
      </c>
      <c r="ON81" s="135">
        <f t="shared" si="1151"/>
        <v>0</v>
      </c>
      <c r="OO81" s="58">
        <f t="shared" si="1151"/>
        <v>-134828</v>
      </c>
      <c r="OQ81" s="58">
        <f t="shared" ref="OQ81:OW81" si="1152">OQ80+OQ78+OQ71+OQ39</f>
        <v>-134828</v>
      </c>
      <c r="OR81" s="135">
        <f t="shared" si="1152"/>
        <v>0</v>
      </c>
      <c r="OS81" s="135">
        <f t="shared" si="1152"/>
        <v>0</v>
      </c>
      <c r="OT81" s="135">
        <f t="shared" si="1152"/>
        <v>0</v>
      </c>
      <c r="OU81" s="135">
        <f t="shared" si="1152"/>
        <v>0</v>
      </c>
      <c r="OV81" s="135">
        <f t="shared" si="1152"/>
        <v>0</v>
      </c>
      <c r="OW81" s="58">
        <f t="shared" si="1152"/>
        <v>-134828</v>
      </c>
      <c r="OY81" s="58">
        <f t="shared" ref="OY81:PE81" si="1153">OY80+OY78+OY71+OY39</f>
        <v>-134828</v>
      </c>
      <c r="OZ81" s="135">
        <f t="shared" si="1153"/>
        <v>0</v>
      </c>
      <c r="PA81" s="135">
        <f t="shared" si="1153"/>
        <v>0</v>
      </c>
      <c r="PB81" s="135">
        <f t="shared" si="1153"/>
        <v>0</v>
      </c>
      <c r="PC81" s="135">
        <f t="shared" si="1153"/>
        <v>0</v>
      </c>
      <c r="PD81" s="135">
        <f t="shared" si="1153"/>
        <v>0</v>
      </c>
      <c r="PE81" s="58">
        <f t="shared" si="1153"/>
        <v>-134828</v>
      </c>
      <c r="PG81" s="58">
        <f t="shared" ref="PG81:PM81" si="1154">PG80+PG78+PG71+PG39</f>
        <v>-134828</v>
      </c>
      <c r="PH81" s="135">
        <f t="shared" si="1154"/>
        <v>0</v>
      </c>
      <c r="PI81" s="135">
        <f t="shared" si="1154"/>
        <v>0</v>
      </c>
      <c r="PJ81" s="135">
        <f t="shared" si="1154"/>
        <v>0</v>
      </c>
      <c r="PK81" s="135">
        <f t="shared" si="1154"/>
        <v>0</v>
      </c>
      <c r="PL81" s="135">
        <f t="shared" si="1154"/>
        <v>0</v>
      </c>
      <c r="PM81" s="58">
        <f t="shared" si="1154"/>
        <v>-134828</v>
      </c>
      <c r="PO81" s="58">
        <f t="shared" ref="PO81:PU81" si="1155">PO80+PO78+PO71+PO39</f>
        <v>-134828</v>
      </c>
      <c r="PP81" s="135">
        <f t="shared" si="1155"/>
        <v>0</v>
      </c>
      <c r="PQ81" s="135">
        <f t="shared" si="1155"/>
        <v>0</v>
      </c>
      <c r="PR81" s="135">
        <f t="shared" si="1155"/>
        <v>0</v>
      </c>
      <c r="PS81" s="135">
        <f t="shared" si="1155"/>
        <v>0</v>
      </c>
      <c r="PT81" s="135">
        <f t="shared" si="1155"/>
        <v>0</v>
      </c>
      <c r="PU81" s="58">
        <f t="shared" si="1155"/>
        <v>-134828</v>
      </c>
      <c r="PW81" s="58">
        <f t="shared" ref="PW81:QC81" si="1156">PW80+PW78+PW71+PW39</f>
        <v>-134828</v>
      </c>
      <c r="PX81" s="135">
        <f t="shared" si="1156"/>
        <v>16720</v>
      </c>
      <c r="PY81" s="135">
        <f t="shared" si="1156"/>
        <v>0</v>
      </c>
      <c r="PZ81" s="135">
        <f t="shared" si="1156"/>
        <v>0</v>
      </c>
      <c r="QA81" s="135">
        <f t="shared" si="1156"/>
        <v>0</v>
      </c>
      <c r="QB81" s="135">
        <f t="shared" si="1156"/>
        <v>0</v>
      </c>
      <c r="QC81" s="58">
        <f t="shared" si="1156"/>
        <v>-151548</v>
      </c>
      <c r="QE81" s="58">
        <f t="shared" ref="QE81:QK81" si="1157">QE80+QE78+QE71+QE39</f>
        <v>-151548</v>
      </c>
      <c r="QF81" s="135">
        <f t="shared" si="1157"/>
        <v>16680</v>
      </c>
      <c r="QG81" s="135">
        <f t="shared" si="1157"/>
        <v>0</v>
      </c>
      <c r="QH81" s="135">
        <f t="shared" si="1157"/>
        <v>0</v>
      </c>
      <c r="QI81" s="135">
        <f t="shared" si="1157"/>
        <v>0</v>
      </c>
      <c r="QJ81" s="135">
        <f t="shared" si="1157"/>
        <v>0</v>
      </c>
      <c r="QK81" s="58">
        <f t="shared" si="1157"/>
        <v>-168228</v>
      </c>
      <c r="QM81" s="58">
        <f t="shared" ref="QM81:QS81" si="1158">QM80+QM78+QM71+QM39</f>
        <v>-168228</v>
      </c>
      <c r="QN81" s="135">
        <f t="shared" si="1158"/>
        <v>16920</v>
      </c>
      <c r="QO81" s="135">
        <f t="shared" si="1158"/>
        <v>0</v>
      </c>
      <c r="QP81" s="135">
        <f t="shared" si="1158"/>
        <v>0</v>
      </c>
      <c r="QQ81" s="135">
        <f t="shared" si="1158"/>
        <v>0</v>
      </c>
      <c r="QR81" s="135">
        <f t="shared" si="1158"/>
        <v>0</v>
      </c>
      <c r="QS81" s="58">
        <f t="shared" si="1158"/>
        <v>-185148</v>
      </c>
      <c r="QU81" s="58">
        <f t="shared" ref="QU81:RA81" si="1159">QU80+QU78+QU71+QU39</f>
        <v>-185148</v>
      </c>
      <c r="QV81" s="135">
        <f t="shared" si="1159"/>
        <v>17110</v>
      </c>
      <c r="QW81" s="135">
        <f t="shared" si="1159"/>
        <v>0</v>
      </c>
      <c r="QX81" s="135">
        <f t="shared" si="1159"/>
        <v>0</v>
      </c>
      <c r="QY81" s="135">
        <f t="shared" si="1159"/>
        <v>0</v>
      </c>
      <c r="QZ81" s="135">
        <f t="shared" si="1159"/>
        <v>0</v>
      </c>
      <c r="RA81" s="58">
        <f t="shared" si="1159"/>
        <v>-202258</v>
      </c>
      <c r="RC81" s="58">
        <f t="shared" ref="RC81:RI81" si="1160">RC80+RC78+RC71+RC39</f>
        <v>-202258</v>
      </c>
      <c r="RD81" s="135">
        <f t="shared" si="1160"/>
        <v>17110</v>
      </c>
      <c r="RE81" s="135">
        <f t="shared" si="1160"/>
        <v>0</v>
      </c>
      <c r="RF81" s="135">
        <f t="shared" si="1160"/>
        <v>0</v>
      </c>
      <c r="RG81" s="135">
        <f t="shared" si="1160"/>
        <v>0</v>
      </c>
      <c r="RH81" s="135">
        <f t="shared" si="1160"/>
        <v>0</v>
      </c>
      <c r="RI81" s="58">
        <f t="shared" si="1160"/>
        <v>-219368</v>
      </c>
      <c r="RK81" s="58">
        <f t="shared" ref="RK81:RQ81" si="1161">RK80+RK78+RK71+RK39</f>
        <v>-219368</v>
      </c>
      <c r="RL81" s="135">
        <f t="shared" si="1161"/>
        <v>17110</v>
      </c>
      <c r="RM81" s="135">
        <f t="shared" si="1161"/>
        <v>0</v>
      </c>
      <c r="RN81" s="135">
        <f t="shared" si="1161"/>
        <v>0</v>
      </c>
      <c r="RO81" s="135">
        <f t="shared" si="1161"/>
        <v>0</v>
      </c>
      <c r="RP81" s="135">
        <f t="shared" si="1161"/>
        <v>0</v>
      </c>
      <c r="RQ81" s="58">
        <f t="shared" si="1161"/>
        <v>-236478</v>
      </c>
      <c r="RS81" s="58">
        <f t="shared" ref="RS81:RY81" si="1162">RS80+RS78+RS71+RS39</f>
        <v>-236478</v>
      </c>
      <c r="RT81" s="135">
        <f t="shared" si="1162"/>
        <v>16990</v>
      </c>
      <c r="RU81" s="135">
        <f t="shared" si="1162"/>
        <v>0</v>
      </c>
      <c r="RV81" s="135">
        <f t="shared" si="1162"/>
        <v>0</v>
      </c>
      <c r="RW81" s="135">
        <f t="shared" si="1162"/>
        <v>0</v>
      </c>
      <c r="RX81" s="135">
        <f t="shared" si="1162"/>
        <v>0</v>
      </c>
      <c r="RY81" s="58">
        <f t="shared" si="1162"/>
        <v>-253468</v>
      </c>
      <c r="SA81" s="58">
        <f t="shared" ref="SA81:SG81" si="1163">SA80+SA78+SA71+SA39</f>
        <v>-253468</v>
      </c>
      <c r="SB81" s="135">
        <f t="shared" si="1163"/>
        <v>12980</v>
      </c>
      <c r="SC81" s="135">
        <f t="shared" si="1163"/>
        <v>0</v>
      </c>
      <c r="SD81" s="135">
        <f t="shared" si="1163"/>
        <v>0</v>
      </c>
      <c r="SE81" s="135">
        <f t="shared" si="1163"/>
        <v>0</v>
      </c>
      <c r="SF81" s="135">
        <f t="shared" si="1163"/>
        <v>0</v>
      </c>
      <c r="SG81" s="58">
        <f t="shared" si="1163"/>
        <v>-266448</v>
      </c>
      <c r="SI81" s="58">
        <f t="shared" ref="SI81:SO81" si="1164">SI80+SI78+SI71+SI39</f>
        <v>-266448</v>
      </c>
      <c r="SJ81" s="135">
        <f t="shared" si="1164"/>
        <v>12980</v>
      </c>
      <c r="SK81" s="135">
        <f t="shared" si="1164"/>
        <v>0</v>
      </c>
      <c r="SL81" s="135">
        <f t="shared" si="1164"/>
        <v>0</v>
      </c>
      <c r="SM81" s="135">
        <f t="shared" si="1164"/>
        <v>0</v>
      </c>
      <c r="SN81" s="135">
        <f t="shared" si="1164"/>
        <v>0</v>
      </c>
      <c r="SO81" s="58">
        <f t="shared" si="1164"/>
        <v>-279428</v>
      </c>
      <c r="SQ81" s="58">
        <f t="shared" ref="SQ81:SW81" si="1165">SQ80+SQ78+SQ71+SQ39</f>
        <v>-279428</v>
      </c>
      <c r="SR81" s="135">
        <f t="shared" si="1165"/>
        <v>12980</v>
      </c>
      <c r="SS81" s="135">
        <f t="shared" si="1165"/>
        <v>0</v>
      </c>
      <c r="ST81" s="135">
        <f t="shared" si="1165"/>
        <v>0</v>
      </c>
      <c r="SU81" s="135">
        <f t="shared" si="1165"/>
        <v>0</v>
      </c>
      <c r="SV81" s="135">
        <f t="shared" si="1165"/>
        <v>0</v>
      </c>
      <c r="SW81" s="58">
        <f t="shared" si="1165"/>
        <v>-292408</v>
      </c>
      <c r="SY81" s="58">
        <f t="shared" ref="SY81:TE81" si="1166">SY80+SY78+SY71+SY39</f>
        <v>-292408</v>
      </c>
      <c r="SZ81" s="135">
        <f t="shared" si="1166"/>
        <v>12900</v>
      </c>
      <c r="TA81" s="135">
        <f t="shared" si="1166"/>
        <v>0</v>
      </c>
      <c r="TB81" s="135">
        <f t="shared" si="1166"/>
        <v>0</v>
      </c>
      <c r="TC81" s="135">
        <f t="shared" si="1166"/>
        <v>0</v>
      </c>
      <c r="TD81" s="135">
        <f t="shared" si="1166"/>
        <v>0</v>
      </c>
      <c r="TE81" s="58">
        <f t="shared" si="1166"/>
        <v>-305308</v>
      </c>
      <c r="TG81" s="58">
        <f t="shared" ref="TG81:TM81" si="1167">TG80+TG78+TG71+TG39</f>
        <v>-305308</v>
      </c>
      <c r="TH81" s="135">
        <f t="shared" si="1167"/>
        <v>17830</v>
      </c>
      <c r="TI81" s="135">
        <f t="shared" si="1167"/>
        <v>0</v>
      </c>
      <c r="TJ81" s="135">
        <f t="shared" si="1167"/>
        <v>0</v>
      </c>
      <c r="TK81" s="135">
        <f t="shared" si="1167"/>
        <v>0</v>
      </c>
      <c r="TL81" s="135">
        <f t="shared" si="1167"/>
        <v>0</v>
      </c>
      <c r="TM81" s="58">
        <f t="shared" si="1167"/>
        <v>-323138</v>
      </c>
      <c r="TO81" s="58">
        <f t="shared" ref="TO81:TU81" si="1168">TO80+TO78+TO71+TO39</f>
        <v>-323138</v>
      </c>
      <c r="TP81" s="135">
        <f t="shared" si="1168"/>
        <v>17830</v>
      </c>
      <c r="TQ81" s="135">
        <f t="shared" si="1168"/>
        <v>0</v>
      </c>
      <c r="TR81" s="135">
        <f t="shared" si="1168"/>
        <v>0</v>
      </c>
      <c r="TS81" s="135">
        <f t="shared" si="1168"/>
        <v>0</v>
      </c>
      <c r="TT81" s="135">
        <f t="shared" si="1168"/>
        <v>0</v>
      </c>
      <c r="TU81" s="58">
        <f t="shared" si="1168"/>
        <v>-340968</v>
      </c>
      <c r="TW81" s="58">
        <f t="shared" ref="TW81:UC81" si="1169">TW80+TW78+TW71+TW39</f>
        <v>-340968</v>
      </c>
      <c r="TX81" s="135">
        <f t="shared" si="1169"/>
        <v>17820</v>
      </c>
      <c r="TY81" s="135">
        <f t="shared" si="1169"/>
        <v>0</v>
      </c>
      <c r="TZ81" s="135">
        <f t="shared" si="1169"/>
        <v>0</v>
      </c>
      <c r="UA81" s="135">
        <f t="shared" si="1169"/>
        <v>0</v>
      </c>
      <c r="UB81" s="135">
        <f t="shared" si="1169"/>
        <v>0</v>
      </c>
      <c r="UC81" s="58">
        <f t="shared" si="1169"/>
        <v>-358788</v>
      </c>
      <c r="UE81" s="58">
        <f t="shared" ref="UE81:UK81" si="1170">UE80+UE78+UE71+UE39</f>
        <v>-358788</v>
      </c>
      <c r="UF81" s="135">
        <f t="shared" si="1170"/>
        <v>17820</v>
      </c>
      <c r="UG81" s="135">
        <f t="shared" si="1170"/>
        <v>0</v>
      </c>
      <c r="UH81" s="135">
        <f t="shared" si="1170"/>
        <v>0</v>
      </c>
      <c r="UI81" s="135">
        <f t="shared" si="1170"/>
        <v>0</v>
      </c>
      <c r="UJ81" s="135">
        <f t="shared" si="1170"/>
        <v>0</v>
      </c>
      <c r="UK81" s="58">
        <f t="shared" si="1170"/>
        <v>-376608</v>
      </c>
      <c r="UM81" s="58">
        <f t="shared" ref="UM81:US81" si="1171">UM80+UM78+UM71+UM39</f>
        <v>-376608</v>
      </c>
      <c r="UN81" s="135">
        <f t="shared" si="1171"/>
        <v>17200</v>
      </c>
      <c r="UO81" s="135">
        <f t="shared" si="1171"/>
        <v>0</v>
      </c>
      <c r="UP81" s="135">
        <f t="shared" si="1171"/>
        <v>0</v>
      </c>
      <c r="UQ81" s="135">
        <f t="shared" si="1171"/>
        <v>0</v>
      </c>
      <c r="UR81" s="135">
        <f t="shared" si="1171"/>
        <v>0</v>
      </c>
      <c r="US81" s="58">
        <f t="shared" si="1171"/>
        <v>-393808</v>
      </c>
      <c r="UU81" s="58">
        <f t="shared" ref="UU81:VA81" si="1172">UU80+UU78+UU71+UU39</f>
        <v>-393808</v>
      </c>
      <c r="UV81" s="135">
        <f t="shared" si="1172"/>
        <v>19720</v>
      </c>
      <c r="UW81" s="135">
        <f t="shared" si="1172"/>
        <v>0</v>
      </c>
      <c r="UX81" s="135">
        <f t="shared" si="1172"/>
        <v>0</v>
      </c>
      <c r="UY81" s="135">
        <f t="shared" si="1172"/>
        <v>0</v>
      </c>
      <c r="UZ81" s="135">
        <f t="shared" si="1172"/>
        <v>0</v>
      </c>
      <c r="VA81" s="58">
        <f t="shared" si="1172"/>
        <v>-413528</v>
      </c>
      <c r="VC81" s="58">
        <f t="shared" ref="VC81:VI81" si="1173">VC80+VC78+VC71+VC39</f>
        <v>-413528</v>
      </c>
      <c r="VD81" s="135">
        <f t="shared" si="1173"/>
        <v>19720</v>
      </c>
      <c r="VE81" s="135">
        <f t="shared" si="1173"/>
        <v>0</v>
      </c>
      <c r="VF81" s="135">
        <f t="shared" si="1173"/>
        <v>0</v>
      </c>
      <c r="VG81" s="135">
        <f t="shared" si="1173"/>
        <v>0</v>
      </c>
      <c r="VH81" s="135">
        <f t="shared" si="1173"/>
        <v>0</v>
      </c>
      <c r="VI81" s="58">
        <f t="shared" si="1173"/>
        <v>-433248</v>
      </c>
      <c r="VK81" s="58">
        <f t="shared" ref="VK81:VQ81" si="1174">VK80+VK78+VK71+VK39</f>
        <v>-433248</v>
      </c>
      <c r="VL81" s="135">
        <f t="shared" si="1174"/>
        <v>0</v>
      </c>
      <c r="VM81" s="135">
        <f t="shared" si="1174"/>
        <v>0</v>
      </c>
      <c r="VN81" s="135">
        <f t="shared" si="1174"/>
        <v>0</v>
      </c>
      <c r="VO81" s="135">
        <f t="shared" si="1174"/>
        <v>0</v>
      </c>
      <c r="VP81" s="135">
        <f t="shared" si="1174"/>
        <v>0</v>
      </c>
      <c r="VQ81" s="58">
        <f t="shared" si="1174"/>
        <v>-433248</v>
      </c>
    </row>
    <row r="82" spans="1:589" x14ac:dyDescent="0.25">
      <c r="D82" s="1"/>
      <c r="L82" s="4" t="b">
        <f>L81=Q81</f>
        <v>1</v>
      </c>
      <c r="M82" s="4"/>
      <c r="N82" s="4"/>
      <c r="T82" s="4" t="b">
        <f>T81=Y81</f>
        <v>1</v>
      </c>
      <c r="U82" s="4"/>
      <c r="V82" s="4"/>
      <c r="AB82" s="4" t="b">
        <f>AB81=AG81</f>
        <v>1</v>
      </c>
      <c r="AC82" s="4"/>
      <c r="AD82" s="4"/>
      <c r="AJ82" s="4" t="b">
        <f>AJ81=AO81</f>
        <v>1</v>
      </c>
      <c r="AK82" s="4"/>
      <c r="AL82" s="4"/>
      <c r="AS82" s="4" t="b">
        <f>AS81=AX81</f>
        <v>1</v>
      </c>
      <c r="AT82" s="4"/>
      <c r="AU82" s="4"/>
      <c r="AX82" s="4"/>
      <c r="BA82" s="4" t="b">
        <f>BA81=BF81</f>
        <v>1</v>
      </c>
      <c r="BB82" s="4"/>
      <c r="BC82" s="4"/>
      <c r="BK82" s="4" t="b">
        <f>BK81=BP81</f>
        <v>1</v>
      </c>
      <c r="BL82" s="4"/>
      <c r="BM82" s="4"/>
      <c r="BS82" s="4"/>
      <c r="BT82" s="4"/>
      <c r="BU82" s="4"/>
      <c r="BV82" s="4" t="b">
        <f>BV81=CA81</f>
        <v>1</v>
      </c>
      <c r="BW82" s="4"/>
      <c r="BX82" s="4"/>
      <c r="BY82" s="8"/>
      <c r="CF82" s="3" t="b">
        <f>CF81=CK81</f>
        <v>1</v>
      </c>
      <c r="CG82" s="4"/>
      <c r="CH82" s="4"/>
      <c r="CI82" s="8"/>
      <c r="CO82" s="3" t="b">
        <f>CO81=CT81</f>
        <v>1</v>
      </c>
      <c r="CP82" s="4"/>
      <c r="CQ82" s="4"/>
      <c r="CR82" s="8"/>
      <c r="CY82" s="3" t="b">
        <f>CY81=DD81</f>
        <v>1</v>
      </c>
      <c r="CZ82" s="4"/>
      <c r="DA82" s="4"/>
      <c r="DB82" s="8"/>
      <c r="DH82" s="3" t="b">
        <f>DH81=DM81</f>
        <v>1</v>
      </c>
      <c r="DI82" s="4"/>
      <c r="DJ82" s="4"/>
      <c r="DP82" s="3" t="b">
        <f>DP81=DU81</f>
        <v>1</v>
      </c>
      <c r="DQ82" s="4"/>
      <c r="DR82" s="4"/>
      <c r="DS82" s="8"/>
      <c r="DZ82" s="3" t="b">
        <f>DZ81=EE81</f>
        <v>1</v>
      </c>
      <c r="EA82" s="4"/>
      <c r="EB82" s="4"/>
      <c r="EC82" s="8"/>
      <c r="EI82" s="3" t="b">
        <f>EI81=EN81</f>
        <v>1</v>
      </c>
      <c r="EJ82" s="4"/>
      <c r="EK82" s="4"/>
      <c r="EQ82" s="3" t="b">
        <f t="shared" ref="EQ82" si="1175">EQ81=EV81</f>
        <v>1</v>
      </c>
      <c r="ER82" s="4"/>
      <c r="ES82" s="4"/>
      <c r="EY82" s="3" t="b">
        <f t="shared" ref="EY82" si="1176">EY81=FD81</f>
        <v>1</v>
      </c>
      <c r="EZ82" s="4"/>
      <c r="FA82" s="4"/>
      <c r="FG82" s="3" t="b">
        <f t="shared" ref="FG82" si="1177">FG81=FL81</f>
        <v>1</v>
      </c>
      <c r="FH82" s="4"/>
      <c r="FI82" s="4"/>
      <c r="FO82" s="3" t="b">
        <f t="shared" ref="FO82" si="1178">FO81=FT81</f>
        <v>1</v>
      </c>
      <c r="FP82" s="4"/>
      <c r="FQ82" s="4"/>
      <c r="FR82" s="8"/>
      <c r="GB82" s="3" t="b">
        <f>GB81=GG81</f>
        <v>1</v>
      </c>
      <c r="GC82" s="4"/>
      <c r="GD82" s="4"/>
      <c r="GK82" s="3" t="b">
        <f>GK81=GP81</f>
        <v>1</v>
      </c>
      <c r="GL82" s="4"/>
      <c r="GM82" s="4"/>
      <c r="GT82" s="3" t="b">
        <f>GT81=GY81</f>
        <v>1</v>
      </c>
      <c r="GU82" s="4"/>
      <c r="GV82" s="4"/>
      <c r="GW82" s="8"/>
      <c r="HC82" s="3" t="b">
        <f>HC81=HH81</f>
        <v>1</v>
      </c>
      <c r="HD82" s="4"/>
      <c r="HE82" s="4"/>
      <c r="HF82" s="8"/>
      <c r="HL82" s="3" t="b">
        <f>HL81=HQ81</f>
        <v>1</v>
      </c>
      <c r="HM82" s="4"/>
      <c r="HN82" s="4"/>
      <c r="HO82" s="8"/>
      <c r="HU82" s="3" t="b">
        <f>HU81=HZ81</f>
        <v>1</v>
      </c>
      <c r="HV82" s="4"/>
      <c r="HW82" s="4"/>
      <c r="HX82" s="8"/>
      <c r="ID82" s="3" t="b">
        <f>ID81=II81</f>
        <v>1</v>
      </c>
      <c r="IE82" s="4"/>
      <c r="IF82" s="4"/>
      <c r="IG82" s="8"/>
      <c r="IL82" s="3" t="b">
        <f t="shared" ref="IL82" si="1179">IL81=IQ81</f>
        <v>1</v>
      </c>
      <c r="IM82" s="4"/>
      <c r="IN82" s="4"/>
      <c r="IO82" s="8"/>
      <c r="IU82" s="3" t="b">
        <f>IU81=IZ81</f>
        <v>1</v>
      </c>
      <c r="IV82" s="4"/>
      <c r="IW82" s="4"/>
      <c r="IX82" s="8"/>
      <c r="JC82" s="3" t="b">
        <f t="shared" ref="JC82" si="1180">JC81=JH81</f>
        <v>1</v>
      </c>
      <c r="JD82" s="4"/>
      <c r="JE82" s="4"/>
      <c r="JF82" s="8"/>
      <c r="JL82" s="3" t="b">
        <f t="shared" ref="JL82" si="1181">JL81=JQ81</f>
        <v>1</v>
      </c>
      <c r="JM82" s="4"/>
      <c r="JN82" s="4"/>
      <c r="JO82" s="8"/>
      <c r="JT82" s="3" t="b">
        <f t="shared" ref="JT82" si="1182">JT81=JY81</f>
        <v>1</v>
      </c>
      <c r="JU82" s="4"/>
      <c r="JV82" s="4"/>
      <c r="JW82" s="8"/>
      <c r="KB82" s="3" t="b">
        <f t="shared" ref="KB82" si="1183">KB81=KG81</f>
        <v>1</v>
      </c>
      <c r="KC82" s="4"/>
      <c r="KD82" s="4"/>
      <c r="KE82" s="8"/>
      <c r="KK82" s="3" t="b">
        <f t="shared" ref="KK82" si="1184">KK81=KP81</f>
        <v>1</v>
      </c>
      <c r="KL82" s="4"/>
      <c r="KM82" s="4"/>
      <c r="KN82" s="8"/>
      <c r="KT82" s="3" t="b">
        <f t="shared" ref="KT82" si="1185">KT81=KY81</f>
        <v>1</v>
      </c>
      <c r="KU82" s="4"/>
      <c r="KV82" s="4"/>
      <c r="LB82" s="3" t="b">
        <f t="shared" ref="LB82" si="1186">LB81=LG81</f>
        <v>0</v>
      </c>
      <c r="LC82" s="4"/>
      <c r="LD82" s="4"/>
      <c r="LK82" s="3" t="b">
        <f t="shared" ref="LK82" si="1187">LK81=LP81</f>
        <v>0</v>
      </c>
      <c r="LL82" s="4"/>
      <c r="LM82" s="4"/>
      <c r="LS82" s="3" t="b">
        <f t="shared" ref="LS82" si="1188">LS81=LX81</f>
        <v>0</v>
      </c>
      <c r="LT82" s="4"/>
      <c r="LU82" s="4"/>
      <c r="MA82" s="3" t="b">
        <f t="shared" ref="MA82" si="1189">MA81=MF81</f>
        <v>1</v>
      </c>
      <c r="MB82" s="4"/>
      <c r="MC82" s="4"/>
      <c r="MI82" s="3" t="b">
        <f t="shared" ref="MI82" si="1190">MI81=MN81</f>
        <v>0</v>
      </c>
      <c r="MJ82" s="4"/>
      <c r="MK82" s="4"/>
      <c r="MQ82" s="3" t="b">
        <f t="shared" ref="MQ82" si="1191">MQ81=MV81</f>
        <v>0</v>
      </c>
      <c r="MR82" s="4"/>
      <c r="MS82" s="4"/>
      <c r="MY82" s="3" t="b">
        <f t="shared" ref="MY82" si="1192">MY81=ND81</f>
        <v>0</v>
      </c>
      <c r="MZ82" s="4"/>
      <c r="NA82" s="4"/>
      <c r="NG82" s="3" t="b">
        <f t="shared" ref="NG82" si="1193">NG81=NL81</f>
        <v>0</v>
      </c>
      <c r="NH82" s="4"/>
      <c r="NI82" s="4"/>
      <c r="NO82" s="3" t="b">
        <f t="shared" ref="NO82" si="1194">NO81=NT81</f>
        <v>0</v>
      </c>
      <c r="NP82" s="4"/>
      <c r="NQ82" s="4"/>
      <c r="NW82" s="3" t="b">
        <f t="shared" ref="NW82" si="1195">NW81=OB81</f>
        <v>0</v>
      </c>
      <c r="NX82" s="4"/>
      <c r="NY82" s="4"/>
      <c r="OE82" s="3" t="b">
        <f t="shared" ref="OE82" si="1196">OE81=OJ81</f>
        <v>0</v>
      </c>
      <c r="OF82" s="4"/>
      <c r="OG82" s="4"/>
      <c r="OM82" s="3" t="b">
        <f t="shared" ref="OM82" si="1197">OM81=OR81</f>
        <v>1</v>
      </c>
      <c r="ON82" s="4"/>
      <c r="OO82" s="4"/>
      <c r="OU82" s="3" t="b">
        <f t="shared" ref="OU82" si="1198">OU81=OZ81</f>
        <v>1</v>
      </c>
      <c r="OV82" s="4"/>
      <c r="OW82" s="4"/>
      <c r="PC82" s="3" t="b">
        <f t="shared" ref="PC82" si="1199">PC81=PH81</f>
        <v>1</v>
      </c>
      <c r="PD82" s="4"/>
      <c r="PE82" s="4"/>
      <c r="PK82" s="3" t="b">
        <f t="shared" ref="PK82" si="1200">PK81=PP81</f>
        <v>1</v>
      </c>
      <c r="PL82" s="4"/>
      <c r="PM82" s="4"/>
      <c r="PS82" s="3" t="b">
        <f t="shared" ref="PS82" si="1201">PS81=PX81</f>
        <v>0</v>
      </c>
      <c r="PT82" s="4"/>
      <c r="PU82" s="4"/>
      <c r="QA82" s="3" t="b">
        <f t="shared" ref="QA82" si="1202">QA81=QF81</f>
        <v>0</v>
      </c>
      <c r="QB82" s="4"/>
      <c r="QC82" s="4"/>
      <c r="QI82" s="3" t="b">
        <f t="shared" ref="QI82" si="1203">QI81=QN81</f>
        <v>0</v>
      </c>
      <c r="QJ82" s="4"/>
      <c r="QK82" s="4"/>
      <c r="QQ82" s="3" t="b">
        <f t="shared" ref="QQ82" si="1204">QQ81=QV81</f>
        <v>0</v>
      </c>
      <c r="QR82" s="4"/>
      <c r="QS82" s="4"/>
      <c r="QY82" s="3" t="b">
        <f t="shared" ref="QY82" si="1205">QY81=RD81</f>
        <v>0</v>
      </c>
      <c r="QZ82" s="4"/>
      <c r="RA82" s="4"/>
      <c r="RG82" s="3" t="b">
        <f t="shared" ref="RG82" si="1206">RG81=RL81</f>
        <v>0</v>
      </c>
      <c r="RH82" s="4"/>
      <c r="RI82" s="4"/>
      <c r="RO82" s="3" t="b">
        <f t="shared" ref="RO82" si="1207">RO81=RT81</f>
        <v>0</v>
      </c>
      <c r="RP82" s="4"/>
      <c r="RQ82" s="4"/>
      <c r="RW82" s="3" t="b">
        <f t="shared" ref="RW82" si="1208">RW81=SB81</f>
        <v>0</v>
      </c>
      <c r="RX82" s="4"/>
      <c r="RY82" s="4"/>
      <c r="SE82" s="3" t="b">
        <f t="shared" ref="SE82" si="1209">SE81=SJ81</f>
        <v>0</v>
      </c>
      <c r="SF82" s="4"/>
      <c r="SG82" s="4"/>
      <c r="SM82" s="3" t="b">
        <f t="shared" ref="SM82" si="1210">SM81=SR81</f>
        <v>0</v>
      </c>
      <c r="SN82" s="4"/>
      <c r="SO82" s="4"/>
      <c r="SU82" s="3" t="b">
        <f t="shared" ref="SU82" si="1211">SU81=SZ81</f>
        <v>0</v>
      </c>
      <c r="SV82" s="4"/>
      <c r="SW82" s="4"/>
      <c r="TC82" s="3" t="b">
        <f t="shared" ref="TC82" si="1212">TC81=TH81</f>
        <v>0</v>
      </c>
      <c r="TD82" s="4"/>
      <c r="TE82" s="4"/>
      <c r="TK82" s="3" t="b">
        <f t="shared" ref="TK82" si="1213">TK81=TP81</f>
        <v>0</v>
      </c>
      <c r="TL82" s="4"/>
      <c r="TM82" s="4"/>
      <c r="TS82" s="3" t="b">
        <f t="shared" ref="TS82" si="1214">TS81=TX81</f>
        <v>0</v>
      </c>
      <c r="TT82" s="4"/>
      <c r="TU82" s="4"/>
      <c r="UA82" s="3" t="b">
        <f t="shared" ref="UA82" si="1215">UA81=UF81</f>
        <v>0</v>
      </c>
      <c r="UB82" s="4"/>
      <c r="UC82" s="4"/>
      <c r="UI82" s="3" t="b">
        <f t="shared" ref="UI82" si="1216">UI81=UN81</f>
        <v>0</v>
      </c>
      <c r="UJ82" s="4"/>
      <c r="UK82" s="4"/>
      <c r="UQ82" s="3" t="b">
        <f t="shared" ref="UQ82" si="1217">UQ81=UV81</f>
        <v>0</v>
      </c>
      <c r="UR82" s="4"/>
      <c r="US82" s="4"/>
      <c r="UY82" s="3" t="b">
        <f t="shared" ref="UY82" si="1218">UY81=VD81</f>
        <v>0</v>
      </c>
      <c r="UZ82" s="4"/>
      <c r="VA82" s="4"/>
      <c r="VG82" s="3" t="b">
        <f t="shared" ref="VG82" si="1219">VG81=VL81</f>
        <v>1</v>
      </c>
      <c r="VH82" s="4"/>
      <c r="VI82" s="4"/>
      <c r="VO82" s="3" t="b">
        <f t="shared" ref="VO82" si="1220">VO81=VT81</f>
        <v>1</v>
      </c>
      <c r="VP82" s="4"/>
      <c r="VQ82" s="4"/>
    </row>
    <row r="83" spans="1:589" x14ac:dyDescent="0.25">
      <c r="D83" s="1"/>
      <c r="L83" s="4"/>
      <c r="M83" s="4"/>
      <c r="N83" s="4"/>
      <c r="T83" s="4"/>
      <c r="U83" s="4"/>
      <c r="V83" s="4"/>
      <c r="AB83" s="4"/>
      <c r="AC83" s="4"/>
      <c r="AD83" s="4"/>
      <c r="AJ83" s="4"/>
      <c r="AK83" s="4"/>
      <c r="AL83" s="4"/>
      <c r="AS83" s="4"/>
      <c r="AT83" s="4"/>
      <c r="AU83" s="4"/>
      <c r="BA83" s="4"/>
      <c r="BB83" s="4"/>
      <c r="BC83" s="4"/>
      <c r="BK83" s="4"/>
      <c r="BL83" s="4"/>
      <c r="BM83" s="4"/>
      <c r="BV83" s="4"/>
      <c r="BW83" s="4"/>
      <c r="BX83" s="4"/>
      <c r="CG83" s="4"/>
      <c r="CH83" s="4"/>
      <c r="CO83" s="4"/>
      <c r="CP83" s="4"/>
      <c r="CQ83" s="4"/>
      <c r="CY83" s="4"/>
      <c r="CZ83" s="4"/>
      <c r="DA83" s="4"/>
      <c r="DH83" s="4"/>
      <c r="DI83" s="4"/>
      <c r="DJ83" s="4"/>
      <c r="DP83" s="4"/>
      <c r="DQ83" s="4"/>
      <c r="DR83" s="4"/>
      <c r="DZ83" s="4"/>
      <c r="EA83" s="4"/>
      <c r="EB83" s="4"/>
      <c r="EI83" s="4"/>
      <c r="EJ83" s="4"/>
      <c r="EK83" s="4"/>
      <c r="EQ83" s="4"/>
      <c r="ER83" s="4"/>
      <c r="ES83" s="4"/>
      <c r="EY83" s="4"/>
      <c r="EZ83" s="4"/>
      <c r="FA83" s="4"/>
      <c r="FG83" s="4"/>
      <c r="FH83" s="4"/>
      <c r="FI83" s="4"/>
      <c r="FO83" s="4"/>
      <c r="FP83" s="4"/>
      <c r="FQ83" s="4"/>
      <c r="GB83" s="4"/>
      <c r="GC83" s="4"/>
      <c r="GD83" s="4"/>
      <c r="GK83" s="4"/>
      <c r="GL83" s="4"/>
      <c r="GM83" s="4"/>
      <c r="GT83" s="4"/>
      <c r="GU83" s="4"/>
      <c r="GV83" s="4"/>
      <c r="HC83" s="4"/>
      <c r="HD83" s="4"/>
      <c r="HE83" s="4"/>
      <c r="HL83" s="4"/>
      <c r="HM83" s="4"/>
      <c r="HN83" s="4"/>
      <c r="HU83" s="4"/>
      <c r="HV83" s="4"/>
      <c r="HW83" s="4"/>
      <c r="ID83" s="4"/>
      <c r="IE83" s="4"/>
      <c r="IF83" s="4"/>
      <c r="IL83" s="4"/>
      <c r="IM83" s="4"/>
      <c r="IN83" s="4"/>
      <c r="IU83" s="4"/>
      <c r="IV83" s="4"/>
      <c r="IW83" s="4"/>
      <c r="JC83" s="4"/>
      <c r="JD83" s="4"/>
      <c r="JE83" s="4"/>
      <c r="JL83" s="4"/>
      <c r="JM83" s="4"/>
      <c r="JN83" s="4"/>
      <c r="JT83" s="4"/>
      <c r="JU83" s="4"/>
      <c r="JV83" s="4"/>
      <c r="KB83" s="4"/>
      <c r="KC83" s="4"/>
      <c r="KD83" s="4"/>
      <c r="KK83" s="4"/>
      <c r="KL83" s="4"/>
      <c r="KM83" s="4"/>
      <c r="KT83" s="4"/>
      <c r="KU83" s="4"/>
      <c r="KV83" s="4"/>
      <c r="LB83" s="4"/>
      <c r="LC83" s="4"/>
      <c r="LD83" s="4"/>
      <c r="LK83" s="4"/>
      <c r="LL83" s="4"/>
      <c r="LM83" s="4"/>
      <c r="LS83" s="4"/>
      <c r="LT83" s="4"/>
      <c r="LU83" s="4"/>
      <c r="MA83" s="4"/>
      <c r="MB83" s="4"/>
      <c r="MC83" s="4"/>
      <c r="MI83" s="4"/>
      <c r="MJ83" s="4"/>
      <c r="MK83" s="4"/>
      <c r="MQ83" s="4"/>
      <c r="MR83" s="4"/>
      <c r="MS83" s="4"/>
      <c r="MY83" s="4"/>
      <c r="MZ83" s="4"/>
      <c r="NA83" s="4"/>
      <c r="NG83" s="4"/>
      <c r="NH83" s="4"/>
      <c r="NI83" s="4"/>
      <c r="NO83" s="4"/>
      <c r="NP83" s="4"/>
      <c r="NQ83" s="4"/>
      <c r="NW83" s="4"/>
      <c r="NX83" s="4"/>
      <c r="NY83" s="4"/>
      <c r="OE83" s="4"/>
      <c r="OF83" s="4"/>
      <c r="OG83" s="4"/>
      <c r="OM83" s="4"/>
      <c r="ON83" s="4"/>
      <c r="OO83" s="4"/>
      <c r="OU83" s="4"/>
      <c r="OV83" s="4"/>
      <c r="OW83" s="4"/>
      <c r="PC83" s="4"/>
      <c r="PD83" s="4"/>
      <c r="PE83" s="4"/>
      <c r="PK83" s="4"/>
      <c r="PL83" s="4"/>
      <c r="PM83" s="4"/>
      <c r="PS83" s="4"/>
      <c r="PT83" s="4"/>
      <c r="PU83" s="4"/>
      <c r="QA83" s="4"/>
      <c r="QB83" s="4"/>
      <c r="QC83" s="4"/>
      <c r="QI83" s="4"/>
      <c r="QJ83" s="4"/>
      <c r="QK83" s="4"/>
      <c r="QQ83" s="4"/>
      <c r="QR83" s="4"/>
      <c r="QS83" s="4"/>
      <c r="QY83" s="4"/>
      <c r="QZ83" s="4"/>
      <c r="RA83" s="4"/>
      <c r="RG83" s="4"/>
      <c r="RH83" s="4"/>
      <c r="RI83" s="4"/>
      <c r="RO83" s="4"/>
      <c r="RP83" s="4"/>
      <c r="RQ83" s="4"/>
      <c r="RW83" s="4"/>
      <c r="RX83" s="4"/>
      <c r="RY83" s="4"/>
      <c r="SE83" s="4"/>
      <c r="SF83" s="4"/>
      <c r="SG83" s="4"/>
      <c r="SM83" s="4"/>
      <c r="SN83" s="4"/>
      <c r="SO83" s="4"/>
      <c r="SU83" s="4"/>
      <c r="SV83" s="4"/>
      <c r="SW83" s="4"/>
      <c r="TC83" s="4"/>
      <c r="TD83" s="4"/>
      <c r="TE83" s="4"/>
      <c r="TK83" s="4"/>
      <c r="TL83" s="4"/>
      <c r="TM83" s="4"/>
      <c r="TS83" s="4"/>
      <c r="TT83" s="4"/>
      <c r="TU83" s="4"/>
      <c r="UA83" s="4"/>
      <c r="UB83" s="4"/>
      <c r="UC83" s="4"/>
      <c r="UI83" s="4"/>
      <c r="UJ83" s="4"/>
      <c r="UK83" s="4"/>
      <c r="UQ83" s="4"/>
      <c r="UR83" s="4"/>
      <c r="US83" s="4"/>
      <c r="UY83" s="4"/>
      <c r="UZ83" s="4"/>
      <c r="VA83" s="4"/>
      <c r="VG83" s="4"/>
      <c r="VH83" s="4"/>
      <c r="VI83" s="4"/>
      <c r="VO83" s="4"/>
      <c r="VP83" s="4"/>
      <c r="VQ83" s="4"/>
    </row>
    <row r="84" spans="1:589" x14ac:dyDescent="0.25">
      <c r="D84" s="1"/>
      <c r="L84" s="4"/>
      <c r="M84" s="4"/>
      <c r="N84" s="4"/>
      <c r="T84" s="4"/>
      <c r="U84" s="4"/>
      <c r="V84" s="4"/>
      <c r="AB84" s="4"/>
      <c r="AC84" s="4"/>
      <c r="AD84" s="4"/>
      <c r="AJ84" s="4"/>
      <c r="AK84" s="4"/>
      <c r="AL84" s="4"/>
      <c r="AS84" s="4"/>
      <c r="AT84" s="4"/>
      <c r="AU84" s="4"/>
      <c r="BA84" s="4"/>
      <c r="BB84" s="4"/>
      <c r="BC84" s="4"/>
      <c r="BK84" s="4"/>
      <c r="BL84" s="4"/>
      <c r="BM84" s="4"/>
      <c r="BV84" s="4"/>
      <c r="BW84" s="4"/>
      <c r="BX84" s="4"/>
      <c r="CG84" s="4"/>
      <c r="CH84" s="4"/>
      <c r="CO84" s="4"/>
      <c r="CP84" s="4"/>
      <c r="CQ84" s="4"/>
      <c r="CY84" s="4"/>
      <c r="CZ84" s="4"/>
      <c r="DA84" s="4"/>
      <c r="DH84" s="4"/>
      <c r="DI84" s="4"/>
      <c r="DJ84" s="4"/>
      <c r="DP84" s="4"/>
      <c r="DQ84" s="4"/>
      <c r="DR84" s="4"/>
      <c r="DZ84" s="4"/>
      <c r="EA84" s="4"/>
      <c r="EB84" s="4"/>
      <c r="EI84" s="4"/>
      <c r="EJ84" s="4"/>
      <c r="EK84" s="4"/>
      <c r="EQ84" s="4"/>
      <c r="ER84" s="4"/>
      <c r="ES84" s="4"/>
      <c r="EY84" s="4"/>
      <c r="EZ84" s="4"/>
      <c r="FA84" s="4"/>
      <c r="FG84" s="4"/>
      <c r="FH84" s="4"/>
      <c r="FI84" s="4"/>
      <c r="FO84" s="4"/>
      <c r="FP84" s="4"/>
      <c r="FQ84" s="4"/>
      <c r="GB84" s="4"/>
      <c r="GC84" s="4"/>
      <c r="GD84" s="4"/>
      <c r="GK84" s="4"/>
      <c r="GL84" s="4"/>
      <c r="GM84" s="4"/>
      <c r="GT84" s="4"/>
      <c r="GU84" s="4"/>
      <c r="GV84" s="4"/>
      <c r="HC84" s="4"/>
      <c r="HD84" s="4"/>
      <c r="HE84" s="4"/>
      <c r="HL84" s="4"/>
      <c r="HM84" s="4"/>
      <c r="HN84" s="4"/>
      <c r="HU84" s="4"/>
      <c r="HV84" s="4"/>
      <c r="HW84" s="4"/>
      <c r="ID84" s="4"/>
      <c r="IE84" s="4"/>
      <c r="IF84" s="4"/>
      <c r="IL84" s="4"/>
      <c r="IM84" s="4"/>
      <c r="IN84" s="4"/>
      <c r="IU84" s="4"/>
      <c r="IV84" s="4"/>
      <c r="IW84" s="4"/>
      <c r="JC84" s="4"/>
      <c r="JD84" s="4"/>
      <c r="JE84" s="4"/>
      <c r="JL84" s="4"/>
      <c r="JM84" s="4"/>
      <c r="JN84" s="4"/>
      <c r="JT84" s="4"/>
      <c r="JU84" s="4"/>
      <c r="JV84" s="4"/>
      <c r="KB84" s="4"/>
      <c r="KC84" s="4"/>
      <c r="KD84" s="4"/>
      <c r="KK84" s="4"/>
      <c r="KL84" s="4"/>
      <c r="KM84" s="4"/>
      <c r="KT84" s="4"/>
      <c r="KU84" s="4"/>
      <c r="KV84" s="4"/>
      <c r="LB84" s="4"/>
      <c r="LC84" s="4"/>
      <c r="LD84" s="4"/>
      <c r="LK84" s="4"/>
      <c r="LL84" s="4"/>
      <c r="LM84" s="4"/>
      <c r="LS84" s="4"/>
      <c r="LT84" s="4"/>
      <c r="LU84" s="4"/>
      <c r="MA84" s="4"/>
      <c r="MB84" s="4"/>
      <c r="MC84" s="4"/>
      <c r="MI84" s="4"/>
      <c r="MJ84" s="4"/>
      <c r="MK84" s="4"/>
      <c r="MQ84" s="4"/>
      <c r="MR84" s="4"/>
      <c r="MS84" s="4"/>
      <c r="MY84" s="4"/>
      <c r="MZ84" s="4"/>
      <c r="NA84" s="4"/>
      <c r="NG84" s="4"/>
      <c r="NH84" s="4"/>
      <c r="NI84" s="4"/>
      <c r="NO84" s="4"/>
      <c r="NP84" s="4"/>
      <c r="NQ84" s="4"/>
      <c r="NW84" s="4"/>
      <c r="NX84" s="4"/>
      <c r="NY84" s="4"/>
      <c r="OE84" s="4"/>
      <c r="OF84" s="4"/>
      <c r="OG84" s="4"/>
      <c r="OM84" s="4"/>
      <c r="ON84" s="4"/>
      <c r="OO84" s="4"/>
      <c r="OU84" s="4"/>
      <c r="OV84" s="4"/>
      <c r="OW84" s="4"/>
      <c r="PC84" s="4"/>
      <c r="PD84" s="4"/>
      <c r="PE84" s="4"/>
      <c r="PK84" s="4"/>
      <c r="PL84" s="4"/>
      <c r="PM84" s="4"/>
      <c r="PS84" s="4"/>
      <c r="PT84" s="4"/>
      <c r="PU84" s="4"/>
      <c r="QA84" s="4"/>
      <c r="QB84" s="4"/>
      <c r="QC84" s="4"/>
      <c r="QI84" s="4"/>
      <c r="QJ84" s="4"/>
      <c r="QK84" s="4"/>
      <c r="QQ84" s="4"/>
      <c r="QR84" s="4"/>
      <c r="QS84" s="4"/>
      <c r="QY84" s="4"/>
      <c r="QZ84" s="4"/>
      <c r="RA84" s="4"/>
      <c r="RG84" s="4"/>
      <c r="RH84" s="4"/>
      <c r="RI84" s="4"/>
      <c r="RO84" s="4"/>
      <c r="RP84" s="4"/>
      <c r="RQ84" s="4"/>
      <c r="RW84" s="4"/>
      <c r="RX84" s="4"/>
      <c r="RY84" s="4"/>
      <c r="SE84" s="4"/>
      <c r="SF84" s="4"/>
      <c r="SG84" s="4"/>
      <c r="SM84" s="4"/>
      <c r="SN84" s="4"/>
      <c r="SO84" s="4"/>
      <c r="SU84" s="4"/>
      <c r="SV84" s="4"/>
      <c r="SW84" s="4"/>
      <c r="TC84" s="4"/>
      <c r="TD84" s="4"/>
      <c r="TE84" s="4"/>
      <c r="TK84" s="4"/>
      <c r="TL84" s="4"/>
      <c r="TM84" s="4"/>
      <c r="TS84" s="4"/>
      <c r="TT84" s="4"/>
      <c r="TU84" s="4"/>
      <c r="UA84" s="4"/>
      <c r="UB84" s="4"/>
      <c r="UC84" s="4"/>
      <c r="UI84" s="4"/>
      <c r="UJ84" s="4"/>
      <c r="UK84" s="4"/>
      <c r="UQ84" s="4"/>
      <c r="UR84" s="4"/>
      <c r="US84" s="4"/>
      <c r="UY84" s="4"/>
      <c r="UZ84" s="4"/>
      <c r="VA84" s="4"/>
      <c r="VG84" s="4"/>
      <c r="VH84" s="4"/>
      <c r="VI84" s="4"/>
      <c r="VO84" s="4"/>
      <c r="VP84" s="4"/>
      <c r="VQ84" s="4"/>
    </row>
    <row r="85" spans="1:589" x14ac:dyDescent="0.25">
      <c r="D85" s="1"/>
      <c r="L85" s="4"/>
      <c r="M85" s="4"/>
      <c r="N85" s="4"/>
      <c r="T85" s="4"/>
      <c r="U85" s="4"/>
      <c r="V85" s="4"/>
      <c r="AB85" s="4"/>
      <c r="AC85" s="4"/>
      <c r="AD85" s="4"/>
      <c r="AJ85" s="4"/>
      <c r="AK85" s="4"/>
      <c r="AL85" s="4"/>
      <c r="AS85" s="4"/>
      <c r="AT85" s="4"/>
      <c r="AU85" s="4"/>
      <c r="BA85" s="4"/>
      <c r="BB85" s="4"/>
      <c r="BC85" s="4"/>
      <c r="BK85" s="4"/>
      <c r="BL85" s="4"/>
      <c r="BM85" s="4"/>
      <c r="BV85" s="4"/>
      <c r="BW85" s="4"/>
      <c r="BX85" s="4"/>
      <c r="CG85" s="4"/>
      <c r="CH85" s="4"/>
      <c r="CO85" s="4"/>
      <c r="CP85" s="4"/>
      <c r="CQ85" s="4"/>
      <c r="CY85" s="4"/>
      <c r="CZ85" s="4"/>
      <c r="DA85" s="4"/>
      <c r="DH85" s="4"/>
      <c r="DI85" s="4"/>
      <c r="DJ85" s="4"/>
      <c r="DP85" s="4"/>
      <c r="DQ85" s="4"/>
      <c r="DR85" s="4"/>
      <c r="DZ85" s="4"/>
      <c r="EA85" s="4"/>
      <c r="EB85" s="4"/>
      <c r="EI85" s="4"/>
      <c r="EJ85" s="4"/>
      <c r="EK85" s="4"/>
      <c r="EQ85" s="4"/>
      <c r="ER85" s="4"/>
      <c r="ES85" s="4"/>
      <c r="EY85" s="4"/>
      <c r="EZ85" s="4"/>
      <c r="FA85" s="4"/>
      <c r="FG85" s="4"/>
      <c r="FH85" s="4"/>
      <c r="FI85" s="4"/>
      <c r="FO85" s="4"/>
      <c r="FP85" s="4"/>
      <c r="FQ85" s="4"/>
      <c r="GB85" s="4"/>
      <c r="GC85" s="4"/>
      <c r="GD85" s="4"/>
      <c r="GK85" s="4"/>
      <c r="GL85" s="4"/>
      <c r="GM85" s="4"/>
      <c r="GT85" s="4"/>
      <c r="GU85" s="4"/>
      <c r="GV85" s="4"/>
      <c r="HC85" s="4"/>
      <c r="HD85" s="4"/>
      <c r="HE85" s="4"/>
      <c r="HL85" s="4"/>
      <c r="HM85" s="4"/>
      <c r="HN85" s="4"/>
      <c r="HU85" s="4"/>
      <c r="HV85" s="4"/>
      <c r="HW85" s="4"/>
      <c r="ID85" s="4"/>
      <c r="IE85" s="4"/>
      <c r="IF85" s="4"/>
      <c r="IL85" s="4"/>
      <c r="IM85" s="4"/>
      <c r="IN85" s="4"/>
      <c r="IU85" s="4"/>
      <c r="IV85" s="4"/>
      <c r="IW85" s="4"/>
      <c r="JC85" s="4"/>
      <c r="JD85" s="4"/>
      <c r="JE85" s="4"/>
      <c r="JL85" s="4"/>
      <c r="JM85" s="4"/>
      <c r="JN85" s="4"/>
      <c r="JT85" s="4"/>
      <c r="JU85" s="4"/>
      <c r="JV85" s="4"/>
      <c r="KB85" s="4"/>
      <c r="KC85" s="4"/>
      <c r="KD85" s="4"/>
      <c r="KK85" s="4"/>
      <c r="KL85" s="4"/>
      <c r="KM85" s="4"/>
      <c r="KT85" s="4"/>
      <c r="KU85" s="4"/>
      <c r="KV85" s="4"/>
      <c r="LB85" s="4"/>
      <c r="LC85" s="4"/>
      <c r="LD85" s="4"/>
      <c r="LK85" s="4"/>
      <c r="LL85" s="4"/>
      <c r="LM85" s="4"/>
      <c r="LS85" s="4"/>
      <c r="LT85" s="4"/>
      <c r="LU85" s="4"/>
      <c r="MA85" s="4"/>
      <c r="MB85" s="4"/>
      <c r="MC85" s="4"/>
      <c r="MI85" s="4"/>
      <c r="MJ85" s="4"/>
      <c r="MK85" s="4"/>
      <c r="MQ85" s="4"/>
      <c r="MR85" s="4"/>
      <c r="MS85" s="4"/>
      <c r="MY85" s="4"/>
      <c r="MZ85" s="4"/>
      <c r="NA85" s="4"/>
      <c r="NG85" s="4"/>
      <c r="NH85" s="4"/>
      <c r="NI85" s="4"/>
      <c r="NO85" s="4"/>
      <c r="NP85" s="4"/>
      <c r="NQ85" s="4"/>
      <c r="NW85" s="4"/>
      <c r="NX85" s="4"/>
      <c r="NY85" s="4"/>
      <c r="OE85" s="4"/>
      <c r="OF85" s="4"/>
      <c r="OG85" s="4"/>
      <c r="OM85" s="4"/>
      <c r="ON85" s="4"/>
      <c r="OO85" s="4"/>
      <c r="OU85" s="4"/>
      <c r="OV85" s="4"/>
      <c r="OW85" s="4"/>
      <c r="PC85" s="4"/>
      <c r="PD85" s="4"/>
      <c r="PE85" s="4"/>
      <c r="PK85" s="4"/>
      <c r="PL85" s="4"/>
      <c r="PM85" s="4"/>
      <c r="PS85" s="4"/>
      <c r="PT85" s="4"/>
      <c r="PU85" s="4"/>
      <c r="QA85" s="4"/>
      <c r="QB85" s="4"/>
      <c r="QC85" s="4"/>
      <c r="QI85" s="4"/>
      <c r="QJ85" s="4"/>
      <c r="QK85" s="4"/>
      <c r="QQ85" s="4"/>
      <c r="QR85" s="4"/>
      <c r="QS85" s="4"/>
      <c r="QY85" s="4"/>
      <c r="QZ85" s="4"/>
      <c r="RA85" s="4"/>
      <c r="RG85" s="4"/>
      <c r="RH85" s="4"/>
      <c r="RI85" s="4"/>
      <c r="RO85" s="4"/>
      <c r="RP85" s="4"/>
      <c r="RQ85" s="4"/>
      <c r="RW85" s="4"/>
      <c r="RX85" s="4"/>
      <c r="RY85" s="4"/>
      <c r="SE85" s="4"/>
      <c r="SF85" s="4"/>
      <c r="SG85" s="4"/>
      <c r="SM85" s="4"/>
      <c r="SN85" s="4"/>
      <c r="SO85" s="4"/>
      <c r="SU85" s="4"/>
      <c r="SV85" s="4"/>
      <c r="SW85" s="4"/>
      <c r="TC85" s="4"/>
      <c r="TD85" s="4"/>
      <c r="TE85" s="4"/>
      <c r="TK85" s="4"/>
      <c r="TL85" s="4"/>
      <c r="TM85" s="4"/>
      <c r="TS85" s="4"/>
      <c r="TT85" s="4"/>
      <c r="TU85" s="4"/>
      <c r="UA85" s="4"/>
      <c r="UB85" s="4"/>
      <c r="UC85" s="4"/>
      <c r="UI85" s="4"/>
      <c r="UJ85" s="4"/>
      <c r="UK85" s="4"/>
      <c r="UQ85" s="4"/>
      <c r="UR85" s="4"/>
      <c r="US85" s="4"/>
      <c r="UY85" s="4"/>
      <c r="UZ85" s="4"/>
      <c r="VA85" s="4"/>
      <c r="VG85" s="4"/>
      <c r="VH85" s="4"/>
      <c r="VI85" s="4"/>
      <c r="VO85" s="4"/>
      <c r="VP85" s="4"/>
      <c r="VQ85" s="4"/>
    </row>
    <row r="86" spans="1:589" x14ac:dyDescent="0.25">
      <c r="D86" s="1"/>
      <c r="L86" s="4"/>
      <c r="M86" s="4"/>
      <c r="N86" s="4"/>
      <c r="T86" s="4"/>
      <c r="U86" s="4"/>
      <c r="V86" s="4"/>
      <c r="AB86" s="4"/>
      <c r="AC86" s="4"/>
      <c r="AD86" s="4"/>
      <c r="AJ86" s="4"/>
      <c r="AK86" s="4"/>
      <c r="AL86" s="4"/>
      <c r="AS86" s="4"/>
      <c r="AT86" s="4"/>
      <c r="AU86" s="4"/>
      <c r="BA86" s="4"/>
      <c r="BB86" s="4"/>
      <c r="BC86" s="4"/>
      <c r="BK86" s="4"/>
      <c r="BL86" s="4"/>
      <c r="BM86" s="4"/>
      <c r="BV86" s="4"/>
      <c r="BW86" s="4"/>
      <c r="BX86" s="4"/>
      <c r="CG86" s="4"/>
      <c r="CH86" s="4"/>
      <c r="CO86" s="4"/>
      <c r="CP86" s="4"/>
      <c r="CQ86" s="4"/>
      <c r="CY86" s="4"/>
      <c r="CZ86" s="4"/>
      <c r="DA86" s="4"/>
      <c r="DH86" s="4"/>
      <c r="DI86" s="4"/>
      <c r="DJ86" s="4"/>
      <c r="DP86" s="4"/>
      <c r="DQ86" s="4"/>
      <c r="DR86" s="4"/>
      <c r="DZ86" s="4"/>
      <c r="EA86" s="4"/>
      <c r="EB86" s="4"/>
      <c r="EI86" s="4"/>
      <c r="EJ86" s="4"/>
      <c r="EK86" s="4"/>
      <c r="EQ86" s="4"/>
      <c r="ER86" s="4"/>
      <c r="ES86" s="4"/>
      <c r="EY86" s="4"/>
      <c r="EZ86" s="4"/>
      <c r="FA86" s="4"/>
      <c r="FG86" s="4"/>
      <c r="FH86" s="4"/>
      <c r="FI86" s="4"/>
      <c r="FO86" s="4"/>
      <c r="FP86" s="4"/>
      <c r="FQ86" s="4"/>
      <c r="GB86" s="4"/>
      <c r="GC86" s="4"/>
      <c r="GD86" s="4"/>
      <c r="GK86" s="4"/>
      <c r="GL86" s="4"/>
      <c r="GM86" s="4"/>
      <c r="GT86" s="4"/>
      <c r="GU86" s="4"/>
      <c r="GV86" s="4"/>
      <c r="HC86" s="4"/>
      <c r="HD86" s="4"/>
      <c r="HE86" s="4"/>
      <c r="HL86" s="4"/>
      <c r="HM86" s="4"/>
      <c r="HN86" s="4"/>
      <c r="HU86" s="4"/>
      <c r="HV86" s="4"/>
      <c r="HW86" s="4"/>
      <c r="ID86" s="4"/>
      <c r="IE86" s="4"/>
      <c r="IF86" s="4"/>
      <c r="IL86" s="4"/>
      <c r="IM86" s="4"/>
      <c r="IN86" s="4"/>
      <c r="IU86" s="4"/>
      <c r="IV86" s="4"/>
      <c r="IW86" s="4"/>
      <c r="JC86" s="4"/>
      <c r="JD86" s="4"/>
      <c r="JE86" s="4"/>
      <c r="JL86" s="4"/>
      <c r="JM86" s="4"/>
      <c r="JN86" s="4"/>
      <c r="JT86" s="4"/>
      <c r="JU86" s="4"/>
      <c r="JV86" s="4"/>
      <c r="KB86" s="4"/>
      <c r="KC86" s="4"/>
      <c r="KD86" s="4"/>
      <c r="KK86" s="4"/>
      <c r="KL86" s="4"/>
      <c r="KM86" s="4"/>
      <c r="KT86" s="4"/>
      <c r="KU86" s="4"/>
      <c r="KV86" s="4"/>
      <c r="LB86" s="4"/>
      <c r="LC86" s="4"/>
      <c r="LD86" s="4"/>
      <c r="LK86" s="4"/>
      <c r="LL86" s="4"/>
      <c r="LM86" s="4"/>
      <c r="LS86" s="4"/>
      <c r="LT86" s="4"/>
      <c r="LU86" s="4"/>
      <c r="MA86" s="4"/>
      <c r="MB86" s="4"/>
      <c r="MC86" s="4"/>
      <c r="MI86" s="4"/>
      <c r="MJ86" s="4"/>
      <c r="MK86" s="4"/>
      <c r="MQ86" s="4"/>
      <c r="MR86" s="4"/>
      <c r="MS86" s="4"/>
      <c r="MY86" s="4"/>
      <c r="MZ86" s="4"/>
      <c r="NA86" s="4"/>
      <c r="NG86" s="4"/>
      <c r="NH86" s="4"/>
      <c r="NI86" s="4"/>
      <c r="NO86" s="4"/>
      <c r="NP86" s="4"/>
      <c r="NQ86" s="4"/>
      <c r="NW86" s="4"/>
      <c r="NX86" s="4"/>
      <c r="NY86" s="4"/>
      <c r="OE86" s="4"/>
      <c r="OF86" s="4"/>
      <c r="OG86" s="4"/>
      <c r="OM86" s="4"/>
      <c r="ON86" s="4"/>
      <c r="OO86" s="4"/>
      <c r="OU86" s="4"/>
      <c r="OV86" s="4"/>
      <c r="OW86" s="4"/>
      <c r="PC86" s="4"/>
      <c r="PD86" s="4"/>
      <c r="PE86" s="4"/>
      <c r="PK86" s="4"/>
      <c r="PL86" s="4"/>
      <c r="PM86" s="4"/>
      <c r="PS86" s="4"/>
      <c r="PT86" s="4"/>
      <c r="PU86" s="4"/>
      <c r="QA86" s="4"/>
      <c r="QB86" s="4"/>
      <c r="QC86" s="4"/>
      <c r="QI86" s="4"/>
      <c r="QJ86" s="4"/>
      <c r="QK86" s="4"/>
      <c r="QQ86" s="4"/>
      <c r="QR86" s="4"/>
      <c r="QS86" s="4"/>
      <c r="QY86" s="4"/>
      <c r="QZ86" s="4"/>
      <c r="RA86" s="4"/>
      <c r="RG86" s="4"/>
      <c r="RH86" s="4"/>
      <c r="RI86" s="4"/>
      <c r="RO86" s="4"/>
      <c r="RP86" s="4"/>
      <c r="RQ86" s="4"/>
      <c r="RW86" s="4"/>
      <c r="RX86" s="4"/>
      <c r="RY86" s="4"/>
      <c r="SE86" s="4"/>
      <c r="SF86" s="4"/>
      <c r="SG86" s="4"/>
      <c r="SM86" s="4"/>
      <c r="SN86" s="4"/>
      <c r="SO86" s="4"/>
      <c r="SU86" s="4"/>
      <c r="SV86" s="4"/>
      <c r="SW86" s="4"/>
      <c r="TC86" s="4"/>
      <c r="TD86" s="4"/>
      <c r="TE86" s="4"/>
      <c r="TK86" s="4"/>
      <c r="TL86" s="4"/>
      <c r="TM86" s="4"/>
      <c r="TS86" s="4"/>
      <c r="TT86" s="4"/>
      <c r="TU86" s="4"/>
      <c r="UA86" s="4"/>
      <c r="UB86" s="4"/>
      <c r="UC86" s="4"/>
      <c r="UI86" s="4"/>
      <c r="UJ86" s="4"/>
      <c r="UK86" s="4"/>
      <c r="UQ86" s="4"/>
      <c r="UR86" s="4"/>
      <c r="US86" s="4"/>
      <c r="UY86" s="4"/>
      <c r="UZ86" s="4"/>
      <c r="VA86" s="4"/>
      <c r="VG86" s="4"/>
      <c r="VH86" s="4"/>
      <c r="VI86" s="4"/>
      <c r="VO86" s="4"/>
      <c r="VP86" s="4"/>
      <c r="VQ86" s="4"/>
    </row>
    <row r="87" spans="1:589" x14ac:dyDescent="0.25">
      <c r="D87" s="1"/>
      <c r="L87" s="4"/>
      <c r="M87" s="4"/>
      <c r="N87" s="4"/>
      <c r="T87" s="4"/>
      <c r="U87" s="4"/>
      <c r="V87" s="4"/>
      <c r="AB87" s="4"/>
      <c r="AC87" s="4"/>
      <c r="AD87" s="4"/>
      <c r="AJ87" s="4"/>
      <c r="AK87" s="4"/>
      <c r="AL87" s="4"/>
      <c r="AS87" s="4"/>
      <c r="AT87" s="4"/>
      <c r="AU87" s="4"/>
      <c r="BA87" s="4"/>
      <c r="BB87" s="4"/>
      <c r="BC87" s="4"/>
      <c r="BK87" s="4"/>
      <c r="BL87" s="4"/>
      <c r="BM87" s="4"/>
      <c r="BV87" s="4"/>
      <c r="BW87" s="4"/>
      <c r="BX87" s="4"/>
      <c r="CG87" s="4"/>
      <c r="CH87" s="4"/>
      <c r="CO87" s="4"/>
      <c r="CP87" s="4"/>
      <c r="CQ87" s="4"/>
      <c r="CY87" s="4"/>
      <c r="CZ87" s="4"/>
      <c r="DA87" s="4"/>
      <c r="DH87" s="4"/>
      <c r="DI87" s="4"/>
      <c r="DJ87" s="4"/>
      <c r="DP87" s="4"/>
      <c r="DQ87" s="4"/>
      <c r="DR87" s="4"/>
      <c r="DZ87" s="4"/>
      <c r="EA87" s="4"/>
      <c r="EB87" s="4"/>
      <c r="EI87" s="4"/>
      <c r="EJ87" s="4"/>
      <c r="EK87" s="4"/>
      <c r="EQ87" s="4"/>
      <c r="ER87" s="4"/>
      <c r="ES87" s="4"/>
      <c r="EY87" s="4"/>
      <c r="EZ87" s="4"/>
      <c r="FA87" s="4"/>
      <c r="FG87" s="4"/>
      <c r="FH87" s="4"/>
      <c r="FI87" s="4"/>
      <c r="FO87" s="4"/>
      <c r="FP87" s="4"/>
      <c r="FQ87" s="4"/>
      <c r="GB87" s="4"/>
      <c r="GC87" s="4"/>
      <c r="GD87" s="4"/>
      <c r="GK87" s="4"/>
      <c r="GL87" s="4"/>
      <c r="GM87" s="4"/>
      <c r="GT87" s="4"/>
      <c r="GU87" s="4"/>
      <c r="GV87" s="4"/>
      <c r="HC87" s="4"/>
      <c r="HD87" s="4"/>
      <c r="HE87" s="4"/>
      <c r="HL87" s="4"/>
      <c r="HM87" s="4"/>
      <c r="HN87" s="4"/>
      <c r="HU87" s="4"/>
      <c r="HV87" s="4"/>
      <c r="HW87" s="4"/>
      <c r="ID87" s="4"/>
      <c r="IE87" s="4"/>
      <c r="IF87" s="4"/>
      <c r="IL87" s="4"/>
      <c r="IM87" s="4"/>
      <c r="IN87" s="4"/>
      <c r="IU87" s="4"/>
      <c r="IV87" s="4"/>
      <c r="IW87" s="4"/>
      <c r="JC87" s="4"/>
      <c r="JD87" s="4"/>
      <c r="JE87" s="4"/>
      <c r="JL87" s="4"/>
      <c r="JM87" s="4"/>
      <c r="JN87" s="4"/>
      <c r="JT87" s="4"/>
      <c r="JU87" s="4"/>
      <c r="JV87" s="4"/>
      <c r="KB87" s="4"/>
      <c r="KC87" s="4"/>
      <c r="KD87" s="4"/>
      <c r="KK87" s="4"/>
      <c r="KL87" s="4"/>
      <c r="KM87" s="4"/>
      <c r="KT87" s="4"/>
      <c r="KU87" s="4"/>
      <c r="KV87" s="4"/>
      <c r="LB87" s="4"/>
      <c r="LC87" s="4"/>
      <c r="LD87" s="4"/>
      <c r="LK87" s="4"/>
      <c r="LL87" s="4"/>
      <c r="LM87" s="4"/>
      <c r="LS87" s="4"/>
      <c r="LT87" s="4"/>
      <c r="LU87" s="4"/>
      <c r="MA87" s="4"/>
      <c r="MB87" s="4"/>
      <c r="MC87" s="4"/>
      <c r="MI87" s="4"/>
      <c r="MJ87" s="4"/>
      <c r="MK87" s="4"/>
      <c r="MQ87" s="4"/>
      <c r="MR87" s="4"/>
      <c r="MS87" s="4"/>
      <c r="MY87" s="4"/>
      <c r="MZ87" s="4"/>
      <c r="NA87" s="4"/>
      <c r="NG87" s="4"/>
      <c r="NH87" s="4"/>
      <c r="NI87" s="4"/>
      <c r="NO87" s="4"/>
      <c r="NP87" s="4"/>
      <c r="NQ87" s="4"/>
      <c r="NW87" s="4"/>
      <c r="NX87" s="4"/>
      <c r="NY87" s="4"/>
      <c r="OE87" s="4"/>
      <c r="OF87" s="4"/>
      <c r="OG87" s="4"/>
      <c r="OM87" s="4"/>
      <c r="ON87" s="4"/>
      <c r="OO87" s="4"/>
      <c r="OU87" s="4"/>
      <c r="OV87" s="4"/>
      <c r="OW87" s="4"/>
      <c r="PC87" s="4"/>
      <c r="PD87" s="4"/>
      <c r="PE87" s="4"/>
      <c r="PK87" s="4"/>
      <c r="PL87" s="4"/>
      <c r="PM87" s="4"/>
      <c r="PS87" s="4"/>
      <c r="PT87" s="4"/>
      <c r="PU87" s="4"/>
      <c r="QA87" s="4"/>
      <c r="QB87" s="4"/>
      <c r="QC87" s="4"/>
      <c r="QI87" s="4"/>
      <c r="QJ87" s="4"/>
      <c r="QK87" s="4"/>
      <c r="QQ87" s="4"/>
      <c r="QR87" s="4"/>
      <c r="QS87" s="4"/>
      <c r="QY87" s="4"/>
      <c r="QZ87" s="4"/>
      <c r="RA87" s="4"/>
      <c r="RG87" s="4"/>
      <c r="RH87" s="4"/>
      <c r="RI87" s="4"/>
      <c r="RO87" s="4"/>
      <c r="RP87" s="4"/>
      <c r="RQ87" s="4"/>
      <c r="RW87" s="4"/>
      <c r="RX87" s="4"/>
      <c r="RY87" s="4"/>
      <c r="SE87" s="4"/>
      <c r="SF87" s="4"/>
      <c r="SG87" s="4"/>
      <c r="SM87" s="4"/>
      <c r="SN87" s="4"/>
      <c r="SO87" s="4"/>
      <c r="SU87" s="4"/>
      <c r="SV87" s="4"/>
      <c r="SW87" s="4"/>
      <c r="TC87" s="4"/>
      <c r="TD87" s="4"/>
      <c r="TE87" s="4"/>
      <c r="TK87" s="4"/>
      <c r="TL87" s="4"/>
      <c r="TM87" s="4"/>
      <c r="TS87" s="4"/>
      <c r="TT87" s="4"/>
      <c r="TU87" s="4"/>
      <c r="UA87" s="4"/>
      <c r="UB87" s="4"/>
      <c r="UC87" s="4"/>
      <c r="UI87" s="4"/>
      <c r="UJ87" s="4"/>
      <c r="UK87" s="4"/>
      <c r="UQ87" s="4"/>
      <c r="UR87" s="4"/>
      <c r="US87" s="4"/>
      <c r="UY87" s="4"/>
      <c r="UZ87" s="4"/>
      <c r="VA87" s="4"/>
      <c r="VG87" s="4"/>
      <c r="VH87" s="4"/>
      <c r="VI87" s="4"/>
      <c r="VO87" s="4"/>
      <c r="VP87" s="4"/>
      <c r="VQ87" s="4"/>
    </row>
    <row r="88" spans="1:589" x14ac:dyDescent="0.25">
      <c r="D88" s="1"/>
      <c r="L88" s="4"/>
      <c r="M88" s="4"/>
      <c r="N88" s="4"/>
      <c r="T88" s="4"/>
      <c r="U88" s="4"/>
      <c r="V88" s="4"/>
      <c r="AB88" s="4"/>
      <c r="AC88" s="4"/>
      <c r="AD88" s="4"/>
      <c r="AJ88" s="4"/>
      <c r="AK88" s="4"/>
      <c r="AL88" s="4"/>
      <c r="AS88" s="4"/>
      <c r="AT88" s="4"/>
      <c r="AU88" s="4"/>
      <c r="BA88" s="4"/>
      <c r="BB88" s="4"/>
      <c r="BC88" s="4"/>
      <c r="BK88" s="4"/>
      <c r="BL88" s="4"/>
      <c r="BM88" s="4"/>
      <c r="BV88" s="4"/>
      <c r="BW88" s="4"/>
      <c r="BX88" s="4"/>
      <c r="CG88" s="4"/>
      <c r="CH88" s="4"/>
      <c r="CO88" s="4"/>
      <c r="CP88" s="4"/>
      <c r="CQ88" s="4"/>
      <c r="CY88" s="4"/>
      <c r="CZ88" s="4"/>
      <c r="DA88" s="4"/>
      <c r="DH88" s="4"/>
      <c r="DI88" s="4"/>
      <c r="DJ88" s="4"/>
      <c r="DP88" s="4"/>
      <c r="DQ88" s="4"/>
      <c r="DR88" s="4"/>
      <c r="DZ88" s="4"/>
      <c r="EA88" s="4"/>
      <c r="EB88" s="4"/>
      <c r="EI88" s="4"/>
      <c r="EJ88" s="4"/>
      <c r="EK88" s="4"/>
      <c r="EQ88" s="4"/>
      <c r="ER88" s="4"/>
      <c r="ES88" s="4"/>
      <c r="EY88" s="4"/>
      <c r="EZ88" s="4"/>
      <c r="FA88" s="4"/>
      <c r="FG88" s="4"/>
      <c r="FH88" s="4"/>
      <c r="FI88" s="4"/>
      <c r="FO88" s="4"/>
      <c r="FP88" s="4"/>
      <c r="FQ88" s="4"/>
      <c r="GB88" s="4"/>
      <c r="GC88" s="4"/>
      <c r="GD88" s="4"/>
      <c r="GK88" s="4"/>
      <c r="GL88" s="4"/>
      <c r="GM88" s="4"/>
      <c r="GT88" s="4"/>
      <c r="GU88" s="4"/>
      <c r="GV88" s="4"/>
      <c r="HC88" s="4"/>
      <c r="HD88" s="4"/>
      <c r="HE88" s="4"/>
      <c r="HL88" s="4"/>
      <c r="HM88" s="4"/>
      <c r="HN88" s="4"/>
      <c r="HU88" s="4"/>
      <c r="HV88" s="4"/>
      <c r="HW88" s="4"/>
      <c r="ID88" s="4"/>
      <c r="IE88" s="4"/>
      <c r="IF88" s="4"/>
      <c r="IL88" s="4"/>
      <c r="IM88" s="4"/>
      <c r="IN88" s="4"/>
      <c r="IU88" s="4"/>
      <c r="IV88" s="4"/>
      <c r="IW88" s="4"/>
      <c r="JC88" s="4"/>
      <c r="JD88" s="4"/>
      <c r="JE88" s="4"/>
      <c r="JL88" s="4"/>
      <c r="JM88" s="4"/>
      <c r="JN88" s="4"/>
      <c r="JT88" s="4"/>
      <c r="JU88" s="4"/>
      <c r="JV88" s="4"/>
      <c r="KB88" s="4"/>
      <c r="KC88" s="4"/>
      <c r="KD88" s="4"/>
      <c r="KK88" s="4"/>
      <c r="KL88" s="4"/>
      <c r="KM88" s="4"/>
      <c r="KT88" s="4"/>
      <c r="KU88" s="4"/>
      <c r="KV88" s="4"/>
      <c r="LB88" s="4"/>
      <c r="LC88" s="4"/>
      <c r="LD88" s="4"/>
      <c r="LK88" s="4"/>
      <c r="LL88" s="4"/>
      <c r="LM88" s="4"/>
      <c r="LS88" s="4"/>
      <c r="LT88" s="4"/>
      <c r="LU88" s="4"/>
      <c r="MA88" s="4"/>
      <c r="MB88" s="4"/>
      <c r="MC88" s="4"/>
      <c r="MI88" s="4"/>
      <c r="MJ88" s="4"/>
      <c r="MK88" s="4"/>
      <c r="MQ88" s="4"/>
      <c r="MR88" s="4"/>
      <c r="MS88" s="4"/>
      <c r="MY88" s="4"/>
      <c r="MZ88" s="4"/>
      <c r="NA88" s="4"/>
      <c r="NG88" s="4"/>
      <c r="NH88" s="4"/>
      <c r="NI88" s="4"/>
      <c r="NO88" s="4"/>
      <c r="NP88" s="4"/>
      <c r="NQ88" s="4"/>
      <c r="NW88" s="4"/>
      <c r="NX88" s="4"/>
      <c r="NY88" s="4"/>
      <c r="OE88" s="4"/>
      <c r="OF88" s="4"/>
      <c r="OG88" s="4"/>
      <c r="OM88" s="4"/>
      <c r="ON88" s="4"/>
      <c r="OO88" s="4"/>
      <c r="OU88" s="4"/>
      <c r="OV88" s="4"/>
      <c r="OW88" s="4"/>
      <c r="PC88" s="4"/>
      <c r="PD88" s="4"/>
      <c r="PE88" s="4"/>
      <c r="PK88" s="4"/>
      <c r="PL88" s="4"/>
      <c r="PM88" s="4"/>
      <c r="PS88" s="4"/>
      <c r="PT88" s="4"/>
      <c r="PU88" s="4"/>
      <c r="QA88" s="4"/>
      <c r="QB88" s="4"/>
      <c r="QC88" s="4"/>
      <c r="QI88" s="4"/>
      <c r="QJ88" s="4"/>
      <c r="QK88" s="4"/>
      <c r="QQ88" s="4"/>
      <c r="QR88" s="4"/>
      <c r="QS88" s="4"/>
      <c r="QY88" s="4"/>
      <c r="QZ88" s="4"/>
      <c r="RA88" s="4"/>
      <c r="RG88" s="4"/>
      <c r="RH88" s="4"/>
      <c r="RI88" s="4"/>
      <c r="RO88" s="4"/>
      <c r="RP88" s="4"/>
      <c r="RQ88" s="4"/>
      <c r="RW88" s="4"/>
      <c r="RX88" s="4"/>
      <c r="RY88" s="4"/>
      <c r="SE88" s="4"/>
      <c r="SF88" s="4"/>
      <c r="SG88" s="4"/>
      <c r="SM88" s="4"/>
      <c r="SN88" s="4"/>
      <c r="SO88" s="4"/>
      <c r="SU88" s="4"/>
      <c r="SV88" s="4"/>
      <c r="SW88" s="4"/>
      <c r="TC88" s="4"/>
      <c r="TD88" s="4"/>
      <c r="TE88" s="4"/>
      <c r="TK88" s="4"/>
      <c r="TL88" s="4"/>
      <c r="TM88" s="4"/>
      <c r="TS88" s="4"/>
      <c r="TT88" s="4"/>
      <c r="TU88" s="4"/>
      <c r="UA88" s="4"/>
      <c r="UB88" s="4"/>
      <c r="UC88" s="4"/>
      <c r="UI88" s="4"/>
      <c r="UJ88" s="4"/>
      <c r="UK88" s="4"/>
      <c r="UQ88" s="4"/>
      <c r="UR88" s="4"/>
      <c r="US88" s="4"/>
      <c r="UY88" s="4"/>
      <c r="UZ88" s="4"/>
      <c r="VA88" s="4"/>
      <c r="VG88" s="4"/>
      <c r="VH88" s="4"/>
      <c r="VI88" s="4"/>
      <c r="VO88" s="4"/>
      <c r="VP88" s="4"/>
      <c r="VQ88" s="4"/>
    </row>
    <row r="89" spans="1:589" x14ac:dyDescent="0.25">
      <c r="B89" s="8"/>
      <c r="C89" s="8"/>
      <c r="D89" s="9"/>
      <c r="E89" s="8"/>
      <c r="F89" s="8"/>
      <c r="L89" s="4"/>
      <c r="M89" s="4"/>
      <c r="N89" s="4"/>
      <c r="T89" s="4"/>
      <c r="U89" s="4"/>
      <c r="V89" s="4"/>
      <c r="AB89" s="4"/>
      <c r="AC89" s="4"/>
      <c r="AD89" s="4"/>
      <c r="AJ89" s="4"/>
      <c r="AK89" s="4"/>
      <c r="AL89" s="4"/>
      <c r="AS89" s="4"/>
      <c r="AT89" s="4"/>
      <c r="AU89" s="4"/>
      <c r="BA89" s="4"/>
      <c r="BB89" s="4"/>
      <c r="BC89" s="4"/>
      <c r="BK89" s="4"/>
      <c r="BL89" s="4"/>
      <c r="BM89" s="4"/>
      <c r="BV89" s="4"/>
      <c r="BW89" s="4"/>
      <c r="BX89" s="4"/>
      <c r="CG89" s="4"/>
      <c r="CH89" s="4"/>
      <c r="CO89" s="4"/>
      <c r="CP89" s="4"/>
      <c r="CQ89" s="4"/>
      <c r="CY89" s="4"/>
      <c r="CZ89" s="4"/>
      <c r="DA89" s="4"/>
      <c r="DH89" s="4"/>
      <c r="DI89" s="4"/>
      <c r="DJ89" s="4"/>
      <c r="DP89" s="4"/>
      <c r="DQ89" s="4"/>
      <c r="DR89" s="4"/>
      <c r="DZ89" s="4"/>
      <c r="EA89" s="4"/>
      <c r="EB89" s="4"/>
      <c r="EI89" s="4"/>
      <c r="EJ89" s="4"/>
      <c r="EK89" s="4"/>
      <c r="EQ89" s="4"/>
      <c r="ER89" s="4"/>
      <c r="ES89" s="4"/>
      <c r="EY89" s="4"/>
      <c r="EZ89" s="4"/>
      <c r="FA89" s="4"/>
      <c r="FG89" s="4"/>
      <c r="FH89" s="4"/>
      <c r="FI89" s="4"/>
      <c r="FO89" s="4"/>
      <c r="FP89" s="4"/>
      <c r="FQ89" s="4"/>
      <c r="GB89" s="4"/>
      <c r="GC89" s="4"/>
      <c r="GD89" s="4"/>
      <c r="GK89" s="4"/>
      <c r="GL89" s="4"/>
      <c r="GM89" s="4"/>
      <c r="GT89" s="4"/>
      <c r="GU89" s="4"/>
      <c r="GV89" s="4"/>
      <c r="HC89" s="4"/>
      <c r="HD89" s="4"/>
      <c r="HE89" s="4"/>
      <c r="HL89" s="4"/>
      <c r="HM89" s="4"/>
      <c r="HN89" s="4"/>
      <c r="HU89" s="4"/>
      <c r="HV89" s="4"/>
      <c r="HW89" s="4"/>
      <c r="ID89" s="4"/>
      <c r="IE89" s="4"/>
      <c r="IF89" s="4"/>
      <c r="IL89" s="4"/>
      <c r="IM89" s="4"/>
      <c r="IN89" s="4"/>
      <c r="IU89" s="4"/>
      <c r="IV89" s="4"/>
      <c r="IW89" s="4"/>
      <c r="JC89" s="4"/>
      <c r="JD89" s="4"/>
      <c r="JE89" s="4"/>
      <c r="JL89" s="4"/>
      <c r="JM89" s="4"/>
      <c r="JN89" s="4"/>
      <c r="JT89" s="4"/>
      <c r="JU89" s="4"/>
      <c r="JV89" s="4"/>
      <c r="KB89" s="4"/>
      <c r="KC89" s="4"/>
      <c r="KD89" s="4"/>
      <c r="KK89" s="4"/>
      <c r="KL89" s="4"/>
      <c r="KM89" s="4"/>
      <c r="KT89" s="4"/>
      <c r="KU89" s="4"/>
      <c r="KV89" s="4"/>
      <c r="LB89" s="4"/>
      <c r="LC89" s="4"/>
      <c r="LD89" s="4"/>
      <c r="LK89" s="4"/>
      <c r="LL89" s="4"/>
      <c r="LM89" s="4"/>
      <c r="LS89" s="4"/>
      <c r="LT89" s="4"/>
      <c r="LU89" s="4"/>
      <c r="MA89" s="4"/>
      <c r="MB89" s="4"/>
      <c r="MC89" s="4"/>
      <c r="MI89" s="4"/>
      <c r="MJ89" s="4"/>
      <c r="MK89" s="4"/>
      <c r="MQ89" s="4"/>
      <c r="MR89" s="4"/>
      <c r="MS89" s="4"/>
      <c r="MY89" s="4"/>
      <c r="MZ89" s="4"/>
      <c r="NA89" s="4"/>
      <c r="NG89" s="4"/>
      <c r="NH89" s="4"/>
      <c r="NI89" s="4"/>
      <c r="NO89" s="4"/>
      <c r="NP89" s="4"/>
      <c r="NQ89" s="4"/>
      <c r="NW89" s="4"/>
      <c r="NX89" s="4"/>
      <c r="NY89" s="4"/>
      <c r="OE89" s="4"/>
      <c r="OF89" s="4"/>
      <c r="OG89" s="4"/>
      <c r="OM89" s="4"/>
      <c r="ON89" s="4"/>
      <c r="OO89" s="4"/>
      <c r="OU89" s="4"/>
      <c r="OV89" s="4"/>
      <c r="OW89" s="4"/>
      <c r="PC89" s="4"/>
      <c r="PD89" s="4"/>
      <c r="PE89" s="4"/>
      <c r="PK89" s="4"/>
      <c r="PL89" s="4"/>
      <c r="PM89" s="4"/>
      <c r="PS89" s="4"/>
      <c r="PT89" s="4"/>
      <c r="PU89" s="4"/>
      <c r="QA89" s="4"/>
      <c r="QB89" s="4"/>
      <c r="QC89" s="4"/>
      <c r="QI89" s="4"/>
      <c r="QJ89" s="4"/>
      <c r="QK89" s="4"/>
      <c r="QQ89" s="4"/>
      <c r="QR89" s="4"/>
      <c r="QS89" s="4"/>
      <c r="QY89" s="4"/>
      <c r="QZ89" s="4"/>
      <c r="RA89" s="4"/>
      <c r="RG89" s="4"/>
      <c r="RH89" s="4"/>
      <c r="RI89" s="4"/>
      <c r="RO89" s="4"/>
      <c r="RP89" s="4"/>
      <c r="RQ89" s="4"/>
      <c r="RW89" s="4"/>
      <c r="RX89" s="4"/>
      <c r="RY89" s="4"/>
      <c r="SE89" s="4"/>
      <c r="SF89" s="4"/>
      <c r="SG89" s="4"/>
      <c r="SM89" s="4"/>
      <c r="SN89" s="4"/>
      <c r="SO89" s="4"/>
      <c r="SU89" s="4"/>
      <c r="SV89" s="4"/>
      <c r="SW89" s="4"/>
      <c r="TC89" s="4"/>
      <c r="TD89" s="4"/>
      <c r="TE89" s="4"/>
      <c r="TK89" s="4"/>
      <c r="TL89" s="4"/>
      <c r="TM89" s="4"/>
      <c r="TS89" s="4"/>
      <c r="TT89" s="4"/>
      <c r="TU89" s="4"/>
      <c r="UA89" s="4"/>
      <c r="UB89" s="4"/>
      <c r="UC89" s="4"/>
      <c r="UI89" s="4"/>
      <c r="UJ89" s="4"/>
      <c r="UK89" s="4"/>
      <c r="UQ89" s="4"/>
      <c r="UR89" s="4"/>
      <c r="US89" s="4"/>
      <c r="UY89" s="4"/>
      <c r="UZ89" s="4"/>
      <c r="VA89" s="4"/>
      <c r="VG89" s="4"/>
      <c r="VH89" s="4"/>
      <c r="VI89" s="4"/>
      <c r="VO89" s="4"/>
      <c r="VP89" s="4"/>
      <c r="VQ89" s="4"/>
    </row>
    <row r="90" spans="1:589" x14ac:dyDescent="0.25">
      <c r="B90" s="8"/>
      <c r="C90" s="8"/>
      <c r="D90" s="9"/>
      <c r="E90" s="8"/>
      <c r="F90" s="8"/>
      <c r="L90" s="4"/>
      <c r="M90" s="4"/>
      <c r="N90" s="4"/>
      <c r="T90" s="4"/>
      <c r="U90" s="4"/>
      <c r="V90" s="4"/>
      <c r="AB90" s="4"/>
      <c r="AC90" s="4"/>
      <c r="AD90" s="4"/>
      <c r="AJ90" s="4"/>
      <c r="AK90" s="4"/>
      <c r="AL90" s="4"/>
      <c r="AS90" s="4"/>
      <c r="AT90" s="4"/>
      <c r="AU90" s="4"/>
      <c r="BA90" s="4"/>
      <c r="BB90" s="4"/>
      <c r="BC90" s="4"/>
      <c r="BK90" s="4"/>
      <c r="BL90" s="4"/>
      <c r="BM90" s="4"/>
      <c r="BV90" s="4"/>
      <c r="BW90" s="4"/>
      <c r="BX90" s="4"/>
      <c r="CG90" s="4"/>
      <c r="CH90" s="4"/>
      <c r="CO90" s="4"/>
      <c r="CP90" s="4"/>
      <c r="CQ90" s="4"/>
      <c r="CY90" s="4"/>
      <c r="CZ90" s="4"/>
      <c r="DA90" s="4"/>
      <c r="DH90" s="4"/>
      <c r="DI90" s="4"/>
      <c r="DJ90" s="4"/>
      <c r="DP90" s="4"/>
      <c r="DQ90" s="4"/>
      <c r="DR90" s="4"/>
      <c r="DZ90" s="4"/>
      <c r="EA90" s="4"/>
      <c r="EB90" s="4"/>
      <c r="EI90" s="4"/>
      <c r="EJ90" s="4"/>
      <c r="EK90" s="4"/>
      <c r="EQ90" s="4"/>
      <c r="ER90" s="4"/>
      <c r="ES90" s="4"/>
      <c r="EY90" s="4"/>
      <c r="EZ90" s="4"/>
      <c r="FA90" s="4"/>
      <c r="FG90" s="4"/>
      <c r="FH90" s="4"/>
      <c r="FI90" s="4"/>
      <c r="FO90" s="4"/>
      <c r="FP90" s="4"/>
      <c r="FQ90" s="4"/>
      <c r="GB90" s="4"/>
      <c r="GC90" s="4"/>
      <c r="GD90" s="4"/>
      <c r="GK90" s="4"/>
      <c r="GL90" s="4"/>
      <c r="GM90" s="4"/>
      <c r="GT90" s="4"/>
      <c r="GU90" s="4"/>
      <c r="GV90" s="4"/>
      <c r="HC90" s="4"/>
      <c r="HD90" s="4"/>
      <c r="HE90" s="4"/>
      <c r="HL90" s="4"/>
      <c r="HM90" s="4"/>
      <c r="HN90" s="4"/>
      <c r="HU90" s="4"/>
      <c r="HV90" s="4"/>
      <c r="HW90" s="4"/>
      <c r="ID90" s="4"/>
      <c r="IE90" s="4"/>
      <c r="IF90" s="4"/>
      <c r="IL90" s="4"/>
      <c r="IM90" s="4"/>
      <c r="IN90" s="4"/>
      <c r="IU90" s="4"/>
      <c r="IV90" s="4"/>
      <c r="IW90" s="4"/>
      <c r="JC90" s="4"/>
      <c r="JD90" s="4"/>
      <c r="JE90" s="4"/>
      <c r="JL90" s="4"/>
      <c r="JM90" s="4"/>
      <c r="JN90" s="4"/>
      <c r="JT90" s="4"/>
      <c r="JU90" s="4"/>
      <c r="JV90" s="4"/>
      <c r="KB90" s="4"/>
      <c r="KC90" s="4"/>
      <c r="KD90" s="4"/>
      <c r="KK90" s="4"/>
      <c r="KL90" s="4"/>
      <c r="KM90" s="4"/>
      <c r="KT90" s="4"/>
      <c r="KU90" s="4"/>
      <c r="KV90" s="4"/>
      <c r="LB90" s="4"/>
      <c r="LC90" s="4"/>
      <c r="LD90" s="4"/>
      <c r="LK90" s="4"/>
      <c r="LL90" s="4"/>
      <c r="LM90" s="4"/>
      <c r="LS90" s="4"/>
      <c r="LT90" s="4"/>
      <c r="LU90" s="4"/>
      <c r="MA90" s="4"/>
      <c r="MB90" s="4"/>
      <c r="MC90" s="4"/>
      <c r="MI90" s="4"/>
      <c r="MJ90" s="4"/>
      <c r="MK90" s="4"/>
      <c r="MQ90" s="4"/>
      <c r="MR90" s="4"/>
      <c r="MS90" s="4"/>
      <c r="MY90" s="4"/>
      <c r="MZ90" s="4"/>
      <c r="NA90" s="4"/>
      <c r="NG90" s="4"/>
      <c r="NH90" s="4"/>
      <c r="NI90" s="4"/>
      <c r="NO90" s="4"/>
      <c r="NP90" s="4"/>
      <c r="NQ90" s="4"/>
      <c r="NW90" s="4"/>
      <c r="NX90" s="4"/>
      <c r="NY90" s="4"/>
      <c r="OE90" s="4"/>
      <c r="OF90" s="4"/>
      <c r="OG90" s="4"/>
      <c r="OM90" s="4"/>
      <c r="ON90" s="4"/>
      <c r="OO90" s="4"/>
      <c r="OU90" s="4"/>
      <c r="OV90" s="4"/>
      <c r="OW90" s="4"/>
      <c r="PC90" s="4"/>
      <c r="PD90" s="4"/>
      <c r="PE90" s="4"/>
      <c r="PK90" s="4"/>
      <c r="PL90" s="4"/>
      <c r="PM90" s="4"/>
      <c r="PS90" s="4"/>
      <c r="PT90" s="4"/>
      <c r="PU90" s="4"/>
      <c r="QA90" s="4"/>
      <c r="QB90" s="4"/>
      <c r="QC90" s="4"/>
      <c r="QI90" s="4"/>
      <c r="QJ90" s="4"/>
      <c r="QK90" s="4"/>
      <c r="QQ90" s="4"/>
      <c r="QR90" s="4"/>
      <c r="QS90" s="4"/>
      <c r="QY90" s="4"/>
      <c r="QZ90" s="4"/>
      <c r="RA90" s="4"/>
      <c r="RG90" s="4"/>
      <c r="RH90" s="4"/>
      <c r="RI90" s="4"/>
      <c r="RO90" s="4"/>
      <c r="RP90" s="4"/>
      <c r="RQ90" s="4"/>
      <c r="RW90" s="4"/>
      <c r="RX90" s="4"/>
      <c r="RY90" s="4"/>
      <c r="SE90" s="4"/>
      <c r="SF90" s="4"/>
      <c r="SG90" s="4"/>
      <c r="SM90" s="4"/>
      <c r="SN90" s="4"/>
      <c r="SO90" s="4"/>
      <c r="SU90" s="4"/>
      <c r="SV90" s="4"/>
      <c r="SW90" s="4"/>
      <c r="TC90" s="4"/>
      <c r="TD90" s="4"/>
      <c r="TE90" s="4"/>
      <c r="TK90" s="4"/>
      <c r="TL90" s="4"/>
      <c r="TM90" s="4"/>
      <c r="TS90" s="4"/>
      <c r="TT90" s="4"/>
      <c r="TU90" s="4"/>
      <c r="UA90" s="4"/>
      <c r="UB90" s="4"/>
      <c r="UC90" s="4"/>
      <c r="UI90" s="4"/>
      <c r="UJ90" s="4"/>
      <c r="UK90" s="4"/>
      <c r="UQ90" s="4"/>
      <c r="UR90" s="4"/>
      <c r="US90" s="4"/>
      <c r="UY90" s="4"/>
      <c r="UZ90" s="4"/>
      <c r="VA90" s="4"/>
      <c r="VG90" s="4"/>
      <c r="VH90" s="4"/>
      <c r="VI90" s="4"/>
      <c r="VO90" s="4"/>
      <c r="VP90" s="4"/>
      <c r="VQ90" s="4"/>
    </row>
    <row r="91" spans="1:589" x14ac:dyDescent="0.25">
      <c r="B91" s="8"/>
      <c r="C91" s="8"/>
      <c r="D91" s="9"/>
      <c r="E91" s="8"/>
      <c r="F91" s="8"/>
      <c r="L91" s="4"/>
      <c r="M91" s="4"/>
      <c r="N91" s="4"/>
      <c r="T91" s="4"/>
      <c r="U91" s="4"/>
      <c r="V91" s="4"/>
      <c r="AB91" s="4"/>
      <c r="AC91" s="4"/>
      <c r="AD91" s="4"/>
      <c r="AJ91" s="4"/>
      <c r="AK91" s="4"/>
      <c r="AL91" s="4"/>
      <c r="AS91" s="4"/>
      <c r="AT91" s="4"/>
      <c r="AU91" s="4"/>
      <c r="BA91" s="4"/>
      <c r="BB91" s="4"/>
      <c r="BC91" s="4"/>
      <c r="BK91" s="4"/>
      <c r="BL91" s="4"/>
      <c r="BM91" s="4"/>
      <c r="BV91" s="4"/>
      <c r="BW91" s="4"/>
      <c r="BX91" s="4"/>
      <c r="CG91" s="4"/>
      <c r="CH91" s="4"/>
      <c r="CO91" s="4"/>
      <c r="CP91" s="4"/>
      <c r="CQ91" s="4"/>
      <c r="CY91" s="4"/>
      <c r="CZ91" s="4"/>
      <c r="DA91" s="4"/>
      <c r="DH91" s="4"/>
      <c r="DI91" s="4"/>
      <c r="DJ91" s="4"/>
      <c r="DP91" s="4"/>
      <c r="DQ91" s="4"/>
      <c r="DR91" s="4"/>
      <c r="DZ91" s="4"/>
      <c r="EA91" s="4"/>
      <c r="EB91" s="4"/>
      <c r="EI91" s="4"/>
      <c r="EJ91" s="4"/>
      <c r="EK91" s="4"/>
      <c r="EQ91" s="4"/>
      <c r="ER91" s="4"/>
      <c r="ES91" s="4"/>
      <c r="EY91" s="4"/>
      <c r="EZ91" s="4"/>
      <c r="FA91" s="4"/>
      <c r="FG91" s="4"/>
      <c r="FH91" s="4"/>
      <c r="FI91" s="4"/>
      <c r="FO91" s="4"/>
      <c r="FP91" s="4"/>
      <c r="FQ91" s="4"/>
      <c r="GB91" s="4"/>
      <c r="GC91" s="4"/>
      <c r="GD91" s="4"/>
      <c r="GK91" s="4"/>
      <c r="GL91" s="4"/>
      <c r="GM91" s="4"/>
      <c r="GT91" s="4"/>
      <c r="GU91" s="4"/>
      <c r="GV91" s="4"/>
      <c r="HC91" s="4"/>
      <c r="HD91" s="4"/>
      <c r="HE91" s="4"/>
      <c r="HL91" s="4"/>
      <c r="HM91" s="4"/>
      <c r="HN91" s="4"/>
      <c r="HU91" s="4"/>
      <c r="HV91" s="4"/>
      <c r="HW91" s="4"/>
      <c r="ID91" s="4"/>
      <c r="IE91" s="4"/>
      <c r="IF91" s="4"/>
      <c r="IL91" s="4"/>
      <c r="IM91" s="4"/>
      <c r="IN91" s="4"/>
      <c r="IU91" s="4"/>
      <c r="IV91" s="4"/>
      <c r="IW91" s="4"/>
      <c r="JC91" s="4"/>
      <c r="JD91" s="4"/>
      <c r="JE91" s="4"/>
      <c r="JL91" s="4"/>
      <c r="JM91" s="4"/>
      <c r="JN91" s="4"/>
      <c r="JT91" s="4"/>
      <c r="JU91" s="4"/>
      <c r="JV91" s="4"/>
      <c r="KB91" s="4"/>
      <c r="KC91" s="4"/>
      <c r="KD91" s="4"/>
      <c r="KK91" s="4"/>
      <c r="KL91" s="4"/>
      <c r="KM91" s="4"/>
      <c r="KT91" s="4"/>
      <c r="KU91" s="4"/>
      <c r="KV91" s="4"/>
      <c r="LB91" s="4"/>
      <c r="LC91" s="4"/>
      <c r="LD91" s="4"/>
      <c r="LK91" s="4"/>
      <c r="LL91" s="4"/>
      <c r="LM91" s="4"/>
      <c r="LS91" s="4"/>
      <c r="LT91" s="4"/>
      <c r="LU91" s="4"/>
      <c r="MA91" s="4"/>
      <c r="MB91" s="4"/>
      <c r="MC91" s="4"/>
      <c r="MI91" s="4"/>
      <c r="MJ91" s="4"/>
      <c r="MK91" s="4"/>
      <c r="MQ91" s="4"/>
      <c r="MR91" s="4"/>
      <c r="MS91" s="4"/>
      <c r="MY91" s="4"/>
      <c r="MZ91" s="4"/>
      <c r="NA91" s="4"/>
      <c r="NG91" s="4"/>
      <c r="NH91" s="4"/>
      <c r="NI91" s="4"/>
      <c r="NO91" s="4"/>
      <c r="NP91" s="4"/>
      <c r="NQ91" s="4"/>
      <c r="NW91" s="4"/>
      <c r="NX91" s="4"/>
      <c r="NY91" s="4"/>
      <c r="OE91" s="4"/>
      <c r="OF91" s="4"/>
      <c r="OG91" s="4"/>
      <c r="OM91" s="4"/>
      <c r="ON91" s="4"/>
      <c r="OO91" s="4"/>
      <c r="OU91" s="4"/>
      <c r="OV91" s="4"/>
      <c r="OW91" s="4"/>
      <c r="PC91" s="4"/>
      <c r="PD91" s="4"/>
      <c r="PE91" s="4"/>
      <c r="PK91" s="4"/>
      <c r="PL91" s="4"/>
      <c r="PM91" s="4"/>
      <c r="PS91" s="4"/>
      <c r="PT91" s="4"/>
      <c r="PU91" s="4"/>
      <c r="QA91" s="4"/>
      <c r="QB91" s="4"/>
      <c r="QC91" s="4"/>
      <c r="QI91" s="4"/>
      <c r="QJ91" s="4"/>
      <c r="QK91" s="4"/>
      <c r="QQ91" s="4"/>
      <c r="QR91" s="4"/>
      <c r="QS91" s="4"/>
      <c r="QY91" s="4"/>
      <c r="QZ91" s="4"/>
      <c r="RA91" s="4"/>
      <c r="RG91" s="4"/>
      <c r="RH91" s="4"/>
      <c r="RI91" s="4"/>
      <c r="RO91" s="4"/>
      <c r="RP91" s="4"/>
      <c r="RQ91" s="4"/>
      <c r="RW91" s="4"/>
      <c r="RX91" s="4"/>
      <c r="RY91" s="4"/>
      <c r="SE91" s="4"/>
      <c r="SF91" s="4"/>
      <c r="SG91" s="4"/>
      <c r="SM91" s="4"/>
      <c r="SN91" s="4"/>
      <c r="SO91" s="4"/>
      <c r="SU91" s="4"/>
      <c r="SV91" s="4"/>
      <c r="SW91" s="4"/>
      <c r="TC91" s="4"/>
      <c r="TD91" s="4"/>
      <c r="TE91" s="4"/>
      <c r="TK91" s="4"/>
      <c r="TL91" s="4"/>
      <c r="TM91" s="4"/>
      <c r="TS91" s="4"/>
      <c r="TT91" s="4"/>
      <c r="TU91" s="4"/>
      <c r="UA91" s="4"/>
      <c r="UB91" s="4"/>
      <c r="UC91" s="4"/>
      <c r="UI91" s="4"/>
      <c r="UJ91" s="4"/>
      <c r="UK91" s="4"/>
      <c r="UQ91" s="4"/>
      <c r="UR91" s="4"/>
      <c r="US91" s="4"/>
      <c r="UY91" s="4"/>
      <c r="UZ91" s="4"/>
      <c r="VA91" s="4"/>
      <c r="VG91" s="4"/>
      <c r="VH91" s="4"/>
      <c r="VI91" s="4"/>
      <c r="VO91" s="4"/>
      <c r="VP91" s="4"/>
      <c r="VQ91" s="4"/>
    </row>
    <row r="92" spans="1:589" x14ac:dyDescent="0.25">
      <c r="B92" s="8"/>
      <c r="C92" s="8"/>
      <c r="D92" s="9"/>
      <c r="E92" s="8"/>
      <c r="F92" s="8"/>
      <c r="L92" s="4"/>
      <c r="M92" s="4"/>
      <c r="N92" s="4"/>
      <c r="T92" s="4"/>
      <c r="U92" s="4"/>
      <c r="V92" s="4"/>
      <c r="AB92" s="4"/>
      <c r="AC92" s="4"/>
      <c r="AD92" s="4"/>
      <c r="AJ92" s="4"/>
      <c r="AK92" s="4"/>
      <c r="AL92" s="4"/>
      <c r="AS92" s="4"/>
      <c r="AT92" s="4"/>
      <c r="AU92" s="4"/>
      <c r="BA92" s="4"/>
      <c r="BB92" s="4"/>
      <c r="BC92" s="4"/>
      <c r="BK92" s="4"/>
      <c r="BL92" s="4"/>
      <c r="BM92" s="4"/>
      <c r="BV92" s="4"/>
      <c r="BW92" s="4"/>
      <c r="BX92" s="4"/>
      <c r="CG92" s="4"/>
      <c r="CH92" s="4"/>
      <c r="CO92" s="4"/>
      <c r="CP92" s="4"/>
      <c r="CQ92" s="4"/>
      <c r="CY92" s="4"/>
      <c r="CZ92" s="4"/>
      <c r="DA92" s="4"/>
      <c r="DH92" s="4"/>
      <c r="DI92" s="4"/>
      <c r="DJ92" s="4"/>
      <c r="DP92" s="4"/>
      <c r="DQ92" s="4"/>
      <c r="DR92" s="4"/>
      <c r="DZ92" s="4"/>
      <c r="EA92" s="4"/>
      <c r="EB92" s="4"/>
      <c r="EI92" s="4"/>
      <c r="EJ92" s="4"/>
      <c r="EK92" s="4"/>
      <c r="EQ92" s="4"/>
      <c r="ER92" s="4"/>
      <c r="ES92" s="4"/>
      <c r="EY92" s="4"/>
      <c r="EZ92" s="4"/>
      <c r="FA92" s="4"/>
      <c r="FG92" s="4"/>
      <c r="FH92" s="4"/>
      <c r="FI92" s="4"/>
      <c r="FO92" s="4"/>
      <c r="FP92" s="4"/>
      <c r="FQ92" s="4"/>
      <c r="GB92" s="4"/>
      <c r="GC92" s="4"/>
      <c r="GD92" s="4"/>
      <c r="GK92" s="4"/>
      <c r="GL92" s="4"/>
      <c r="GM92" s="4"/>
      <c r="GT92" s="4"/>
      <c r="GU92" s="4"/>
      <c r="GV92" s="4"/>
      <c r="HC92" s="4"/>
      <c r="HD92" s="4"/>
      <c r="HE92" s="4"/>
      <c r="HL92" s="4"/>
      <c r="HM92" s="4"/>
      <c r="HN92" s="4"/>
      <c r="HU92" s="4"/>
      <c r="HV92" s="4"/>
      <c r="HW92" s="4"/>
      <c r="ID92" s="4"/>
      <c r="IE92" s="4"/>
      <c r="IF92" s="4"/>
      <c r="IL92" s="4"/>
      <c r="IM92" s="4"/>
      <c r="IN92" s="4"/>
      <c r="IU92" s="4"/>
      <c r="IV92" s="4"/>
      <c r="IW92" s="4"/>
      <c r="JC92" s="4"/>
      <c r="JD92" s="4"/>
      <c r="JE92" s="4"/>
      <c r="JL92" s="4"/>
      <c r="JM92" s="4"/>
      <c r="JN92" s="4"/>
      <c r="JT92" s="4"/>
      <c r="JU92" s="4"/>
      <c r="JV92" s="4"/>
      <c r="KB92" s="4"/>
      <c r="KC92" s="4"/>
      <c r="KD92" s="4"/>
      <c r="KK92" s="4"/>
      <c r="KL92" s="4"/>
      <c r="KM92" s="4"/>
      <c r="KT92" s="4"/>
      <c r="KU92" s="4"/>
      <c r="KV92" s="4"/>
      <c r="LB92" s="4"/>
      <c r="LC92" s="4"/>
      <c r="LD92" s="4"/>
      <c r="LK92" s="4"/>
      <c r="LL92" s="4"/>
      <c r="LM92" s="4"/>
      <c r="LS92" s="4"/>
      <c r="LT92" s="4"/>
      <c r="LU92" s="4"/>
      <c r="MA92" s="4"/>
      <c r="MB92" s="4"/>
      <c r="MC92" s="4"/>
      <c r="MI92" s="4"/>
      <c r="MJ92" s="4"/>
      <c r="MK92" s="4"/>
      <c r="MQ92" s="4"/>
      <c r="MR92" s="4"/>
      <c r="MS92" s="4"/>
      <c r="MY92" s="4"/>
      <c r="MZ92" s="4"/>
      <c r="NA92" s="4"/>
      <c r="NG92" s="4"/>
      <c r="NH92" s="4"/>
      <c r="NI92" s="4"/>
      <c r="NO92" s="4"/>
      <c r="NP92" s="4"/>
      <c r="NQ92" s="4"/>
      <c r="NW92" s="4"/>
      <c r="NX92" s="4"/>
      <c r="NY92" s="4"/>
      <c r="OE92" s="4"/>
      <c r="OF92" s="4"/>
      <c r="OG92" s="4"/>
      <c r="OM92" s="4"/>
      <c r="ON92" s="4"/>
      <c r="OO92" s="4"/>
      <c r="OU92" s="4"/>
      <c r="OV92" s="4"/>
      <c r="OW92" s="4"/>
      <c r="PC92" s="4"/>
      <c r="PD92" s="4"/>
      <c r="PE92" s="4"/>
      <c r="PK92" s="4"/>
      <c r="PL92" s="4"/>
      <c r="PM92" s="4"/>
      <c r="PS92" s="4"/>
      <c r="PT92" s="4"/>
      <c r="PU92" s="4"/>
      <c r="QA92" s="4"/>
      <c r="QB92" s="4"/>
      <c r="QC92" s="4"/>
      <c r="QI92" s="4"/>
      <c r="QJ92" s="4"/>
      <c r="QK92" s="4"/>
      <c r="QQ92" s="4"/>
      <c r="QR92" s="4"/>
      <c r="QS92" s="4"/>
      <c r="QY92" s="4"/>
      <c r="QZ92" s="4"/>
      <c r="RA92" s="4"/>
      <c r="RG92" s="4"/>
      <c r="RH92" s="4"/>
      <c r="RI92" s="4"/>
      <c r="RO92" s="4"/>
      <c r="RP92" s="4"/>
      <c r="RQ92" s="4"/>
      <c r="RW92" s="4"/>
      <c r="RX92" s="4"/>
      <c r="RY92" s="4"/>
      <c r="SE92" s="4"/>
      <c r="SF92" s="4"/>
      <c r="SG92" s="4"/>
      <c r="SM92" s="4"/>
      <c r="SN92" s="4"/>
      <c r="SO92" s="4"/>
      <c r="SU92" s="4"/>
      <c r="SV92" s="4"/>
      <c r="SW92" s="4"/>
      <c r="TC92" s="4"/>
      <c r="TD92" s="4"/>
      <c r="TE92" s="4"/>
      <c r="TK92" s="4"/>
      <c r="TL92" s="4"/>
      <c r="TM92" s="4"/>
      <c r="TS92" s="4"/>
      <c r="TT92" s="4"/>
      <c r="TU92" s="4"/>
      <c r="UA92" s="4"/>
      <c r="UB92" s="4"/>
      <c r="UC92" s="4"/>
      <c r="UI92" s="4"/>
      <c r="UJ92" s="4"/>
      <c r="UK92" s="4"/>
      <c r="UQ92" s="4"/>
      <c r="UR92" s="4"/>
      <c r="US92" s="4"/>
      <c r="UY92" s="4"/>
      <c r="UZ92" s="4"/>
      <c r="VA92" s="4"/>
      <c r="VG92" s="4"/>
      <c r="VH92" s="4"/>
      <c r="VI92" s="4"/>
      <c r="VO92" s="4"/>
      <c r="VP92" s="4"/>
      <c r="VQ92" s="4"/>
    </row>
    <row r="93" spans="1:589" x14ac:dyDescent="0.25">
      <c r="D93" s="1"/>
      <c r="L93" s="4"/>
      <c r="M93" s="4"/>
      <c r="N93" s="4"/>
      <c r="T93" s="4"/>
      <c r="U93" s="4"/>
      <c r="V93" s="4"/>
      <c r="AB93" s="4"/>
      <c r="AC93" s="4"/>
      <c r="AD93" s="4"/>
      <c r="AJ93" s="4"/>
      <c r="AK93" s="4"/>
      <c r="AL93" s="4"/>
      <c r="AS93" s="4"/>
      <c r="AT93" s="4"/>
      <c r="AU93" s="4"/>
      <c r="BA93" s="4"/>
      <c r="BB93" s="4"/>
      <c r="BC93" s="4"/>
      <c r="BK93" s="4"/>
      <c r="BL93" s="4"/>
      <c r="BM93" s="4"/>
      <c r="BV93" s="4"/>
      <c r="BW93" s="4"/>
      <c r="BX93" s="4"/>
      <c r="CG93" s="4"/>
      <c r="CH93" s="4"/>
      <c r="CO93" s="4"/>
      <c r="CP93" s="4"/>
      <c r="CQ93" s="4"/>
      <c r="CY93" s="4"/>
      <c r="CZ93" s="4"/>
      <c r="DA93" s="4"/>
      <c r="DH93" s="4"/>
      <c r="DI93" s="4"/>
      <c r="DJ93" s="4"/>
      <c r="DP93" s="4"/>
      <c r="DQ93" s="4"/>
      <c r="DR93" s="4"/>
      <c r="DZ93" s="4"/>
      <c r="EA93" s="4"/>
      <c r="EB93" s="4"/>
      <c r="EI93" s="4"/>
      <c r="EJ93" s="4"/>
      <c r="EK93" s="4"/>
      <c r="EQ93" s="4"/>
      <c r="ER93" s="4"/>
      <c r="ES93" s="4"/>
      <c r="EY93" s="4"/>
      <c r="EZ93" s="4"/>
      <c r="FA93" s="4"/>
      <c r="FG93" s="4"/>
      <c r="FH93" s="4"/>
      <c r="FI93" s="4"/>
      <c r="FO93" s="4"/>
      <c r="FP93" s="4"/>
      <c r="FQ93" s="4"/>
      <c r="GB93" s="4"/>
      <c r="GC93" s="4"/>
      <c r="GD93" s="4"/>
      <c r="GK93" s="4"/>
      <c r="GL93" s="4"/>
      <c r="GM93" s="4"/>
      <c r="GT93" s="4"/>
      <c r="GU93" s="4"/>
      <c r="GV93" s="4"/>
      <c r="HC93" s="4"/>
      <c r="HD93" s="4"/>
      <c r="HE93" s="4"/>
      <c r="HL93" s="4"/>
      <c r="HM93" s="4"/>
      <c r="HN93" s="4"/>
      <c r="HU93" s="4"/>
      <c r="HV93" s="4"/>
      <c r="HW93" s="4"/>
      <c r="ID93" s="4"/>
      <c r="IE93" s="4"/>
      <c r="IF93" s="4"/>
      <c r="IL93" s="4"/>
      <c r="IM93" s="4"/>
      <c r="IN93" s="4"/>
      <c r="IU93" s="4"/>
      <c r="IV93" s="4"/>
      <c r="IW93" s="4"/>
      <c r="JC93" s="4"/>
      <c r="JD93" s="4"/>
      <c r="JE93" s="4"/>
      <c r="JL93" s="4"/>
      <c r="JM93" s="4"/>
      <c r="JN93" s="4"/>
      <c r="JT93" s="4"/>
      <c r="JU93" s="4"/>
      <c r="JV93" s="4"/>
      <c r="KB93" s="4"/>
      <c r="KC93" s="4"/>
      <c r="KD93" s="4"/>
      <c r="KK93" s="4"/>
      <c r="KL93" s="4"/>
      <c r="KM93" s="4"/>
      <c r="KT93" s="4"/>
      <c r="KU93" s="4"/>
      <c r="KV93" s="4"/>
      <c r="LB93" s="4"/>
      <c r="LC93" s="4"/>
      <c r="LD93" s="4"/>
      <c r="LK93" s="4"/>
      <c r="LL93" s="4"/>
      <c r="LM93" s="4"/>
      <c r="LS93" s="4"/>
      <c r="LT93" s="4"/>
      <c r="LU93" s="4"/>
      <c r="MA93" s="4"/>
      <c r="MB93" s="4"/>
      <c r="MC93" s="4"/>
      <c r="MI93" s="4"/>
      <c r="MJ93" s="4"/>
      <c r="MK93" s="4"/>
      <c r="MQ93" s="4"/>
      <c r="MR93" s="4"/>
      <c r="MS93" s="4"/>
      <c r="MY93" s="4"/>
      <c r="MZ93" s="4"/>
      <c r="NA93" s="4"/>
      <c r="NG93" s="4"/>
      <c r="NH93" s="4"/>
      <c r="NI93" s="4"/>
      <c r="NO93" s="4"/>
      <c r="NP93" s="4"/>
      <c r="NQ93" s="4"/>
      <c r="NW93" s="4"/>
      <c r="NX93" s="4"/>
      <c r="NY93" s="4"/>
      <c r="OE93" s="4"/>
      <c r="OF93" s="4"/>
      <c r="OG93" s="4"/>
      <c r="OM93" s="4"/>
      <c r="ON93" s="4"/>
      <c r="OO93" s="4"/>
      <c r="OU93" s="4"/>
      <c r="OV93" s="4"/>
      <c r="OW93" s="4"/>
      <c r="PC93" s="4"/>
      <c r="PD93" s="4"/>
      <c r="PE93" s="4"/>
      <c r="PK93" s="4"/>
      <c r="PL93" s="4"/>
      <c r="PM93" s="4"/>
      <c r="PS93" s="4"/>
      <c r="PT93" s="4"/>
      <c r="PU93" s="4"/>
      <c r="QA93" s="4"/>
      <c r="QB93" s="4"/>
      <c r="QC93" s="4"/>
      <c r="QI93" s="4"/>
      <c r="QJ93" s="4"/>
      <c r="QK93" s="4"/>
      <c r="QQ93" s="4"/>
      <c r="QR93" s="4"/>
      <c r="QS93" s="4"/>
      <c r="QY93" s="4"/>
      <c r="QZ93" s="4"/>
      <c r="RA93" s="4"/>
      <c r="RG93" s="4"/>
      <c r="RH93" s="4"/>
      <c r="RI93" s="4"/>
      <c r="RO93" s="4"/>
      <c r="RP93" s="4"/>
      <c r="RQ93" s="4"/>
      <c r="RW93" s="4"/>
      <c r="RX93" s="4"/>
      <c r="RY93" s="4"/>
      <c r="SE93" s="4"/>
      <c r="SF93" s="4"/>
      <c r="SG93" s="4"/>
      <c r="SM93" s="4"/>
      <c r="SN93" s="4"/>
      <c r="SO93" s="4"/>
      <c r="SU93" s="4"/>
      <c r="SV93" s="4"/>
      <c r="SW93" s="4"/>
      <c r="TC93" s="4"/>
      <c r="TD93" s="4"/>
      <c r="TE93" s="4"/>
      <c r="TK93" s="4"/>
      <c r="TL93" s="4"/>
      <c r="TM93" s="4"/>
      <c r="TS93" s="4"/>
      <c r="TT93" s="4"/>
      <c r="TU93" s="4"/>
      <c r="UA93" s="4"/>
      <c r="UB93" s="4"/>
      <c r="UC93" s="4"/>
      <c r="UI93" s="4"/>
      <c r="UJ93" s="4"/>
      <c r="UK93" s="4"/>
      <c r="UQ93" s="4"/>
      <c r="UR93" s="4"/>
      <c r="US93" s="4"/>
      <c r="UY93" s="4"/>
      <c r="UZ93" s="4"/>
      <c r="VA93" s="4"/>
      <c r="VG93" s="4"/>
      <c r="VH93" s="4"/>
      <c r="VI93" s="4"/>
      <c r="VO93" s="4"/>
      <c r="VP93" s="4"/>
      <c r="VQ93" s="4"/>
    </row>
    <row r="94" spans="1:589" x14ac:dyDescent="0.25">
      <c r="D94" s="1"/>
      <c r="L94" s="4"/>
      <c r="M94" s="4"/>
      <c r="N94" s="4"/>
      <c r="T94" s="4"/>
      <c r="U94" s="4"/>
      <c r="V94" s="4"/>
      <c r="AB94" s="4"/>
      <c r="AC94" s="4"/>
      <c r="AD94" s="4"/>
      <c r="AJ94" s="4"/>
      <c r="AK94" s="4"/>
      <c r="AL94" s="4"/>
      <c r="AS94" s="4"/>
      <c r="AT94" s="4"/>
      <c r="AU94" s="4"/>
      <c r="BA94" s="4"/>
      <c r="BB94" s="4"/>
      <c r="BC94" s="4"/>
      <c r="BK94" s="4"/>
      <c r="BL94" s="4"/>
      <c r="BM94" s="4"/>
      <c r="BV94" s="4"/>
      <c r="BW94" s="4"/>
      <c r="BX94" s="4"/>
      <c r="CG94" s="4"/>
      <c r="CH94" s="4"/>
      <c r="CO94" s="4"/>
      <c r="CP94" s="4"/>
      <c r="CQ94" s="4"/>
      <c r="CY94" s="4"/>
      <c r="CZ94" s="4"/>
      <c r="DA94" s="4"/>
      <c r="DH94" s="4"/>
      <c r="DI94" s="4"/>
      <c r="DJ94" s="4"/>
      <c r="DP94" s="4"/>
      <c r="DQ94" s="4"/>
      <c r="DR94" s="4"/>
      <c r="DZ94" s="4"/>
      <c r="EA94" s="4"/>
      <c r="EB94" s="4"/>
      <c r="EI94" s="4"/>
      <c r="EJ94" s="4"/>
      <c r="EK94" s="4"/>
      <c r="EQ94" s="4"/>
      <c r="ER94" s="4"/>
      <c r="ES94" s="4"/>
      <c r="EY94" s="4"/>
      <c r="EZ94" s="4"/>
      <c r="FA94" s="4"/>
      <c r="FG94" s="4"/>
      <c r="FH94" s="4"/>
      <c r="FI94" s="4"/>
      <c r="FO94" s="4"/>
      <c r="FP94" s="4"/>
      <c r="FQ94" s="4"/>
      <c r="GB94" s="4"/>
      <c r="GC94" s="4"/>
      <c r="GD94" s="4"/>
      <c r="GK94" s="4"/>
      <c r="GL94" s="4"/>
      <c r="GM94" s="4"/>
      <c r="GT94" s="4"/>
      <c r="GU94" s="4"/>
      <c r="GV94" s="4"/>
      <c r="HC94" s="4"/>
      <c r="HD94" s="4"/>
      <c r="HE94" s="4"/>
      <c r="HL94" s="4"/>
      <c r="HM94" s="4"/>
      <c r="HN94" s="4"/>
      <c r="HU94" s="4"/>
      <c r="HV94" s="4"/>
      <c r="HW94" s="4"/>
      <c r="ID94" s="4"/>
      <c r="IE94" s="4"/>
      <c r="IF94" s="4"/>
      <c r="IL94" s="4"/>
      <c r="IM94" s="4"/>
      <c r="IN94" s="4"/>
      <c r="IU94" s="4"/>
      <c r="IV94" s="4"/>
      <c r="IW94" s="4"/>
      <c r="JC94" s="4"/>
      <c r="JD94" s="4"/>
      <c r="JE94" s="4"/>
      <c r="JL94" s="4"/>
      <c r="JM94" s="4"/>
      <c r="JN94" s="4"/>
      <c r="JT94" s="4"/>
      <c r="JU94" s="4"/>
      <c r="JV94" s="4"/>
      <c r="KB94" s="4"/>
      <c r="KC94" s="4"/>
      <c r="KD94" s="4"/>
      <c r="KK94" s="4"/>
      <c r="KL94" s="4"/>
      <c r="KM94" s="4"/>
      <c r="KT94" s="4"/>
      <c r="KU94" s="4"/>
      <c r="KV94" s="4"/>
      <c r="LB94" s="4"/>
      <c r="LC94" s="4"/>
      <c r="LD94" s="4"/>
      <c r="LK94" s="4"/>
      <c r="LL94" s="4"/>
      <c r="LM94" s="4"/>
      <c r="LS94" s="4"/>
      <c r="LT94" s="4"/>
      <c r="LU94" s="4"/>
      <c r="MA94" s="4"/>
      <c r="MB94" s="4"/>
      <c r="MC94" s="4"/>
      <c r="MI94" s="4"/>
      <c r="MJ94" s="4"/>
      <c r="MK94" s="4"/>
      <c r="MQ94" s="4"/>
      <c r="MR94" s="4"/>
      <c r="MS94" s="4"/>
      <c r="MY94" s="4"/>
      <c r="MZ94" s="4"/>
      <c r="NA94" s="4"/>
      <c r="NG94" s="4"/>
      <c r="NH94" s="4"/>
      <c r="NI94" s="4"/>
      <c r="NO94" s="4"/>
      <c r="NP94" s="4"/>
      <c r="NQ94" s="4"/>
      <c r="NW94" s="4"/>
      <c r="NX94" s="4"/>
      <c r="NY94" s="4"/>
      <c r="OE94" s="4"/>
      <c r="OF94" s="4"/>
      <c r="OG94" s="4"/>
      <c r="OM94" s="4"/>
      <c r="ON94" s="4"/>
      <c r="OO94" s="4"/>
      <c r="OU94" s="4"/>
      <c r="OV94" s="4"/>
      <c r="OW94" s="4"/>
      <c r="PC94" s="4"/>
      <c r="PD94" s="4"/>
      <c r="PE94" s="4"/>
      <c r="PK94" s="4"/>
      <c r="PL94" s="4"/>
      <c r="PM94" s="4"/>
      <c r="PS94" s="4"/>
      <c r="PT94" s="4"/>
      <c r="PU94" s="4"/>
      <c r="QA94" s="4"/>
      <c r="QB94" s="4"/>
      <c r="QC94" s="4"/>
      <c r="QI94" s="4"/>
      <c r="QJ94" s="4"/>
      <c r="QK94" s="4"/>
      <c r="QQ94" s="4"/>
      <c r="QR94" s="4"/>
      <c r="QS94" s="4"/>
      <c r="QY94" s="4"/>
      <c r="QZ94" s="4"/>
      <c r="RA94" s="4"/>
      <c r="RG94" s="4"/>
      <c r="RH94" s="4"/>
      <c r="RI94" s="4"/>
      <c r="RO94" s="4"/>
      <c r="RP94" s="4"/>
      <c r="RQ94" s="4"/>
      <c r="RW94" s="4"/>
      <c r="RX94" s="4"/>
      <c r="RY94" s="4"/>
      <c r="SE94" s="4"/>
      <c r="SF94" s="4"/>
      <c r="SG94" s="4"/>
      <c r="SM94" s="4"/>
      <c r="SN94" s="4"/>
      <c r="SO94" s="4"/>
      <c r="SU94" s="4"/>
      <c r="SV94" s="4"/>
      <c r="SW94" s="4"/>
      <c r="TC94" s="4"/>
      <c r="TD94" s="4"/>
      <c r="TE94" s="4"/>
      <c r="TK94" s="4"/>
      <c r="TL94" s="4"/>
      <c r="TM94" s="4"/>
      <c r="TS94" s="4"/>
      <c r="TT94" s="4"/>
      <c r="TU94" s="4"/>
      <c r="UA94" s="4"/>
      <c r="UB94" s="4"/>
      <c r="UC94" s="4"/>
      <c r="UI94" s="4"/>
      <c r="UJ94" s="4"/>
      <c r="UK94" s="4"/>
      <c r="UQ94" s="4"/>
      <c r="UR94" s="4"/>
      <c r="US94" s="4"/>
      <c r="UY94" s="4"/>
      <c r="UZ94" s="4"/>
      <c r="VA94" s="4"/>
      <c r="VG94" s="4"/>
      <c r="VH94" s="4"/>
      <c r="VI94" s="4"/>
      <c r="VO94" s="4"/>
      <c r="VP94" s="4"/>
      <c r="VQ94" s="4"/>
    </row>
    <row r="95" spans="1:589" x14ac:dyDescent="0.25">
      <c r="D95" s="1"/>
    </row>
    <row r="96" spans="1:589" x14ac:dyDescent="0.25">
      <c r="D96" s="1"/>
    </row>
    <row r="97" spans="4:4" x14ac:dyDescent="0.25">
      <c r="D97" s="1"/>
    </row>
    <row r="98" spans="4:4" x14ac:dyDescent="0.25">
      <c r="D98" s="1"/>
    </row>
    <row r="99" spans="4:4" x14ac:dyDescent="0.25">
      <c r="D99" s="1"/>
    </row>
    <row r="100" spans="4:4" x14ac:dyDescent="0.25">
      <c r="D100" s="1"/>
    </row>
    <row r="101" spans="4:4" x14ac:dyDescent="0.25">
      <c r="D101" s="1"/>
    </row>
    <row r="102" spans="4:4" x14ac:dyDescent="0.25">
      <c r="D102" s="1"/>
    </row>
    <row r="103" spans="4:4" x14ac:dyDescent="0.25">
      <c r="D103" s="1"/>
    </row>
    <row r="104" spans="4:4" x14ac:dyDescent="0.25">
      <c r="D104" s="1"/>
    </row>
    <row r="105" spans="4:4" x14ac:dyDescent="0.25">
      <c r="D105" s="1"/>
    </row>
    <row r="106" spans="4:4" x14ac:dyDescent="0.25">
      <c r="D106" s="1"/>
    </row>
    <row r="107" spans="4:4" x14ac:dyDescent="0.25">
      <c r="D107" s="1"/>
    </row>
    <row r="108" spans="4:4" x14ac:dyDescent="0.25">
      <c r="D108" s="1"/>
    </row>
    <row r="109" spans="4:4" x14ac:dyDescent="0.25">
      <c r="D109" s="1"/>
    </row>
    <row r="110" spans="4:4" x14ac:dyDescent="0.25">
      <c r="D110" s="1"/>
    </row>
    <row r="111" spans="4:4" x14ac:dyDescent="0.25">
      <c r="D111" s="1"/>
    </row>
    <row r="112" spans="4:4" x14ac:dyDescent="0.25">
      <c r="D112" s="1"/>
    </row>
    <row r="113" spans="4:4" x14ac:dyDescent="0.25">
      <c r="D113" s="1"/>
    </row>
    <row r="114" spans="4:4" x14ac:dyDescent="0.25">
      <c r="D114" s="1"/>
    </row>
    <row r="115" spans="4:4" x14ac:dyDescent="0.25">
      <c r="D115" s="1"/>
    </row>
    <row r="116" spans="4:4" x14ac:dyDescent="0.25">
      <c r="D116" s="1"/>
    </row>
    <row r="117" spans="4:4" x14ac:dyDescent="0.25">
      <c r="D117" s="1"/>
    </row>
    <row r="118" spans="4:4" x14ac:dyDescent="0.25">
      <c r="D118" s="1"/>
    </row>
    <row r="119" spans="4:4" x14ac:dyDescent="0.25">
      <c r="D119" s="1"/>
    </row>
    <row r="120" spans="4:4" x14ac:dyDescent="0.25">
      <c r="D120" s="1"/>
    </row>
    <row r="121" spans="4:4" x14ac:dyDescent="0.25">
      <c r="D121" s="1"/>
    </row>
    <row r="122" spans="4:4" x14ac:dyDescent="0.25">
      <c r="D122" s="1"/>
    </row>
  </sheetData>
  <autoFilter ref="A9:UK81" xr:uid="{00000000-0001-0000-0000-000000000000}"/>
  <mergeCells count="153">
    <mergeCell ref="UM4:US4"/>
    <mergeCell ref="UU4:VA4"/>
    <mergeCell ref="VC4:VI4"/>
    <mergeCell ref="VK4:VQ4"/>
    <mergeCell ref="UM5:US5"/>
    <mergeCell ref="UU5:VA5"/>
    <mergeCell ref="VC5:VI5"/>
    <mergeCell ref="VK5:VQ5"/>
    <mergeCell ref="TG4:TM4"/>
    <mergeCell ref="TO4:TU4"/>
    <mergeCell ref="TW4:UC4"/>
    <mergeCell ref="TG5:TM5"/>
    <mergeCell ref="TO5:TU5"/>
    <mergeCell ref="TW5:UC5"/>
    <mergeCell ref="UE4:UK4"/>
    <mergeCell ref="UE5:UK5"/>
    <mergeCell ref="BS7:BT7"/>
    <mergeCell ref="SY4:TE4"/>
    <mergeCell ref="SY5:TE5"/>
    <mergeCell ref="QU4:RA4"/>
    <mergeCell ref="RC4:RI4"/>
    <mergeCell ref="RK4:RQ4"/>
    <mergeCell ref="QM5:QS5"/>
    <mergeCell ref="QU5:RA5"/>
    <mergeCell ref="RC5:RI5"/>
    <mergeCell ref="RK5:RQ5"/>
    <mergeCell ref="RS4:RY4"/>
    <mergeCell ref="OQ4:OW4"/>
    <mergeCell ref="NS5:NY5"/>
    <mergeCell ref="OA5:OG5"/>
    <mergeCell ref="OI5:OO5"/>
    <mergeCell ref="OQ5:OW5"/>
    <mergeCell ref="MU4:NA4"/>
    <mergeCell ref="NC4:NI4"/>
    <mergeCell ref="MU5:NA5"/>
    <mergeCell ref="NC5:NI5"/>
    <mergeCell ref="NK4:NQ4"/>
    <mergeCell ref="NK5:NQ5"/>
    <mergeCell ref="QE4:QK4"/>
    <mergeCell ref="PW5:QC5"/>
    <mergeCell ref="BS8:BT8"/>
    <mergeCell ref="BS3:BT3"/>
    <mergeCell ref="FX7:FY7"/>
    <mergeCell ref="FX8:FY8"/>
    <mergeCell ref="SA4:SG4"/>
    <mergeCell ref="SI4:SO4"/>
    <mergeCell ref="SQ4:SW4"/>
    <mergeCell ref="RS5:RY5"/>
    <mergeCell ref="SA5:SG5"/>
    <mergeCell ref="SI5:SO5"/>
    <mergeCell ref="SQ5:SW5"/>
    <mergeCell ref="OY4:PE4"/>
    <mergeCell ref="OY5:PE5"/>
    <mergeCell ref="PG4:PM4"/>
    <mergeCell ref="PG5:PM5"/>
    <mergeCell ref="PO4:PU4"/>
    <mergeCell ref="PO5:PU5"/>
    <mergeCell ref="PW4:QC4"/>
    <mergeCell ref="ME5:MK5"/>
    <mergeCell ref="MM5:MS5"/>
    <mergeCell ref="NS4:NY4"/>
    <mergeCell ref="OA4:OG4"/>
    <mergeCell ref="OI4:OO4"/>
    <mergeCell ref="QM4:QS4"/>
    <mergeCell ref="QE5:QK5"/>
    <mergeCell ref="FD3:FF3"/>
    <mergeCell ref="KX4:LD4"/>
    <mergeCell ref="LF4:LM4"/>
    <mergeCell ref="KO5:KV5"/>
    <mergeCell ref="KX5:LD5"/>
    <mergeCell ref="LF5:LM5"/>
    <mergeCell ref="IY5:JE5"/>
    <mergeCell ref="HG4:HN4"/>
    <mergeCell ref="GX5:HE5"/>
    <mergeCell ref="HG5:HN5"/>
    <mergeCell ref="HP4:HW4"/>
    <mergeCell ref="HY4:IF4"/>
    <mergeCell ref="HP5:HW5"/>
    <mergeCell ref="HY5:IF5"/>
    <mergeCell ref="FS4:GD4"/>
    <mergeCell ref="LO4:LU4"/>
    <mergeCell ref="LW4:MC4"/>
    <mergeCell ref="ME4:MK4"/>
    <mergeCell ref="MM4:MS4"/>
    <mergeCell ref="LO5:LU5"/>
    <mergeCell ref="LW5:MC5"/>
    <mergeCell ref="IY4:JE4"/>
    <mergeCell ref="GO4:GV4"/>
    <mergeCell ref="GO5:GV5"/>
    <mergeCell ref="KO4:KV4"/>
    <mergeCell ref="JG4:JN4"/>
    <mergeCell ref="JP4:JV4"/>
    <mergeCell ref="JX4:KD4"/>
    <mergeCell ref="KF4:KM4"/>
    <mergeCell ref="JG5:JN5"/>
    <mergeCell ref="JP5:JV5"/>
    <mergeCell ref="JX5:KD5"/>
    <mergeCell ref="KF5:KM5"/>
    <mergeCell ref="DC4:DJ4"/>
    <mergeCell ref="DC5:DJ5"/>
    <mergeCell ref="DL4:DR4"/>
    <mergeCell ref="DT4:EB4"/>
    <mergeCell ref="DL5:DR5"/>
    <mergeCell ref="IH4:IN4"/>
    <mergeCell ref="IH5:IN5"/>
    <mergeCell ref="IP4:IW4"/>
    <mergeCell ref="GX4:HE4"/>
    <mergeCell ref="IP5:IW5"/>
    <mergeCell ref="FC4:FI4"/>
    <mergeCell ref="FK4:FQ4"/>
    <mergeCell ref="EU5:FA5"/>
    <mergeCell ref="FC5:FI5"/>
    <mergeCell ref="FK5:FQ5"/>
    <mergeCell ref="FS5:GD5"/>
    <mergeCell ref="GF4:GM4"/>
    <mergeCell ref="DT5:EB5"/>
    <mergeCell ref="ED5:EK5"/>
    <mergeCell ref="EM5:ES5"/>
    <mergeCell ref="EU4:FA4"/>
    <mergeCell ref="ED4:EK4"/>
    <mergeCell ref="EM4:ES4"/>
    <mergeCell ref="GF5:GM5"/>
    <mergeCell ref="A6:A8"/>
    <mergeCell ref="B6:B8"/>
    <mergeCell ref="D6:D8"/>
    <mergeCell ref="C6:C8"/>
    <mergeCell ref="E6:E8"/>
    <mergeCell ref="F6:F8"/>
    <mergeCell ref="AF4:AL4"/>
    <mergeCell ref="AF5:AL5"/>
    <mergeCell ref="AW4:BC4"/>
    <mergeCell ref="AN5:AU5"/>
    <mergeCell ref="H4:N4"/>
    <mergeCell ref="H5:N5"/>
    <mergeCell ref="P4:V4"/>
    <mergeCell ref="P5:V5"/>
    <mergeCell ref="X4:AD4"/>
    <mergeCell ref="X5:AD5"/>
    <mergeCell ref="AN4:AU4"/>
    <mergeCell ref="A3:B3"/>
    <mergeCell ref="A4:B4"/>
    <mergeCell ref="BE4:BM4"/>
    <mergeCell ref="BO4:BX4"/>
    <mergeCell ref="BE5:BM5"/>
    <mergeCell ref="BO5:BX5"/>
    <mergeCell ref="BZ4:CH4"/>
    <mergeCell ref="CJ4:CQ4"/>
    <mergeCell ref="CS4:DA4"/>
    <mergeCell ref="BZ5:CH5"/>
    <mergeCell ref="CJ5:CQ5"/>
    <mergeCell ref="CS5:DA5"/>
    <mergeCell ref="AW5:BC5"/>
    <mergeCell ref="BI3:BJ3"/>
  </mergeCells>
  <phoneticPr fontId="7" type="noConversion"/>
  <conditionalFormatting sqref="D1:D1048576">
    <cfRule type="duplicateValues" dxfId="1560" priority="2710"/>
  </conditionalFormatting>
  <conditionalFormatting sqref="D3">
    <cfRule type="duplicateValues" dxfId="1559" priority="2775"/>
    <cfRule type="duplicateValues" dxfId="1558" priority="2774"/>
    <cfRule type="cellIs" dxfId="1557" priority="2776" operator="lessThan">
      <formula>0</formula>
    </cfRule>
    <cfRule type="cellIs" dxfId="1556" priority="2777" operator="lessThan">
      <formula>0</formula>
    </cfRule>
    <cfRule type="cellIs" dxfId="1555" priority="2778" operator="lessThan">
      <formula>0</formula>
    </cfRule>
  </conditionalFormatting>
  <conditionalFormatting sqref="D10:D34">
    <cfRule type="duplicateValues" dxfId="1554" priority="8846"/>
    <cfRule type="duplicateValues" dxfId="1553" priority="8847"/>
  </conditionalFormatting>
  <conditionalFormatting sqref="D10:D38 D40:D70">
    <cfRule type="cellIs" dxfId="1552" priority="7784" operator="lessThan">
      <formula>0</formula>
    </cfRule>
    <cfRule type="cellIs" dxfId="1551" priority="7786" operator="lessThan">
      <formula>0</formula>
    </cfRule>
  </conditionalFormatting>
  <conditionalFormatting sqref="D35:D37">
    <cfRule type="duplicateValues" dxfId="1550" priority="2782"/>
    <cfRule type="duplicateValues" dxfId="1549" priority="2781"/>
  </conditionalFormatting>
  <conditionalFormatting sqref="D38">
    <cfRule type="duplicateValues" dxfId="1548" priority="2784"/>
    <cfRule type="duplicateValues" dxfId="1547" priority="2783"/>
  </conditionalFormatting>
  <conditionalFormatting sqref="D40:D68">
    <cfRule type="duplicateValues" dxfId="1546" priority="8841"/>
    <cfRule type="duplicateValues" dxfId="1545" priority="8842"/>
  </conditionalFormatting>
  <conditionalFormatting sqref="D40:D70 D10:D38 JT10:JT38 KB10:KB38 JL10:JL38 KK10:KK38">
    <cfRule type="cellIs" dxfId="1544" priority="7785" operator="lessThan">
      <formula>0</formula>
    </cfRule>
  </conditionalFormatting>
  <conditionalFormatting sqref="D69">
    <cfRule type="duplicateValues" dxfId="1543" priority="2779"/>
    <cfRule type="duplicateValues" dxfId="1542" priority="2780"/>
  </conditionalFormatting>
  <conditionalFormatting sqref="D70">
    <cfRule type="duplicateValues" dxfId="1541" priority="4874"/>
    <cfRule type="duplicateValues" dxfId="1540" priority="4873"/>
  </conditionalFormatting>
  <conditionalFormatting sqref="D72:D76">
    <cfRule type="duplicateValues" dxfId="1539" priority="4858"/>
    <cfRule type="duplicateValues" dxfId="1538" priority="4859"/>
  </conditionalFormatting>
  <conditionalFormatting sqref="D72:D77">
    <cfRule type="cellIs" dxfId="1537" priority="4855" operator="lessThan">
      <formula>0</formula>
    </cfRule>
    <cfRule type="cellIs" dxfId="1536" priority="4856" operator="lessThan">
      <formula>0</formula>
    </cfRule>
    <cfRule type="cellIs" dxfId="1535" priority="4857" operator="lessThan">
      <formula>0</formula>
    </cfRule>
  </conditionalFormatting>
  <conditionalFormatting sqref="D77">
    <cfRule type="duplicateValues" dxfId="1534" priority="4863"/>
    <cfRule type="duplicateValues" dxfId="1533" priority="4864"/>
  </conditionalFormatting>
  <conditionalFormatting sqref="D79">
    <cfRule type="duplicateValues" dxfId="1532" priority="4095"/>
    <cfRule type="cellIs" dxfId="1531" priority="4092" operator="lessThan">
      <formula>0</formula>
    </cfRule>
    <cfRule type="cellIs" dxfId="1530" priority="4093" operator="lessThan">
      <formula>0</formula>
    </cfRule>
    <cfRule type="duplicateValues" dxfId="1529" priority="4094"/>
    <cfRule type="cellIs" dxfId="1528" priority="4091" operator="lessThan">
      <formula>0</formula>
    </cfRule>
  </conditionalFormatting>
  <conditionalFormatting sqref="H10:H38 L10:L38 P10:P38 T10:T38 X10:X38 AB10:AB38 AF10:AF38 AJ10:AJ38 AN10:AN38 AR10:AS38 AW10:AW38 BA10:BA38 BE10:BE38 BI10:BK38 BO10:BO38 BS10:BV38 BZ10:BZ38 CD10:CF38 CJ10:CJ38 CN10:CO38 CS10:CS38 CW10:CY38 DC10:DC38 DG10:DH38 DL10:DL38 DP10:DP38 DT10:DT38 DX10:DZ38 ED10:ED38 EH10:EI38 EM10:EM38 EQ10:EQ38 EU10:EU38 EY10:EY38 FC10:FC38 FG10:FG38 FK10:FK38 FO10:FO38 FS10:FS38 FW10:GB38 GF10:GF38 GJ10:GK38 GO10:GO38 GS10:GT38 GX10:GX38 HB10:HC38 HG10:HG38 HK10:HL38 HP10:HP38 HT10:HU38 HY10:HY38 IC10:ID38 IH10:IH38 IL10:IL38 IP10:IP38 IT10:IU38 IY10:IY38 JC10:JC38 JG10:JG38 JP10:JP38 JX10:JX38 KF10:KF38 KO10:KO38 KX10:KX38 LB10:LB38 LF10:LF38 LM10:LM38 LO10:LO38 LS10:LS38 LU10:LU38 LW10:LW38 MA10:MA38 MC10:MC38 ME10:ME38 MI10:MI38 MK10:MK38 MM10:MM38 MQ10:MQ38 MS10:MS38 MU10:MU38 MY10:MY38 NA10:NA38 NC10:NC38 NG10:NG38 NI10:NI38 NK10:NK38 NO10:NO38 NQ10:NQ38 NS10:NS38 NW10:NW38 NY10:NY38 OA10:OA38 OE10:OE38 OG10:OG38 OI10:OI38 OM10:OM38 OO10:OO38 OQ10:OQ38 OU10:OU38 OW10:OW38 OY10:OY38 PC10:PC38 PE10:PE38 PG10:PG38 PK10:PK38 PM10:PM38 PO10:PO38 PS10:PS38 PU10:PU38 PW10:PW38 QA10:QA38 QC10:QC38 QE10:QE38 QI10:QI38 QK10:QK38 QM10:QM38 QQ10:QQ38 QS10:QS38 QU10:QU38 QY10:QY38 RA10:RA38 RC10:RC38 RG10:RG38 RI10:RI38 RK10:RK38 RO10:RO38 RQ10:RQ38 RS10:RS38 RW10:RW38 RY10:RY38 SA10:SA38 SE10:SE38 SG10:SG38 SI10:SI38 SM10:SM38 SO10:SO38 SQ10:SQ38 SU10:SU38 SW10:SW38 SY10:SY38 TC10:TC38 TE10:TE38 TG10:TG38 TK10:TK38 TM10:TM38 TO10:TO38 TS10:TS38 TU10:TU38 TW10:TW38 UA10:UA38 UC10:UC38 UE10:UE38 UI10:UI38 UK10:UK38 H40:H70 L40:L70 P40:P70 T40:T70 X40:X70 AB40:AB70 AF40:AF70 AJ40:AJ70 AN40:AN70 AW40:AW70 BA40:BA70 BE40:BE70 BO40:BO70 BZ40:BZ70 CJ40:CJ70 CN40:CO70 CS40:CS70 DC40:DC70 DL40:DL70 DP40:DP70 DT40:DT70 ED40:ED70 EH40:EI70 EM40:EM70 EQ40:EQ70 EU40:EU70 EY40:EY70 FC40:FC70 FG40:FG70 FK40:FK70 FO40:FO70 FS40:FS70 FW40:GB70 GF40:GF70 GJ40:GK70 GO40:GO70 GS40:GT70 GX40:GX70 HB40:HC70 HG40:HG70 HK40:HL70 HP40:HP70 HT40:HU70 HY40:HY70 IC40:ID70 IH40:IH70 IL40:IL70 IP40:IP70 IY40:IY70 JC40:JC70 H72:H77 L72:L77 CN72:CO77 EH72:EI77 FO72:FO77 FW72:GB77 GJ72:GK77 GS72:GT77 HB72:HC77 HK72:HL77 HT72:HU77 IC72:ID77 H79 L79 CN79:CO79 EH79:EI79 FO79 FW79:GB79 GJ79:GK79 GS79:GT79 HB79:HC79 HK79:HL79 HT79:HU79 IC79:ID79">
    <cfRule type="cellIs" dxfId="1527" priority="3855" stopIfTrue="1" operator="lessThan">
      <formula>0</formula>
    </cfRule>
    <cfRule type="cellIs" dxfId="1526" priority="3854" stopIfTrue="1" operator="lessThan">
      <formula>0</formula>
    </cfRule>
    <cfRule type="cellIs" dxfId="1525" priority="3853" operator="lessThan">
      <formula>0</formula>
    </cfRule>
  </conditionalFormatting>
  <conditionalFormatting sqref="I7:K7">
    <cfRule type="containsText" dxfId="1524" priority="3839" operator="containsText" text="FC">
      <formula>NOT(ISERROR(SEARCH("FC",I7)))</formula>
    </cfRule>
  </conditionalFormatting>
  <conditionalFormatting sqref="M10:M38 U10:U38 AC10:AC38 AK10:AK38 AT10:AT38 BB10:BB38 BL10:BL38 BW10:BW38 CG10:CG38 CP10:CP38 CZ10:CZ38 DI10:DI38 DQ10:DQ38 EA10:EA38 EJ10:EJ38 ER10:ER38 EZ10:EZ38 FH10:FH38 FP10:FP38 GC10:GC38 GL10:GL38 GU10:GU38 HD10:HD38 HM10:HM38 HV10:HV38 IE10:IE38 IM10:IM38 IV10:IV38 JD10:JD38 JM10:JM38 JU10:JU38 KC10:KC38 KL10:KL38 KU10:KU38 LC10:LC38 LL10:LL38 LT10:LT38 MB10:MB38 MJ10:MJ38 MR10:MR38 MZ10:MZ38 NH10:NH38 NP10:NP38 NX10:NX38 OF10:OF38 ON10:ON38 OV10:OV38 PD10:PD38 PL10:PL38 PT10:PT38 QB10:QB38 QJ10:QJ38 QR10:QR38 QZ10:QZ38 RH10:RH38 RP10:RP38 RX10:RX38 SF10:SF38 SN10:SN38 SV10:SV38 TD10:TD38 TL10:TL38 TT10:TT38 UB10:UB38 UJ10:UJ38 M40:M70 U40:U70 AC40:AC70 AK40:AK70 AT40:AT70 BB40:BB70 BL40:BL70 BW40:BW70 CG40:CG70 CP40:CP70 CZ40:CZ70 DI40:DI70 DQ40:DQ70 EA40:EA70 EJ40:EJ70 ER40:ER70 EZ40:EZ70 FH40:FH70 FP40:FP70 GC40:GC70 GL40:GL70 GU40:GU70 HD40:HD70 HM40:HM70 HV40:HV70 IE40:IE70 IM40:IM70 IV40:IV70 JD40:JD70">
    <cfRule type="cellIs" dxfId="1523" priority="3827" operator="greaterThan">
      <formula>0</formula>
    </cfRule>
  </conditionalFormatting>
  <conditionalFormatting sqref="M38">
    <cfRule type="cellIs" dxfId="1522" priority="3826" operator="lessThan">
      <formula>0</formula>
    </cfRule>
  </conditionalFormatting>
  <conditionalFormatting sqref="M70">
    <cfRule type="cellIs" dxfId="1521" priority="3825" operator="lessThan">
      <formula>0</formula>
    </cfRule>
  </conditionalFormatting>
  <conditionalFormatting sqref="M72:M77">
    <cfRule type="cellIs" dxfId="1520" priority="3823" operator="greaterThan">
      <formula>0</formula>
    </cfRule>
  </conditionalFormatting>
  <conditionalFormatting sqref="M77">
    <cfRule type="cellIs" dxfId="1519" priority="3824" operator="lessThan">
      <formula>0</formula>
    </cfRule>
  </conditionalFormatting>
  <conditionalFormatting sqref="M79">
    <cfRule type="cellIs" dxfId="1518" priority="3822" operator="lessThan">
      <formula>0</formula>
    </cfRule>
    <cfRule type="cellIs" dxfId="1517" priority="3821" operator="greaterThan">
      <formula>0</formula>
    </cfRule>
  </conditionalFormatting>
  <conditionalFormatting sqref="M7:N7">
    <cfRule type="containsText" dxfId="1516" priority="2767" operator="containsText" text="FC">
      <formula>NOT(ISERROR(SEARCH("FC",M7)))</formula>
    </cfRule>
  </conditionalFormatting>
  <conditionalFormatting sqref="P72:P77 T72:T77 P79 T79">
    <cfRule type="cellIs" dxfId="1515" priority="3818" stopIfTrue="1" operator="lessThan">
      <formula>0</formula>
    </cfRule>
    <cfRule type="cellIs" dxfId="1514" priority="3817" stopIfTrue="1" operator="lessThan">
      <formula>0</formula>
    </cfRule>
    <cfRule type="cellIs" dxfId="1513" priority="3816" operator="lessThan">
      <formula>0</formula>
    </cfRule>
    <cfRule type="cellIs" dxfId="1512" priority="3815" operator="lessThan">
      <formula>0</formula>
    </cfRule>
  </conditionalFormatting>
  <conditionalFormatting sqref="Q7:S7">
    <cfRule type="containsText" dxfId="1511" priority="2008" operator="containsText" text="FC">
      <formula>NOT(ISERROR(SEARCH("FC",Q7)))</formula>
    </cfRule>
  </conditionalFormatting>
  <conditionalFormatting sqref="T82:V94 JT10:JT38">
    <cfRule type="cellIs" dxfId="1510" priority="2001" stopIfTrue="1" operator="lessThan">
      <formula>0</formula>
    </cfRule>
  </conditionalFormatting>
  <conditionalFormatting sqref="U38">
    <cfRule type="cellIs" dxfId="1509" priority="3789" operator="lessThan">
      <formula>0</formula>
    </cfRule>
  </conditionalFormatting>
  <conditionalFormatting sqref="U70">
    <cfRule type="cellIs" dxfId="1508" priority="3788" operator="lessThan">
      <formula>0</formula>
    </cfRule>
  </conditionalFormatting>
  <conditionalFormatting sqref="U72:U77">
    <cfRule type="cellIs" dxfId="1507" priority="3786" operator="greaterThan">
      <formula>0</formula>
    </cfRule>
  </conditionalFormatting>
  <conditionalFormatting sqref="U77">
    <cfRule type="cellIs" dxfId="1506" priority="3787" operator="lessThan">
      <formula>0</formula>
    </cfRule>
  </conditionalFormatting>
  <conditionalFormatting sqref="U79">
    <cfRule type="cellIs" dxfId="1505" priority="3784" operator="greaterThan">
      <formula>0</formula>
    </cfRule>
    <cfRule type="cellIs" dxfId="1504" priority="3785" operator="lessThan">
      <formula>0</formula>
    </cfRule>
  </conditionalFormatting>
  <conditionalFormatting sqref="U7:V7">
    <cfRule type="containsText" dxfId="1503" priority="2153" operator="containsText" text="FC">
      <formula>NOT(ISERROR(SEARCH("FC",U7)))</formula>
    </cfRule>
  </conditionalFormatting>
  <conditionalFormatting sqref="X72:X77 X79">
    <cfRule type="cellIs" dxfId="1502" priority="2727" operator="lessThan">
      <formula>0</formula>
    </cfRule>
    <cfRule type="cellIs" dxfId="1501" priority="2729" stopIfTrue="1" operator="lessThan">
      <formula>0</formula>
    </cfRule>
    <cfRule type="cellIs" dxfId="1500" priority="2728" operator="lessThan">
      <formula>0</formula>
    </cfRule>
    <cfRule type="cellIs" dxfId="1499" priority="2730" stopIfTrue="1" operator="lessThan">
      <formula>0</formula>
    </cfRule>
  </conditionalFormatting>
  <conditionalFormatting sqref="Y7:AA7">
    <cfRule type="containsText" dxfId="1498" priority="2007" operator="containsText" text="FC">
      <formula>NOT(ISERROR(SEARCH("FC",Y7)))</formula>
    </cfRule>
  </conditionalFormatting>
  <conditionalFormatting sqref="AB72:AB77 AJ72:AJ77 AR72:AS77 AB79 AJ79 AR79:AS79">
    <cfRule type="cellIs" dxfId="1497" priority="2758" operator="lessThan">
      <formula>0</formula>
    </cfRule>
    <cfRule type="cellIs" dxfId="1496" priority="2759" operator="lessThan">
      <formula>0</formula>
    </cfRule>
    <cfRule type="cellIs" dxfId="1495" priority="2760" stopIfTrue="1" operator="lessThan">
      <formula>0</formula>
    </cfRule>
    <cfRule type="cellIs" dxfId="1494" priority="2761" stopIfTrue="1" operator="lessThan">
      <formula>0</formula>
    </cfRule>
  </conditionalFormatting>
  <conditionalFormatting sqref="AB82:AD94">
    <cfRule type="cellIs" dxfId="1493" priority="1999" stopIfTrue="1" operator="lessThan">
      <formula>0</formula>
    </cfRule>
    <cfRule type="cellIs" dxfId="1492" priority="2000" stopIfTrue="1" operator="lessThan">
      <formula>0</formula>
    </cfRule>
  </conditionalFormatting>
  <conditionalFormatting sqref="AC38 AK38 AT38 BB38 BL38 BW38 CG38 CP38 CZ38 DI38 DQ38 EA38 EJ38 ER38 EZ38 FH38 FP38 GC38 GL38 GU38 HD38 HM38 HV38 IE38 IM38 IV38 JD38">
    <cfRule type="cellIs" dxfId="1491" priority="2740" operator="lessThan">
      <formula>0</formula>
    </cfRule>
  </conditionalFormatting>
  <conditionalFormatting sqref="AC70 AK70 AT70 BB70 BL70 BW70 CG70 CP70 CZ70 DI70 DQ70 EA70 EJ70 ER70 EZ70 FH70 FP70 GC70 GL70 GU70 HD70 HM70 HV70 IE70 IM70 IV70 JD70">
    <cfRule type="cellIs" dxfId="1490" priority="2739" operator="lessThan">
      <formula>0</formula>
    </cfRule>
  </conditionalFormatting>
  <conditionalFormatting sqref="AC72:AC77 AK72:AK77 AT72:AT77 BB72:BB77 BL72:BL77 BW72:BW77 CG72:CG77 CP72:CP77 CZ72:CZ77 DI72:DI77 DQ72:DQ77 EA72:EA77 EJ72:EJ77 ER72:ER77 EZ72:EZ77 FH72:FH77 FP72:FP77 GC72:GC77 GL72:GL77 GU72:GU77 HD72:HD77 HM72:HM77 HV72:HV77 IE72:IE77 IM72:IM77 IV72:IV77 JD72:JD77">
    <cfRule type="cellIs" dxfId="1489" priority="2737" operator="greaterThan">
      <formula>0</formula>
    </cfRule>
  </conditionalFormatting>
  <conditionalFormatting sqref="AC77 AK77 AT77 BB77 BL77 BW77 CG77 CP77 CZ77 DI77 DQ77 EA77 EJ77 ER77 EZ77 FH77 FP77 GC77 GL77 GU77 HD77 HM77 HV77 IE77 IM77 IV77 JD77">
    <cfRule type="cellIs" dxfId="1488" priority="2738" operator="lessThan">
      <formula>0</formula>
    </cfRule>
  </conditionalFormatting>
  <conditionalFormatting sqref="AC79 AK79 AT79 BB79 BL79 BW79 CG79 CP79 CZ79 DI79 DQ79 EA79 EJ79 ER79 EZ79 FH79 FP79 GC79 GL79 GU79 HD79 HM79 HV79 IE79 IM79 IV79 JD79">
    <cfRule type="cellIs" dxfId="1487" priority="2735" operator="greaterThan">
      <formula>0</formula>
    </cfRule>
    <cfRule type="cellIs" dxfId="1486" priority="2736" operator="lessThan">
      <formula>0</formula>
    </cfRule>
  </conditionalFormatting>
  <conditionalFormatting sqref="AC7:AD7">
    <cfRule type="containsText" dxfId="1485" priority="2152" operator="containsText" text="FC">
      <formula>NOT(ISERROR(SEARCH("FC",AC7)))</formula>
    </cfRule>
  </conditionalFormatting>
  <conditionalFormatting sqref="AF72:AF77 AF79">
    <cfRule type="cellIs" dxfId="1484" priority="2716" operator="lessThan">
      <formula>0</formula>
    </cfRule>
    <cfRule type="cellIs" dxfId="1483" priority="2718" stopIfTrue="1" operator="lessThan">
      <formula>0</formula>
    </cfRule>
    <cfRule type="cellIs" dxfId="1482" priority="2717" operator="lessThan">
      <formula>0</formula>
    </cfRule>
    <cfRule type="cellIs" dxfId="1481" priority="2719" stopIfTrue="1" operator="lessThan">
      <formula>0</formula>
    </cfRule>
  </conditionalFormatting>
  <conditionalFormatting sqref="AG7:AI7">
    <cfRule type="containsText" dxfId="1480" priority="2006" operator="containsText" text="FC">
      <formula>NOT(ISERROR(SEARCH("FC",AG7)))</formula>
    </cfRule>
  </conditionalFormatting>
  <conditionalFormatting sqref="AJ82:AL94">
    <cfRule type="cellIs" dxfId="1479" priority="1998" stopIfTrue="1" operator="lessThan">
      <formula>0</formula>
    </cfRule>
    <cfRule type="cellIs" dxfId="1478" priority="1997" stopIfTrue="1" operator="lessThan">
      <formula>0</formula>
    </cfRule>
  </conditionalFormatting>
  <conditionalFormatting sqref="AK7:AL7">
    <cfRule type="containsText" dxfId="1477" priority="2151" operator="containsText" text="FC">
      <formula>NOT(ISERROR(SEARCH("FC",AK7)))</formula>
    </cfRule>
  </conditionalFormatting>
  <conditionalFormatting sqref="AN72:AN77 AW72:AW77 BE72:BE77 BO72:BO77 BZ72:BZ77 CJ72:CJ77 CS72:CS77 DC72:DC77 DL72:DL77 DT72:DT77 ED72:ED77 EM72:EM77 EU72:EU77 FC72:FC77 FK72:FK77 FS72:FS77 GF72:GF77 GO72:GO77 GX72:GX77 HG72:HG77 HP72:HP77 HY72:HY77 IH72:IH77 IP72:IP77 IY72:IY77">
    <cfRule type="cellIs" dxfId="1476" priority="2757" stopIfTrue="1" operator="lessThan">
      <formula>0</formula>
    </cfRule>
    <cfRule type="cellIs" dxfId="1475" priority="2754" operator="lessThan">
      <formula>0</formula>
    </cfRule>
    <cfRule type="cellIs" dxfId="1474" priority="2755" operator="lessThan">
      <formula>0</formula>
    </cfRule>
    <cfRule type="cellIs" dxfId="1473" priority="2756" stopIfTrue="1" operator="lessThan">
      <formula>0</formula>
    </cfRule>
  </conditionalFormatting>
  <conditionalFormatting sqref="AN79 AW79 BE79 BO79 BZ79 CJ79 CS79 DC79 DL79 DT79 ED79 EM79 EU79 FC79 FK79 FS79 GF79 GO79 GX79 HG79 HP79 HY79 IH79 IP79 IY79">
    <cfRule type="cellIs" dxfId="1472" priority="2746" operator="lessThan">
      <formula>0</formula>
    </cfRule>
    <cfRule type="cellIs" dxfId="1471" priority="2749" stopIfTrue="1" operator="lessThan">
      <formula>0</formula>
    </cfRule>
    <cfRule type="cellIs" dxfId="1470" priority="2748" stopIfTrue="1" operator="lessThan">
      <formula>0</formula>
    </cfRule>
    <cfRule type="cellIs" dxfId="1469" priority="2747" operator="lessThan">
      <formula>0</formula>
    </cfRule>
  </conditionalFormatting>
  <conditionalFormatting sqref="AO7:AQ7">
    <cfRule type="containsText" dxfId="1468" priority="2005" operator="containsText" text="FC">
      <formula>NOT(ISERROR(SEARCH("FC",AO7)))</formula>
    </cfRule>
  </conditionalFormatting>
  <conditionalFormatting sqref="AR40:AS70">
    <cfRule type="cellIs" dxfId="1467" priority="601" operator="lessThan">
      <formula>0</formula>
    </cfRule>
    <cfRule type="cellIs" dxfId="1466" priority="603" stopIfTrue="1" operator="lessThan">
      <formula>0</formula>
    </cfRule>
    <cfRule type="cellIs" dxfId="1465" priority="602" operator="lessThan">
      <formula>0</formula>
    </cfRule>
    <cfRule type="cellIs" dxfId="1464" priority="604" stopIfTrue="1" operator="lessThan">
      <formula>0</formula>
    </cfRule>
  </conditionalFormatting>
  <conditionalFormatting sqref="AT7:AU7">
    <cfRule type="containsText" dxfId="1463" priority="2150" operator="containsText" text="FC">
      <formula>NOT(ISERROR(SEARCH("FC",AT7)))</formula>
    </cfRule>
  </conditionalFormatting>
  <conditionalFormatting sqref="AX82">
    <cfRule type="cellIs" dxfId="1462" priority="1994" stopIfTrue="1" operator="lessThan">
      <formula>0</formula>
    </cfRule>
    <cfRule type="cellIs" dxfId="1461" priority="1993" stopIfTrue="1" operator="lessThan">
      <formula>0</formula>
    </cfRule>
  </conditionalFormatting>
  <conditionalFormatting sqref="AX7:AZ7">
    <cfRule type="containsText" dxfId="1460" priority="2004" operator="containsText" text="FC">
      <formula>NOT(ISERROR(SEARCH("FC",AX7)))</formula>
    </cfRule>
  </conditionalFormatting>
  <conditionalFormatting sqref="BA72:BA77 DP72:DP77 EQ72:EQ77 EY72:EY77 FG72:FG77 IL72:IL77 JC72:JC77">
    <cfRule type="cellIs" dxfId="1459" priority="2750" operator="lessThan">
      <formula>0</formula>
    </cfRule>
    <cfRule type="cellIs" dxfId="1458" priority="2753" stopIfTrue="1" operator="lessThan">
      <formula>0</formula>
    </cfRule>
    <cfRule type="cellIs" dxfId="1457" priority="2751" operator="lessThan">
      <formula>0</formula>
    </cfRule>
    <cfRule type="cellIs" dxfId="1456" priority="2752" stopIfTrue="1" operator="lessThan">
      <formula>0</formula>
    </cfRule>
  </conditionalFormatting>
  <conditionalFormatting sqref="BA79 BI79:BK79 BS79:BV79 CD79:CF79 CW79:CY79 DG79:DH79 DP79 DX79:DZ79 EQ79 EY79 FG79 IL79 IT79:IU79 JC79">
    <cfRule type="cellIs" dxfId="1455" priority="2745" stopIfTrue="1" operator="lessThan">
      <formula>0</formula>
    </cfRule>
    <cfRule type="cellIs" dxfId="1454" priority="2744" stopIfTrue="1" operator="lessThan">
      <formula>0</formula>
    </cfRule>
    <cfRule type="cellIs" dxfId="1453" priority="2742" operator="lessThan">
      <formula>0</formula>
    </cfRule>
    <cfRule type="cellIs" dxfId="1452" priority="2743" operator="lessThan">
      <formula>0</formula>
    </cfRule>
  </conditionalFormatting>
  <conditionalFormatting sqref="BA82:BC94">
    <cfRule type="cellIs" dxfId="1451" priority="1992" stopIfTrue="1" operator="lessThan">
      <formula>0</formula>
    </cfRule>
    <cfRule type="cellIs" dxfId="1450" priority="1991" stopIfTrue="1" operator="lessThan">
      <formula>0</formula>
    </cfRule>
  </conditionalFormatting>
  <conditionalFormatting sqref="BB7:BC7">
    <cfRule type="containsText" dxfId="1449" priority="1990" operator="containsText" text="FC">
      <formula>NOT(ISERROR(SEARCH("FC",BB7)))</formula>
    </cfRule>
  </conditionalFormatting>
  <conditionalFormatting sqref="BF7:BH7">
    <cfRule type="containsText" dxfId="1448" priority="2003" operator="containsText" text="FC">
      <formula>NOT(ISERROR(SEARCH("FC",BF7)))</formula>
    </cfRule>
  </conditionalFormatting>
  <conditionalFormatting sqref="BI40:BK70">
    <cfRule type="cellIs" dxfId="1447" priority="600" stopIfTrue="1" operator="lessThan">
      <formula>0</formula>
    </cfRule>
    <cfRule type="cellIs" dxfId="1446" priority="597" operator="lessThan">
      <formula>0</formula>
    </cfRule>
    <cfRule type="cellIs" dxfId="1445" priority="598" operator="lessThan">
      <formula>0</formula>
    </cfRule>
    <cfRule type="cellIs" dxfId="1444" priority="599" stopIfTrue="1" operator="lessThan">
      <formula>0</formula>
    </cfRule>
  </conditionalFormatting>
  <conditionalFormatting sqref="BI72:BK77">
    <cfRule type="cellIs" dxfId="1443" priority="592" stopIfTrue="1" operator="lessThan">
      <formula>0</formula>
    </cfRule>
    <cfRule type="cellIs" dxfId="1442" priority="589" operator="lessThan">
      <formula>0</formula>
    </cfRule>
    <cfRule type="cellIs" dxfId="1441" priority="590" operator="lessThan">
      <formula>0</formula>
    </cfRule>
    <cfRule type="cellIs" dxfId="1440" priority="591" stopIfTrue="1" operator="lessThan">
      <formula>0</formula>
    </cfRule>
  </conditionalFormatting>
  <conditionalFormatting sqref="BL7:BM7">
    <cfRule type="containsText" dxfId="1439" priority="2148" operator="containsText" text="FC">
      <formula>NOT(ISERROR(SEARCH("FC",BL7)))</formula>
    </cfRule>
  </conditionalFormatting>
  <conditionalFormatting sqref="BP7:BR7">
    <cfRule type="containsText" dxfId="1438" priority="1987" operator="containsText" text="FC">
      <formula>NOT(ISERROR(SEARCH("FC",BP7)))</formula>
    </cfRule>
  </conditionalFormatting>
  <conditionalFormatting sqref="BS82:BU82">
    <cfRule type="cellIs" dxfId="1437" priority="576" stopIfTrue="1" operator="lessThan">
      <formula>0</formula>
    </cfRule>
    <cfRule type="cellIs" dxfId="1436" priority="575" stopIfTrue="1" operator="lessThan">
      <formula>0</formula>
    </cfRule>
  </conditionalFormatting>
  <conditionalFormatting sqref="BS40:BV70">
    <cfRule type="cellIs" dxfId="1435" priority="587" stopIfTrue="1" operator="lessThan">
      <formula>0</formula>
    </cfRule>
    <cfRule type="cellIs" dxfId="1434" priority="588" stopIfTrue="1" operator="lessThan">
      <formula>0</formula>
    </cfRule>
    <cfRule type="cellIs" dxfId="1433" priority="586" operator="lessThan">
      <formula>0</formula>
    </cfRule>
    <cfRule type="cellIs" dxfId="1432" priority="585" operator="lessThan">
      <formula>0</formula>
    </cfRule>
  </conditionalFormatting>
  <conditionalFormatting sqref="BS72:BV77">
    <cfRule type="cellIs" dxfId="1431" priority="579" stopIfTrue="1" operator="lessThan">
      <formula>0</formula>
    </cfRule>
    <cfRule type="cellIs" dxfId="1430" priority="578" operator="lessThan">
      <formula>0</formula>
    </cfRule>
    <cfRule type="cellIs" dxfId="1429" priority="577" operator="lessThan">
      <formula>0</formula>
    </cfRule>
    <cfRule type="cellIs" dxfId="1428" priority="580" stopIfTrue="1" operator="lessThan">
      <formula>0</formula>
    </cfRule>
  </conditionalFormatting>
  <conditionalFormatting sqref="BW7:BX7">
    <cfRule type="containsText" dxfId="1427" priority="2037" operator="containsText" text="FC">
      <formula>NOT(ISERROR(SEARCH("FC",BW7)))</formula>
    </cfRule>
  </conditionalFormatting>
  <conditionalFormatting sqref="CA7:CC7">
    <cfRule type="containsText" dxfId="1426" priority="1984" operator="containsText" text="FC">
      <formula>NOT(ISERROR(SEARCH("FC",CA7)))</formula>
    </cfRule>
  </conditionalFormatting>
  <conditionalFormatting sqref="CD40:CF70">
    <cfRule type="cellIs" dxfId="1425" priority="573" stopIfTrue="1" operator="lessThan">
      <formula>0</formula>
    </cfRule>
    <cfRule type="cellIs" dxfId="1424" priority="572" operator="lessThan">
      <formula>0</formula>
    </cfRule>
    <cfRule type="cellIs" dxfId="1423" priority="574" stopIfTrue="1" operator="lessThan">
      <formula>0</formula>
    </cfRule>
    <cfRule type="cellIs" dxfId="1422" priority="571" operator="lessThan">
      <formula>0</formula>
    </cfRule>
  </conditionalFormatting>
  <conditionalFormatting sqref="CD72:CF77">
    <cfRule type="cellIs" dxfId="1421" priority="563" operator="lessThan">
      <formula>0</formula>
    </cfRule>
    <cfRule type="cellIs" dxfId="1420" priority="564" operator="lessThan">
      <formula>0</formula>
    </cfRule>
    <cfRule type="cellIs" dxfId="1419" priority="566" stopIfTrue="1" operator="lessThan">
      <formula>0</formula>
    </cfRule>
    <cfRule type="cellIs" dxfId="1418" priority="565" stopIfTrue="1" operator="lessThan">
      <formula>0</formula>
    </cfRule>
  </conditionalFormatting>
  <conditionalFormatting sqref="CG7:CH7">
    <cfRule type="containsText" dxfId="1417" priority="562" operator="containsText" text="FC">
      <formula>NOT(ISERROR(SEARCH("FC",CG7)))</formula>
    </cfRule>
  </conditionalFormatting>
  <conditionalFormatting sqref="CK7:CM7">
    <cfRule type="containsText" dxfId="1416" priority="1978" operator="containsText" text="FC">
      <formula>NOT(ISERROR(SEARCH("FC",CK7)))</formula>
    </cfRule>
  </conditionalFormatting>
  <conditionalFormatting sqref="CP7:CQ7">
    <cfRule type="containsText" dxfId="1415" priority="1509" operator="containsText" text="FC">
      <formula>NOT(ISERROR(SEARCH("FC",CP7)))</formula>
    </cfRule>
  </conditionalFormatting>
  <conditionalFormatting sqref="CP82:CQ82">
    <cfRule type="cellIs" dxfId="1414" priority="3524" stopIfTrue="1" operator="lessThan">
      <formula>0</formula>
    </cfRule>
    <cfRule type="cellIs" dxfId="1413" priority="3523" stopIfTrue="1" operator="lessThan">
      <formula>0</formula>
    </cfRule>
  </conditionalFormatting>
  <conditionalFormatting sqref="CT7:CV7">
    <cfRule type="containsText" dxfId="1412" priority="1496" operator="containsText" text="FC">
      <formula>NOT(ISERROR(SEARCH("FC",CT7)))</formula>
    </cfRule>
  </conditionalFormatting>
  <conditionalFormatting sqref="CW40:CY70">
    <cfRule type="cellIs" dxfId="1411" priority="558" operator="lessThan">
      <formula>0</formula>
    </cfRule>
    <cfRule type="cellIs" dxfId="1410" priority="559" operator="lessThan">
      <formula>0</formula>
    </cfRule>
    <cfRule type="cellIs" dxfId="1409" priority="560" stopIfTrue="1" operator="lessThan">
      <formula>0</formula>
    </cfRule>
    <cfRule type="cellIs" dxfId="1408" priority="561" stopIfTrue="1" operator="lessThan">
      <formula>0</formula>
    </cfRule>
  </conditionalFormatting>
  <conditionalFormatting sqref="CW72:CY77">
    <cfRule type="cellIs" dxfId="1407" priority="550" operator="lessThan">
      <formula>0</formula>
    </cfRule>
    <cfRule type="cellIs" dxfId="1406" priority="551" operator="lessThan">
      <formula>0</formula>
    </cfRule>
    <cfRule type="cellIs" dxfId="1405" priority="553" stopIfTrue="1" operator="lessThan">
      <formula>0</formula>
    </cfRule>
    <cfRule type="cellIs" dxfId="1404" priority="552" stopIfTrue="1" operator="lessThan">
      <formula>0</formula>
    </cfRule>
  </conditionalFormatting>
  <conditionalFormatting sqref="CZ7:DA7">
    <cfRule type="containsText" dxfId="1403" priority="1508" operator="containsText" text="FC">
      <formula>NOT(ISERROR(SEARCH("FC",CZ7)))</formula>
    </cfRule>
  </conditionalFormatting>
  <conditionalFormatting sqref="CZ82:DA82 FW82:GB82 HK82:HL82 L82:N94 AS82:AU94 BK82:BM94 BV82:BX94 CG82:CH94 DP82:DR94 DZ82:EB94 EI82:EK94 GB82:GD94 GK82:GM94 GT82:GV94 HC82:HE94 HL82:HN94 HU82:HW94 ID82:IF94 IU82:IW94 CO83:CQ94 CY83:DA94 DH83:DJ94">
    <cfRule type="cellIs" dxfId="1402" priority="3856" stopIfTrue="1" operator="lessThan">
      <formula>0</formula>
    </cfRule>
    <cfRule type="cellIs" dxfId="1401" priority="3857" stopIfTrue="1" operator="lessThan">
      <formula>0</formula>
    </cfRule>
  </conditionalFormatting>
  <conditionalFormatting sqref="DD7:DF7">
    <cfRule type="containsText" dxfId="1400" priority="1497" operator="containsText" text="FC">
      <formula>NOT(ISERROR(SEARCH("FC",DD7)))</formula>
    </cfRule>
  </conditionalFormatting>
  <conditionalFormatting sqref="DG40:DH70">
    <cfRule type="cellIs" dxfId="1399" priority="548" stopIfTrue="1" operator="lessThan">
      <formula>0</formula>
    </cfRule>
    <cfRule type="cellIs" dxfId="1398" priority="549" stopIfTrue="1" operator="lessThan">
      <formula>0</formula>
    </cfRule>
    <cfRule type="cellIs" dxfId="1397" priority="547" operator="lessThan">
      <formula>0</formula>
    </cfRule>
    <cfRule type="cellIs" dxfId="1396" priority="546" operator="lessThan">
      <formula>0</formula>
    </cfRule>
  </conditionalFormatting>
  <conditionalFormatting sqref="DG72:DH77">
    <cfRule type="cellIs" dxfId="1395" priority="541" stopIfTrue="1" operator="lessThan">
      <formula>0</formula>
    </cfRule>
    <cfRule type="cellIs" dxfId="1394" priority="540" stopIfTrue="1" operator="lessThan">
      <formula>0</formula>
    </cfRule>
    <cfRule type="cellIs" dxfId="1393" priority="539" operator="lessThan">
      <formula>0</formula>
    </cfRule>
    <cfRule type="cellIs" dxfId="1392" priority="538" operator="lessThan">
      <formula>0</formula>
    </cfRule>
  </conditionalFormatting>
  <conditionalFormatting sqref="DI7:DJ7">
    <cfRule type="containsText" dxfId="1391" priority="537" operator="containsText" text="FC">
      <formula>NOT(ISERROR(SEARCH("FC",DI7)))</formula>
    </cfRule>
  </conditionalFormatting>
  <conditionalFormatting sqref="DI82:DJ82">
    <cfRule type="cellIs" dxfId="1390" priority="3450" stopIfTrue="1" operator="lessThan">
      <formula>0</formula>
    </cfRule>
    <cfRule type="cellIs" dxfId="1389" priority="3449" stopIfTrue="1" operator="lessThan">
      <formula>0</formula>
    </cfRule>
  </conditionalFormatting>
  <conditionalFormatting sqref="DM7:DO7">
    <cfRule type="containsText" dxfId="1388" priority="1953" operator="containsText" text="FC">
      <formula>NOT(ISERROR(SEARCH("FC",DM7)))</formula>
    </cfRule>
  </conditionalFormatting>
  <conditionalFormatting sqref="DQ7:DR7">
    <cfRule type="containsText" dxfId="1387" priority="1488" operator="containsText" text="FC">
      <formula>NOT(ISERROR(SEARCH("FC",DQ7)))</formula>
    </cfRule>
  </conditionalFormatting>
  <conditionalFormatting sqref="DT82:EB82 EM82:FA82 FC82:FQ82 IH82:IN82 IY82:JE82 JG82:JN82 JP82:JV82 JX82:KD82 KF82:KM82 KO82:XFD82 ED82:EK82 FS82:GV82 GX82:HE82 HG82:HN82 HP82:HW82 HY82:IF82 IP82:IW82 A82:DA82 DC82:DJ82 DL82:DR82">
    <cfRule type="containsText" dxfId="1386" priority="1503" operator="containsText" text="FALSE">
      <formula>NOT(ISERROR(SEARCH("FALSE",A82)))</formula>
    </cfRule>
  </conditionalFormatting>
  <conditionalFormatting sqref="DU7:DW7">
    <cfRule type="containsText" dxfId="1385" priority="1172" operator="containsText" text="FC">
      <formula>NOT(ISERROR(SEARCH("FC",DU7)))</formula>
    </cfRule>
  </conditionalFormatting>
  <conditionalFormatting sqref="DX40:DZ70">
    <cfRule type="cellIs" dxfId="1384" priority="536" stopIfTrue="1" operator="lessThan">
      <formula>0</formula>
    </cfRule>
    <cfRule type="cellIs" dxfId="1383" priority="534" operator="lessThan">
      <formula>0</formula>
    </cfRule>
    <cfRule type="cellIs" dxfId="1382" priority="535" stopIfTrue="1" operator="lessThan">
      <formula>0</formula>
    </cfRule>
    <cfRule type="cellIs" dxfId="1381" priority="533" operator="lessThan">
      <formula>0</formula>
    </cfRule>
  </conditionalFormatting>
  <conditionalFormatting sqref="DX72:DZ77">
    <cfRule type="cellIs" dxfId="1380" priority="525" operator="lessThan">
      <formula>0</formula>
    </cfRule>
    <cfRule type="cellIs" dxfId="1379" priority="526" operator="lessThan">
      <formula>0</formula>
    </cfRule>
    <cfRule type="cellIs" dxfId="1378" priority="528" stopIfTrue="1" operator="lessThan">
      <formula>0</formula>
    </cfRule>
    <cfRule type="cellIs" dxfId="1377" priority="527" stopIfTrue="1" operator="lessThan">
      <formula>0</formula>
    </cfRule>
  </conditionalFormatting>
  <conditionalFormatting sqref="DZ82">
    <cfRule type="cellIs" dxfId="1376" priority="1494" stopIfTrue="1" operator="lessThan">
      <formula>0</formula>
    </cfRule>
    <cfRule type="cellIs" dxfId="1375" priority="1493" stopIfTrue="1" operator="lessThan">
      <formula>0</formula>
    </cfRule>
  </conditionalFormatting>
  <conditionalFormatting sqref="EA7:EB7">
    <cfRule type="containsText" dxfId="1374" priority="1486" operator="containsText" text="FC">
      <formula>NOT(ISERROR(SEARCH("FC",EA7)))</formula>
    </cfRule>
  </conditionalFormatting>
  <conditionalFormatting sqref="EE7:EG7">
    <cfRule type="containsText" dxfId="1373" priority="1171" operator="containsText" text="FC">
      <formula>NOT(ISERROR(SEARCH("FC",EE7)))</formula>
    </cfRule>
  </conditionalFormatting>
  <conditionalFormatting sqref="EI82 EQ82 EY82 FG82 FO82 FW82:GB82 GK82 GT82 HC82 HK82:HL82 HU82 ID82 IL82 IU82 JC82 JL82 JT82 KB82 KK82 KT82 LB82 LK82 LS82 MA82 MI82 MQ82 MY82 NG82 NO82 NW82 OE82 OM82 OU82">
    <cfRule type="cellIs" dxfId="1372" priority="1490" stopIfTrue="1" operator="lessThan">
      <formula>0</formula>
    </cfRule>
  </conditionalFormatting>
  <conditionalFormatting sqref="EJ7:EK7">
    <cfRule type="containsText" dxfId="1371" priority="1485" operator="containsText" text="FC">
      <formula>NOT(ISERROR(SEARCH("FC",EJ7)))</formula>
    </cfRule>
  </conditionalFormatting>
  <conditionalFormatting sqref="EN7:EP7">
    <cfRule type="containsText" dxfId="1370" priority="1170" operator="containsText" text="FC">
      <formula>NOT(ISERROR(SEARCH("FC",EN7)))</formula>
    </cfRule>
  </conditionalFormatting>
  <conditionalFormatting sqref="EQ82:ES82 EY82:FA82 FG82:FI82 FO82:FQ82 IL82:IN82 JC82:JE82 JL82:JN82 JT82:JV82 KB82:KD82 KK82:KM82 KT82:KV82 LB82:LD82 LK82:LM82 LS82:LU82 MA82:MC82 MI82:MK82 MQ82:MS82 MY82:NA82 NG82:NI82 NO82:NQ82 NW82:NY82 OE82:OG82 OM82:OO82 OU82:OW82">
    <cfRule type="cellIs" dxfId="1369" priority="1492" stopIfTrue="1" operator="lessThan">
      <formula>0</formula>
    </cfRule>
    <cfRule type="cellIs" dxfId="1368" priority="1491" stopIfTrue="1" operator="lessThan">
      <formula>0</formula>
    </cfRule>
  </conditionalFormatting>
  <conditionalFormatting sqref="EQ82:ES94 EY82:FA94 FG82:FI94 FO82:FQ94 IL82:IN94 JC82:JE94 JL82:JN94 JT82:JV94 KB82:KD94 KK82:KM94 KT82:KV94 LB82:LD94 LK82:LM94 LS82:LU94 MA82:MC94 MI82:MK94 MQ82:MS94 MY82:NA94 NG82:NI94 NO82:NQ94 NW82:NY94 OE82:OG94 OM82:OO94 OU82:OW94">
    <cfRule type="cellIs" dxfId="1367" priority="1507" stopIfTrue="1" operator="lessThan">
      <formula>0</formula>
    </cfRule>
    <cfRule type="cellIs" dxfId="1366" priority="1506" stopIfTrue="1" operator="lessThan">
      <formula>0</formula>
    </cfRule>
  </conditionalFormatting>
  <conditionalFormatting sqref="ER7:ES7">
    <cfRule type="containsText" dxfId="1365" priority="1472" operator="containsText" text="FC">
      <formula>NOT(ISERROR(SEARCH("FC",ER7)))</formula>
    </cfRule>
  </conditionalFormatting>
  <conditionalFormatting sqref="EV7:EX7">
    <cfRule type="containsText" dxfId="1364" priority="1169" operator="containsText" text="FC">
      <formula>NOT(ISERROR(SEARCH("FC",EV7)))</formula>
    </cfRule>
  </conditionalFormatting>
  <conditionalFormatting sqref="EZ7:FA7">
    <cfRule type="containsText" dxfId="1363" priority="1451" operator="containsText" text="FC">
      <formula>NOT(ISERROR(SEARCH("FC",EZ7)))</formula>
    </cfRule>
  </conditionalFormatting>
  <conditionalFormatting sqref="FD7:FF7">
    <cfRule type="containsText" dxfId="1362" priority="1504" operator="containsText" text="FC">
      <formula>NOT(ISERROR(SEARCH("FC",FD7)))</formula>
    </cfRule>
  </conditionalFormatting>
  <conditionalFormatting sqref="FH7:FI7">
    <cfRule type="containsText" dxfId="1361" priority="1450" operator="containsText" text="FC">
      <formula>NOT(ISERROR(SEARCH("FC",FH7)))</formula>
    </cfRule>
  </conditionalFormatting>
  <conditionalFormatting sqref="FL7:FN7">
    <cfRule type="containsText" dxfId="1360" priority="1167" operator="containsText" text="FC">
      <formula>NOT(ISERROR(SEARCH("FC",FL7)))</formula>
    </cfRule>
  </conditionalFormatting>
  <conditionalFormatting sqref="FP7:FQ7">
    <cfRule type="containsText" dxfId="1359" priority="1449" operator="containsText" text="FC">
      <formula>NOT(ISERROR(SEARCH("FC",FP7)))</formula>
    </cfRule>
  </conditionalFormatting>
  <conditionalFormatting sqref="FT7:FV7">
    <cfRule type="containsText" dxfId="1358" priority="1166" operator="containsText" text="FC">
      <formula>NOT(ISERROR(SEARCH("FC",FT7)))</formula>
    </cfRule>
  </conditionalFormatting>
  <conditionalFormatting sqref="FW82:GA82">
    <cfRule type="cellIs" dxfId="1357" priority="524" stopIfTrue="1" operator="lessThan">
      <formula>0</formula>
    </cfRule>
    <cfRule type="cellIs" dxfId="1356" priority="523" stopIfTrue="1" operator="lessThan">
      <formula>0</formula>
    </cfRule>
  </conditionalFormatting>
  <conditionalFormatting sqref="FW82:GB82 HK82:HL82 EI82 EQ82 EY82 FG82 FO82 GK82 GT82 HC82 HU82 ID82 IL82 IU82 JC82 JL82 JT82 KB82 KK82 KT82 LB82 LK82 LS82 MA82 MI82 MQ82 MY82 NG82 NO82 NW82 OE82 OM82 OU82">
    <cfRule type="cellIs" dxfId="1355" priority="1489" stopIfTrue="1" operator="lessThan">
      <formula>0</formula>
    </cfRule>
  </conditionalFormatting>
  <conditionalFormatting sqref="GC7:GD7">
    <cfRule type="containsText" dxfId="1354" priority="1168" operator="containsText" text="FC">
      <formula>NOT(ISERROR(SEARCH("FC",GC7)))</formula>
    </cfRule>
  </conditionalFormatting>
  <conditionalFormatting sqref="GG7:GI7">
    <cfRule type="containsText" dxfId="1353" priority="1115" operator="containsText" text="FC">
      <formula>NOT(ISERROR(SEARCH("FC",GG7)))</formula>
    </cfRule>
  </conditionalFormatting>
  <conditionalFormatting sqref="GL7:GM7">
    <cfRule type="containsText" dxfId="1352" priority="1148" operator="containsText" text="FC">
      <formula>NOT(ISERROR(SEARCH("FC",GL7)))</formula>
    </cfRule>
  </conditionalFormatting>
  <conditionalFormatting sqref="GP7:GR7">
    <cfRule type="containsText" dxfId="1351" priority="1113" operator="containsText" text="FC">
      <formula>NOT(ISERROR(SEARCH("FC",GP7)))</formula>
    </cfRule>
  </conditionalFormatting>
  <conditionalFormatting sqref="GU7:GV7">
    <cfRule type="containsText" dxfId="1350" priority="610" operator="containsText" text="FC">
      <formula>NOT(ISERROR(SEARCH("FC",GU7)))</formula>
    </cfRule>
  </conditionalFormatting>
  <conditionalFormatting sqref="GY7:HA7">
    <cfRule type="containsText" dxfId="1349" priority="522" operator="containsText" text="FC">
      <formula>NOT(ISERROR(SEARCH("FC",GY7)))</formula>
    </cfRule>
  </conditionalFormatting>
  <conditionalFormatting sqref="HD7:HE7">
    <cfRule type="containsText" dxfId="1348" priority="503" operator="containsText" text="FC">
      <formula>NOT(ISERROR(SEARCH("FC",HD7)))</formula>
    </cfRule>
  </conditionalFormatting>
  <conditionalFormatting sqref="HH7:HJ7">
    <cfRule type="containsText" dxfId="1347" priority="521" operator="containsText" text="FC">
      <formula>NOT(ISERROR(SEARCH("FC",HH7)))</formula>
    </cfRule>
  </conditionalFormatting>
  <conditionalFormatting sqref="HK82">
    <cfRule type="cellIs" dxfId="1346" priority="516" stopIfTrue="1" operator="lessThan">
      <formula>0</formula>
    </cfRule>
    <cfRule type="cellIs" dxfId="1345" priority="517" stopIfTrue="1" operator="lessThan">
      <formula>0</formula>
    </cfRule>
  </conditionalFormatting>
  <conditionalFormatting sqref="HM7:HN7 HV7:HW7">
    <cfRule type="containsText" dxfId="1344" priority="502" operator="containsText" text="FC">
      <formula>NOT(ISERROR(SEARCH("FC",HM7)))</formula>
    </cfRule>
  </conditionalFormatting>
  <conditionalFormatting sqref="HQ7:HS7">
    <cfRule type="containsText" dxfId="1343" priority="520" operator="containsText" text="FC">
      <formula>NOT(ISERROR(SEARCH("FC",HQ7)))</formula>
    </cfRule>
  </conditionalFormatting>
  <conditionalFormatting sqref="HZ7:IB7">
    <cfRule type="containsText" dxfId="1342" priority="519" operator="containsText" text="FC">
      <formula>NOT(ISERROR(SEARCH("FC",HZ7)))</formula>
    </cfRule>
  </conditionalFormatting>
  <conditionalFormatting sqref="IE7:IF7">
    <cfRule type="containsText" dxfId="1341" priority="501" operator="containsText" text="FC">
      <formula>NOT(ISERROR(SEARCH("FC",IE7)))</formula>
    </cfRule>
  </conditionalFormatting>
  <conditionalFormatting sqref="II7:IK7">
    <cfRule type="containsText" dxfId="1340" priority="518" operator="containsText" text="FC">
      <formula>NOT(ISERROR(SEARCH("FC",II7)))</formula>
    </cfRule>
  </conditionalFormatting>
  <conditionalFormatting sqref="IM7:IN7">
    <cfRule type="containsText" dxfId="1339" priority="613" operator="containsText" text="FC">
      <formula>NOT(ISERROR(SEARCH("FC",IM7)))</formula>
    </cfRule>
  </conditionalFormatting>
  <conditionalFormatting sqref="IQ7:IS7">
    <cfRule type="containsText" dxfId="1338" priority="499" operator="containsText" text="FC">
      <formula>NOT(ISERROR(SEARCH("FC",IQ7)))</formula>
    </cfRule>
  </conditionalFormatting>
  <conditionalFormatting sqref="IT40:IU70">
    <cfRule type="cellIs" dxfId="1337" priority="514" stopIfTrue="1" operator="lessThan">
      <formula>0</formula>
    </cfRule>
    <cfRule type="cellIs" dxfId="1336" priority="515" stopIfTrue="1" operator="lessThan">
      <formula>0</formula>
    </cfRule>
    <cfRule type="cellIs" dxfId="1335" priority="513" operator="lessThan">
      <formula>0</formula>
    </cfRule>
    <cfRule type="cellIs" dxfId="1334" priority="512" operator="lessThan">
      <formula>0</formula>
    </cfRule>
  </conditionalFormatting>
  <conditionalFormatting sqref="IT72:IU77">
    <cfRule type="cellIs" dxfId="1333" priority="505" operator="lessThan">
      <formula>0</formula>
    </cfRule>
    <cfRule type="cellIs" dxfId="1332" priority="504" operator="lessThan">
      <formula>0</formula>
    </cfRule>
    <cfRule type="cellIs" dxfId="1331" priority="506" stopIfTrue="1" operator="lessThan">
      <formula>0</formula>
    </cfRule>
    <cfRule type="cellIs" dxfId="1330" priority="507" stopIfTrue="1" operator="lessThan">
      <formula>0</formula>
    </cfRule>
  </conditionalFormatting>
  <conditionalFormatting sqref="IV7:IW7">
    <cfRule type="containsText" dxfId="1329" priority="500" operator="containsText" text="FC">
      <formula>NOT(ISERROR(SEARCH("FC",IV7)))</formula>
    </cfRule>
  </conditionalFormatting>
  <conditionalFormatting sqref="IZ7:JB7">
    <cfRule type="containsText" dxfId="1328" priority="498" operator="containsText" text="FC">
      <formula>NOT(ISERROR(SEARCH("FC",IZ7)))</formula>
    </cfRule>
  </conditionalFormatting>
  <conditionalFormatting sqref="JD7:JE7">
    <cfRule type="containsText" dxfId="1327" priority="497" operator="containsText" text="FC">
      <formula>NOT(ISERROR(SEARCH("FC",JD7)))</formula>
    </cfRule>
  </conditionalFormatting>
  <conditionalFormatting sqref="JG40:JG70">
    <cfRule type="cellIs" dxfId="1326" priority="2334" operator="lessThan">
      <formula>0</formula>
    </cfRule>
    <cfRule type="cellIs" dxfId="1325" priority="2335" operator="lessThan">
      <formula>0</formula>
    </cfRule>
    <cfRule type="cellIs" dxfId="1324" priority="2336" stopIfTrue="1" operator="lessThan">
      <formula>0</formula>
    </cfRule>
    <cfRule type="cellIs" dxfId="1323" priority="2337" stopIfTrue="1" operator="lessThan">
      <formula>0</formula>
    </cfRule>
  </conditionalFormatting>
  <conditionalFormatting sqref="JG72:JG77">
    <cfRule type="cellIs" dxfId="1322" priority="2325" operator="lessThan">
      <formula>0</formula>
    </cfRule>
    <cfRule type="cellIs" dxfId="1321" priority="2324" operator="lessThan">
      <formula>0</formula>
    </cfRule>
    <cfRule type="cellIs" dxfId="1320" priority="2326" stopIfTrue="1" operator="lessThan">
      <formula>0</formula>
    </cfRule>
    <cfRule type="cellIs" dxfId="1319" priority="2327" stopIfTrue="1" operator="lessThan">
      <formula>0</formula>
    </cfRule>
  </conditionalFormatting>
  <conditionalFormatting sqref="JG79">
    <cfRule type="cellIs" dxfId="1318" priority="2319" stopIfTrue="1" operator="lessThan">
      <formula>0</formula>
    </cfRule>
    <cfRule type="cellIs" dxfId="1317" priority="2318" stopIfTrue="1" operator="lessThan">
      <formula>0</formula>
    </cfRule>
    <cfRule type="cellIs" dxfId="1316" priority="2317" operator="lessThan">
      <formula>0</formula>
    </cfRule>
    <cfRule type="cellIs" dxfId="1315" priority="2316" operator="lessThan">
      <formula>0</formula>
    </cfRule>
  </conditionalFormatting>
  <conditionalFormatting sqref="JH7:JJ7">
    <cfRule type="containsText" dxfId="1314" priority="309" operator="containsText" text="FC">
      <formula>NOT(ISERROR(SEARCH("FC",JH7)))</formula>
    </cfRule>
  </conditionalFormatting>
  <conditionalFormatting sqref="JK10:JK38">
    <cfRule type="cellIs" dxfId="1313" priority="298" operator="lessThan">
      <formula>0</formula>
    </cfRule>
  </conditionalFormatting>
  <conditionalFormatting sqref="JK10:JL38 JT10:JT38 KB40:KB70 KB72:KB77 KB79">
    <cfRule type="cellIs" dxfId="1312" priority="297" operator="lessThan">
      <formula>0</formula>
    </cfRule>
  </conditionalFormatting>
  <conditionalFormatting sqref="JK10:JL38">
    <cfRule type="cellIs" dxfId="1311" priority="299" stopIfTrue="1" operator="lessThan">
      <formula>0</formula>
    </cfRule>
    <cfRule type="cellIs" dxfId="1310" priority="300" stopIfTrue="1" operator="lessThan">
      <formula>0</formula>
    </cfRule>
  </conditionalFormatting>
  <conditionalFormatting sqref="JK40:JL70">
    <cfRule type="cellIs" dxfId="1309" priority="303" stopIfTrue="1" operator="lessThan">
      <formula>0</formula>
    </cfRule>
    <cfRule type="cellIs" dxfId="1308" priority="304" stopIfTrue="1" operator="lessThan">
      <formula>0</formula>
    </cfRule>
    <cfRule type="cellIs" dxfId="1307" priority="301" operator="lessThan">
      <formula>0</formula>
    </cfRule>
    <cfRule type="cellIs" dxfId="1306" priority="302" operator="lessThan">
      <formula>0</formula>
    </cfRule>
  </conditionalFormatting>
  <conditionalFormatting sqref="JK72:JL77">
    <cfRule type="cellIs" dxfId="1305" priority="296" stopIfTrue="1" operator="lessThan">
      <formula>0</formula>
    </cfRule>
    <cfRule type="cellIs" dxfId="1304" priority="294" operator="lessThan">
      <formula>0</formula>
    </cfRule>
    <cfRule type="cellIs" dxfId="1303" priority="293" operator="lessThan">
      <formula>0</formula>
    </cfRule>
    <cfRule type="cellIs" dxfId="1302" priority="295" stopIfTrue="1" operator="lessThan">
      <formula>0</formula>
    </cfRule>
  </conditionalFormatting>
  <conditionalFormatting sqref="JK79:JL79">
    <cfRule type="cellIs" dxfId="1301" priority="308" stopIfTrue="1" operator="lessThan">
      <formula>0</formula>
    </cfRule>
    <cfRule type="cellIs" dxfId="1300" priority="305" operator="lessThan">
      <formula>0</formula>
    </cfRule>
    <cfRule type="cellIs" dxfId="1299" priority="306" operator="lessThan">
      <formula>0</formula>
    </cfRule>
    <cfRule type="cellIs" dxfId="1298" priority="307" stopIfTrue="1" operator="lessThan">
      <formula>0</formula>
    </cfRule>
  </conditionalFormatting>
  <conditionalFormatting sqref="JM38 JU38 KC38 KL38">
    <cfRule type="cellIs" dxfId="1297" priority="1854" operator="lessThan">
      <formula>0</formula>
    </cfRule>
  </conditionalFormatting>
  <conditionalFormatting sqref="JM40:JM70 JU40:JU70 KC40:KC70 KL40:KL70">
    <cfRule type="cellIs" dxfId="1296" priority="1868" operator="greaterThan">
      <formula>0</formula>
    </cfRule>
  </conditionalFormatting>
  <conditionalFormatting sqref="JM70 JU70 KC70 KL70">
    <cfRule type="cellIs" dxfId="1295" priority="1853" operator="lessThan">
      <formula>0</formula>
    </cfRule>
  </conditionalFormatting>
  <conditionalFormatting sqref="JM72:JM77 JU72:JU77 KC72:KC77 KL72:KL77">
    <cfRule type="cellIs" dxfId="1294" priority="1851" operator="greaterThan">
      <formula>0</formula>
    </cfRule>
  </conditionalFormatting>
  <conditionalFormatting sqref="JM77 JU77 KC77 KL77">
    <cfRule type="cellIs" dxfId="1293" priority="1852" operator="lessThan">
      <formula>0</formula>
    </cfRule>
  </conditionalFormatting>
  <conditionalFormatting sqref="JM79 JU79 KC79 KL79">
    <cfRule type="cellIs" dxfId="1292" priority="1849" operator="greaterThan">
      <formula>0</formula>
    </cfRule>
    <cfRule type="cellIs" dxfId="1291" priority="1850" operator="lessThan">
      <formula>0</formula>
    </cfRule>
  </conditionalFormatting>
  <conditionalFormatting sqref="JM7:JN7">
    <cfRule type="containsText" dxfId="1290" priority="496" operator="containsText" text="FC">
      <formula>NOT(ISERROR(SEARCH("FC",JM7)))</formula>
    </cfRule>
  </conditionalFormatting>
  <conditionalFormatting sqref="JP40:JP70 JX40:JX70 KF40:KF70">
    <cfRule type="cellIs" dxfId="1289" priority="2284" operator="lessThan">
      <formula>0</formula>
    </cfRule>
    <cfRule type="cellIs" dxfId="1288" priority="2285" operator="lessThan">
      <formula>0</formula>
    </cfRule>
    <cfRule type="cellIs" dxfId="1287" priority="2286" stopIfTrue="1" operator="lessThan">
      <formula>0</formula>
    </cfRule>
    <cfRule type="cellIs" dxfId="1286" priority="2287" stopIfTrue="1" operator="lessThan">
      <formula>0</formula>
    </cfRule>
  </conditionalFormatting>
  <conditionalFormatting sqref="JP72:JP77 JX72:JX77 KF72:KF77">
    <cfRule type="cellIs" dxfId="1285" priority="2274" operator="lessThan">
      <formula>0</formula>
    </cfRule>
    <cfRule type="cellIs" dxfId="1284" priority="2276" stopIfTrue="1" operator="lessThan">
      <formula>0</formula>
    </cfRule>
    <cfRule type="cellIs" dxfId="1283" priority="2277" stopIfTrue="1" operator="lessThan">
      <formula>0</formula>
    </cfRule>
    <cfRule type="cellIs" dxfId="1282" priority="2275" operator="lessThan">
      <formula>0</formula>
    </cfRule>
  </conditionalFormatting>
  <conditionalFormatting sqref="JP79 JX79 KF79">
    <cfRule type="cellIs" dxfId="1281" priority="2266" operator="lessThan">
      <formula>0</formula>
    </cfRule>
    <cfRule type="cellIs" dxfId="1280" priority="2269" stopIfTrue="1" operator="lessThan">
      <formula>0</formula>
    </cfRule>
    <cfRule type="cellIs" dxfId="1279" priority="2267" operator="lessThan">
      <formula>0</formula>
    </cfRule>
    <cfRule type="cellIs" dxfId="1278" priority="2268" stopIfTrue="1" operator="lessThan">
      <formula>0</formula>
    </cfRule>
  </conditionalFormatting>
  <conditionalFormatting sqref="JQ7:JS7">
    <cfRule type="containsText" dxfId="1277" priority="286" operator="containsText" text="FC">
      <formula>NOT(ISERROR(SEARCH("FC",JQ7)))</formula>
    </cfRule>
  </conditionalFormatting>
  <conditionalFormatting sqref="JT10:JT38 T82:V94 KB10:KB38">
    <cfRule type="cellIs" dxfId="1276" priority="2002" stopIfTrue="1" operator="lessThan">
      <formula>0</formula>
    </cfRule>
  </conditionalFormatting>
  <conditionalFormatting sqref="JT40:JT70 KB40:KB70">
    <cfRule type="cellIs" dxfId="1275" priority="1872" stopIfTrue="1" operator="lessThan">
      <formula>0</formula>
    </cfRule>
    <cfRule type="cellIs" dxfId="1274" priority="1871" stopIfTrue="1" operator="lessThan">
      <formula>0</formula>
    </cfRule>
    <cfRule type="cellIs" dxfId="1273" priority="1870" operator="lessThan">
      <formula>0</formula>
    </cfRule>
  </conditionalFormatting>
  <conditionalFormatting sqref="JT40:JT70">
    <cfRule type="cellIs" dxfId="1272" priority="1869" operator="lessThan">
      <formula>0</formula>
    </cfRule>
  </conditionalFormatting>
  <conditionalFormatting sqref="JT72:JT77 KB72:KB77">
    <cfRule type="cellIs" dxfId="1271" priority="1861" operator="lessThan">
      <formula>0</formula>
    </cfRule>
    <cfRule type="cellIs" dxfId="1270" priority="1863" stopIfTrue="1" operator="lessThan">
      <formula>0</formula>
    </cfRule>
    <cfRule type="cellIs" dxfId="1269" priority="1862" stopIfTrue="1" operator="lessThan">
      <formula>0</formula>
    </cfRule>
  </conditionalFormatting>
  <conditionalFormatting sqref="JT72:JT77">
    <cfRule type="cellIs" dxfId="1268" priority="1860" operator="lessThan">
      <formula>0</formula>
    </cfRule>
  </conditionalFormatting>
  <conditionalFormatting sqref="JT79 KB79">
    <cfRule type="cellIs" dxfId="1267" priority="1857" operator="lessThan">
      <formula>0</formula>
    </cfRule>
    <cfRule type="cellIs" dxfId="1266" priority="1859" stopIfTrue="1" operator="lessThan">
      <formula>0</formula>
    </cfRule>
    <cfRule type="cellIs" dxfId="1265" priority="1858" stopIfTrue="1" operator="lessThan">
      <formula>0</formula>
    </cfRule>
  </conditionalFormatting>
  <conditionalFormatting sqref="JT79">
    <cfRule type="cellIs" dxfId="1264" priority="1856" operator="lessThan">
      <formula>0</formula>
    </cfRule>
  </conditionalFormatting>
  <conditionalFormatting sqref="JU7:JV7">
    <cfRule type="containsText" dxfId="1263" priority="292" operator="containsText" text="FC">
      <formula>NOT(ISERROR(SEARCH("FC",JU7)))</formula>
    </cfRule>
  </conditionalFormatting>
  <conditionalFormatting sqref="JY7:KA7">
    <cfRule type="containsText" dxfId="1262" priority="284" operator="containsText" text="FC">
      <formula>NOT(ISERROR(SEARCH("FC",JY7)))</formula>
    </cfRule>
  </conditionalFormatting>
  <conditionalFormatting sqref="KB10:KB38">
    <cfRule type="cellIs" dxfId="1261" priority="256" operator="lessThan">
      <formula>0</formula>
    </cfRule>
    <cfRule type="cellIs" dxfId="1260" priority="258" stopIfTrue="1" operator="lessThan">
      <formula>0</formula>
    </cfRule>
  </conditionalFormatting>
  <conditionalFormatting sqref="KC7:KD7">
    <cfRule type="containsText" dxfId="1259" priority="288" operator="containsText" text="FC">
      <formula>NOT(ISERROR(SEARCH("FC",KC7)))</formula>
    </cfRule>
  </conditionalFormatting>
  <conditionalFormatting sqref="KG7:KI7">
    <cfRule type="containsText" dxfId="1258" priority="234" operator="containsText" text="FC">
      <formula>NOT(ISERROR(SEARCH("FC",KG7)))</formula>
    </cfRule>
  </conditionalFormatting>
  <conditionalFormatting sqref="KJ10:KJ38">
    <cfRule type="cellIs" dxfId="1257" priority="240" operator="lessThan">
      <formula>0</formula>
    </cfRule>
  </conditionalFormatting>
  <conditionalFormatting sqref="KJ10:KK38">
    <cfRule type="cellIs" dxfId="1256" priority="239" operator="lessThan">
      <formula>0</formula>
    </cfRule>
    <cfRule type="cellIs" dxfId="1255" priority="241" stopIfTrue="1" operator="lessThan">
      <formula>0</formula>
    </cfRule>
    <cfRule type="cellIs" dxfId="1254" priority="242" stopIfTrue="1" operator="lessThan">
      <formula>0</formula>
    </cfRule>
  </conditionalFormatting>
  <conditionalFormatting sqref="KJ40:KK70">
    <cfRule type="cellIs" dxfId="1253" priority="243" operator="lessThan">
      <formula>0</formula>
    </cfRule>
    <cfRule type="cellIs" dxfId="1252" priority="244" operator="lessThan">
      <formula>0</formula>
    </cfRule>
    <cfRule type="cellIs" dxfId="1251" priority="245" stopIfTrue="1" operator="lessThan">
      <formula>0</formula>
    </cfRule>
    <cfRule type="cellIs" dxfId="1250" priority="246" stopIfTrue="1" operator="lessThan">
      <formula>0</formula>
    </cfRule>
  </conditionalFormatting>
  <conditionalFormatting sqref="KJ72:KK77">
    <cfRule type="cellIs" dxfId="1249" priority="238" stopIfTrue="1" operator="lessThan">
      <formula>0</formula>
    </cfRule>
    <cfRule type="cellIs" dxfId="1248" priority="236" operator="lessThan">
      <formula>0</formula>
    </cfRule>
    <cfRule type="cellIs" dxfId="1247" priority="235" operator="lessThan">
      <formula>0</formula>
    </cfRule>
    <cfRule type="cellIs" dxfId="1246" priority="237" stopIfTrue="1" operator="lessThan">
      <formula>0</formula>
    </cfRule>
  </conditionalFormatting>
  <conditionalFormatting sqref="KJ79:KK79">
    <cfRule type="cellIs" dxfId="1245" priority="249" stopIfTrue="1" operator="lessThan">
      <formula>0</formula>
    </cfRule>
    <cfRule type="cellIs" dxfId="1244" priority="250" stopIfTrue="1" operator="lessThan">
      <formula>0</formula>
    </cfRule>
    <cfRule type="cellIs" dxfId="1243" priority="247" operator="lessThan">
      <formula>0</formula>
    </cfRule>
    <cfRule type="cellIs" dxfId="1242" priority="248" operator="lessThan">
      <formula>0</formula>
    </cfRule>
  </conditionalFormatting>
  <conditionalFormatting sqref="KL7:KM7">
    <cfRule type="containsText" dxfId="1241" priority="251" operator="containsText" text="FC">
      <formula>NOT(ISERROR(SEARCH("FC",KL7)))</formula>
    </cfRule>
  </conditionalFormatting>
  <conditionalFormatting sqref="KO40:KO70 KX40:KX70 LF40:LF70">
    <cfRule type="cellIs" dxfId="1240" priority="2234" operator="lessThan">
      <formula>0</formula>
    </cfRule>
    <cfRule type="cellIs" dxfId="1239" priority="2235" operator="lessThan">
      <formula>0</formula>
    </cfRule>
    <cfRule type="cellIs" dxfId="1238" priority="2237" stopIfTrue="1" operator="lessThan">
      <formula>0</formula>
    </cfRule>
    <cfRule type="cellIs" dxfId="1237" priority="2236" stopIfTrue="1" operator="lessThan">
      <formula>0</formula>
    </cfRule>
  </conditionalFormatting>
  <conditionalFormatting sqref="KO72:KO77 KX72:KX77 LF72:LF77">
    <cfRule type="cellIs" dxfId="1236" priority="2227" stopIfTrue="1" operator="lessThan">
      <formula>0</formula>
    </cfRule>
    <cfRule type="cellIs" dxfId="1235" priority="2226" stopIfTrue="1" operator="lessThan">
      <formula>0</formula>
    </cfRule>
    <cfRule type="cellIs" dxfId="1234" priority="2225" operator="lessThan">
      <formula>0</formula>
    </cfRule>
    <cfRule type="cellIs" dxfId="1233" priority="2224" operator="lessThan">
      <formula>0</formula>
    </cfRule>
  </conditionalFormatting>
  <conditionalFormatting sqref="KO79 KX79 LF79">
    <cfRule type="cellIs" dxfId="1232" priority="2219" stopIfTrue="1" operator="lessThan">
      <formula>0</formula>
    </cfRule>
    <cfRule type="cellIs" dxfId="1231" priority="2218" stopIfTrue="1" operator="lessThan">
      <formula>0</formula>
    </cfRule>
    <cfRule type="cellIs" dxfId="1230" priority="2217" operator="lessThan">
      <formula>0</formula>
    </cfRule>
    <cfRule type="cellIs" dxfId="1229" priority="2216" operator="lessThan">
      <formula>0</formula>
    </cfRule>
  </conditionalFormatting>
  <conditionalFormatting sqref="KP7:KR7 KY7:LA7 LG7:LI7">
    <cfRule type="containsText" dxfId="1228" priority="1815" operator="containsText" text="FC">
      <formula>NOT(ISERROR(SEARCH("FC",KP7)))</formula>
    </cfRule>
  </conditionalFormatting>
  <conditionalFormatting sqref="KS10:KT38">
    <cfRule type="cellIs" dxfId="1227" priority="47" stopIfTrue="1" operator="lessThan">
      <formula>0</formula>
    </cfRule>
    <cfRule type="cellIs" dxfId="1226" priority="46" stopIfTrue="1" operator="lessThan">
      <formula>0</formula>
    </cfRule>
    <cfRule type="cellIs" dxfId="1225" priority="45" operator="lessThan">
      <formula>0</formula>
    </cfRule>
    <cfRule type="cellIs" dxfId="1224" priority="44" operator="lessThan">
      <formula>0</formula>
    </cfRule>
  </conditionalFormatting>
  <conditionalFormatting sqref="KS40:KT70">
    <cfRule type="cellIs" dxfId="1223" priority="49" operator="lessThan">
      <formula>0</formula>
    </cfRule>
    <cfRule type="cellIs" dxfId="1222" priority="51" stopIfTrue="1" operator="lessThan">
      <formula>0</formula>
    </cfRule>
    <cfRule type="cellIs" dxfId="1221" priority="48" operator="lessThan">
      <formula>0</formula>
    </cfRule>
    <cfRule type="cellIs" dxfId="1220" priority="50" stopIfTrue="1" operator="lessThan">
      <formula>0</formula>
    </cfRule>
  </conditionalFormatting>
  <conditionalFormatting sqref="KS72:KT77">
    <cfRule type="cellIs" dxfId="1219" priority="43" stopIfTrue="1" operator="lessThan">
      <formula>0</formula>
    </cfRule>
    <cfRule type="cellIs" dxfId="1218" priority="42" stopIfTrue="1" operator="lessThan">
      <formula>0</formula>
    </cfRule>
    <cfRule type="cellIs" dxfId="1217" priority="40" operator="lessThan">
      <formula>0</formula>
    </cfRule>
    <cfRule type="cellIs" dxfId="1216" priority="41" operator="lessThan">
      <formula>0</formula>
    </cfRule>
  </conditionalFormatting>
  <conditionalFormatting sqref="KS79:KT79">
    <cfRule type="cellIs" dxfId="1215" priority="52" operator="lessThan">
      <formula>0</formula>
    </cfRule>
    <cfRule type="cellIs" dxfId="1214" priority="53" operator="lessThan">
      <formula>0</formula>
    </cfRule>
    <cfRule type="cellIs" dxfId="1213" priority="54" stopIfTrue="1" operator="lessThan">
      <formula>0</formula>
    </cfRule>
    <cfRule type="cellIs" dxfId="1212" priority="55" stopIfTrue="1" operator="lessThan">
      <formula>0</formula>
    </cfRule>
  </conditionalFormatting>
  <conditionalFormatting sqref="KU38 LC38 LL38">
    <cfRule type="cellIs" dxfId="1211" priority="1825" operator="lessThan">
      <formula>0</formula>
    </cfRule>
  </conditionalFormatting>
  <conditionalFormatting sqref="KU40:KU70 LC40:LC70 LL40:LL70">
    <cfRule type="cellIs" dxfId="1210" priority="1839" operator="greaterThan">
      <formula>0</formula>
    </cfRule>
  </conditionalFormatting>
  <conditionalFormatting sqref="KU70 LC70 LL70">
    <cfRule type="cellIs" dxfId="1209" priority="1824" operator="lessThan">
      <formula>0</formula>
    </cfRule>
  </conditionalFormatting>
  <conditionalFormatting sqref="KU72:KU77 LC72:LC77 LL72:LL77">
    <cfRule type="cellIs" dxfId="1208" priority="1822" operator="greaterThan">
      <formula>0</formula>
    </cfRule>
  </conditionalFormatting>
  <conditionalFormatting sqref="KU77 LC77 LL77">
    <cfRule type="cellIs" dxfId="1207" priority="1823" operator="lessThan">
      <formula>0</formula>
    </cfRule>
  </conditionalFormatting>
  <conditionalFormatting sqref="KU79 LC79 LL79">
    <cfRule type="cellIs" dxfId="1206" priority="1820" operator="greaterThan">
      <formula>0</formula>
    </cfRule>
    <cfRule type="cellIs" dxfId="1205" priority="1821" operator="lessThan">
      <formula>0</formula>
    </cfRule>
  </conditionalFormatting>
  <conditionalFormatting sqref="KU7:KV7">
    <cfRule type="containsText" dxfId="1204" priority="39" operator="containsText" text="FC">
      <formula>NOT(ISERROR(SEARCH("FC",KU7)))</formula>
    </cfRule>
  </conditionalFormatting>
  <conditionalFormatting sqref="LB40:LB70 LB72:LB77 LB79 H10:H38 L10:L38 P10:P38 T10:T38 X10:X38 AB10:AB38 AF10:AF38 AJ10:AJ38 AN10:AN38 AR10:AS38 AW10:AW38 BA10:BA38 BE10:BE38 BI10:BK38 BO10:BO38 BS10:BV38 BZ10:BZ38 CD10:CF38 CJ10:CJ38 CN10:CO38 CS10:CS38 CW10:CY38 DC10:DC38 DG10:DH38 DL10:DL38 DP10:DP38 DT10:DT38 DX10:DZ38 ED10:ED38 EH10:EI38 EM10:EM38 EQ10:EQ38 EU10:EU38 EY10:EY38 FC10:FC38 FG10:FG38 FK10:FK38 FO10:FO38 FS10:FS38 FW10:GB38 GF10:GF38 GJ10:GK38 GO10:GO38 GS10:GT38 GX10:GX38 HB10:HC38 HG10:HG38 HK10:HL38 HP10:HP38 HT10:HU38 HY10:HY38 IC10:ID38 IH10:IH38 IL10:IL38 IP10:IP38 IT10:IU38 IY10:IY38 JC10:JC38 JG10:JG38 JP10:JP38 JX10:JX38 KF10:KF38 KO10:KO38 KX10:KX38 LB10:LB38 LF10:LF38 LM10:LM38 LO10:LO38 LS10:LS38 LU10:LU38 LW10:LW38 MA10:MA38 MC10:MC38 ME10:ME38 MI10:MI38 MK10:MK38 MM10:MM38 MQ10:MQ38 MS10:MS38 MU10:MU38 MY10:MY38 NA10:NA38 NC10:NC38 NG10:NG38 NI10:NI38 NK10:NK38 NO10:NO38 NQ10:NQ38 NS10:NS38 NW10:NW38 NY10:NY38 OA10:OA38 OE10:OE38 OG10:OG38 OI10:OI38 OM10:OM38 OO10:OO38 OQ10:OQ38 OU10:OU38 OW10:OW38 OY10:OY38 PC10:PC38 PE10:PE38 PG10:PG38 PK10:PK38 PM10:PM38 PO10:PO38 PS10:PS38 PU10:PU38 PW10:PW38 QA10:QA38 QC10:QC38 QE10:QE38 QI10:QI38 QK10:QK38 QM10:QM38 QQ10:QQ38 QS10:QS38 QU10:QU38 QY10:QY38 RA10:RA38 RC10:RC38 RG10:RG38 RI10:RI38 RK10:RK38 RO10:RO38 RQ10:RQ38 RS10:RS38 RW10:RW38 RY10:RY38 SA10:SA38 SE10:SE38 SG10:SG38 SI10:SI38 SM10:SM38 SO10:SO38 SQ10:SQ38 SU10:SU38 SW10:SW38 SY10:SY38 TC10:TC38 TE10:TE38 TG10:TG38 TK10:TK38 TM10:TM38 TO10:TO38 TS10:TS38 TU10:TU38 TW10:TW38 UA10:UA38 UC10:UC38 UE10:UE38 UI10:UI38 UK10:UK38 H40:H70 L40:L70 P40:P70 T40:T70 X40:X70 AB40:AB70 AF40:AF70 AJ40:AJ70 AN40:AN70 AW40:AW70 BA40:BA70 BE40:BE70 BO40:BO70 BZ40:BZ70 CJ40:CJ70 CN40:CO70 CS40:CS70 DC40:DC70 DL40:DL70 DP40:DP70 DT40:DT70 ED40:ED70 EH40:EI70 EM40:EM70 EQ40:EQ70 EU40:EU70 EY40:EY70 FC40:FC70 FG40:FG70 FK40:FK70 FO40:FO70 FS40:FS70 FW40:GB70 GF40:GF70 GJ40:GK70 GO40:GO70 GS40:GT70 GX40:GX70 HB40:HC70 HG40:HG70 HK40:HL70 HP40:HP70 HT40:HU70 HY40:HY70 IC40:ID70 IH40:IH70 IL40:IL70 IP40:IP70 IY40:IY70 JC40:JC70 H72:H77 L72:L77 CN72:CO77 EH72:EI77 FO72:FO77 FW72:GB77 GJ72:GK77 GS72:GT77 HB72:HC77 HK72:HL77 HT72:HU77 IC72:ID77 H79 L79 CN79:CO79 EH79:EI79 FO79 FW79:GB79 GJ79:GK79 GS79:GT79 HB79:HC79 HK79:HL79 HT79:HU79 IC79:ID79">
    <cfRule type="cellIs" dxfId="1203" priority="3852" operator="lessThan">
      <formula>0</formula>
    </cfRule>
  </conditionalFormatting>
  <conditionalFormatting sqref="LB40:LB70">
    <cfRule type="cellIs" dxfId="1202" priority="1841" operator="lessThan">
      <formula>0</formula>
    </cfRule>
    <cfRule type="cellIs" dxfId="1201" priority="1842" stopIfTrue="1" operator="lessThan">
      <formula>0</formula>
    </cfRule>
    <cfRule type="cellIs" dxfId="1200" priority="1843" stopIfTrue="1" operator="lessThan">
      <formula>0</formula>
    </cfRule>
  </conditionalFormatting>
  <conditionalFormatting sqref="LB72:LB77">
    <cfRule type="cellIs" dxfId="1199" priority="1834" stopIfTrue="1" operator="lessThan">
      <formula>0</formula>
    </cfRule>
    <cfRule type="cellIs" dxfId="1198" priority="1833" stopIfTrue="1" operator="lessThan">
      <formula>0</formula>
    </cfRule>
    <cfRule type="cellIs" dxfId="1197" priority="1832" operator="lessThan">
      <formula>0</formula>
    </cfRule>
  </conditionalFormatting>
  <conditionalFormatting sqref="LB79">
    <cfRule type="cellIs" dxfId="1196" priority="1829" stopIfTrue="1" operator="lessThan">
      <formula>0</formula>
    </cfRule>
    <cfRule type="cellIs" dxfId="1195" priority="1828" operator="lessThan">
      <formula>0</formula>
    </cfRule>
    <cfRule type="cellIs" dxfId="1194" priority="1830" stopIfTrue="1" operator="lessThan">
      <formula>0</formula>
    </cfRule>
  </conditionalFormatting>
  <conditionalFormatting sqref="LC7:LD7">
    <cfRule type="containsText" dxfId="1193" priority="1" operator="containsText" text="FC">
      <formula>NOT(ISERROR(SEARCH("FC",LC7)))</formula>
    </cfRule>
  </conditionalFormatting>
  <conditionalFormatting sqref="LJ10:LK38">
    <cfRule type="cellIs" dxfId="1192" priority="14" stopIfTrue="1" operator="lessThan">
      <formula>0</formula>
    </cfRule>
    <cfRule type="cellIs" dxfId="1191" priority="11" operator="lessThan">
      <formula>0</formula>
    </cfRule>
    <cfRule type="cellIs" dxfId="1190" priority="12" operator="lessThan">
      <formula>0</formula>
    </cfRule>
    <cfRule type="cellIs" dxfId="1189" priority="13" stopIfTrue="1" operator="lessThan">
      <formula>0</formula>
    </cfRule>
  </conditionalFormatting>
  <conditionalFormatting sqref="LJ40:LK70">
    <cfRule type="cellIs" dxfId="1188" priority="15" operator="lessThan">
      <formula>0</formula>
    </cfRule>
    <cfRule type="cellIs" dxfId="1187" priority="16" operator="lessThan">
      <formula>0</formula>
    </cfRule>
    <cfRule type="cellIs" dxfId="1186" priority="17" stopIfTrue="1" operator="lessThan">
      <formula>0</formula>
    </cfRule>
    <cfRule type="cellIs" dxfId="1185" priority="18" stopIfTrue="1" operator="lessThan">
      <formula>0</formula>
    </cfRule>
  </conditionalFormatting>
  <conditionalFormatting sqref="LJ72:LK77">
    <cfRule type="cellIs" dxfId="1184" priority="7" operator="lessThan">
      <formula>0</formula>
    </cfRule>
    <cfRule type="cellIs" dxfId="1183" priority="8" operator="lessThan">
      <formula>0</formula>
    </cfRule>
    <cfRule type="cellIs" dxfId="1182" priority="9" stopIfTrue="1" operator="lessThan">
      <formula>0</formula>
    </cfRule>
    <cfRule type="cellIs" dxfId="1181" priority="10" stopIfTrue="1" operator="lessThan">
      <formula>0</formula>
    </cfRule>
  </conditionalFormatting>
  <conditionalFormatting sqref="LJ79:LK79">
    <cfRule type="cellIs" dxfId="1180" priority="22" stopIfTrue="1" operator="lessThan">
      <formula>0</formula>
    </cfRule>
    <cfRule type="cellIs" dxfId="1179" priority="19" operator="lessThan">
      <formula>0</formula>
    </cfRule>
    <cfRule type="cellIs" dxfId="1178" priority="20" operator="lessThan">
      <formula>0</formula>
    </cfRule>
    <cfRule type="cellIs" dxfId="1177" priority="21" stopIfTrue="1" operator="lessThan">
      <formula>0</formula>
    </cfRule>
  </conditionalFormatting>
  <conditionalFormatting sqref="LL7:LM7">
    <cfRule type="containsText" dxfId="1176" priority="2173" operator="containsText" text="FC">
      <formula>NOT(ISERROR(SEARCH("FC",LL7)))</formula>
    </cfRule>
  </conditionalFormatting>
  <conditionalFormatting sqref="LM40:LM70 LM72:LM77 LM79">
    <cfRule type="cellIs" dxfId="1175" priority="1819" stopIfTrue="1" operator="lessThan">
      <formula>0</formula>
    </cfRule>
    <cfRule type="cellIs" dxfId="1174" priority="1818" stopIfTrue="1" operator="lessThan">
      <formula>0</formula>
    </cfRule>
    <cfRule type="cellIs" dxfId="1173" priority="1817" operator="lessThan">
      <formula>0</formula>
    </cfRule>
    <cfRule type="cellIs" dxfId="1172" priority="1816" operator="lessThan">
      <formula>0</formula>
    </cfRule>
  </conditionalFormatting>
  <conditionalFormatting sqref="LO40:LO70">
    <cfRule type="cellIs" dxfId="1171" priority="2134" operator="lessThan">
      <formula>0</formula>
    </cfRule>
    <cfRule type="cellIs" dxfId="1170" priority="2135" operator="lessThan">
      <formula>0</formula>
    </cfRule>
    <cfRule type="cellIs" dxfId="1169" priority="2136" stopIfTrue="1" operator="lessThan">
      <formula>0</formula>
    </cfRule>
    <cfRule type="cellIs" dxfId="1168" priority="2137" stopIfTrue="1" operator="lessThan">
      <formula>0</formula>
    </cfRule>
  </conditionalFormatting>
  <conditionalFormatting sqref="LO72:LO77">
    <cfRule type="cellIs" dxfId="1167" priority="2128" stopIfTrue="1" operator="lessThan">
      <formula>0</formula>
    </cfRule>
    <cfRule type="cellIs" dxfId="1166" priority="2127" stopIfTrue="1" operator="lessThan">
      <formula>0</formula>
    </cfRule>
    <cfRule type="cellIs" dxfId="1165" priority="2126" operator="lessThan">
      <formula>0</formula>
    </cfRule>
    <cfRule type="cellIs" dxfId="1164" priority="2125" operator="lessThan">
      <formula>0</formula>
    </cfRule>
  </conditionalFormatting>
  <conditionalFormatting sqref="LO79">
    <cfRule type="cellIs" dxfId="1163" priority="2119" stopIfTrue="1" operator="lessThan">
      <formula>0</formula>
    </cfRule>
    <cfRule type="cellIs" dxfId="1162" priority="2118" operator="lessThan">
      <formula>0</formula>
    </cfRule>
    <cfRule type="cellIs" dxfId="1161" priority="2117" operator="lessThan">
      <formula>0</formula>
    </cfRule>
    <cfRule type="cellIs" dxfId="1160" priority="2120" stopIfTrue="1" operator="lessThan">
      <formula>0</formula>
    </cfRule>
  </conditionalFormatting>
  <conditionalFormatting sqref="LP7:LR7 LX7:LZ7">
    <cfRule type="containsText" dxfId="1159" priority="1785" operator="containsText" text="FC">
      <formula>NOT(ISERROR(SEARCH("FC",LP7)))</formula>
    </cfRule>
  </conditionalFormatting>
  <conditionalFormatting sqref="LS40:LS70 MA40:MA70">
    <cfRule type="cellIs" dxfId="1158" priority="1814" stopIfTrue="1" operator="lessThan">
      <formula>0</formula>
    </cfRule>
    <cfRule type="cellIs" dxfId="1157" priority="1813" stopIfTrue="1" operator="lessThan">
      <formula>0</formula>
    </cfRule>
    <cfRule type="cellIs" dxfId="1156" priority="1812" operator="lessThan">
      <formula>0</formula>
    </cfRule>
    <cfRule type="cellIs" dxfId="1155" priority="1811" operator="lessThan">
      <formula>0</formula>
    </cfRule>
  </conditionalFormatting>
  <conditionalFormatting sqref="LS72:LS77 MA72:MA77">
    <cfRule type="cellIs" dxfId="1154" priority="1805" stopIfTrue="1" operator="lessThan">
      <formula>0</formula>
    </cfRule>
    <cfRule type="cellIs" dxfId="1153" priority="1804" stopIfTrue="1" operator="lessThan">
      <formula>0</formula>
    </cfRule>
    <cfRule type="cellIs" dxfId="1152" priority="1803" operator="lessThan">
      <formula>0</formula>
    </cfRule>
    <cfRule type="cellIs" dxfId="1151" priority="1802" operator="lessThan">
      <formula>0</formula>
    </cfRule>
  </conditionalFormatting>
  <conditionalFormatting sqref="LS79 MA79">
    <cfRule type="cellIs" dxfId="1150" priority="1798" operator="lessThan">
      <formula>0</formula>
    </cfRule>
    <cfRule type="cellIs" dxfId="1149" priority="1799" operator="lessThan">
      <formula>0</formula>
    </cfRule>
    <cfRule type="cellIs" dxfId="1148" priority="1800" stopIfTrue="1" operator="lessThan">
      <formula>0</formula>
    </cfRule>
    <cfRule type="cellIs" dxfId="1147" priority="1801" stopIfTrue="1" operator="lessThan">
      <formula>0</formula>
    </cfRule>
  </conditionalFormatting>
  <conditionalFormatting sqref="LT38 MB38">
    <cfRule type="cellIs" dxfId="1146" priority="1796" operator="lessThan">
      <formula>0</formula>
    </cfRule>
  </conditionalFormatting>
  <conditionalFormatting sqref="LT40:LT70 MB40:MB70">
    <cfRule type="cellIs" dxfId="1145" priority="1810" operator="greaterThan">
      <formula>0</formula>
    </cfRule>
  </conditionalFormatting>
  <conditionalFormatting sqref="LT70 MB70">
    <cfRule type="cellIs" dxfId="1144" priority="1795" operator="lessThan">
      <formula>0</formula>
    </cfRule>
  </conditionalFormatting>
  <conditionalFormatting sqref="LT72:LT77 MB72:MB77">
    <cfRule type="cellIs" dxfId="1143" priority="1793" operator="greaterThan">
      <formula>0</formula>
    </cfRule>
  </conditionalFormatting>
  <conditionalFormatting sqref="LT77 MB77">
    <cfRule type="cellIs" dxfId="1142" priority="1794" operator="lessThan">
      <formula>0</formula>
    </cfRule>
  </conditionalFormatting>
  <conditionalFormatting sqref="LT79 MB79">
    <cfRule type="cellIs" dxfId="1141" priority="1791" operator="greaterThan">
      <formula>0</formula>
    </cfRule>
    <cfRule type="cellIs" dxfId="1140" priority="1792" operator="lessThan">
      <formula>0</formula>
    </cfRule>
  </conditionalFormatting>
  <conditionalFormatting sqref="LT7:LU7 MB7:MC7">
    <cfRule type="containsText" dxfId="1139" priority="1790" operator="containsText" text="FC">
      <formula>NOT(ISERROR(SEARCH("FC",LT7)))</formula>
    </cfRule>
  </conditionalFormatting>
  <conditionalFormatting sqref="LU40:LU70 MC40:MC70 LU72:LU77 MC72:MC77 LU79 MC79">
    <cfRule type="cellIs" dxfId="1138" priority="1788" stopIfTrue="1" operator="lessThan">
      <formula>0</formula>
    </cfRule>
    <cfRule type="cellIs" dxfId="1137" priority="1787" operator="lessThan">
      <formula>0</formula>
    </cfRule>
    <cfRule type="cellIs" dxfId="1136" priority="1786" operator="lessThan">
      <formula>0</formula>
    </cfRule>
    <cfRule type="cellIs" dxfId="1135" priority="1789" stopIfTrue="1" operator="lessThan">
      <formula>0</formula>
    </cfRule>
  </conditionalFormatting>
  <conditionalFormatting sqref="LW40:LW70 ME40:ME70 MM40:MM70">
    <cfRule type="cellIs" dxfId="1134" priority="2087" operator="lessThan">
      <formula>0</formula>
    </cfRule>
    <cfRule type="cellIs" dxfId="1133" priority="2088" stopIfTrue="1" operator="lessThan">
      <formula>0</formula>
    </cfRule>
    <cfRule type="cellIs" dxfId="1132" priority="2089" stopIfTrue="1" operator="lessThan">
      <formula>0</formula>
    </cfRule>
    <cfRule type="cellIs" dxfId="1131" priority="2086" operator="lessThan">
      <formula>0</formula>
    </cfRule>
  </conditionalFormatting>
  <conditionalFormatting sqref="LW72:LW77 ME72:ME77 MM72:MM77">
    <cfRule type="cellIs" dxfId="1130" priority="2079" stopIfTrue="1" operator="lessThan">
      <formula>0</formula>
    </cfRule>
    <cfRule type="cellIs" dxfId="1129" priority="2080" stopIfTrue="1" operator="lessThan">
      <formula>0</formula>
    </cfRule>
    <cfRule type="cellIs" dxfId="1128" priority="2078" operator="lessThan">
      <formula>0</formula>
    </cfRule>
    <cfRule type="cellIs" dxfId="1127" priority="2077" operator="lessThan">
      <formula>0</formula>
    </cfRule>
  </conditionalFormatting>
  <conditionalFormatting sqref="LW79 ME79 MM79">
    <cfRule type="cellIs" dxfId="1126" priority="2071" stopIfTrue="1" operator="lessThan">
      <formula>0</formula>
    </cfRule>
    <cfRule type="cellIs" dxfId="1125" priority="2070" operator="lessThan">
      <formula>0</formula>
    </cfRule>
    <cfRule type="cellIs" dxfId="1124" priority="2069" operator="lessThan">
      <formula>0</formula>
    </cfRule>
    <cfRule type="cellIs" dxfId="1123" priority="2072" stopIfTrue="1" operator="lessThan">
      <formula>0</formula>
    </cfRule>
  </conditionalFormatting>
  <conditionalFormatting sqref="MF7:MH7">
    <cfRule type="containsText" dxfId="1122" priority="289" operator="containsText" text="FC">
      <formula>NOT(ISERROR(SEARCH("FC",MF7)))</formula>
    </cfRule>
  </conditionalFormatting>
  <conditionalFormatting sqref="MI40:MI70 MQ40:MQ70">
    <cfRule type="cellIs" dxfId="1121" priority="1784" stopIfTrue="1" operator="lessThan">
      <formula>0</formula>
    </cfRule>
    <cfRule type="cellIs" dxfId="1120" priority="1782" operator="lessThan">
      <formula>0</formula>
    </cfRule>
    <cfRule type="cellIs" dxfId="1119" priority="1781" operator="lessThan">
      <formula>0</formula>
    </cfRule>
    <cfRule type="cellIs" dxfId="1118" priority="1783" stopIfTrue="1" operator="lessThan">
      <formula>0</formula>
    </cfRule>
  </conditionalFormatting>
  <conditionalFormatting sqref="MI72:MI77 MQ72:MQ77">
    <cfRule type="cellIs" dxfId="1117" priority="1775" stopIfTrue="1" operator="lessThan">
      <formula>0</formula>
    </cfRule>
    <cfRule type="cellIs" dxfId="1116" priority="1774" stopIfTrue="1" operator="lessThan">
      <formula>0</formula>
    </cfRule>
    <cfRule type="cellIs" dxfId="1115" priority="1772" operator="lessThan">
      <formula>0</formula>
    </cfRule>
    <cfRule type="cellIs" dxfId="1114" priority="1773" operator="lessThan">
      <formula>0</formula>
    </cfRule>
  </conditionalFormatting>
  <conditionalFormatting sqref="MI79 MQ79">
    <cfRule type="cellIs" dxfId="1113" priority="1771" stopIfTrue="1" operator="lessThan">
      <formula>0</formula>
    </cfRule>
    <cfRule type="cellIs" dxfId="1112" priority="1770" stopIfTrue="1" operator="lessThan">
      <formula>0</formula>
    </cfRule>
    <cfRule type="cellIs" dxfId="1111" priority="1769" operator="lessThan">
      <formula>0</formula>
    </cfRule>
    <cfRule type="cellIs" dxfId="1110" priority="1768" operator="lessThan">
      <formula>0</formula>
    </cfRule>
  </conditionalFormatting>
  <conditionalFormatting sqref="MJ38 MR38">
    <cfRule type="cellIs" dxfId="1109" priority="1766" operator="lessThan">
      <formula>0</formula>
    </cfRule>
  </conditionalFormatting>
  <conditionalFormatting sqref="MJ40:MJ70 MR40:MR70">
    <cfRule type="cellIs" dxfId="1108" priority="1780" operator="greaterThan">
      <formula>0</formula>
    </cfRule>
  </conditionalFormatting>
  <conditionalFormatting sqref="MJ70 MR70">
    <cfRule type="cellIs" dxfId="1107" priority="1765" operator="lessThan">
      <formula>0</formula>
    </cfRule>
  </conditionalFormatting>
  <conditionalFormatting sqref="MJ72:MJ77 MR72:MR77">
    <cfRule type="cellIs" dxfId="1106" priority="1763" operator="greaterThan">
      <formula>0</formula>
    </cfRule>
  </conditionalFormatting>
  <conditionalFormatting sqref="MJ77 MR77">
    <cfRule type="cellIs" dxfId="1105" priority="1764" operator="lessThan">
      <formula>0</formula>
    </cfRule>
  </conditionalFormatting>
  <conditionalFormatting sqref="MJ79 MR79">
    <cfRule type="cellIs" dxfId="1104" priority="1761" operator="greaterThan">
      <formula>0</formula>
    </cfRule>
    <cfRule type="cellIs" dxfId="1103" priority="1762" operator="lessThan">
      <formula>0</formula>
    </cfRule>
  </conditionalFormatting>
  <conditionalFormatting sqref="MJ7:MK7 MR7:MS7">
    <cfRule type="containsText" dxfId="1102" priority="1760" operator="containsText" text="FC">
      <formula>NOT(ISERROR(SEARCH("FC",MJ7)))</formula>
    </cfRule>
  </conditionalFormatting>
  <conditionalFormatting sqref="MK40:MK70 MS40:MS70 MK72:MK77 MS72:MS77 MK79 MS79">
    <cfRule type="cellIs" dxfId="1101" priority="1756" operator="lessThan">
      <formula>0</formula>
    </cfRule>
    <cfRule type="cellIs" dxfId="1100" priority="1757" operator="lessThan">
      <formula>0</formula>
    </cfRule>
    <cfRule type="cellIs" dxfId="1099" priority="1758" stopIfTrue="1" operator="lessThan">
      <formula>0</formula>
    </cfRule>
    <cfRule type="cellIs" dxfId="1098" priority="1759" stopIfTrue="1" operator="lessThan">
      <formula>0</formula>
    </cfRule>
  </conditionalFormatting>
  <conditionalFormatting sqref="MN7:MP7">
    <cfRule type="containsText" dxfId="1097" priority="1755" operator="containsText" text="FC">
      <formula>NOT(ISERROR(SEARCH("FC",MN7)))</formula>
    </cfRule>
  </conditionalFormatting>
  <conditionalFormatting sqref="MU40:MU70 NC40:NC70">
    <cfRule type="cellIs" dxfId="1096" priority="1748" operator="lessThan">
      <formula>0</formula>
    </cfRule>
    <cfRule type="cellIs" dxfId="1095" priority="1747" operator="lessThan">
      <formula>0</formula>
    </cfRule>
    <cfRule type="cellIs" dxfId="1094" priority="1750" stopIfTrue="1" operator="lessThan">
      <formula>0</formula>
    </cfRule>
    <cfRule type="cellIs" dxfId="1093" priority="1749" stopIfTrue="1" operator="lessThan">
      <formula>0</formula>
    </cfRule>
  </conditionalFormatting>
  <conditionalFormatting sqref="MU72:MU77 NC72:NC77">
    <cfRule type="cellIs" dxfId="1092" priority="1742" stopIfTrue="1" operator="lessThan">
      <formula>0</formula>
    </cfRule>
    <cfRule type="cellIs" dxfId="1091" priority="1741" stopIfTrue="1" operator="lessThan">
      <formula>0</formula>
    </cfRule>
    <cfRule type="cellIs" dxfId="1090" priority="1740" operator="lessThan">
      <formula>0</formula>
    </cfRule>
    <cfRule type="cellIs" dxfId="1089" priority="1739" operator="lessThan">
      <formula>0</formula>
    </cfRule>
  </conditionalFormatting>
  <conditionalFormatting sqref="MU79 NC79">
    <cfRule type="cellIs" dxfId="1088" priority="1736" operator="lessThan">
      <formula>0</formula>
    </cfRule>
    <cfRule type="cellIs" dxfId="1087" priority="1735" operator="lessThan">
      <formula>0</formula>
    </cfRule>
    <cfRule type="cellIs" dxfId="1086" priority="1737" stopIfTrue="1" operator="lessThan">
      <formula>0</formula>
    </cfRule>
    <cfRule type="cellIs" dxfId="1085" priority="1738" stopIfTrue="1" operator="lessThan">
      <formula>0</formula>
    </cfRule>
  </conditionalFormatting>
  <conditionalFormatting sqref="MV7:MX7 ND7:NF7">
    <cfRule type="containsText" dxfId="1084" priority="1705" operator="containsText" text="FC">
      <formula>NOT(ISERROR(SEARCH("FC",MV7)))</formula>
    </cfRule>
  </conditionalFormatting>
  <conditionalFormatting sqref="MY40:MY70 NG40:NG70">
    <cfRule type="cellIs" dxfId="1083" priority="1731" operator="lessThan">
      <formula>0</formula>
    </cfRule>
    <cfRule type="cellIs" dxfId="1082" priority="1732" operator="lessThan">
      <formula>0</formula>
    </cfRule>
    <cfRule type="cellIs" dxfId="1081" priority="1733" stopIfTrue="1" operator="lessThan">
      <formula>0</formula>
    </cfRule>
    <cfRule type="cellIs" dxfId="1080" priority="1734" stopIfTrue="1" operator="lessThan">
      <formula>0</formula>
    </cfRule>
  </conditionalFormatting>
  <conditionalFormatting sqref="MY72:MY77 NG72:NG77">
    <cfRule type="cellIs" dxfId="1079" priority="1722" operator="lessThan">
      <formula>0</formula>
    </cfRule>
    <cfRule type="cellIs" dxfId="1078" priority="1723" operator="lessThan">
      <formula>0</formula>
    </cfRule>
    <cfRule type="cellIs" dxfId="1077" priority="1724" stopIfTrue="1" operator="lessThan">
      <formula>0</formula>
    </cfRule>
    <cfRule type="cellIs" dxfId="1076" priority="1725" stopIfTrue="1" operator="lessThan">
      <formula>0</formula>
    </cfRule>
  </conditionalFormatting>
  <conditionalFormatting sqref="MY79 NG79">
    <cfRule type="cellIs" dxfId="1075" priority="1718" operator="lessThan">
      <formula>0</formula>
    </cfRule>
    <cfRule type="cellIs" dxfId="1074" priority="1719" operator="lessThan">
      <formula>0</formula>
    </cfRule>
    <cfRule type="cellIs" dxfId="1073" priority="1720" stopIfTrue="1" operator="lessThan">
      <formula>0</formula>
    </cfRule>
    <cfRule type="cellIs" dxfId="1072" priority="1721" stopIfTrue="1" operator="lessThan">
      <formula>0</formula>
    </cfRule>
  </conditionalFormatting>
  <conditionalFormatting sqref="MZ38 NH38">
    <cfRule type="cellIs" dxfId="1071" priority="1716" operator="lessThan">
      <formula>0</formula>
    </cfRule>
  </conditionalFormatting>
  <conditionalFormatting sqref="MZ40:MZ70 NH40:NH70">
    <cfRule type="cellIs" dxfId="1070" priority="1730" operator="greaterThan">
      <formula>0</formula>
    </cfRule>
  </conditionalFormatting>
  <conditionalFormatting sqref="MZ70 NH70">
    <cfRule type="cellIs" dxfId="1069" priority="1715" operator="lessThan">
      <formula>0</formula>
    </cfRule>
  </conditionalFormatting>
  <conditionalFormatting sqref="MZ72:MZ77 NH72:NH77">
    <cfRule type="cellIs" dxfId="1068" priority="1713" operator="greaterThan">
      <formula>0</formula>
    </cfRule>
  </conditionalFormatting>
  <conditionalFormatting sqref="MZ77 NH77">
    <cfRule type="cellIs" dxfId="1067" priority="1714" operator="lessThan">
      <formula>0</formula>
    </cfRule>
  </conditionalFormatting>
  <conditionalFormatting sqref="MZ79 NH79">
    <cfRule type="cellIs" dxfId="1066" priority="1712" operator="lessThan">
      <formula>0</formula>
    </cfRule>
    <cfRule type="cellIs" dxfId="1065" priority="1711" operator="greaterThan">
      <formula>0</formula>
    </cfRule>
  </conditionalFormatting>
  <conditionalFormatting sqref="MZ7:NA7 NH7:NI7">
    <cfRule type="containsText" dxfId="1064" priority="1710" operator="containsText" text="FC">
      <formula>NOT(ISERROR(SEARCH("FC",MZ7)))</formula>
    </cfRule>
  </conditionalFormatting>
  <conditionalFormatting sqref="NA40:NA70 NI40:NI70 NA72:NA77 NI72:NI77 NA79 NI79">
    <cfRule type="cellIs" dxfId="1063" priority="1707" operator="lessThan">
      <formula>0</formula>
    </cfRule>
    <cfRule type="cellIs" dxfId="1062" priority="1706" operator="lessThan">
      <formula>0</formula>
    </cfRule>
    <cfRule type="cellIs" dxfId="1061" priority="1709" stopIfTrue="1" operator="lessThan">
      <formula>0</formula>
    </cfRule>
    <cfRule type="cellIs" dxfId="1060" priority="1708" stopIfTrue="1" operator="lessThan">
      <formula>0</formula>
    </cfRule>
  </conditionalFormatting>
  <conditionalFormatting sqref="NK40:NK70">
    <cfRule type="cellIs" dxfId="1059" priority="1702" stopIfTrue="1" operator="lessThan">
      <formula>0</formula>
    </cfRule>
    <cfRule type="cellIs" dxfId="1058" priority="1700" operator="lessThan">
      <formula>0</formula>
    </cfRule>
    <cfRule type="cellIs" dxfId="1057" priority="1699" operator="lessThan">
      <formula>0</formula>
    </cfRule>
    <cfRule type="cellIs" dxfId="1056" priority="1701" stopIfTrue="1" operator="lessThan">
      <formula>0</formula>
    </cfRule>
  </conditionalFormatting>
  <conditionalFormatting sqref="NK72:NK77">
    <cfRule type="cellIs" dxfId="1055" priority="1694" stopIfTrue="1" operator="lessThan">
      <formula>0</formula>
    </cfRule>
    <cfRule type="cellIs" dxfId="1054" priority="1693" stopIfTrue="1" operator="lessThan">
      <formula>0</formula>
    </cfRule>
    <cfRule type="cellIs" dxfId="1053" priority="1692" operator="lessThan">
      <formula>0</formula>
    </cfRule>
    <cfRule type="cellIs" dxfId="1052" priority="1691" operator="lessThan">
      <formula>0</formula>
    </cfRule>
  </conditionalFormatting>
  <conditionalFormatting sqref="NK79">
    <cfRule type="cellIs" dxfId="1051" priority="1688" operator="lessThan">
      <formula>0</formula>
    </cfRule>
    <cfRule type="cellIs" dxfId="1050" priority="1687" operator="lessThan">
      <formula>0</formula>
    </cfRule>
    <cfRule type="cellIs" dxfId="1049" priority="1690" stopIfTrue="1" operator="lessThan">
      <formula>0</formula>
    </cfRule>
    <cfRule type="cellIs" dxfId="1048" priority="1689" stopIfTrue="1" operator="lessThan">
      <formula>0</formula>
    </cfRule>
  </conditionalFormatting>
  <conditionalFormatting sqref="NL7:NN7">
    <cfRule type="containsText" dxfId="1047" priority="1657" operator="containsText" text="FC">
      <formula>NOT(ISERROR(SEARCH("FC",NL7)))</formula>
    </cfRule>
  </conditionalFormatting>
  <conditionalFormatting sqref="NO40:NO70">
    <cfRule type="cellIs" dxfId="1046" priority="1686" stopIfTrue="1" operator="lessThan">
      <formula>0</formula>
    </cfRule>
    <cfRule type="cellIs" dxfId="1045" priority="1683" operator="lessThan">
      <formula>0</formula>
    </cfRule>
    <cfRule type="cellIs" dxfId="1044" priority="1684" operator="lessThan">
      <formula>0</formula>
    </cfRule>
    <cfRule type="cellIs" dxfId="1043" priority="1685" stopIfTrue="1" operator="lessThan">
      <formula>0</formula>
    </cfRule>
  </conditionalFormatting>
  <conditionalFormatting sqref="NO72:NO77">
    <cfRule type="cellIs" dxfId="1042" priority="1675" operator="lessThan">
      <formula>0</formula>
    </cfRule>
    <cfRule type="cellIs" dxfId="1041" priority="1674" operator="lessThan">
      <formula>0</formula>
    </cfRule>
    <cfRule type="cellIs" dxfId="1040" priority="1676" stopIfTrue="1" operator="lessThan">
      <formula>0</formula>
    </cfRule>
    <cfRule type="cellIs" dxfId="1039" priority="1677" stopIfTrue="1" operator="lessThan">
      <formula>0</formula>
    </cfRule>
  </conditionalFormatting>
  <conditionalFormatting sqref="NO79">
    <cfRule type="cellIs" dxfId="1038" priority="1670" operator="lessThan">
      <formula>0</formula>
    </cfRule>
    <cfRule type="cellIs" dxfId="1037" priority="1673" stopIfTrue="1" operator="lessThan">
      <formula>0</formula>
    </cfRule>
    <cfRule type="cellIs" dxfId="1036" priority="1672" stopIfTrue="1" operator="lessThan">
      <formula>0</formula>
    </cfRule>
    <cfRule type="cellIs" dxfId="1035" priority="1671" operator="lessThan">
      <formula>0</formula>
    </cfRule>
  </conditionalFormatting>
  <conditionalFormatting sqref="NP38">
    <cfRule type="cellIs" dxfId="1034" priority="1668" operator="lessThan">
      <formula>0</formula>
    </cfRule>
  </conditionalFormatting>
  <conditionalFormatting sqref="NP40:NP70">
    <cfRule type="cellIs" dxfId="1033" priority="1682" operator="greaterThan">
      <formula>0</formula>
    </cfRule>
  </conditionalFormatting>
  <conditionalFormatting sqref="NP70">
    <cfRule type="cellIs" dxfId="1032" priority="1667" operator="lessThan">
      <formula>0</formula>
    </cfRule>
  </conditionalFormatting>
  <conditionalFormatting sqref="NP72:NP77">
    <cfRule type="cellIs" dxfId="1031" priority="1665" operator="greaterThan">
      <formula>0</formula>
    </cfRule>
  </conditionalFormatting>
  <conditionalFormatting sqref="NP77">
    <cfRule type="cellIs" dxfId="1030" priority="1666" operator="lessThan">
      <formula>0</formula>
    </cfRule>
  </conditionalFormatting>
  <conditionalFormatting sqref="NP79">
    <cfRule type="cellIs" dxfId="1029" priority="1664" operator="lessThan">
      <formula>0</formula>
    </cfRule>
    <cfRule type="cellIs" dxfId="1028" priority="1663" operator="greaterThan">
      <formula>0</formula>
    </cfRule>
  </conditionalFormatting>
  <conditionalFormatting sqref="NP7:NQ7">
    <cfRule type="containsText" dxfId="1027" priority="1662" operator="containsText" text="FC">
      <formula>NOT(ISERROR(SEARCH("FC",NP7)))</formula>
    </cfRule>
  </conditionalFormatting>
  <conditionalFormatting sqref="NQ40:NQ70 NQ72:NQ77 NQ79">
    <cfRule type="cellIs" dxfId="1026" priority="1658" operator="lessThan">
      <formula>0</formula>
    </cfRule>
    <cfRule type="cellIs" dxfId="1025" priority="1659" operator="lessThan">
      <formula>0</formula>
    </cfRule>
    <cfRule type="cellIs" dxfId="1024" priority="1660" stopIfTrue="1" operator="lessThan">
      <formula>0</formula>
    </cfRule>
    <cfRule type="cellIs" dxfId="1023" priority="1661" stopIfTrue="1" operator="lessThan">
      <formula>0</formula>
    </cfRule>
  </conditionalFormatting>
  <conditionalFormatting sqref="NS40:NS70">
    <cfRule type="cellIs" dxfId="1022" priority="1653" stopIfTrue="1" operator="lessThan">
      <formula>0</formula>
    </cfRule>
    <cfRule type="cellIs" dxfId="1021" priority="1651" operator="lessThan">
      <formula>0</formula>
    </cfRule>
    <cfRule type="cellIs" dxfId="1020" priority="1652" operator="lessThan">
      <formula>0</formula>
    </cfRule>
    <cfRule type="cellIs" dxfId="1019" priority="1654" stopIfTrue="1" operator="lessThan">
      <formula>0</formula>
    </cfRule>
  </conditionalFormatting>
  <conditionalFormatting sqref="NS72:NS77">
    <cfRule type="cellIs" dxfId="1018" priority="1646" stopIfTrue="1" operator="lessThan">
      <formula>0</formula>
    </cfRule>
    <cfRule type="cellIs" dxfId="1017" priority="1643" operator="lessThan">
      <formula>0</formula>
    </cfRule>
    <cfRule type="cellIs" dxfId="1016" priority="1644" operator="lessThan">
      <formula>0</formula>
    </cfRule>
    <cfRule type="cellIs" dxfId="1015" priority="1645" stopIfTrue="1" operator="lessThan">
      <formula>0</formula>
    </cfRule>
  </conditionalFormatting>
  <conditionalFormatting sqref="NS79">
    <cfRule type="cellIs" dxfId="1014" priority="1642" stopIfTrue="1" operator="lessThan">
      <formula>0</formula>
    </cfRule>
    <cfRule type="cellIs" dxfId="1013" priority="1641" stopIfTrue="1" operator="lessThan">
      <formula>0</formula>
    </cfRule>
    <cfRule type="cellIs" dxfId="1012" priority="1640" operator="lessThan">
      <formula>0</formula>
    </cfRule>
    <cfRule type="cellIs" dxfId="1011" priority="1639" operator="lessThan">
      <formula>0</formula>
    </cfRule>
  </conditionalFormatting>
  <conditionalFormatting sqref="NT7:NV7">
    <cfRule type="containsText" dxfId="1010" priority="1571" operator="containsText" text="FC">
      <formula>NOT(ISERROR(SEARCH("FC",NT7)))</formula>
    </cfRule>
  </conditionalFormatting>
  <conditionalFormatting sqref="NW40:NW70">
    <cfRule type="cellIs" dxfId="1009" priority="1596" operator="lessThan">
      <formula>0</formula>
    </cfRule>
    <cfRule type="cellIs" dxfId="1008" priority="1597" operator="lessThan">
      <formula>0</formula>
    </cfRule>
    <cfRule type="cellIs" dxfId="1007" priority="1598" stopIfTrue="1" operator="lessThan">
      <formula>0</formula>
    </cfRule>
    <cfRule type="cellIs" dxfId="1006" priority="1599" stopIfTrue="1" operator="lessThan">
      <formula>0</formula>
    </cfRule>
  </conditionalFormatting>
  <conditionalFormatting sqref="NW72:NW77">
    <cfRule type="cellIs" dxfId="1005" priority="1588" operator="lessThan">
      <formula>0</formula>
    </cfRule>
    <cfRule type="cellIs" dxfId="1004" priority="1589" stopIfTrue="1" operator="lessThan">
      <formula>0</formula>
    </cfRule>
    <cfRule type="cellIs" dxfId="1003" priority="1590" stopIfTrue="1" operator="lessThan">
      <formula>0</formula>
    </cfRule>
    <cfRule type="cellIs" dxfId="1002" priority="1587" operator="lessThan">
      <formula>0</formula>
    </cfRule>
  </conditionalFormatting>
  <conditionalFormatting sqref="NW79">
    <cfRule type="cellIs" dxfId="1001" priority="1583" operator="lessThan">
      <formula>0</formula>
    </cfRule>
    <cfRule type="cellIs" dxfId="1000" priority="1584" operator="lessThan">
      <formula>0</formula>
    </cfRule>
    <cfRule type="cellIs" dxfId="999" priority="1585" stopIfTrue="1" operator="lessThan">
      <formula>0</formula>
    </cfRule>
    <cfRule type="cellIs" dxfId="998" priority="1586" stopIfTrue="1" operator="lessThan">
      <formula>0</formula>
    </cfRule>
  </conditionalFormatting>
  <conditionalFormatting sqref="NX38">
    <cfRule type="cellIs" dxfId="997" priority="1581" operator="lessThan">
      <formula>0</formula>
    </cfRule>
  </conditionalFormatting>
  <conditionalFormatting sqref="NX40:NX70">
    <cfRule type="cellIs" dxfId="996" priority="1595" operator="greaterThan">
      <formula>0</formula>
    </cfRule>
  </conditionalFormatting>
  <conditionalFormatting sqref="NX70">
    <cfRule type="cellIs" dxfId="995" priority="1580" operator="lessThan">
      <formula>0</formula>
    </cfRule>
  </conditionalFormatting>
  <conditionalFormatting sqref="NX72:NX77">
    <cfRule type="cellIs" dxfId="994" priority="1578" operator="greaterThan">
      <formula>0</formula>
    </cfRule>
  </conditionalFormatting>
  <conditionalFormatting sqref="NX77">
    <cfRule type="cellIs" dxfId="993" priority="1579" operator="lessThan">
      <formula>0</formula>
    </cfRule>
  </conditionalFormatting>
  <conditionalFormatting sqref="NX79">
    <cfRule type="cellIs" dxfId="992" priority="1577" operator="lessThan">
      <formula>0</formula>
    </cfRule>
    <cfRule type="cellIs" dxfId="991" priority="1576" operator="greaterThan">
      <formula>0</formula>
    </cfRule>
  </conditionalFormatting>
  <conditionalFormatting sqref="NX7:NY7">
    <cfRule type="containsText" dxfId="990" priority="1638" operator="containsText" text="FC">
      <formula>NOT(ISERROR(SEARCH("FC",NX7)))</formula>
    </cfRule>
  </conditionalFormatting>
  <conditionalFormatting sqref="NY40:NY70 NY72:NY77 NY79">
    <cfRule type="cellIs" dxfId="989" priority="1574" stopIfTrue="1" operator="lessThan">
      <formula>0</formula>
    </cfRule>
    <cfRule type="cellIs" dxfId="988" priority="1573" operator="lessThan">
      <formula>0</formula>
    </cfRule>
    <cfRule type="cellIs" dxfId="987" priority="1572" operator="lessThan">
      <formula>0</formula>
    </cfRule>
    <cfRule type="cellIs" dxfId="986" priority="1575" stopIfTrue="1" operator="lessThan">
      <formula>0</formula>
    </cfRule>
  </conditionalFormatting>
  <conditionalFormatting sqref="OA40:OA70">
    <cfRule type="cellIs" dxfId="985" priority="1628" operator="lessThan">
      <formula>0</formula>
    </cfRule>
    <cfRule type="cellIs" dxfId="984" priority="1629" operator="lessThan">
      <formula>0</formula>
    </cfRule>
    <cfRule type="cellIs" dxfId="983" priority="1630" stopIfTrue="1" operator="lessThan">
      <formula>0</formula>
    </cfRule>
    <cfRule type="cellIs" dxfId="982" priority="1631" stopIfTrue="1" operator="lessThan">
      <formula>0</formula>
    </cfRule>
  </conditionalFormatting>
  <conditionalFormatting sqref="OA72:OA77">
    <cfRule type="cellIs" dxfId="981" priority="1623" stopIfTrue="1" operator="lessThan">
      <formula>0</formula>
    </cfRule>
    <cfRule type="cellIs" dxfId="980" priority="1620" operator="lessThan">
      <formula>0</formula>
    </cfRule>
    <cfRule type="cellIs" dxfId="979" priority="1621" operator="lessThan">
      <formula>0</formula>
    </cfRule>
    <cfRule type="cellIs" dxfId="978" priority="1622" stopIfTrue="1" operator="lessThan">
      <formula>0</formula>
    </cfRule>
  </conditionalFormatting>
  <conditionalFormatting sqref="OA79">
    <cfRule type="cellIs" dxfId="977" priority="1617" operator="lessThan">
      <formula>0</formula>
    </cfRule>
    <cfRule type="cellIs" dxfId="976" priority="1619" stopIfTrue="1" operator="lessThan">
      <formula>0</formula>
    </cfRule>
    <cfRule type="cellIs" dxfId="975" priority="1618" stopIfTrue="1" operator="lessThan">
      <formula>0</formula>
    </cfRule>
    <cfRule type="cellIs" dxfId="974" priority="1616" operator="lessThan">
      <formula>0</formula>
    </cfRule>
  </conditionalFormatting>
  <conditionalFormatting sqref="OB7:OD7 OJ7:OL7">
    <cfRule type="containsText" dxfId="973" priority="1541" operator="containsText" text="FC">
      <formula>NOT(ISERROR(SEARCH("FC",OB7)))</formula>
    </cfRule>
  </conditionalFormatting>
  <conditionalFormatting sqref="OE40:OE70 OM40:OM70">
    <cfRule type="cellIs" dxfId="972" priority="1569" stopIfTrue="1" operator="lessThan">
      <formula>0</formula>
    </cfRule>
    <cfRule type="cellIs" dxfId="971" priority="1568" operator="lessThan">
      <formula>0</formula>
    </cfRule>
    <cfRule type="cellIs" dxfId="970" priority="1570" stopIfTrue="1" operator="lessThan">
      <formula>0</formula>
    </cfRule>
    <cfRule type="cellIs" dxfId="969" priority="1567" operator="lessThan">
      <formula>0</formula>
    </cfRule>
  </conditionalFormatting>
  <conditionalFormatting sqref="OE72:OE77 OM72:OM77">
    <cfRule type="cellIs" dxfId="968" priority="1561" stopIfTrue="1" operator="lessThan">
      <formula>0</formula>
    </cfRule>
    <cfRule type="cellIs" dxfId="967" priority="1560" stopIfTrue="1" operator="lessThan">
      <formula>0</formula>
    </cfRule>
    <cfRule type="cellIs" dxfId="966" priority="1559" operator="lessThan">
      <formula>0</formula>
    </cfRule>
    <cfRule type="cellIs" dxfId="965" priority="1558" operator="lessThan">
      <formula>0</formula>
    </cfRule>
  </conditionalFormatting>
  <conditionalFormatting sqref="OE79 OM79">
    <cfRule type="cellIs" dxfId="964" priority="1554" operator="lessThan">
      <formula>0</formula>
    </cfRule>
    <cfRule type="cellIs" dxfId="963" priority="1555" operator="lessThan">
      <formula>0</formula>
    </cfRule>
    <cfRule type="cellIs" dxfId="962" priority="1557" stopIfTrue="1" operator="lessThan">
      <formula>0</formula>
    </cfRule>
    <cfRule type="cellIs" dxfId="961" priority="1556" stopIfTrue="1" operator="lessThan">
      <formula>0</formula>
    </cfRule>
  </conditionalFormatting>
  <conditionalFormatting sqref="OF38 ON38">
    <cfRule type="cellIs" dxfId="960" priority="1552" operator="lessThan">
      <formula>0</formula>
    </cfRule>
  </conditionalFormatting>
  <conditionalFormatting sqref="OF40:OF70 ON40:ON70">
    <cfRule type="cellIs" dxfId="959" priority="1566" operator="greaterThan">
      <formula>0</formula>
    </cfRule>
  </conditionalFormatting>
  <conditionalFormatting sqref="OF70 ON70">
    <cfRule type="cellIs" dxfId="958" priority="1551" operator="lessThan">
      <formula>0</formula>
    </cfRule>
  </conditionalFormatting>
  <conditionalFormatting sqref="OF72:OF77 ON72:ON77">
    <cfRule type="cellIs" dxfId="957" priority="1549" operator="greaterThan">
      <formula>0</formula>
    </cfRule>
  </conditionalFormatting>
  <conditionalFormatting sqref="OF77 ON77">
    <cfRule type="cellIs" dxfId="956" priority="1550" operator="lessThan">
      <formula>0</formula>
    </cfRule>
  </conditionalFormatting>
  <conditionalFormatting sqref="OF79 ON79">
    <cfRule type="cellIs" dxfId="955" priority="1547" operator="greaterThan">
      <formula>0</formula>
    </cfRule>
    <cfRule type="cellIs" dxfId="954" priority="1548" operator="lessThan">
      <formula>0</formula>
    </cfRule>
  </conditionalFormatting>
  <conditionalFormatting sqref="OF7:OG7 ON7:OO7">
    <cfRule type="containsText" dxfId="953" priority="1546" operator="containsText" text="FC">
      <formula>NOT(ISERROR(SEARCH("FC",OF7)))</formula>
    </cfRule>
  </conditionalFormatting>
  <conditionalFormatting sqref="OG40:OG70 OO40:OO70 OG72:OG77 OO72:OO77 OG79 OO79">
    <cfRule type="cellIs" dxfId="952" priority="1542" operator="lessThan">
      <formula>0</formula>
    </cfRule>
    <cfRule type="cellIs" dxfId="951" priority="1543" operator="lessThan">
      <formula>0</formula>
    </cfRule>
    <cfRule type="cellIs" dxfId="950" priority="1545" stopIfTrue="1" operator="lessThan">
      <formula>0</formula>
    </cfRule>
    <cfRule type="cellIs" dxfId="949" priority="1544" stopIfTrue="1" operator="lessThan">
      <formula>0</formula>
    </cfRule>
  </conditionalFormatting>
  <conditionalFormatting sqref="OI40:OI70 OQ40:OQ70">
    <cfRule type="cellIs" dxfId="948" priority="1613" operator="lessThan">
      <formula>0</formula>
    </cfRule>
    <cfRule type="cellIs" dxfId="947" priority="1614" stopIfTrue="1" operator="lessThan">
      <formula>0</formula>
    </cfRule>
    <cfRule type="cellIs" dxfId="946" priority="1612" operator="lessThan">
      <formula>0</formula>
    </cfRule>
    <cfRule type="cellIs" dxfId="945" priority="1615" stopIfTrue="1" operator="lessThan">
      <formula>0</formula>
    </cfRule>
  </conditionalFormatting>
  <conditionalFormatting sqref="OI72:OI77 OQ72:OQ77">
    <cfRule type="cellIs" dxfId="944" priority="1606" stopIfTrue="1" operator="lessThan">
      <formula>0</formula>
    </cfRule>
    <cfRule type="cellIs" dxfId="943" priority="1604" operator="lessThan">
      <formula>0</formula>
    </cfRule>
    <cfRule type="cellIs" dxfId="942" priority="1605" operator="lessThan">
      <formula>0</formula>
    </cfRule>
    <cfRule type="cellIs" dxfId="941" priority="1607" stopIfTrue="1" operator="lessThan">
      <formula>0</formula>
    </cfRule>
  </conditionalFormatting>
  <conditionalFormatting sqref="OI79 OQ79">
    <cfRule type="cellIs" dxfId="940" priority="1600" operator="lessThan">
      <formula>0</formula>
    </cfRule>
    <cfRule type="cellIs" dxfId="939" priority="1602" stopIfTrue="1" operator="lessThan">
      <formula>0</formula>
    </cfRule>
    <cfRule type="cellIs" dxfId="938" priority="1603" stopIfTrue="1" operator="lessThan">
      <formula>0</formula>
    </cfRule>
    <cfRule type="cellIs" dxfId="937" priority="1601" operator="lessThan">
      <formula>0</formula>
    </cfRule>
  </conditionalFormatting>
  <conditionalFormatting sqref="OR7:OT7">
    <cfRule type="containsText" dxfId="936" priority="1511" operator="containsText" text="FC">
      <formula>NOT(ISERROR(SEARCH("FC",OR7)))</formula>
    </cfRule>
  </conditionalFormatting>
  <conditionalFormatting sqref="OU40:OU70">
    <cfRule type="cellIs" dxfId="935" priority="1539" stopIfTrue="1" operator="lessThan">
      <formula>0</formula>
    </cfRule>
    <cfRule type="cellIs" dxfId="934" priority="1537" operator="lessThan">
      <formula>0</formula>
    </cfRule>
    <cfRule type="cellIs" dxfId="933" priority="1540" stopIfTrue="1" operator="lessThan">
      <formula>0</formula>
    </cfRule>
    <cfRule type="cellIs" dxfId="932" priority="1538" operator="lessThan">
      <formula>0</formula>
    </cfRule>
  </conditionalFormatting>
  <conditionalFormatting sqref="OU72:OU77">
    <cfRule type="cellIs" dxfId="931" priority="1531" stopIfTrue="1" operator="lessThan">
      <formula>0</formula>
    </cfRule>
    <cfRule type="cellIs" dxfId="930" priority="1530" stopIfTrue="1" operator="lessThan">
      <formula>0</formula>
    </cfRule>
    <cfRule type="cellIs" dxfId="929" priority="1528" operator="lessThan">
      <formula>0</formula>
    </cfRule>
    <cfRule type="cellIs" dxfId="928" priority="1529" operator="lessThan">
      <formula>0</formula>
    </cfRule>
  </conditionalFormatting>
  <conditionalFormatting sqref="OU79">
    <cfRule type="cellIs" dxfId="927" priority="1524" operator="lessThan">
      <formula>0</formula>
    </cfRule>
    <cfRule type="cellIs" dxfId="926" priority="1525" operator="lessThan">
      <formula>0</formula>
    </cfRule>
    <cfRule type="cellIs" dxfId="925" priority="1526" stopIfTrue="1" operator="lessThan">
      <formula>0</formula>
    </cfRule>
    <cfRule type="cellIs" dxfId="924" priority="1527" stopIfTrue="1" operator="lessThan">
      <formula>0</formula>
    </cfRule>
  </conditionalFormatting>
  <conditionalFormatting sqref="OV38">
    <cfRule type="cellIs" dxfId="923" priority="1522" operator="lessThan">
      <formula>0</formula>
    </cfRule>
  </conditionalFormatting>
  <conditionalFormatting sqref="OV40:OV70">
    <cfRule type="cellIs" dxfId="922" priority="1536" operator="greaterThan">
      <formula>0</formula>
    </cfRule>
  </conditionalFormatting>
  <conditionalFormatting sqref="OV70">
    <cfRule type="cellIs" dxfId="921" priority="1521" operator="lessThan">
      <formula>0</formula>
    </cfRule>
  </conditionalFormatting>
  <conditionalFormatting sqref="OV72:OV77">
    <cfRule type="cellIs" dxfId="920" priority="1519" operator="greaterThan">
      <formula>0</formula>
    </cfRule>
  </conditionalFormatting>
  <conditionalFormatting sqref="OV77">
    <cfRule type="cellIs" dxfId="919" priority="1520" operator="lessThan">
      <formula>0</formula>
    </cfRule>
  </conditionalFormatting>
  <conditionalFormatting sqref="OV79">
    <cfRule type="cellIs" dxfId="918" priority="1518" operator="lessThan">
      <formula>0</formula>
    </cfRule>
    <cfRule type="cellIs" dxfId="917" priority="1517" operator="greaterThan">
      <formula>0</formula>
    </cfRule>
  </conditionalFormatting>
  <conditionalFormatting sqref="OV7:OW7">
    <cfRule type="containsText" dxfId="916" priority="1516" operator="containsText" text="FC">
      <formula>NOT(ISERROR(SEARCH("FC",OV7)))</formula>
    </cfRule>
  </conditionalFormatting>
  <conditionalFormatting sqref="OW40:OW70 OW72:OW77 OW79">
    <cfRule type="cellIs" dxfId="915" priority="1515" stopIfTrue="1" operator="lessThan">
      <formula>0</formula>
    </cfRule>
    <cfRule type="cellIs" dxfId="914" priority="1514" stopIfTrue="1" operator="lessThan">
      <formula>0</formula>
    </cfRule>
    <cfRule type="cellIs" dxfId="913" priority="1512" operator="lessThan">
      <formula>0</formula>
    </cfRule>
    <cfRule type="cellIs" dxfId="912" priority="1513" operator="lessThan">
      <formula>0</formula>
    </cfRule>
  </conditionalFormatting>
  <conditionalFormatting sqref="OY40:OY70">
    <cfRule type="cellIs" dxfId="911" priority="1430" operator="lessThan">
      <formula>0</formula>
    </cfRule>
    <cfRule type="cellIs" dxfId="910" priority="1431" stopIfTrue="1" operator="lessThan">
      <formula>0</formula>
    </cfRule>
    <cfRule type="cellIs" dxfId="909" priority="1432" stopIfTrue="1" operator="lessThan">
      <formula>0</formula>
    </cfRule>
    <cfRule type="cellIs" dxfId="908" priority="1429" operator="lessThan">
      <formula>0</formula>
    </cfRule>
  </conditionalFormatting>
  <conditionalFormatting sqref="OY72:OY77">
    <cfRule type="cellIs" dxfId="907" priority="1421" operator="lessThan">
      <formula>0</formula>
    </cfRule>
    <cfRule type="cellIs" dxfId="906" priority="1422" operator="lessThan">
      <formula>0</formula>
    </cfRule>
    <cfRule type="cellIs" dxfId="905" priority="1423" stopIfTrue="1" operator="lessThan">
      <formula>0</formula>
    </cfRule>
    <cfRule type="cellIs" dxfId="904" priority="1424" stopIfTrue="1" operator="lessThan">
      <formula>0</formula>
    </cfRule>
  </conditionalFormatting>
  <conditionalFormatting sqref="OY79">
    <cfRule type="cellIs" dxfId="903" priority="1419" stopIfTrue="1" operator="lessThan">
      <formula>0</formula>
    </cfRule>
    <cfRule type="cellIs" dxfId="902" priority="1418" operator="lessThan">
      <formula>0</formula>
    </cfRule>
    <cfRule type="cellIs" dxfId="901" priority="1417" operator="lessThan">
      <formula>0</formula>
    </cfRule>
    <cfRule type="cellIs" dxfId="900" priority="1420" stopIfTrue="1" operator="lessThan">
      <formula>0</formula>
    </cfRule>
  </conditionalFormatting>
  <conditionalFormatting sqref="OZ7:PB7">
    <cfRule type="containsText" dxfId="899" priority="1387" operator="containsText" text="FC">
      <formula>NOT(ISERROR(SEARCH("FC",OZ7)))</formula>
    </cfRule>
  </conditionalFormatting>
  <conditionalFormatting sqref="PC40:PC70">
    <cfRule type="cellIs" dxfId="898" priority="1413" operator="lessThan">
      <formula>0</formula>
    </cfRule>
    <cfRule type="cellIs" dxfId="897" priority="1416" stopIfTrue="1" operator="lessThan">
      <formula>0</formula>
    </cfRule>
    <cfRule type="cellIs" dxfId="896" priority="1415" stopIfTrue="1" operator="lessThan">
      <formula>0</formula>
    </cfRule>
    <cfRule type="cellIs" dxfId="895" priority="1414" operator="lessThan">
      <formula>0</formula>
    </cfRule>
  </conditionalFormatting>
  <conditionalFormatting sqref="PC72:PC77">
    <cfRule type="cellIs" dxfId="894" priority="1407" stopIfTrue="1" operator="lessThan">
      <formula>0</formula>
    </cfRule>
    <cfRule type="cellIs" dxfId="893" priority="1406" stopIfTrue="1" operator="lessThan">
      <formula>0</formula>
    </cfRule>
    <cfRule type="cellIs" dxfId="892" priority="1405" operator="lessThan">
      <formula>0</formula>
    </cfRule>
    <cfRule type="cellIs" dxfId="891" priority="1404" operator="lessThan">
      <formula>0</formula>
    </cfRule>
  </conditionalFormatting>
  <conditionalFormatting sqref="PC79">
    <cfRule type="cellIs" dxfId="890" priority="1401" operator="lessThan">
      <formula>0</formula>
    </cfRule>
    <cfRule type="cellIs" dxfId="889" priority="1403" stopIfTrue="1" operator="lessThan">
      <formula>0</formula>
    </cfRule>
    <cfRule type="cellIs" dxfId="888" priority="1402" stopIfTrue="1" operator="lessThan">
      <formula>0</formula>
    </cfRule>
    <cfRule type="cellIs" dxfId="887" priority="1400" operator="lessThan">
      <formula>0</formula>
    </cfRule>
  </conditionalFormatting>
  <conditionalFormatting sqref="PC82">
    <cfRule type="cellIs" dxfId="886" priority="1382" stopIfTrue="1" operator="lessThan">
      <formula>0</formula>
    </cfRule>
    <cfRule type="cellIs" dxfId="885" priority="1381" stopIfTrue="1" operator="lessThan">
      <formula>0</formula>
    </cfRule>
  </conditionalFormatting>
  <conditionalFormatting sqref="PC82:PE82">
    <cfRule type="cellIs" dxfId="884" priority="1384" stopIfTrue="1" operator="lessThan">
      <formula>0</formula>
    </cfRule>
    <cfRule type="cellIs" dxfId="883" priority="1383" stopIfTrue="1" operator="lessThan">
      <formula>0</formula>
    </cfRule>
  </conditionalFormatting>
  <conditionalFormatting sqref="PC82:PE94">
    <cfRule type="cellIs" dxfId="882" priority="1386" stopIfTrue="1" operator="lessThan">
      <formula>0</formula>
    </cfRule>
    <cfRule type="cellIs" dxfId="881" priority="1385" stopIfTrue="1" operator="lessThan">
      <formula>0</formula>
    </cfRule>
  </conditionalFormatting>
  <conditionalFormatting sqref="PD38">
    <cfRule type="cellIs" dxfId="880" priority="1398" operator="lessThan">
      <formula>0</formula>
    </cfRule>
  </conditionalFormatting>
  <conditionalFormatting sqref="PD40:PD70">
    <cfRule type="cellIs" dxfId="879" priority="1412" operator="greaterThan">
      <formula>0</formula>
    </cfRule>
  </conditionalFormatting>
  <conditionalFormatting sqref="PD70">
    <cfRule type="cellIs" dxfId="878" priority="1397" operator="lessThan">
      <formula>0</formula>
    </cfRule>
  </conditionalFormatting>
  <conditionalFormatting sqref="PD72:PD77">
    <cfRule type="cellIs" dxfId="877" priority="1395" operator="greaterThan">
      <formula>0</formula>
    </cfRule>
  </conditionalFormatting>
  <conditionalFormatting sqref="PD77">
    <cfRule type="cellIs" dxfId="876" priority="1396" operator="lessThan">
      <formula>0</formula>
    </cfRule>
  </conditionalFormatting>
  <conditionalFormatting sqref="PD79">
    <cfRule type="cellIs" dxfId="875" priority="1394" operator="lessThan">
      <formula>0</formula>
    </cfRule>
    <cfRule type="cellIs" dxfId="874" priority="1393" operator="greaterThan">
      <formula>0</formula>
    </cfRule>
  </conditionalFormatting>
  <conditionalFormatting sqref="PD7:PE7">
    <cfRule type="containsText" dxfId="873" priority="1392" operator="containsText" text="FC">
      <formula>NOT(ISERROR(SEARCH("FC",PD7)))</formula>
    </cfRule>
  </conditionalFormatting>
  <conditionalFormatting sqref="PE40:PE70 PE72:PE77 PE79">
    <cfRule type="cellIs" dxfId="872" priority="1391" stopIfTrue="1" operator="lessThan">
      <formula>0</formula>
    </cfRule>
    <cfRule type="cellIs" dxfId="871" priority="1390" stopIfTrue="1" operator="lessThan">
      <formula>0</formula>
    </cfRule>
    <cfRule type="cellIs" dxfId="870" priority="1389" operator="lessThan">
      <formula>0</formula>
    </cfRule>
    <cfRule type="cellIs" dxfId="869" priority="1388" operator="lessThan">
      <formula>0</formula>
    </cfRule>
  </conditionalFormatting>
  <conditionalFormatting sqref="PG40:PG70">
    <cfRule type="cellIs" dxfId="868" priority="1377" operator="lessThan">
      <formula>0</formula>
    </cfRule>
    <cfRule type="cellIs" dxfId="867" priority="1380" stopIfTrue="1" operator="lessThan">
      <formula>0</formula>
    </cfRule>
    <cfRule type="cellIs" dxfId="866" priority="1378" operator="lessThan">
      <formula>0</formula>
    </cfRule>
    <cfRule type="cellIs" dxfId="865" priority="1379" stopIfTrue="1" operator="lessThan">
      <formula>0</formula>
    </cfRule>
  </conditionalFormatting>
  <conditionalFormatting sqref="PG72:PG77">
    <cfRule type="cellIs" dxfId="864" priority="1371" stopIfTrue="1" operator="lessThan">
      <formula>0</formula>
    </cfRule>
    <cfRule type="cellIs" dxfId="863" priority="1372" stopIfTrue="1" operator="lessThan">
      <formula>0</formula>
    </cfRule>
    <cfRule type="cellIs" dxfId="862" priority="1369" operator="lessThan">
      <formula>0</formula>
    </cfRule>
    <cfRule type="cellIs" dxfId="861" priority="1370" operator="lessThan">
      <formula>0</formula>
    </cfRule>
  </conditionalFormatting>
  <conditionalFormatting sqref="PG79">
    <cfRule type="cellIs" dxfId="860" priority="1366" operator="lessThan">
      <formula>0</formula>
    </cfRule>
    <cfRule type="cellIs" dxfId="859" priority="1365" operator="lessThan">
      <formula>0</formula>
    </cfRule>
    <cfRule type="cellIs" dxfId="858" priority="1367" stopIfTrue="1" operator="lessThan">
      <formula>0</formula>
    </cfRule>
    <cfRule type="cellIs" dxfId="857" priority="1368" stopIfTrue="1" operator="lessThan">
      <formula>0</formula>
    </cfRule>
  </conditionalFormatting>
  <conditionalFormatting sqref="PH7:PJ7">
    <cfRule type="containsText" dxfId="856" priority="1335" operator="containsText" text="FC">
      <formula>NOT(ISERROR(SEARCH("FC",PH7)))</formula>
    </cfRule>
  </conditionalFormatting>
  <conditionalFormatting sqref="PK40:PK70">
    <cfRule type="cellIs" dxfId="855" priority="1361" operator="lessThan">
      <formula>0</formula>
    </cfRule>
    <cfRule type="cellIs" dxfId="854" priority="1364" stopIfTrue="1" operator="lessThan">
      <formula>0</formula>
    </cfRule>
    <cfRule type="cellIs" dxfId="853" priority="1363" stopIfTrue="1" operator="lessThan">
      <formula>0</formula>
    </cfRule>
    <cfRule type="cellIs" dxfId="852" priority="1362" operator="lessThan">
      <formula>0</formula>
    </cfRule>
  </conditionalFormatting>
  <conditionalFormatting sqref="PK72:PK77">
    <cfRule type="cellIs" dxfId="851" priority="1352" operator="lessThan">
      <formula>0</formula>
    </cfRule>
    <cfRule type="cellIs" dxfId="850" priority="1353" operator="lessThan">
      <formula>0</formula>
    </cfRule>
    <cfRule type="cellIs" dxfId="849" priority="1354" stopIfTrue="1" operator="lessThan">
      <formula>0</formula>
    </cfRule>
    <cfRule type="cellIs" dxfId="848" priority="1355" stopIfTrue="1" operator="lessThan">
      <formula>0</formula>
    </cfRule>
  </conditionalFormatting>
  <conditionalFormatting sqref="PK79">
    <cfRule type="cellIs" dxfId="847" priority="1348" operator="lessThan">
      <formula>0</formula>
    </cfRule>
    <cfRule type="cellIs" dxfId="846" priority="1349" operator="lessThan">
      <formula>0</formula>
    </cfRule>
    <cfRule type="cellIs" dxfId="845" priority="1350" stopIfTrue="1" operator="lessThan">
      <formula>0</formula>
    </cfRule>
    <cfRule type="cellIs" dxfId="844" priority="1351" stopIfTrue="1" operator="lessThan">
      <formula>0</formula>
    </cfRule>
  </conditionalFormatting>
  <conditionalFormatting sqref="PK82">
    <cfRule type="cellIs" dxfId="843" priority="1329" stopIfTrue="1" operator="lessThan">
      <formula>0</formula>
    </cfRule>
    <cfRule type="cellIs" dxfId="842" priority="1330" stopIfTrue="1" operator="lessThan">
      <formula>0</formula>
    </cfRule>
  </conditionalFormatting>
  <conditionalFormatting sqref="PK82:PM82">
    <cfRule type="cellIs" dxfId="841" priority="1331" stopIfTrue="1" operator="lessThan">
      <formula>0</formula>
    </cfRule>
    <cfRule type="cellIs" dxfId="840" priority="1332" stopIfTrue="1" operator="lessThan">
      <formula>0</formula>
    </cfRule>
  </conditionalFormatting>
  <conditionalFormatting sqref="PK82:PM94">
    <cfRule type="cellIs" dxfId="839" priority="1333" stopIfTrue="1" operator="lessThan">
      <formula>0</formula>
    </cfRule>
    <cfRule type="cellIs" dxfId="838" priority="1334" stopIfTrue="1" operator="lessThan">
      <formula>0</formula>
    </cfRule>
  </conditionalFormatting>
  <conditionalFormatting sqref="PL38">
    <cfRule type="cellIs" dxfId="837" priority="1346" operator="lessThan">
      <formula>0</formula>
    </cfRule>
  </conditionalFormatting>
  <conditionalFormatting sqref="PL40:PL70">
    <cfRule type="cellIs" dxfId="836" priority="1360" operator="greaterThan">
      <formula>0</formula>
    </cfRule>
  </conditionalFormatting>
  <conditionalFormatting sqref="PL70">
    <cfRule type="cellIs" dxfId="835" priority="1345" operator="lessThan">
      <formula>0</formula>
    </cfRule>
  </conditionalFormatting>
  <conditionalFormatting sqref="PL72:PL77">
    <cfRule type="cellIs" dxfId="834" priority="1343" operator="greaterThan">
      <formula>0</formula>
    </cfRule>
  </conditionalFormatting>
  <conditionalFormatting sqref="PL77">
    <cfRule type="cellIs" dxfId="833" priority="1344" operator="lessThan">
      <formula>0</formula>
    </cfRule>
  </conditionalFormatting>
  <conditionalFormatting sqref="PL79">
    <cfRule type="cellIs" dxfId="832" priority="1341" operator="greaterThan">
      <formula>0</formula>
    </cfRule>
    <cfRule type="cellIs" dxfId="831" priority="1342" operator="lessThan">
      <formula>0</formula>
    </cfRule>
  </conditionalFormatting>
  <conditionalFormatting sqref="PL7:PM7">
    <cfRule type="containsText" dxfId="830" priority="1340" operator="containsText" text="FC">
      <formula>NOT(ISERROR(SEARCH("FC",PL7)))</formula>
    </cfRule>
  </conditionalFormatting>
  <conditionalFormatting sqref="PM40:PM70 PM72:PM77 PM79">
    <cfRule type="cellIs" dxfId="829" priority="1337" operator="lessThan">
      <formula>0</formula>
    </cfRule>
    <cfRule type="cellIs" dxfId="828" priority="1338" stopIfTrue="1" operator="lessThan">
      <formula>0</formula>
    </cfRule>
    <cfRule type="cellIs" dxfId="827" priority="1336" operator="lessThan">
      <formula>0</formula>
    </cfRule>
    <cfRule type="cellIs" dxfId="826" priority="1339" stopIfTrue="1" operator="lessThan">
      <formula>0</formula>
    </cfRule>
  </conditionalFormatting>
  <conditionalFormatting sqref="PO40:PO70">
    <cfRule type="cellIs" dxfId="825" priority="1325" operator="lessThan">
      <formula>0</formula>
    </cfRule>
    <cfRule type="cellIs" dxfId="824" priority="1326" operator="lessThan">
      <formula>0</formula>
    </cfRule>
    <cfRule type="cellIs" dxfId="823" priority="1328" stopIfTrue="1" operator="lessThan">
      <formula>0</formula>
    </cfRule>
    <cfRule type="cellIs" dxfId="822" priority="1327" stopIfTrue="1" operator="lessThan">
      <formula>0</formula>
    </cfRule>
  </conditionalFormatting>
  <conditionalFormatting sqref="PO72:PO77">
    <cfRule type="cellIs" dxfId="821" priority="1317" operator="lessThan">
      <formula>0</formula>
    </cfRule>
    <cfRule type="cellIs" dxfId="820" priority="1318" operator="lessThan">
      <formula>0</formula>
    </cfRule>
    <cfRule type="cellIs" dxfId="819" priority="1319" stopIfTrue="1" operator="lessThan">
      <formula>0</formula>
    </cfRule>
    <cfRule type="cellIs" dxfId="818" priority="1320" stopIfTrue="1" operator="lessThan">
      <formula>0</formula>
    </cfRule>
  </conditionalFormatting>
  <conditionalFormatting sqref="PO79">
    <cfRule type="cellIs" dxfId="817" priority="1315" stopIfTrue="1" operator="lessThan">
      <formula>0</formula>
    </cfRule>
    <cfRule type="cellIs" dxfId="816" priority="1313" operator="lessThan">
      <formula>0</formula>
    </cfRule>
    <cfRule type="cellIs" dxfId="815" priority="1314" operator="lessThan">
      <formula>0</formula>
    </cfRule>
    <cfRule type="cellIs" dxfId="814" priority="1316" stopIfTrue="1" operator="lessThan">
      <formula>0</formula>
    </cfRule>
  </conditionalFormatting>
  <conditionalFormatting sqref="PP7:PR7">
    <cfRule type="containsText" dxfId="813" priority="1283" operator="containsText" text="FC">
      <formula>NOT(ISERROR(SEARCH("FC",PP7)))</formula>
    </cfRule>
  </conditionalFormatting>
  <conditionalFormatting sqref="PS40:PS70">
    <cfRule type="cellIs" dxfId="812" priority="1311" stopIfTrue="1" operator="lessThan">
      <formula>0</formula>
    </cfRule>
    <cfRule type="cellIs" dxfId="811" priority="1309" operator="lessThan">
      <formula>0</formula>
    </cfRule>
    <cfRule type="cellIs" dxfId="810" priority="1312" stopIfTrue="1" operator="lessThan">
      <formula>0</formula>
    </cfRule>
    <cfRule type="cellIs" dxfId="809" priority="1310" operator="lessThan">
      <formula>0</formula>
    </cfRule>
  </conditionalFormatting>
  <conditionalFormatting sqref="PS72:PS77">
    <cfRule type="cellIs" dxfId="808" priority="1303" stopIfTrue="1" operator="lessThan">
      <formula>0</formula>
    </cfRule>
    <cfRule type="cellIs" dxfId="807" priority="1302" stopIfTrue="1" operator="lessThan">
      <formula>0</formula>
    </cfRule>
    <cfRule type="cellIs" dxfId="806" priority="1300" operator="lessThan">
      <formula>0</formula>
    </cfRule>
    <cfRule type="cellIs" dxfId="805" priority="1301" operator="lessThan">
      <formula>0</formula>
    </cfRule>
  </conditionalFormatting>
  <conditionalFormatting sqref="PS79">
    <cfRule type="cellIs" dxfId="804" priority="1296" operator="lessThan">
      <formula>0</formula>
    </cfRule>
    <cfRule type="cellIs" dxfId="803" priority="1297" operator="lessThan">
      <formula>0</formula>
    </cfRule>
    <cfRule type="cellIs" dxfId="802" priority="1298" stopIfTrue="1" operator="lessThan">
      <formula>0</formula>
    </cfRule>
    <cfRule type="cellIs" dxfId="801" priority="1299" stopIfTrue="1" operator="lessThan">
      <formula>0</formula>
    </cfRule>
  </conditionalFormatting>
  <conditionalFormatting sqref="PS82">
    <cfRule type="cellIs" dxfId="800" priority="1277" stopIfTrue="1" operator="lessThan">
      <formula>0</formula>
    </cfRule>
    <cfRule type="cellIs" dxfId="799" priority="1278" stopIfTrue="1" operator="lessThan">
      <formula>0</formula>
    </cfRule>
  </conditionalFormatting>
  <conditionalFormatting sqref="PS82:PU82">
    <cfRule type="cellIs" dxfId="798" priority="1279" stopIfTrue="1" operator="lessThan">
      <formula>0</formula>
    </cfRule>
    <cfRule type="cellIs" dxfId="797" priority="1280" stopIfTrue="1" operator="lessThan">
      <formula>0</formula>
    </cfRule>
  </conditionalFormatting>
  <conditionalFormatting sqref="PS82:PU94">
    <cfRule type="cellIs" dxfId="796" priority="1281" stopIfTrue="1" operator="lessThan">
      <formula>0</formula>
    </cfRule>
    <cfRule type="cellIs" dxfId="795" priority="1282" stopIfTrue="1" operator="lessThan">
      <formula>0</formula>
    </cfRule>
  </conditionalFormatting>
  <conditionalFormatting sqref="PT38">
    <cfRule type="cellIs" dxfId="794" priority="1294" operator="lessThan">
      <formula>0</formula>
    </cfRule>
  </conditionalFormatting>
  <conditionalFormatting sqref="PT40:PT70">
    <cfRule type="cellIs" dxfId="793" priority="1308" operator="greaterThan">
      <formula>0</formula>
    </cfRule>
  </conditionalFormatting>
  <conditionalFormatting sqref="PT70">
    <cfRule type="cellIs" dxfId="792" priority="1293" operator="lessThan">
      <formula>0</formula>
    </cfRule>
  </conditionalFormatting>
  <conditionalFormatting sqref="PT72:PT77">
    <cfRule type="cellIs" dxfId="791" priority="1291" operator="greaterThan">
      <formula>0</formula>
    </cfRule>
  </conditionalFormatting>
  <conditionalFormatting sqref="PT77">
    <cfRule type="cellIs" dxfId="790" priority="1292" operator="lessThan">
      <formula>0</formula>
    </cfRule>
  </conditionalFormatting>
  <conditionalFormatting sqref="PT79">
    <cfRule type="cellIs" dxfId="789" priority="1289" operator="greaterThan">
      <formula>0</formula>
    </cfRule>
    <cfRule type="cellIs" dxfId="788" priority="1290" operator="lessThan">
      <formula>0</formula>
    </cfRule>
  </conditionalFormatting>
  <conditionalFormatting sqref="PT7:PU7">
    <cfRule type="containsText" dxfId="787" priority="1288" operator="containsText" text="FC">
      <formula>NOT(ISERROR(SEARCH("FC",PT7)))</formula>
    </cfRule>
  </conditionalFormatting>
  <conditionalFormatting sqref="PU40:PU70 PU72:PU77 PU79">
    <cfRule type="cellIs" dxfId="786" priority="1285" operator="lessThan">
      <formula>0</formula>
    </cfRule>
    <cfRule type="cellIs" dxfId="785" priority="1286" stopIfTrue="1" operator="lessThan">
      <formula>0</formula>
    </cfRule>
    <cfRule type="cellIs" dxfId="784" priority="1287" stopIfTrue="1" operator="lessThan">
      <formula>0</formula>
    </cfRule>
    <cfRule type="cellIs" dxfId="783" priority="1284" operator="lessThan">
      <formula>0</formula>
    </cfRule>
  </conditionalFormatting>
  <conditionalFormatting sqref="PW40:PW70">
    <cfRule type="cellIs" dxfId="782" priority="1273" operator="lessThan">
      <formula>0</formula>
    </cfRule>
    <cfRule type="cellIs" dxfId="781" priority="1274" operator="lessThan">
      <formula>0</formula>
    </cfRule>
    <cfRule type="cellIs" dxfId="780" priority="1275" stopIfTrue="1" operator="lessThan">
      <formula>0</formula>
    </cfRule>
    <cfRule type="cellIs" dxfId="779" priority="1276" stopIfTrue="1" operator="lessThan">
      <formula>0</formula>
    </cfRule>
  </conditionalFormatting>
  <conditionalFormatting sqref="PW72:PW77">
    <cfRule type="cellIs" dxfId="778" priority="1266" operator="lessThan">
      <formula>0</formula>
    </cfRule>
    <cfRule type="cellIs" dxfId="777" priority="1268" stopIfTrue="1" operator="lessThan">
      <formula>0</formula>
    </cfRule>
    <cfRule type="cellIs" dxfId="776" priority="1267" stopIfTrue="1" operator="lessThan">
      <formula>0</formula>
    </cfRule>
    <cfRule type="cellIs" dxfId="775" priority="1265" operator="lessThan">
      <formula>0</formula>
    </cfRule>
  </conditionalFormatting>
  <conditionalFormatting sqref="PW79">
    <cfRule type="cellIs" dxfId="774" priority="1261" operator="lessThan">
      <formula>0</formula>
    </cfRule>
    <cfRule type="cellIs" dxfId="773" priority="1262" operator="lessThan">
      <formula>0</formula>
    </cfRule>
    <cfRule type="cellIs" dxfId="772" priority="1263" stopIfTrue="1" operator="lessThan">
      <formula>0</formula>
    </cfRule>
    <cfRule type="cellIs" dxfId="771" priority="1264" stopIfTrue="1" operator="lessThan">
      <formula>0</formula>
    </cfRule>
  </conditionalFormatting>
  <conditionalFormatting sqref="PX7:PZ7">
    <cfRule type="containsText" dxfId="770" priority="1231" operator="containsText" text="FC">
      <formula>NOT(ISERROR(SEARCH("FC",PX7)))</formula>
    </cfRule>
  </conditionalFormatting>
  <conditionalFormatting sqref="QA40:QA70">
    <cfRule type="cellIs" dxfId="769" priority="1258" operator="lessThan">
      <formula>0</formula>
    </cfRule>
    <cfRule type="cellIs" dxfId="768" priority="1260" stopIfTrue="1" operator="lessThan">
      <formula>0</formula>
    </cfRule>
    <cfRule type="cellIs" dxfId="767" priority="1259" stopIfTrue="1" operator="lessThan">
      <formula>0</formula>
    </cfRule>
    <cfRule type="cellIs" dxfId="766" priority="1257" operator="lessThan">
      <formula>0</formula>
    </cfRule>
  </conditionalFormatting>
  <conditionalFormatting sqref="QA72:QA77">
    <cfRule type="cellIs" dxfId="765" priority="1248" operator="lessThan">
      <formula>0</formula>
    </cfRule>
    <cfRule type="cellIs" dxfId="764" priority="1249" operator="lessThan">
      <formula>0</formula>
    </cfRule>
    <cfRule type="cellIs" dxfId="763" priority="1250" stopIfTrue="1" operator="lessThan">
      <formula>0</formula>
    </cfRule>
    <cfRule type="cellIs" dxfId="762" priority="1251" stopIfTrue="1" operator="lessThan">
      <formula>0</formula>
    </cfRule>
  </conditionalFormatting>
  <conditionalFormatting sqref="QA79">
    <cfRule type="cellIs" dxfId="761" priority="1244" operator="lessThan">
      <formula>0</formula>
    </cfRule>
    <cfRule type="cellIs" dxfId="760" priority="1245" operator="lessThan">
      <formula>0</formula>
    </cfRule>
    <cfRule type="cellIs" dxfId="759" priority="1246" stopIfTrue="1" operator="lessThan">
      <formula>0</formula>
    </cfRule>
    <cfRule type="cellIs" dxfId="758" priority="1247" stopIfTrue="1" operator="lessThan">
      <formula>0</formula>
    </cfRule>
  </conditionalFormatting>
  <conditionalFormatting sqref="QA82">
    <cfRule type="cellIs" dxfId="757" priority="1225" stopIfTrue="1" operator="lessThan">
      <formula>0</formula>
    </cfRule>
    <cfRule type="cellIs" dxfId="756" priority="1226" stopIfTrue="1" operator="lessThan">
      <formula>0</formula>
    </cfRule>
  </conditionalFormatting>
  <conditionalFormatting sqref="QA82:QC82">
    <cfRule type="cellIs" dxfId="755" priority="1228" stopIfTrue="1" operator="lessThan">
      <formula>0</formula>
    </cfRule>
    <cfRule type="cellIs" dxfId="754" priority="1227" stopIfTrue="1" operator="lessThan">
      <formula>0</formula>
    </cfRule>
  </conditionalFormatting>
  <conditionalFormatting sqref="QA82:QC94">
    <cfRule type="cellIs" dxfId="753" priority="1229" stopIfTrue="1" operator="lessThan">
      <formula>0</formula>
    </cfRule>
    <cfRule type="cellIs" dxfId="752" priority="1230" stopIfTrue="1" operator="lessThan">
      <formula>0</formula>
    </cfRule>
  </conditionalFormatting>
  <conditionalFormatting sqref="QB38">
    <cfRule type="cellIs" dxfId="751" priority="1242" operator="lessThan">
      <formula>0</formula>
    </cfRule>
  </conditionalFormatting>
  <conditionalFormatting sqref="QB40:QB70">
    <cfRule type="cellIs" dxfId="750" priority="1256" operator="greaterThan">
      <formula>0</formula>
    </cfRule>
  </conditionalFormatting>
  <conditionalFormatting sqref="QB70">
    <cfRule type="cellIs" dxfId="749" priority="1241" operator="lessThan">
      <formula>0</formula>
    </cfRule>
  </conditionalFormatting>
  <conditionalFormatting sqref="QB72:QB77">
    <cfRule type="cellIs" dxfId="748" priority="1239" operator="greaterThan">
      <formula>0</formula>
    </cfRule>
  </conditionalFormatting>
  <conditionalFormatting sqref="QB77">
    <cfRule type="cellIs" dxfId="747" priority="1240" operator="lessThan">
      <formula>0</formula>
    </cfRule>
  </conditionalFormatting>
  <conditionalFormatting sqref="QB79">
    <cfRule type="cellIs" dxfId="746" priority="1238" operator="lessThan">
      <formula>0</formula>
    </cfRule>
    <cfRule type="cellIs" dxfId="745" priority="1237" operator="greaterThan">
      <formula>0</formula>
    </cfRule>
  </conditionalFormatting>
  <conditionalFormatting sqref="QB7:QC7">
    <cfRule type="containsText" dxfId="744" priority="1236" operator="containsText" text="FC">
      <formula>NOT(ISERROR(SEARCH("FC",QB7)))</formula>
    </cfRule>
  </conditionalFormatting>
  <conditionalFormatting sqref="QC40:QC70 QC72:QC77 QC79">
    <cfRule type="cellIs" dxfId="743" priority="1235" stopIfTrue="1" operator="lessThan">
      <formula>0</formula>
    </cfRule>
    <cfRule type="cellIs" dxfId="742" priority="1232" operator="lessThan">
      <formula>0</formula>
    </cfRule>
    <cfRule type="cellIs" dxfId="741" priority="1233" operator="lessThan">
      <formula>0</formula>
    </cfRule>
    <cfRule type="cellIs" dxfId="740" priority="1234" stopIfTrue="1" operator="lessThan">
      <formula>0</formula>
    </cfRule>
  </conditionalFormatting>
  <conditionalFormatting sqref="QE40:QE70">
    <cfRule type="cellIs" dxfId="739" priority="1221" operator="lessThan">
      <formula>0</formula>
    </cfRule>
    <cfRule type="cellIs" dxfId="738" priority="1222" operator="lessThan">
      <formula>0</formula>
    </cfRule>
    <cfRule type="cellIs" dxfId="737" priority="1223" stopIfTrue="1" operator="lessThan">
      <formula>0</formula>
    </cfRule>
    <cfRule type="cellIs" dxfId="736" priority="1224" stopIfTrue="1" operator="lessThan">
      <formula>0</formula>
    </cfRule>
  </conditionalFormatting>
  <conditionalFormatting sqref="QE72:QE77">
    <cfRule type="cellIs" dxfId="735" priority="1216" stopIfTrue="1" operator="lessThan">
      <formula>0</formula>
    </cfRule>
    <cfRule type="cellIs" dxfId="734" priority="1215" stopIfTrue="1" operator="lessThan">
      <formula>0</formula>
    </cfRule>
    <cfRule type="cellIs" dxfId="733" priority="1214" operator="lessThan">
      <formula>0</formula>
    </cfRule>
    <cfRule type="cellIs" dxfId="732" priority="1213" operator="lessThan">
      <formula>0</formula>
    </cfRule>
  </conditionalFormatting>
  <conditionalFormatting sqref="QE79">
    <cfRule type="cellIs" dxfId="731" priority="1212" stopIfTrue="1" operator="lessThan">
      <formula>0</formula>
    </cfRule>
    <cfRule type="cellIs" dxfId="730" priority="1211" stopIfTrue="1" operator="lessThan">
      <formula>0</formula>
    </cfRule>
    <cfRule type="cellIs" dxfId="729" priority="1210" operator="lessThan">
      <formula>0</formula>
    </cfRule>
    <cfRule type="cellIs" dxfId="728" priority="1209" operator="lessThan">
      <formula>0</formula>
    </cfRule>
  </conditionalFormatting>
  <conditionalFormatting sqref="QF7:QH7">
    <cfRule type="containsText" dxfId="727" priority="1179" operator="containsText" text="FC">
      <formula>NOT(ISERROR(SEARCH("FC",QF7)))</formula>
    </cfRule>
  </conditionalFormatting>
  <conditionalFormatting sqref="QI40:QI70">
    <cfRule type="cellIs" dxfId="726" priority="1208" stopIfTrue="1" operator="lessThan">
      <formula>0</formula>
    </cfRule>
    <cfRule type="cellIs" dxfId="725" priority="1207" stopIfTrue="1" operator="lessThan">
      <formula>0</formula>
    </cfRule>
    <cfRule type="cellIs" dxfId="724" priority="1206" operator="lessThan">
      <formula>0</formula>
    </cfRule>
    <cfRule type="cellIs" dxfId="723" priority="1205" operator="lessThan">
      <formula>0</formula>
    </cfRule>
  </conditionalFormatting>
  <conditionalFormatting sqref="QI72:QI77">
    <cfRule type="cellIs" dxfId="722" priority="1197" operator="lessThan">
      <formula>0</formula>
    </cfRule>
    <cfRule type="cellIs" dxfId="721" priority="1198" stopIfTrue="1" operator="lessThan">
      <formula>0</formula>
    </cfRule>
    <cfRule type="cellIs" dxfId="720" priority="1199" stopIfTrue="1" operator="lessThan">
      <formula>0</formula>
    </cfRule>
    <cfRule type="cellIs" dxfId="719" priority="1196" operator="lessThan">
      <formula>0</formula>
    </cfRule>
  </conditionalFormatting>
  <conditionalFormatting sqref="QI79">
    <cfRule type="cellIs" dxfId="718" priority="1193" operator="lessThan">
      <formula>0</formula>
    </cfRule>
    <cfRule type="cellIs" dxfId="717" priority="1192" operator="lessThan">
      <formula>0</formula>
    </cfRule>
    <cfRule type="cellIs" dxfId="716" priority="1194" stopIfTrue="1" operator="lessThan">
      <formula>0</formula>
    </cfRule>
    <cfRule type="cellIs" dxfId="715" priority="1195" stopIfTrue="1" operator="lessThan">
      <formula>0</formula>
    </cfRule>
  </conditionalFormatting>
  <conditionalFormatting sqref="QI82">
    <cfRule type="cellIs" dxfId="714" priority="1174" stopIfTrue="1" operator="lessThan">
      <formula>0</formula>
    </cfRule>
    <cfRule type="cellIs" dxfId="713" priority="1173" stopIfTrue="1" operator="lessThan">
      <formula>0</formula>
    </cfRule>
  </conditionalFormatting>
  <conditionalFormatting sqref="QI82:QK82">
    <cfRule type="cellIs" dxfId="712" priority="1176" stopIfTrue="1" operator="lessThan">
      <formula>0</formula>
    </cfRule>
    <cfRule type="cellIs" dxfId="711" priority="1175" stopIfTrue="1" operator="lessThan">
      <formula>0</formula>
    </cfRule>
  </conditionalFormatting>
  <conditionalFormatting sqref="QI82:QK94">
    <cfRule type="cellIs" dxfId="710" priority="1178" stopIfTrue="1" operator="lessThan">
      <formula>0</formula>
    </cfRule>
    <cfRule type="cellIs" dxfId="709" priority="1177" stopIfTrue="1" operator="lessThan">
      <formula>0</formula>
    </cfRule>
  </conditionalFormatting>
  <conditionalFormatting sqref="QJ38">
    <cfRule type="cellIs" dxfId="708" priority="1190" operator="lessThan">
      <formula>0</formula>
    </cfRule>
  </conditionalFormatting>
  <conditionalFormatting sqref="QJ40:QJ70">
    <cfRule type="cellIs" dxfId="707" priority="1204" operator="greaterThan">
      <formula>0</formula>
    </cfRule>
  </conditionalFormatting>
  <conditionalFormatting sqref="QJ70">
    <cfRule type="cellIs" dxfId="706" priority="1189" operator="lessThan">
      <formula>0</formula>
    </cfRule>
  </conditionalFormatting>
  <conditionalFormatting sqref="QJ72:QJ77">
    <cfRule type="cellIs" dxfId="705" priority="1187" operator="greaterThan">
      <formula>0</formula>
    </cfRule>
  </conditionalFormatting>
  <conditionalFormatting sqref="QJ77">
    <cfRule type="cellIs" dxfId="704" priority="1188" operator="lessThan">
      <formula>0</formula>
    </cfRule>
  </conditionalFormatting>
  <conditionalFormatting sqref="QJ79">
    <cfRule type="cellIs" dxfId="703" priority="1186" operator="lessThan">
      <formula>0</formula>
    </cfRule>
    <cfRule type="cellIs" dxfId="702" priority="1185" operator="greaterThan">
      <formula>0</formula>
    </cfRule>
  </conditionalFormatting>
  <conditionalFormatting sqref="QJ7:QK7">
    <cfRule type="containsText" dxfId="701" priority="1184" operator="containsText" text="FC">
      <formula>NOT(ISERROR(SEARCH("FC",QJ7)))</formula>
    </cfRule>
  </conditionalFormatting>
  <conditionalFormatting sqref="QK40:QK70 QK72:QK77 QK79">
    <cfRule type="cellIs" dxfId="700" priority="1183" stopIfTrue="1" operator="lessThan">
      <formula>0</formula>
    </cfRule>
    <cfRule type="cellIs" dxfId="699" priority="1182" stopIfTrue="1" operator="lessThan">
      <formula>0</formula>
    </cfRule>
    <cfRule type="cellIs" dxfId="698" priority="1181" operator="lessThan">
      <formula>0</formula>
    </cfRule>
    <cfRule type="cellIs" dxfId="697" priority="1180" operator="lessThan">
      <formula>0</formula>
    </cfRule>
  </conditionalFormatting>
  <conditionalFormatting sqref="QM40:QM70">
    <cfRule type="cellIs" dxfId="696" priority="1041" stopIfTrue="1" operator="lessThan">
      <formula>0</formula>
    </cfRule>
    <cfRule type="cellIs" dxfId="695" priority="1040" stopIfTrue="1" operator="lessThan">
      <formula>0</formula>
    </cfRule>
    <cfRule type="cellIs" dxfId="694" priority="1039" operator="lessThan">
      <formula>0</formula>
    </cfRule>
    <cfRule type="cellIs" dxfId="693" priority="1038" operator="lessThan">
      <formula>0</formula>
    </cfRule>
  </conditionalFormatting>
  <conditionalFormatting sqref="QM72:QM77">
    <cfRule type="cellIs" dxfId="692" priority="1032" stopIfTrue="1" operator="lessThan">
      <formula>0</formula>
    </cfRule>
    <cfRule type="cellIs" dxfId="691" priority="1031" operator="lessThan">
      <formula>0</formula>
    </cfRule>
    <cfRule type="cellIs" dxfId="690" priority="1030" operator="lessThan">
      <formula>0</formula>
    </cfRule>
    <cfRule type="cellIs" dxfId="689" priority="1033" stopIfTrue="1" operator="lessThan">
      <formula>0</formula>
    </cfRule>
  </conditionalFormatting>
  <conditionalFormatting sqref="QM79">
    <cfRule type="cellIs" dxfId="688" priority="1028" stopIfTrue="1" operator="lessThan">
      <formula>0</formula>
    </cfRule>
    <cfRule type="cellIs" dxfId="687" priority="1027" operator="lessThan">
      <formula>0</formula>
    </cfRule>
    <cfRule type="cellIs" dxfId="686" priority="1026" operator="lessThan">
      <formula>0</formula>
    </cfRule>
    <cfRule type="cellIs" dxfId="685" priority="1029" stopIfTrue="1" operator="lessThan">
      <formula>0</formula>
    </cfRule>
  </conditionalFormatting>
  <conditionalFormatting sqref="QN7:QP7 QV7:QX7">
    <cfRule type="containsText" dxfId="684" priority="980" operator="containsText" text="FC">
      <formula>NOT(ISERROR(SEARCH("FC",QN7)))</formula>
    </cfRule>
  </conditionalFormatting>
  <conditionalFormatting sqref="QQ40:QQ70 QY40:QY70">
    <cfRule type="cellIs" dxfId="683" priority="1009" stopIfTrue="1" operator="lessThan">
      <formula>0</formula>
    </cfRule>
    <cfRule type="cellIs" dxfId="682" priority="1008" stopIfTrue="1" operator="lessThan">
      <formula>0</formula>
    </cfRule>
    <cfRule type="cellIs" dxfId="681" priority="1007" operator="lessThan">
      <formula>0</formula>
    </cfRule>
    <cfRule type="cellIs" dxfId="680" priority="1006" operator="lessThan">
      <formula>0</formula>
    </cfRule>
  </conditionalFormatting>
  <conditionalFormatting sqref="QQ72:QQ77 QY72:QY77">
    <cfRule type="cellIs" dxfId="679" priority="1000" stopIfTrue="1" operator="lessThan">
      <formula>0</formula>
    </cfRule>
    <cfRule type="cellIs" dxfId="678" priority="999" stopIfTrue="1" operator="lessThan">
      <formula>0</formula>
    </cfRule>
    <cfRule type="cellIs" dxfId="677" priority="998" operator="lessThan">
      <formula>0</formula>
    </cfRule>
    <cfRule type="cellIs" dxfId="676" priority="997" operator="lessThan">
      <formula>0</formula>
    </cfRule>
  </conditionalFormatting>
  <conditionalFormatting sqref="QQ79 QY79">
    <cfRule type="cellIs" dxfId="675" priority="996" stopIfTrue="1" operator="lessThan">
      <formula>0</formula>
    </cfRule>
    <cfRule type="cellIs" dxfId="674" priority="995" stopIfTrue="1" operator="lessThan">
      <formula>0</formula>
    </cfRule>
    <cfRule type="cellIs" dxfId="673" priority="993" operator="lessThan">
      <formula>0</formula>
    </cfRule>
    <cfRule type="cellIs" dxfId="672" priority="994" operator="lessThan">
      <formula>0</formula>
    </cfRule>
  </conditionalFormatting>
  <conditionalFormatting sqref="QQ82 QY82 RG82">
    <cfRule type="cellIs" dxfId="671" priority="944" stopIfTrue="1" operator="lessThan">
      <formula>0</formula>
    </cfRule>
    <cfRule type="cellIs" dxfId="670" priority="945" stopIfTrue="1" operator="lessThan">
      <formula>0</formula>
    </cfRule>
  </conditionalFormatting>
  <conditionalFormatting sqref="QQ82:QS82 QY82:RA82 RG82:RI82">
    <cfRule type="cellIs" dxfId="669" priority="946" stopIfTrue="1" operator="lessThan">
      <formula>0</formula>
    </cfRule>
    <cfRule type="cellIs" dxfId="668" priority="947" stopIfTrue="1" operator="lessThan">
      <formula>0</formula>
    </cfRule>
  </conditionalFormatting>
  <conditionalFormatting sqref="QQ82:QS94 QY82:RA94 RG82:RI94">
    <cfRule type="cellIs" dxfId="667" priority="948" stopIfTrue="1" operator="lessThan">
      <formula>0</formula>
    </cfRule>
    <cfRule type="cellIs" dxfId="666" priority="949" stopIfTrue="1" operator="lessThan">
      <formula>0</formula>
    </cfRule>
  </conditionalFormatting>
  <conditionalFormatting sqref="QR38 QZ38">
    <cfRule type="cellIs" dxfId="665" priority="991" operator="lessThan">
      <formula>0</formula>
    </cfRule>
  </conditionalFormatting>
  <conditionalFormatting sqref="QR40:QR70 QZ40:QZ70">
    <cfRule type="cellIs" dxfId="664" priority="1005" operator="greaterThan">
      <formula>0</formula>
    </cfRule>
  </conditionalFormatting>
  <conditionalFormatting sqref="QR70 QZ70">
    <cfRule type="cellIs" dxfId="663" priority="990" operator="lessThan">
      <formula>0</formula>
    </cfRule>
  </conditionalFormatting>
  <conditionalFormatting sqref="QR72:QR77 QZ72:QZ77">
    <cfRule type="cellIs" dxfId="662" priority="988" operator="greaterThan">
      <formula>0</formula>
    </cfRule>
  </conditionalFormatting>
  <conditionalFormatting sqref="QR77 QZ77">
    <cfRule type="cellIs" dxfId="661" priority="989" operator="lessThan">
      <formula>0</formula>
    </cfRule>
  </conditionalFormatting>
  <conditionalFormatting sqref="QR79 QZ79">
    <cfRule type="cellIs" dxfId="660" priority="986" operator="greaterThan">
      <formula>0</formula>
    </cfRule>
    <cfRule type="cellIs" dxfId="659" priority="987" operator="lessThan">
      <formula>0</formula>
    </cfRule>
  </conditionalFormatting>
  <conditionalFormatting sqref="QR7:QS7 QZ7:RA7">
    <cfRule type="containsText" dxfId="658" priority="985" operator="containsText" text="FC">
      <formula>NOT(ISERROR(SEARCH("FC",QR7)))</formula>
    </cfRule>
  </conditionalFormatting>
  <conditionalFormatting sqref="QS40:QS70 RA40:RA70 QS72:QS77 RA72:RA77 QS79 RA79">
    <cfRule type="cellIs" dxfId="657" priority="984" stopIfTrue="1" operator="lessThan">
      <formula>0</formula>
    </cfRule>
    <cfRule type="cellIs" dxfId="656" priority="983" stopIfTrue="1" operator="lessThan">
      <formula>0</formula>
    </cfRule>
    <cfRule type="cellIs" dxfId="655" priority="982" operator="lessThan">
      <formula>0</formula>
    </cfRule>
    <cfRule type="cellIs" dxfId="654" priority="981" operator="lessThan">
      <formula>0</formula>
    </cfRule>
  </conditionalFormatting>
  <conditionalFormatting sqref="QU40:QU70 RC40:RC70">
    <cfRule type="cellIs" dxfId="653" priority="1025" stopIfTrue="1" operator="lessThan">
      <formula>0</formula>
    </cfRule>
    <cfRule type="cellIs" dxfId="652" priority="1024" stopIfTrue="1" operator="lessThan">
      <formula>0</formula>
    </cfRule>
    <cfRule type="cellIs" dxfId="651" priority="1023" operator="lessThan">
      <formula>0</formula>
    </cfRule>
    <cfRule type="cellIs" dxfId="650" priority="1022" operator="lessThan">
      <formula>0</formula>
    </cfRule>
  </conditionalFormatting>
  <conditionalFormatting sqref="QU72:QU77 RC72:RC77">
    <cfRule type="cellIs" dxfId="649" priority="1017" stopIfTrue="1" operator="lessThan">
      <formula>0</formula>
    </cfRule>
    <cfRule type="cellIs" dxfId="648" priority="1016" stopIfTrue="1" operator="lessThan">
      <formula>0</formula>
    </cfRule>
    <cfRule type="cellIs" dxfId="647" priority="1015" operator="lessThan">
      <formula>0</formula>
    </cfRule>
    <cfRule type="cellIs" dxfId="646" priority="1014" operator="lessThan">
      <formula>0</formula>
    </cfRule>
  </conditionalFormatting>
  <conditionalFormatting sqref="QU79 RC79">
    <cfRule type="cellIs" dxfId="645" priority="1013" stopIfTrue="1" operator="lessThan">
      <formula>0</formula>
    </cfRule>
    <cfRule type="cellIs" dxfId="644" priority="1012" stopIfTrue="1" operator="lessThan">
      <formula>0</formula>
    </cfRule>
    <cfRule type="cellIs" dxfId="643" priority="1011" operator="lessThan">
      <formula>0</formula>
    </cfRule>
    <cfRule type="cellIs" dxfId="642" priority="1010" operator="lessThan">
      <formula>0</formula>
    </cfRule>
  </conditionalFormatting>
  <conditionalFormatting sqref="RD7:RF7">
    <cfRule type="containsText" dxfId="641" priority="950" operator="containsText" text="FC">
      <formula>NOT(ISERROR(SEARCH("FC",RD7)))</formula>
    </cfRule>
  </conditionalFormatting>
  <conditionalFormatting sqref="RG40:RG70">
    <cfRule type="cellIs" dxfId="640" priority="979" stopIfTrue="1" operator="lessThan">
      <formula>0</formula>
    </cfRule>
    <cfRule type="cellIs" dxfId="639" priority="977" operator="lessThan">
      <formula>0</formula>
    </cfRule>
    <cfRule type="cellIs" dxfId="638" priority="976" operator="lessThan">
      <formula>0</formula>
    </cfRule>
    <cfRule type="cellIs" dxfId="637" priority="978" stopIfTrue="1" operator="lessThan">
      <formula>0</formula>
    </cfRule>
  </conditionalFormatting>
  <conditionalFormatting sqref="RG72:RG77">
    <cfRule type="cellIs" dxfId="636" priority="967" operator="lessThan">
      <formula>0</formula>
    </cfRule>
    <cfRule type="cellIs" dxfId="635" priority="968" operator="lessThan">
      <formula>0</formula>
    </cfRule>
    <cfRule type="cellIs" dxfId="634" priority="970" stopIfTrue="1" operator="lessThan">
      <formula>0</formula>
    </cfRule>
    <cfRule type="cellIs" dxfId="633" priority="969" stopIfTrue="1" operator="lessThan">
      <formula>0</formula>
    </cfRule>
  </conditionalFormatting>
  <conditionalFormatting sqref="RG79">
    <cfRule type="cellIs" dxfId="632" priority="964" operator="lessThan">
      <formula>0</formula>
    </cfRule>
    <cfRule type="cellIs" dxfId="631" priority="965" stopIfTrue="1" operator="lessThan">
      <formula>0</formula>
    </cfRule>
    <cfRule type="cellIs" dxfId="630" priority="966" stopIfTrue="1" operator="lessThan">
      <formula>0</formula>
    </cfRule>
    <cfRule type="cellIs" dxfId="629" priority="963" operator="lessThan">
      <formula>0</formula>
    </cfRule>
  </conditionalFormatting>
  <conditionalFormatting sqref="RH38">
    <cfRule type="cellIs" dxfId="628" priority="961" operator="lessThan">
      <formula>0</formula>
    </cfRule>
  </conditionalFormatting>
  <conditionalFormatting sqref="RH40:RH70">
    <cfRule type="cellIs" dxfId="627" priority="975" operator="greaterThan">
      <formula>0</formula>
    </cfRule>
  </conditionalFormatting>
  <conditionalFormatting sqref="RH70">
    <cfRule type="cellIs" dxfId="626" priority="960" operator="lessThan">
      <formula>0</formula>
    </cfRule>
  </conditionalFormatting>
  <conditionalFormatting sqref="RH72:RH77">
    <cfRule type="cellIs" dxfId="625" priority="958" operator="greaterThan">
      <formula>0</formula>
    </cfRule>
  </conditionalFormatting>
  <conditionalFormatting sqref="RH77">
    <cfRule type="cellIs" dxfId="624" priority="959" operator="lessThan">
      <formula>0</formula>
    </cfRule>
  </conditionalFormatting>
  <conditionalFormatting sqref="RH79">
    <cfRule type="cellIs" dxfId="623" priority="956" operator="greaterThan">
      <formula>0</formula>
    </cfRule>
    <cfRule type="cellIs" dxfId="622" priority="957" operator="lessThan">
      <formula>0</formula>
    </cfRule>
  </conditionalFormatting>
  <conditionalFormatting sqref="RH7:RI7">
    <cfRule type="containsText" dxfId="621" priority="955" operator="containsText" text="FC">
      <formula>NOT(ISERROR(SEARCH("FC",RH7)))</formula>
    </cfRule>
  </conditionalFormatting>
  <conditionalFormatting sqref="RI40:RI70 RI72:RI77 RI79">
    <cfRule type="cellIs" dxfId="620" priority="951" operator="lessThan">
      <formula>0</formula>
    </cfRule>
    <cfRule type="cellIs" dxfId="619" priority="952" operator="lessThan">
      <formula>0</formula>
    </cfRule>
    <cfRule type="cellIs" dxfId="618" priority="953" stopIfTrue="1" operator="lessThan">
      <formula>0</formula>
    </cfRule>
    <cfRule type="cellIs" dxfId="617" priority="954" stopIfTrue="1" operator="lessThan">
      <formula>0</formula>
    </cfRule>
  </conditionalFormatting>
  <conditionalFormatting sqref="RK40:RK70">
    <cfRule type="cellIs" dxfId="616" priority="940" operator="lessThan">
      <formula>0</formula>
    </cfRule>
    <cfRule type="cellIs" dxfId="615" priority="941" operator="lessThan">
      <formula>0</formula>
    </cfRule>
    <cfRule type="cellIs" dxfId="614" priority="942" stopIfTrue="1" operator="lessThan">
      <formula>0</formula>
    </cfRule>
    <cfRule type="cellIs" dxfId="613" priority="943" stopIfTrue="1" operator="lessThan">
      <formula>0</formula>
    </cfRule>
  </conditionalFormatting>
  <conditionalFormatting sqref="RK72:RK77">
    <cfRule type="cellIs" dxfId="612" priority="934" stopIfTrue="1" operator="lessThan">
      <formula>0</formula>
    </cfRule>
    <cfRule type="cellIs" dxfId="611" priority="935" stopIfTrue="1" operator="lessThan">
      <formula>0</formula>
    </cfRule>
    <cfRule type="cellIs" dxfId="610" priority="932" operator="lessThan">
      <formula>0</formula>
    </cfRule>
    <cfRule type="cellIs" dxfId="609" priority="933" operator="lessThan">
      <formula>0</formula>
    </cfRule>
  </conditionalFormatting>
  <conditionalFormatting sqref="RK79">
    <cfRule type="cellIs" dxfId="608" priority="931" stopIfTrue="1" operator="lessThan">
      <formula>0</formula>
    </cfRule>
    <cfRule type="cellIs" dxfId="607" priority="930" stopIfTrue="1" operator="lessThan">
      <formula>0</formula>
    </cfRule>
    <cfRule type="cellIs" dxfId="606" priority="928" operator="lessThan">
      <formula>0</formula>
    </cfRule>
    <cfRule type="cellIs" dxfId="605" priority="929" operator="lessThan">
      <formula>0</formula>
    </cfRule>
  </conditionalFormatting>
  <conditionalFormatting sqref="RL7:RN7">
    <cfRule type="containsText" dxfId="604" priority="898" operator="containsText" text="FC">
      <formula>NOT(ISERROR(SEARCH("FC",RL7)))</formula>
    </cfRule>
  </conditionalFormatting>
  <conditionalFormatting sqref="RO40:RO70">
    <cfRule type="cellIs" dxfId="603" priority="924" operator="lessThan">
      <formula>0</formula>
    </cfRule>
    <cfRule type="cellIs" dxfId="602" priority="926" stopIfTrue="1" operator="lessThan">
      <formula>0</formula>
    </cfRule>
    <cfRule type="cellIs" dxfId="601" priority="927" stopIfTrue="1" operator="lessThan">
      <formula>0</formula>
    </cfRule>
    <cfRule type="cellIs" dxfId="600" priority="925" operator="lessThan">
      <formula>0</formula>
    </cfRule>
  </conditionalFormatting>
  <conditionalFormatting sqref="RO72:RO77">
    <cfRule type="cellIs" dxfId="599" priority="916" operator="lessThan">
      <formula>0</formula>
    </cfRule>
    <cfRule type="cellIs" dxfId="598" priority="917" stopIfTrue="1" operator="lessThan">
      <formula>0</formula>
    </cfRule>
    <cfRule type="cellIs" dxfId="597" priority="918" stopIfTrue="1" operator="lessThan">
      <formula>0</formula>
    </cfRule>
    <cfRule type="cellIs" dxfId="596" priority="915" operator="lessThan">
      <formula>0</formula>
    </cfRule>
  </conditionalFormatting>
  <conditionalFormatting sqref="RO79">
    <cfRule type="cellIs" dxfId="595" priority="913" stopIfTrue="1" operator="lessThan">
      <formula>0</formula>
    </cfRule>
    <cfRule type="cellIs" dxfId="594" priority="914" stopIfTrue="1" operator="lessThan">
      <formula>0</formula>
    </cfRule>
    <cfRule type="cellIs" dxfId="593" priority="911" operator="lessThan">
      <formula>0</formula>
    </cfRule>
    <cfRule type="cellIs" dxfId="592" priority="912" operator="lessThan">
      <formula>0</formula>
    </cfRule>
  </conditionalFormatting>
  <conditionalFormatting sqref="RO82">
    <cfRule type="cellIs" dxfId="591" priority="892" stopIfTrue="1" operator="lessThan">
      <formula>0</formula>
    </cfRule>
    <cfRule type="cellIs" dxfId="590" priority="893" stopIfTrue="1" operator="lessThan">
      <formula>0</formula>
    </cfRule>
  </conditionalFormatting>
  <conditionalFormatting sqref="RO82:RQ82">
    <cfRule type="cellIs" dxfId="589" priority="894" stopIfTrue="1" operator="lessThan">
      <formula>0</formula>
    </cfRule>
    <cfRule type="cellIs" dxfId="588" priority="895" stopIfTrue="1" operator="lessThan">
      <formula>0</formula>
    </cfRule>
  </conditionalFormatting>
  <conditionalFormatting sqref="RO82:RQ94">
    <cfRule type="cellIs" dxfId="587" priority="897" stopIfTrue="1" operator="lessThan">
      <formula>0</formula>
    </cfRule>
    <cfRule type="cellIs" dxfId="586" priority="896" stopIfTrue="1" operator="lessThan">
      <formula>0</formula>
    </cfRule>
  </conditionalFormatting>
  <conditionalFormatting sqref="RP38">
    <cfRule type="cellIs" dxfId="585" priority="909" operator="lessThan">
      <formula>0</formula>
    </cfRule>
  </conditionalFormatting>
  <conditionalFormatting sqref="RP40:RP70">
    <cfRule type="cellIs" dxfId="584" priority="923" operator="greaterThan">
      <formula>0</formula>
    </cfRule>
  </conditionalFormatting>
  <conditionalFormatting sqref="RP70">
    <cfRule type="cellIs" dxfId="583" priority="908" operator="lessThan">
      <formula>0</formula>
    </cfRule>
  </conditionalFormatting>
  <conditionalFormatting sqref="RP72:RP77">
    <cfRule type="cellIs" dxfId="582" priority="906" operator="greaterThan">
      <formula>0</formula>
    </cfRule>
  </conditionalFormatting>
  <conditionalFormatting sqref="RP77">
    <cfRule type="cellIs" dxfId="581" priority="907" operator="lessThan">
      <formula>0</formula>
    </cfRule>
  </conditionalFormatting>
  <conditionalFormatting sqref="RP79">
    <cfRule type="cellIs" dxfId="580" priority="905" operator="lessThan">
      <formula>0</formula>
    </cfRule>
    <cfRule type="cellIs" dxfId="579" priority="904" operator="greaterThan">
      <formula>0</formula>
    </cfRule>
  </conditionalFormatting>
  <conditionalFormatting sqref="RP7:RQ7">
    <cfRule type="containsText" dxfId="578" priority="903" operator="containsText" text="FC">
      <formula>NOT(ISERROR(SEARCH("FC",RP7)))</formula>
    </cfRule>
  </conditionalFormatting>
  <conditionalFormatting sqref="RQ40:RQ70 RQ72:RQ77 RQ79">
    <cfRule type="cellIs" dxfId="577" priority="902" stopIfTrue="1" operator="lessThan">
      <formula>0</formula>
    </cfRule>
    <cfRule type="cellIs" dxfId="576" priority="901" stopIfTrue="1" operator="lessThan">
      <formula>0</formula>
    </cfRule>
    <cfRule type="cellIs" dxfId="575" priority="900" operator="lessThan">
      <formula>0</formula>
    </cfRule>
    <cfRule type="cellIs" dxfId="574" priority="899" operator="lessThan">
      <formula>0</formula>
    </cfRule>
  </conditionalFormatting>
  <conditionalFormatting sqref="RS40:RS70">
    <cfRule type="cellIs" dxfId="573" priority="891" stopIfTrue="1" operator="lessThan">
      <formula>0</formula>
    </cfRule>
    <cfRule type="cellIs" dxfId="572" priority="888" operator="lessThan">
      <formula>0</formula>
    </cfRule>
    <cfRule type="cellIs" dxfId="571" priority="889" operator="lessThan">
      <formula>0</formula>
    </cfRule>
    <cfRule type="cellIs" dxfId="570" priority="890" stopIfTrue="1" operator="lessThan">
      <formula>0</formula>
    </cfRule>
  </conditionalFormatting>
  <conditionalFormatting sqref="RS72:RS77">
    <cfRule type="cellIs" dxfId="569" priority="881" operator="lessThan">
      <formula>0</formula>
    </cfRule>
    <cfRule type="cellIs" dxfId="568" priority="883" stopIfTrue="1" operator="lessThan">
      <formula>0</formula>
    </cfRule>
    <cfRule type="cellIs" dxfId="567" priority="880" operator="lessThan">
      <formula>0</formula>
    </cfRule>
    <cfRule type="cellIs" dxfId="566" priority="882" stopIfTrue="1" operator="lessThan">
      <formula>0</formula>
    </cfRule>
  </conditionalFormatting>
  <conditionalFormatting sqref="RS79">
    <cfRule type="cellIs" dxfId="565" priority="876" operator="lessThan">
      <formula>0</formula>
    </cfRule>
    <cfRule type="cellIs" dxfId="564" priority="877" operator="lessThan">
      <formula>0</formula>
    </cfRule>
    <cfRule type="cellIs" dxfId="563" priority="878" stopIfTrue="1" operator="lessThan">
      <formula>0</formula>
    </cfRule>
    <cfRule type="cellIs" dxfId="562" priority="879" stopIfTrue="1" operator="lessThan">
      <formula>0</formula>
    </cfRule>
  </conditionalFormatting>
  <conditionalFormatting sqref="RT7:RV7">
    <cfRule type="containsText" dxfId="561" priority="846" operator="containsText" text="FC">
      <formula>NOT(ISERROR(SEARCH("FC",RT7)))</formula>
    </cfRule>
  </conditionalFormatting>
  <conditionalFormatting sqref="RW40:RW70">
    <cfRule type="cellIs" dxfId="560" priority="873" operator="lessThan">
      <formula>0</formula>
    </cfRule>
    <cfRule type="cellIs" dxfId="559" priority="875" stopIfTrue="1" operator="lessThan">
      <formula>0</formula>
    </cfRule>
    <cfRule type="cellIs" dxfId="558" priority="872" operator="lessThan">
      <formula>0</formula>
    </cfRule>
    <cfRule type="cellIs" dxfId="557" priority="874" stopIfTrue="1" operator="lessThan">
      <formula>0</formula>
    </cfRule>
  </conditionalFormatting>
  <conditionalFormatting sqref="RW72:RW77">
    <cfRule type="cellIs" dxfId="556" priority="866" stopIfTrue="1" operator="lessThan">
      <formula>0</formula>
    </cfRule>
    <cfRule type="cellIs" dxfId="555" priority="865" stopIfTrue="1" operator="lessThan">
      <formula>0</formula>
    </cfRule>
    <cfRule type="cellIs" dxfId="554" priority="864" operator="lessThan">
      <formula>0</formula>
    </cfRule>
    <cfRule type="cellIs" dxfId="553" priority="863" operator="lessThan">
      <formula>0</formula>
    </cfRule>
  </conditionalFormatting>
  <conditionalFormatting sqref="RW79">
    <cfRule type="cellIs" dxfId="552" priority="860" operator="lessThan">
      <formula>0</formula>
    </cfRule>
    <cfRule type="cellIs" dxfId="551" priority="859" operator="lessThan">
      <formula>0</formula>
    </cfRule>
    <cfRule type="cellIs" dxfId="550" priority="862" stopIfTrue="1" operator="lessThan">
      <formula>0</formula>
    </cfRule>
    <cfRule type="cellIs" dxfId="549" priority="861" stopIfTrue="1" operator="lessThan">
      <formula>0</formula>
    </cfRule>
  </conditionalFormatting>
  <conditionalFormatting sqref="RW82">
    <cfRule type="cellIs" dxfId="548" priority="840" stopIfTrue="1" operator="lessThan">
      <formula>0</formula>
    </cfRule>
    <cfRule type="cellIs" dxfId="547" priority="841" stopIfTrue="1" operator="lessThan">
      <formula>0</formula>
    </cfRule>
  </conditionalFormatting>
  <conditionalFormatting sqref="RW82:RY82">
    <cfRule type="cellIs" dxfId="546" priority="843" stopIfTrue="1" operator="lessThan">
      <formula>0</formula>
    </cfRule>
    <cfRule type="cellIs" dxfId="545" priority="842" stopIfTrue="1" operator="lessThan">
      <formula>0</formula>
    </cfRule>
  </conditionalFormatting>
  <conditionalFormatting sqref="RW82:RY94">
    <cfRule type="cellIs" dxfId="544" priority="844" stopIfTrue="1" operator="lessThan">
      <formula>0</formula>
    </cfRule>
    <cfRule type="cellIs" dxfId="543" priority="845" stopIfTrue="1" operator="lessThan">
      <formula>0</formula>
    </cfRule>
  </conditionalFormatting>
  <conditionalFormatting sqref="RX38">
    <cfRule type="cellIs" dxfId="542" priority="857" operator="lessThan">
      <formula>0</formula>
    </cfRule>
  </conditionalFormatting>
  <conditionalFormatting sqref="RX40:RX70">
    <cfRule type="cellIs" dxfId="541" priority="871" operator="greaterThan">
      <formula>0</formula>
    </cfRule>
  </conditionalFormatting>
  <conditionalFormatting sqref="RX70">
    <cfRule type="cellIs" dxfId="540" priority="856" operator="lessThan">
      <formula>0</formula>
    </cfRule>
  </conditionalFormatting>
  <conditionalFormatting sqref="RX72:RX77">
    <cfRule type="cellIs" dxfId="539" priority="854" operator="greaterThan">
      <formula>0</formula>
    </cfRule>
  </conditionalFormatting>
  <conditionalFormatting sqref="RX77">
    <cfRule type="cellIs" dxfId="538" priority="855" operator="lessThan">
      <formula>0</formula>
    </cfRule>
  </conditionalFormatting>
  <conditionalFormatting sqref="RX79">
    <cfRule type="cellIs" dxfId="537" priority="852" operator="greaterThan">
      <formula>0</formula>
    </cfRule>
    <cfRule type="cellIs" dxfId="536" priority="853" operator="lessThan">
      <formula>0</formula>
    </cfRule>
  </conditionalFormatting>
  <conditionalFormatting sqref="RX7:RY7">
    <cfRule type="containsText" dxfId="535" priority="851" operator="containsText" text="FC">
      <formula>NOT(ISERROR(SEARCH("FC",RX7)))</formula>
    </cfRule>
  </conditionalFormatting>
  <conditionalFormatting sqref="RY40:RY70 RY72:RY77 RY79">
    <cfRule type="cellIs" dxfId="534" priority="850" stopIfTrue="1" operator="lessThan">
      <formula>0</formula>
    </cfRule>
    <cfRule type="cellIs" dxfId="533" priority="849" stopIfTrue="1" operator="lessThan">
      <formula>0</formula>
    </cfRule>
    <cfRule type="cellIs" dxfId="532" priority="848" operator="lessThan">
      <formula>0</formula>
    </cfRule>
    <cfRule type="cellIs" dxfId="531" priority="847" operator="lessThan">
      <formula>0</formula>
    </cfRule>
  </conditionalFormatting>
  <conditionalFormatting sqref="SA40:SA70">
    <cfRule type="cellIs" dxfId="530" priority="839" stopIfTrue="1" operator="lessThan">
      <formula>0</formula>
    </cfRule>
    <cfRule type="cellIs" dxfId="529" priority="836" operator="lessThan">
      <formula>0</formula>
    </cfRule>
    <cfRule type="cellIs" dxfId="528" priority="837" operator="lessThan">
      <formula>0</formula>
    </cfRule>
    <cfRule type="cellIs" dxfId="527" priority="838" stopIfTrue="1" operator="lessThan">
      <formula>0</formula>
    </cfRule>
  </conditionalFormatting>
  <conditionalFormatting sqref="SA72:SA77">
    <cfRule type="cellIs" dxfId="526" priority="829" operator="lessThan">
      <formula>0</formula>
    </cfRule>
    <cfRule type="cellIs" dxfId="525" priority="830" stopIfTrue="1" operator="lessThan">
      <formula>0</formula>
    </cfRule>
    <cfRule type="cellIs" dxfId="524" priority="831" stopIfTrue="1" operator="lessThan">
      <formula>0</formula>
    </cfRule>
    <cfRule type="cellIs" dxfId="523" priority="828" operator="lessThan">
      <formula>0</formula>
    </cfRule>
  </conditionalFormatting>
  <conditionalFormatting sqref="SA79">
    <cfRule type="cellIs" dxfId="522" priority="824" operator="lessThan">
      <formula>0</formula>
    </cfRule>
    <cfRule type="cellIs" dxfId="521" priority="825" operator="lessThan">
      <formula>0</formula>
    </cfRule>
    <cfRule type="cellIs" dxfId="520" priority="826" stopIfTrue="1" operator="lessThan">
      <formula>0</formula>
    </cfRule>
    <cfRule type="cellIs" dxfId="519" priority="827" stopIfTrue="1" operator="lessThan">
      <formula>0</formula>
    </cfRule>
  </conditionalFormatting>
  <conditionalFormatting sqref="SB7:SD7">
    <cfRule type="containsText" dxfId="518" priority="794" operator="containsText" text="FC">
      <formula>NOT(ISERROR(SEARCH("FC",SB7)))</formula>
    </cfRule>
  </conditionalFormatting>
  <conditionalFormatting sqref="SE40:SE70">
    <cfRule type="cellIs" dxfId="517" priority="823" stopIfTrue="1" operator="lessThan">
      <formula>0</formula>
    </cfRule>
    <cfRule type="cellIs" dxfId="516" priority="822" stopIfTrue="1" operator="lessThan">
      <formula>0</formula>
    </cfRule>
    <cfRule type="cellIs" dxfId="515" priority="821" operator="lessThan">
      <formula>0</formula>
    </cfRule>
    <cfRule type="cellIs" dxfId="514" priority="820" operator="lessThan">
      <formula>0</formula>
    </cfRule>
  </conditionalFormatting>
  <conditionalFormatting sqref="SE72:SE77">
    <cfRule type="cellIs" dxfId="513" priority="813" stopIfTrue="1" operator="lessThan">
      <formula>0</formula>
    </cfRule>
    <cfRule type="cellIs" dxfId="512" priority="814" stopIfTrue="1" operator="lessThan">
      <formula>0</formula>
    </cfRule>
    <cfRule type="cellIs" dxfId="511" priority="812" operator="lessThan">
      <formula>0</formula>
    </cfRule>
    <cfRule type="cellIs" dxfId="510" priority="811" operator="lessThan">
      <formula>0</formula>
    </cfRule>
  </conditionalFormatting>
  <conditionalFormatting sqref="SE79">
    <cfRule type="cellIs" dxfId="509" priority="810" stopIfTrue="1" operator="lessThan">
      <formula>0</formula>
    </cfRule>
    <cfRule type="cellIs" dxfId="508" priority="809" stopIfTrue="1" operator="lessThan">
      <formula>0</formula>
    </cfRule>
    <cfRule type="cellIs" dxfId="507" priority="808" operator="lessThan">
      <formula>0</formula>
    </cfRule>
    <cfRule type="cellIs" dxfId="506" priority="807" operator="lessThan">
      <formula>0</formula>
    </cfRule>
  </conditionalFormatting>
  <conditionalFormatting sqref="SE82">
    <cfRule type="cellIs" dxfId="505" priority="789" stopIfTrue="1" operator="lessThan">
      <formula>0</formula>
    </cfRule>
    <cfRule type="cellIs" dxfId="504" priority="788" stopIfTrue="1" operator="lessThan">
      <formula>0</formula>
    </cfRule>
  </conditionalFormatting>
  <conditionalFormatting sqref="SE82:SG82">
    <cfRule type="cellIs" dxfId="503" priority="790" stopIfTrue="1" operator="lessThan">
      <formula>0</formula>
    </cfRule>
    <cfRule type="cellIs" dxfId="502" priority="791" stopIfTrue="1" operator="lessThan">
      <formula>0</formula>
    </cfRule>
  </conditionalFormatting>
  <conditionalFormatting sqref="SE82:SG94">
    <cfRule type="cellIs" dxfId="501" priority="792" stopIfTrue="1" operator="lessThan">
      <formula>0</formula>
    </cfRule>
    <cfRule type="cellIs" dxfId="500" priority="793" stopIfTrue="1" operator="lessThan">
      <formula>0</formula>
    </cfRule>
  </conditionalFormatting>
  <conditionalFormatting sqref="SF38">
    <cfRule type="cellIs" dxfId="499" priority="805" operator="lessThan">
      <formula>0</formula>
    </cfRule>
  </conditionalFormatting>
  <conditionalFormatting sqref="SF40:SF70">
    <cfRule type="cellIs" dxfId="498" priority="819" operator="greaterThan">
      <formula>0</formula>
    </cfRule>
  </conditionalFormatting>
  <conditionalFormatting sqref="SF70">
    <cfRule type="cellIs" dxfId="497" priority="804" operator="lessThan">
      <formula>0</formula>
    </cfRule>
  </conditionalFormatting>
  <conditionalFormatting sqref="SF72:SF77">
    <cfRule type="cellIs" dxfId="496" priority="802" operator="greaterThan">
      <formula>0</formula>
    </cfRule>
  </conditionalFormatting>
  <conditionalFormatting sqref="SF77">
    <cfRule type="cellIs" dxfId="495" priority="803" operator="lessThan">
      <formula>0</formula>
    </cfRule>
  </conditionalFormatting>
  <conditionalFormatting sqref="SF79">
    <cfRule type="cellIs" dxfId="494" priority="800" operator="greaterThan">
      <formula>0</formula>
    </cfRule>
    <cfRule type="cellIs" dxfId="493" priority="801" operator="lessThan">
      <formula>0</formula>
    </cfRule>
  </conditionalFormatting>
  <conditionalFormatting sqref="SF7:SG7">
    <cfRule type="containsText" dxfId="492" priority="799" operator="containsText" text="FC">
      <formula>NOT(ISERROR(SEARCH("FC",SF7)))</formula>
    </cfRule>
  </conditionalFormatting>
  <conditionalFormatting sqref="SG40:SG70 SG72:SG77 SG79">
    <cfRule type="cellIs" dxfId="491" priority="795" operator="lessThan">
      <formula>0</formula>
    </cfRule>
    <cfRule type="cellIs" dxfId="490" priority="797" stopIfTrue="1" operator="lessThan">
      <formula>0</formula>
    </cfRule>
    <cfRule type="cellIs" dxfId="489" priority="798" stopIfTrue="1" operator="lessThan">
      <formula>0</formula>
    </cfRule>
    <cfRule type="cellIs" dxfId="488" priority="796" operator="lessThan">
      <formula>0</formula>
    </cfRule>
  </conditionalFormatting>
  <conditionalFormatting sqref="SI40:SI70">
    <cfRule type="cellIs" dxfId="487" priority="784" operator="lessThan">
      <formula>0</formula>
    </cfRule>
    <cfRule type="cellIs" dxfId="486" priority="785" operator="lessThan">
      <formula>0</formula>
    </cfRule>
    <cfRule type="cellIs" dxfId="485" priority="786" stopIfTrue="1" operator="lessThan">
      <formula>0</formula>
    </cfRule>
    <cfRule type="cellIs" dxfId="484" priority="787" stopIfTrue="1" operator="lessThan">
      <formula>0</formula>
    </cfRule>
  </conditionalFormatting>
  <conditionalFormatting sqref="SI72:SI77">
    <cfRule type="cellIs" dxfId="483" priority="776" operator="lessThan">
      <formula>0</formula>
    </cfRule>
    <cfRule type="cellIs" dxfId="482" priority="779" stopIfTrue="1" operator="lessThan">
      <formula>0</formula>
    </cfRule>
    <cfRule type="cellIs" dxfId="481" priority="778" stopIfTrue="1" operator="lessThan">
      <formula>0</formula>
    </cfRule>
    <cfRule type="cellIs" dxfId="480" priority="777" operator="lessThan">
      <formula>0</formula>
    </cfRule>
  </conditionalFormatting>
  <conditionalFormatting sqref="SI79">
    <cfRule type="cellIs" dxfId="479" priority="775" stopIfTrue="1" operator="lessThan">
      <formula>0</formula>
    </cfRule>
    <cfRule type="cellIs" dxfId="478" priority="774" stopIfTrue="1" operator="lessThan">
      <formula>0</formula>
    </cfRule>
    <cfRule type="cellIs" dxfId="477" priority="772" operator="lessThan">
      <formula>0</formula>
    </cfRule>
    <cfRule type="cellIs" dxfId="476" priority="773" operator="lessThan">
      <formula>0</formula>
    </cfRule>
  </conditionalFormatting>
  <conditionalFormatting sqref="SJ7:SL7">
    <cfRule type="containsText" dxfId="475" priority="742" operator="containsText" text="FC">
      <formula>NOT(ISERROR(SEARCH("FC",SJ7)))</formula>
    </cfRule>
  </conditionalFormatting>
  <conditionalFormatting sqref="SM40:SM70">
    <cfRule type="cellIs" dxfId="474" priority="771" stopIfTrue="1" operator="lessThan">
      <formula>0</formula>
    </cfRule>
    <cfRule type="cellIs" dxfId="473" priority="770" stopIfTrue="1" operator="lessThan">
      <formula>0</formula>
    </cfRule>
    <cfRule type="cellIs" dxfId="472" priority="769" operator="lessThan">
      <formula>0</formula>
    </cfRule>
    <cfRule type="cellIs" dxfId="471" priority="768" operator="lessThan">
      <formula>0</formula>
    </cfRule>
  </conditionalFormatting>
  <conditionalFormatting sqref="SM72:SM77">
    <cfRule type="cellIs" dxfId="470" priority="759" operator="lessThan">
      <formula>0</formula>
    </cfRule>
    <cfRule type="cellIs" dxfId="469" priority="762" stopIfTrue="1" operator="lessThan">
      <formula>0</formula>
    </cfRule>
    <cfRule type="cellIs" dxfId="468" priority="761" stopIfTrue="1" operator="lessThan">
      <formula>0</formula>
    </cfRule>
    <cfRule type="cellIs" dxfId="467" priority="760" operator="lessThan">
      <formula>0</formula>
    </cfRule>
  </conditionalFormatting>
  <conditionalFormatting sqref="SM79">
    <cfRule type="cellIs" dxfId="466" priority="758" stopIfTrue="1" operator="lessThan">
      <formula>0</formula>
    </cfRule>
    <cfRule type="cellIs" dxfId="465" priority="757" stopIfTrue="1" operator="lessThan">
      <formula>0</formula>
    </cfRule>
    <cfRule type="cellIs" dxfId="464" priority="756" operator="lessThan">
      <formula>0</formula>
    </cfRule>
    <cfRule type="cellIs" dxfId="463" priority="755" operator="lessThan">
      <formula>0</formula>
    </cfRule>
  </conditionalFormatting>
  <conditionalFormatting sqref="SM82">
    <cfRule type="cellIs" dxfId="462" priority="737" stopIfTrue="1" operator="lessThan">
      <formula>0</formula>
    </cfRule>
    <cfRule type="cellIs" dxfId="461" priority="736" stopIfTrue="1" operator="lessThan">
      <formula>0</formula>
    </cfRule>
  </conditionalFormatting>
  <conditionalFormatting sqref="SM82:SO82">
    <cfRule type="cellIs" dxfId="460" priority="738" stopIfTrue="1" operator="lessThan">
      <formula>0</formula>
    </cfRule>
    <cfRule type="cellIs" dxfId="459" priority="739" stopIfTrue="1" operator="lessThan">
      <formula>0</formula>
    </cfRule>
  </conditionalFormatting>
  <conditionalFormatting sqref="SM82:SO94">
    <cfRule type="cellIs" dxfId="458" priority="740" stopIfTrue="1" operator="lessThan">
      <formula>0</formula>
    </cfRule>
    <cfRule type="cellIs" dxfId="457" priority="741" stopIfTrue="1" operator="lessThan">
      <formula>0</formula>
    </cfRule>
  </conditionalFormatting>
  <conditionalFormatting sqref="SN38">
    <cfRule type="cellIs" dxfId="456" priority="753" operator="lessThan">
      <formula>0</formula>
    </cfRule>
  </conditionalFormatting>
  <conditionalFormatting sqref="SN40:SN70">
    <cfRule type="cellIs" dxfId="455" priority="767" operator="greaterThan">
      <formula>0</formula>
    </cfRule>
  </conditionalFormatting>
  <conditionalFormatting sqref="SN70">
    <cfRule type="cellIs" dxfId="454" priority="752" operator="lessThan">
      <formula>0</formula>
    </cfRule>
  </conditionalFormatting>
  <conditionalFormatting sqref="SN72:SN77">
    <cfRule type="cellIs" dxfId="453" priority="750" operator="greaterThan">
      <formula>0</formula>
    </cfRule>
  </conditionalFormatting>
  <conditionalFormatting sqref="SN77">
    <cfRule type="cellIs" dxfId="452" priority="751" operator="lessThan">
      <formula>0</formula>
    </cfRule>
  </conditionalFormatting>
  <conditionalFormatting sqref="SN79">
    <cfRule type="cellIs" dxfId="451" priority="749" operator="lessThan">
      <formula>0</formula>
    </cfRule>
    <cfRule type="cellIs" dxfId="450" priority="748" operator="greaterThan">
      <formula>0</formula>
    </cfRule>
  </conditionalFormatting>
  <conditionalFormatting sqref="SN7:SO7">
    <cfRule type="containsText" dxfId="449" priority="747" operator="containsText" text="FC">
      <formula>NOT(ISERROR(SEARCH("FC",SN7)))</formula>
    </cfRule>
  </conditionalFormatting>
  <conditionalFormatting sqref="SO40:SO70 SO72:SO77 SO79">
    <cfRule type="cellIs" dxfId="448" priority="746" stopIfTrue="1" operator="lessThan">
      <formula>0</formula>
    </cfRule>
    <cfRule type="cellIs" dxfId="447" priority="745" stopIfTrue="1" operator="lessThan">
      <formula>0</formula>
    </cfRule>
    <cfRule type="cellIs" dxfId="446" priority="744" operator="lessThan">
      <formula>0</formula>
    </cfRule>
    <cfRule type="cellIs" dxfId="445" priority="743" operator="lessThan">
      <formula>0</formula>
    </cfRule>
  </conditionalFormatting>
  <conditionalFormatting sqref="SQ40:SQ70">
    <cfRule type="cellIs" dxfId="444" priority="733" operator="lessThan">
      <formula>0</formula>
    </cfRule>
    <cfRule type="cellIs" dxfId="443" priority="734" stopIfTrue="1" operator="lessThan">
      <formula>0</formula>
    </cfRule>
    <cfRule type="cellIs" dxfId="442" priority="735" stopIfTrue="1" operator="lessThan">
      <formula>0</formula>
    </cfRule>
    <cfRule type="cellIs" dxfId="441" priority="732" operator="lessThan">
      <formula>0</formula>
    </cfRule>
  </conditionalFormatting>
  <conditionalFormatting sqref="SQ72:SQ77">
    <cfRule type="cellIs" dxfId="440" priority="725" operator="lessThan">
      <formula>0</formula>
    </cfRule>
    <cfRule type="cellIs" dxfId="439" priority="727" stopIfTrue="1" operator="lessThan">
      <formula>0</formula>
    </cfRule>
    <cfRule type="cellIs" dxfId="438" priority="724" operator="lessThan">
      <formula>0</formula>
    </cfRule>
    <cfRule type="cellIs" dxfId="437" priority="726" stopIfTrue="1" operator="lessThan">
      <formula>0</formula>
    </cfRule>
  </conditionalFormatting>
  <conditionalFormatting sqref="SQ79">
    <cfRule type="cellIs" dxfId="436" priority="723" stopIfTrue="1" operator="lessThan">
      <formula>0</formula>
    </cfRule>
    <cfRule type="cellIs" dxfId="435" priority="722" stopIfTrue="1" operator="lessThan">
      <formula>0</formula>
    </cfRule>
    <cfRule type="cellIs" dxfId="434" priority="720" operator="lessThan">
      <formula>0</formula>
    </cfRule>
    <cfRule type="cellIs" dxfId="433" priority="721" operator="lessThan">
      <formula>0</formula>
    </cfRule>
  </conditionalFormatting>
  <conditionalFormatting sqref="SR7:ST7">
    <cfRule type="containsText" dxfId="432" priority="690" operator="containsText" text="FC">
      <formula>NOT(ISERROR(SEARCH("FC",SR7)))</formula>
    </cfRule>
  </conditionalFormatting>
  <conditionalFormatting sqref="SU40:SU70">
    <cfRule type="cellIs" dxfId="431" priority="718" stopIfTrue="1" operator="lessThan">
      <formula>0</formula>
    </cfRule>
    <cfRule type="cellIs" dxfId="430" priority="716" operator="lessThan">
      <formula>0</formula>
    </cfRule>
    <cfRule type="cellIs" dxfId="429" priority="717" operator="lessThan">
      <formula>0</formula>
    </cfRule>
    <cfRule type="cellIs" dxfId="428" priority="719" stopIfTrue="1" operator="lessThan">
      <formula>0</formula>
    </cfRule>
  </conditionalFormatting>
  <conditionalFormatting sqref="SU72:SU77">
    <cfRule type="cellIs" dxfId="427" priority="710" stopIfTrue="1" operator="lessThan">
      <formula>0</formula>
    </cfRule>
    <cfRule type="cellIs" dxfId="426" priority="709" stopIfTrue="1" operator="lessThan">
      <formula>0</formula>
    </cfRule>
    <cfRule type="cellIs" dxfId="425" priority="708" operator="lessThan">
      <formula>0</formula>
    </cfRule>
    <cfRule type="cellIs" dxfId="424" priority="707" operator="lessThan">
      <formula>0</formula>
    </cfRule>
  </conditionalFormatting>
  <conditionalFormatting sqref="SU79">
    <cfRule type="cellIs" dxfId="423" priority="705" stopIfTrue="1" operator="lessThan">
      <formula>0</formula>
    </cfRule>
    <cfRule type="cellIs" dxfId="422" priority="706" stopIfTrue="1" operator="lessThan">
      <formula>0</formula>
    </cfRule>
    <cfRule type="cellIs" dxfId="421" priority="703" operator="lessThan">
      <formula>0</formula>
    </cfRule>
    <cfRule type="cellIs" dxfId="420" priority="704" operator="lessThan">
      <formula>0</formula>
    </cfRule>
  </conditionalFormatting>
  <conditionalFormatting sqref="SU82">
    <cfRule type="cellIs" dxfId="419" priority="685" stopIfTrue="1" operator="lessThan">
      <formula>0</formula>
    </cfRule>
    <cfRule type="cellIs" dxfId="418" priority="684" stopIfTrue="1" operator="lessThan">
      <formula>0</formula>
    </cfRule>
  </conditionalFormatting>
  <conditionalFormatting sqref="SU82:SW82">
    <cfRule type="cellIs" dxfId="417" priority="687" stopIfTrue="1" operator="lessThan">
      <formula>0</formula>
    </cfRule>
    <cfRule type="cellIs" dxfId="416" priority="686" stopIfTrue="1" operator="lessThan">
      <formula>0</formula>
    </cfRule>
  </conditionalFormatting>
  <conditionalFormatting sqref="SU82:SW94">
    <cfRule type="cellIs" dxfId="415" priority="688" stopIfTrue="1" operator="lessThan">
      <formula>0</formula>
    </cfRule>
    <cfRule type="cellIs" dxfId="414" priority="689" stopIfTrue="1" operator="lessThan">
      <formula>0</formula>
    </cfRule>
  </conditionalFormatting>
  <conditionalFormatting sqref="SV38">
    <cfRule type="cellIs" dxfId="413" priority="701" operator="lessThan">
      <formula>0</formula>
    </cfRule>
  </conditionalFormatting>
  <conditionalFormatting sqref="SV40:SV70">
    <cfRule type="cellIs" dxfId="412" priority="715" operator="greaterThan">
      <formula>0</formula>
    </cfRule>
  </conditionalFormatting>
  <conditionalFormatting sqref="SV70">
    <cfRule type="cellIs" dxfId="411" priority="700" operator="lessThan">
      <formula>0</formula>
    </cfRule>
  </conditionalFormatting>
  <conditionalFormatting sqref="SV72:SV77">
    <cfRule type="cellIs" dxfId="410" priority="698" operator="greaterThan">
      <formula>0</formula>
    </cfRule>
  </conditionalFormatting>
  <conditionalFormatting sqref="SV77">
    <cfRule type="cellIs" dxfId="409" priority="699" operator="lessThan">
      <formula>0</formula>
    </cfRule>
  </conditionalFormatting>
  <conditionalFormatting sqref="SV79">
    <cfRule type="cellIs" dxfId="408" priority="696" operator="greaterThan">
      <formula>0</formula>
    </cfRule>
    <cfRule type="cellIs" dxfId="407" priority="697" operator="lessThan">
      <formula>0</formula>
    </cfRule>
  </conditionalFormatting>
  <conditionalFormatting sqref="SV7:SW7">
    <cfRule type="containsText" dxfId="406" priority="695" operator="containsText" text="FC">
      <formula>NOT(ISERROR(SEARCH("FC",SV7)))</formula>
    </cfRule>
  </conditionalFormatting>
  <conditionalFormatting sqref="SW40:SW70 SW72:SW77 SW79">
    <cfRule type="cellIs" dxfId="405" priority="694" stopIfTrue="1" operator="lessThan">
      <formula>0</formula>
    </cfRule>
    <cfRule type="cellIs" dxfId="404" priority="691" operator="lessThan">
      <formula>0</formula>
    </cfRule>
    <cfRule type="cellIs" dxfId="403" priority="693" stopIfTrue="1" operator="lessThan">
      <formula>0</formula>
    </cfRule>
    <cfRule type="cellIs" dxfId="402" priority="692" operator="lessThan">
      <formula>0</formula>
    </cfRule>
  </conditionalFormatting>
  <conditionalFormatting sqref="SY40:SY70">
    <cfRule type="cellIs" dxfId="401" priority="681" operator="lessThan">
      <formula>0</formula>
    </cfRule>
    <cfRule type="cellIs" dxfId="400" priority="680" operator="lessThan">
      <formula>0</formula>
    </cfRule>
    <cfRule type="cellIs" dxfId="399" priority="682" stopIfTrue="1" operator="lessThan">
      <formula>0</formula>
    </cfRule>
    <cfRule type="cellIs" dxfId="398" priority="683" stopIfTrue="1" operator="lessThan">
      <formula>0</formula>
    </cfRule>
  </conditionalFormatting>
  <conditionalFormatting sqref="SY72:SY77">
    <cfRule type="cellIs" dxfId="397" priority="672" operator="lessThan">
      <formula>0</formula>
    </cfRule>
    <cfRule type="cellIs" dxfId="396" priority="673" operator="lessThan">
      <formula>0</formula>
    </cfRule>
    <cfRule type="cellIs" dxfId="395" priority="674" stopIfTrue="1" operator="lessThan">
      <formula>0</formula>
    </cfRule>
    <cfRule type="cellIs" dxfId="394" priority="675" stopIfTrue="1" operator="lessThan">
      <formula>0</formula>
    </cfRule>
  </conditionalFormatting>
  <conditionalFormatting sqref="SY79">
    <cfRule type="cellIs" dxfId="393" priority="671" stopIfTrue="1" operator="lessThan">
      <formula>0</formula>
    </cfRule>
    <cfRule type="cellIs" dxfId="392" priority="669" operator="lessThan">
      <formula>0</formula>
    </cfRule>
    <cfRule type="cellIs" dxfId="391" priority="668" operator="lessThan">
      <formula>0</formula>
    </cfRule>
    <cfRule type="cellIs" dxfId="390" priority="670" stopIfTrue="1" operator="lessThan">
      <formula>0</formula>
    </cfRule>
  </conditionalFormatting>
  <conditionalFormatting sqref="SZ7:TB7">
    <cfRule type="containsText" dxfId="389" priority="638" operator="containsText" text="FC">
      <formula>NOT(ISERROR(SEARCH("FC",SZ7)))</formula>
    </cfRule>
  </conditionalFormatting>
  <conditionalFormatting sqref="TC40:TC70">
    <cfRule type="cellIs" dxfId="388" priority="667" stopIfTrue="1" operator="lessThan">
      <formula>0</formula>
    </cfRule>
    <cfRule type="cellIs" dxfId="387" priority="666" stopIfTrue="1" operator="lessThan">
      <formula>0</formula>
    </cfRule>
    <cfRule type="cellIs" dxfId="386" priority="665" operator="lessThan">
      <formula>0</formula>
    </cfRule>
    <cfRule type="cellIs" dxfId="385" priority="664" operator="lessThan">
      <formula>0</formula>
    </cfRule>
  </conditionalFormatting>
  <conditionalFormatting sqref="TC72:TC77">
    <cfRule type="cellIs" dxfId="384" priority="658" stopIfTrue="1" operator="lessThan">
      <formula>0</formula>
    </cfRule>
    <cfRule type="cellIs" dxfId="383" priority="657" stopIfTrue="1" operator="lessThan">
      <formula>0</formula>
    </cfRule>
    <cfRule type="cellIs" dxfId="382" priority="656" operator="lessThan">
      <formula>0</formula>
    </cfRule>
    <cfRule type="cellIs" dxfId="381" priority="655" operator="lessThan">
      <formula>0</formula>
    </cfRule>
  </conditionalFormatting>
  <conditionalFormatting sqref="TC79">
    <cfRule type="cellIs" dxfId="380" priority="654" stopIfTrue="1" operator="lessThan">
      <formula>0</formula>
    </cfRule>
    <cfRule type="cellIs" dxfId="379" priority="653" stopIfTrue="1" operator="lessThan">
      <formula>0</formula>
    </cfRule>
    <cfRule type="cellIs" dxfId="378" priority="652" operator="lessThan">
      <formula>0</formula>
    </cfRule>
    <cfRule type="cellIs" dxfId="377" priority="651" operator="lessThan">
      <formula>0</formula>
    </cfRule>
  </conditionalFormatting>
  <conditionalFormatting sqref="TC82">
    <cfRule type="cellIs" dxfId="376" priority="633" stopIfTrue="1" operator="lessThan">
      <formula>0</formula>
    </cfRule>
    <cfRule type="cellIs" dxfId="375" priority="632" stopIfTrue="1" operator="lessThan">
      <formula>0</formula>
    </cfRule>
  </conditionalFormatting>
  <conditionalFormatting sqref="TC82:TE82">
    <cfRule type="cellIs" dxfId="374" priority="635" stopIfTrue="1" operator="lessThan">
      <formula>0</formula>
    </cfRule>
    <cfRule type="cellIs" dxfId="373" priority="634" stopIfTrue="1" operator="lessThan">
      <formula>0</formula>
    </cfRule>
  </conditionalFormatting>
  <conditionalFormatting sqref="TC82:TE94">
    <cfRule type="cellIs" dxfId="372" priority="636" stopIfTrue="1" operator="lessThan">
      <formula>0</formula>
    </cfRule>
    <cfRule type="cellIs" dxfId="371" priority="637" stopIfTrue="1" operator="lessThan">
      <formula>0</formula>
    </cfRule>
  </conditionalFormatting>
  <conditionalFormatting sqref="TD38">
    <cfRule type="cellIs" dxfId="370" priority="649" operator="lessThan">
      <formula>0</formula>
    </cfRule>
  </conditionalFormatting>
  <conditionalFormatting sqref="TD40:TD70">
    <cfRule type="cellIs" dxfId="369" priority="663" operator="greaterThan">
      <formula>0</formula>
    </cfRule>
  </conditionalFormatting>
  <conditionalFormatting sqref="TD70">
    <cfRule type="cellIs" dxfId="368" priority="648" operator="lessThan">
      <formula>0</formula>
    </cfRule>
  </conditionalFormatting>
  <conditionalFormatting sqref="TD72:TD77">
    <cfRule type="cellIs" dxfId="367" priority="646" operator="greaterThan">
      <formula>0</formula>
    </cfRule>
  </conditionalFormatting>
  <conditionalFormatting sqref="TD77">
    <cfRule type="cellIs" dxfId="366" priority="647" operator="lessThan">
      <formula>0</formula>
    </cfRule>
  </conditionalFormatting>
  <conditionalFormatting sqref="TD79">
    <cfRule type="cellIs" dxfId="365" priority="645" operator="lessThan">
      <formula>0</formula>
    </cfRule>
    <cfRule type="cellIs" dxfId="364" priority="644" operator="greaterThan">
      <formula>0</formula>
    </cfRule>
  </conditionalFormatting>
  <conditionalFormatting sqref="TD7:TE7">
    <cfRule type="containsText" dxfId="363" priority="643" operator="containsText" text="FC">
      <formula>NOT(ISERROR(SEARCH("FC",TD7)))</formula>
    </cfRule>
  </conditionalFormatting>
  <conditionalFormatting sqref="TE40:TE70 TE72:TE77 TE79">
    <cfRule type="cellIs" dxfId="362" priority="641" stopIfTrue="1" operator="lessThan">
      <formula>0</formula>
    </cfRule>
    <cfRule type="cellIs" dxfId="361" priority="640" operator="lessThan">
      <formula>0</formula>
    </cfRule>
    <cfRule type="cellIs" dxfId="360" priority="639" operator="lessThan">
      <formula>0</formula>
    </cfRule>
    <cfRule type="cellIs" dxfId="359" priority="642" stopIfTrue="1" operator="lessThan">
      <formula>0</formula>
    </cfRule>
  </conditionalFormatting>
  <conditionalFormatting sqref="TG40:TG70 TO40:TO70">
    <cfRule type="cellIs" dxfId="358" priority="495" stopIfTrue="1" operator="lessThan">
      <formula>0</formula>
    </cfRule>
    <cfRule type="cellIs" dxfId="357" priority="494" stopIfTrue="1" operator="lessThan">
      <formula>0</formula>
    </cfRule>
    <cfRule type="cellIs" dxfId="356" priority="493" operator="lessThan">
      <formula>0</formula>
    </cfRule>
    <cfRule type="cellIs" dxfId="355" priority="492" operator="lessThan">
      <formula>0</formula>
    </cfRule>
  </conditionalFormatting>
  <conditionalFormatting sqref="TG72:TG77 TO72:TO77">
    <cfRule type="cellIs" dxfId="354" priority="487" stopIfTrue="1" operator="lessThan">
      <formula>0</formula>
    </cfRule>
    <cfRule type="cellIs" dxfId="353" priority="486" stopIfTrue="1" operator="lessThan">
      <formula>0</formula>
    </cfRule>
    <cfRule type="cellIs" dxfId="352" priority="485" operator="lessThan">
      <formula>0</formula>
    </cfRule>
    <cfRule type="cellIs" dxfId="351" priority="484" operator="lessThan">
      <formula>0</formula>
    </cfRule>
  </conditionalFormatting>
  <conditionalFormatting sqref="TG79 TO79">
    <cfRule type="cellIs" dxfId="350" priority="483" stopIfTrue="1" operator="lessThan">
      <formula>0</formula>
    </cfRule>
    <cfRule type="cellIs" dxfId="349" priority="482" stopIfTrue="1" operator="lessThan">
      <formula>0</formula>
    </cfRule>
    <cfRule type="cellIs" dxfId="348" priority="481" operator="lessThan">
      <formula>0</formula>
    </cfRule>
    <cfRule type="cellIs" dxfId="347" priority="480" operator="lessThan">
      <formula>0</formula>
    </cfRule>
  </conditionalFormatting>
  <conditionalFormatting sqref="TH7:TJ7">
    <cfRule type="containsText" dxfId="346" priority="450" operator="containsText" text="FC">
      <formula>NOT(ISERROR(SEARCH("FC",TH7)))</formula>
    </cfRule>
  </conditionalFormatting>
  <conditionalFormatting sqref="TK40:TK70">
    <cfRule type="cellIs" dxfId="345" priority="479" stopIfTrue="1" operator="lessThan">
      <formula>0</formula>
    </cfRule>
    <cfRule type="cellIs" dxfId="344" priority="478" stopIfTrue="1" operator="lessThan">
      <formula>0</formula>
    </cfRule>
    <cfRule type="cellIs" dxfId="343" priority="477" operator="lessThan">
      <formula>0</formula>
    </cfRule>
    <cfRule type="cellIs" dxfId="342" priority="476" operator="lessThan">
      <formula>0</formula>
    </cfRule>
  </conditionalFormatting>
  <conditionalFormatting sqref="TK72:TK77">
    <cfRule type="cellIs" dxfId="341" priority="470" stopIfTrue="1" operator="lessThan">
      <formula>0</formula>
    </cfRule>
    <cfRule type="cellIs" dxfId="340" priority="469" stopIfTrue="1" operator="lessThan">
      <formula>0</formula>
    </cfRule>
    <cfRule type="cellIs" dxfId="339" priority="468" operator="lessThan">
      <formula>0</formula>
    </cfRule>
    <cfRule type="cellIs" dxfId="338" priority="467" operator="lessThan">
      <formula>0</formula>
    </cfRule>
  </conditionalFormatting>
  <conditionalFormatting sqref="TK79">
    <cfRule type="cellIs" dxfId="337" priority="466" stopIfTrue="1" operator="lessThan">
      <formula>0</formula>
    </cfRule>
    <cfRule type="cellIs" dxfId="336" priority="465" stopIfTrue="1" operator="lessThan">
      <formula>0</formula>
    </cfRule>
    <cfRule type="cellIs" dxfId="335" priority="464" operator="lessThan">
      <formula>0</formula>
    </cfRule>
    <cfRule type="cellIs" dxfId="334" priority="463" operator="lessThan">
      <formula>0</formula>
    </cfRule>
  </conditionalFormatting>
  <conditionalFormatting sqref="TK82 TS82">
    <cfRule type="cellIs" dxfId="333" priority="415" stopIfTrue="1" operator="lessThan">
      <formula>0</formula>
    </cfRule>
    <cfRule type="cellIs" dxfId="332" priority="414" stopIfTrue="1" operator="lessThan">
      <formula>0</formula>
    </cfRule>
  </conditionalFormatting>
  <conditionalFormatting sqref="TK82:TM82 TS82:TU82">
    <cfRule type="cellIs" dxfId="331" priority="417" stopIfTrue="1" operator="lessThan">
      <formula>0</formula>
    </cfRule>
    <cfRule type="cellIs" dxfId="330" priority="416" stopIfTrue="1" operator="lessThan">
      <formula>0</formula>
    </cfRule>
  </conditionalFormatting>
  <conditionalFormatting sqref="TK82:TM94 TS82:TU94">
    <cfRule type="cellIs" dxfId="329" priority="419" stopIfTrue="1" operator="lessThan">
      <formula>0</formula>
    </cfRule>
    <cfRule type="cellIs" dxfId="328" priority="418" stopIfTrue="1" operator="lessThan">
      <formula>0</formula>
    </cfRule>
  </conditionalFormatting>
  <conditionalFormatting sqref="TL38">
    <cfRule type="cellIs" dxfId="327" priority="461" operator="lessThan">
      <formula>0</formula>
    </cfRule>
  </conditionalFormatting>
  <conditionalFormatting sqref="TL40:TL70">
    <cfRule type="cellIs" dxfId="326" priority="475" operator="greaterThan">
      <formula>0</formula>
    </cfRule>
  </conditionalFormatting>
  <conditionalFormatting sqref="TL70">
    <cfRule type="cellIs" dxfId="325" priority="460" operator="lessThan">
      <formula>0</formula>
    </cfRule>
  </conditionalFormatting>
  <conditionalFormatting sqref="TL72:TL77">
    <cfRule type="cellIs" dxfId="324" priority="458" operator="greaterThan">
      <formula>0</formula>
    </cfRule>
  </conditionalFormatting>
  <conditionalFormatting sqref="TL77">
    <cfRule type="cellIs" dxfId="323" priority="459" operator="lessThan">
      <formula>0</formula>
    </cfRule>
  </conditionalFormatting>
  <conditionalFormatting sqref="TL79">
    <cfRule type="cellIs" dxfId="322" priority="457" operator="lessThan">
      <formula>0</formula>
    </cfRule>
    <cfRule type="cellIs" dxfId="321" priority="456" operator="greaterThan">
      <formula>0</formula>
    </cfRule>
  </conditionalFormatting>
  <conditionalFormatting sqref="TL7:TM7">
    <cfRule type="containsText" dxfId="320" priority="455" operator="containsText" text="FC">
      <formula>NOT(ISERROR(SEARCH("FC",TL7)))</formula>
    </cfRule>
  </conditionalFormatting>
  <conditionalFormatting sqref="TM40:TM70 TM72:TM77 TM79">
    <cfRule type="cellIs" dxfId="319" priority="451" operator="lessThan">
      <formula>0</formula>
    </cfRule>
    <cfRule type="cellIs" dxfId="318" priority="452" operator="lessThan">
      <formula>0</formula>
    </cfRule>
    <cfRule type="cellIs" dxfId="317" priority="453" stopIfTrue="1" operator="lessThan">
      <formula>0</formula>
    </cfRule>
    <cfRule type="cellIs" dxfId="316" priority="454" stopIfTrue="1" operator="lessThan">
      <formula>0</formula>
    </cfRule>
  </conditionalFormatting>
  <conditionalFormatting sqref="TP7:TR7">
    <cfRule type="containsText" dxfId="315" priority="420" operator="containsText" text="FC">
      <formula>NOT(ISERROR(SEARCH("FC",TP7)))</formula>
    </cfRule>
  </conditionalFormatting>
  <conditionalFormatting sqref="TS40:TS70">
    <cfRule type="cellIs" dxfId="314" priority="446" operator="lessThan">
      <formula>0</formula>
    </cfRule>
    <cfRule type="cellIs" dxfId="313" priority="447" operator="lessThan">
      <formula>0</formula>
    </cfRule>
    <cfRule type="cellIs" dxfId="312" priority="448" stopIfTrue="1" operator="lessThan">
      <formula>0</formula>
    </cfRule>
    <cfRule type="cellIs" dxfId="311" priority="449" stopIfTrue="1" operator="lessThan">
      <formula>0</formula>
    </cfRule>
  </conditionalFormatting>
  <conditionalFormatting sqref="TS72:TS77">
    <cfRule type="cellIs" dxfId="310" priority="438" operator="lessThan">
      <formula>0</formula>
    </cfRule>
    <cfRule type="cellIs" dxfId="309" priority="437" operator="lessThan">
      <formula>0</formula>
    </cfRule>
    <cfRule type="cellIs" dxfId="308" priority="440" stopIfTrue="1" operator="lessThan">
      <formula>0</formula>
    </cfRule>
    <cfRule type="cellIs" dxfId="307" priority="439" stopIfTrue="1" operator="lessThan">
      <formula>0</formula>
    </cfRule>
  </conditionalFormatting>
  <conditionalFormatting sqref="TS79">
    <cfRule type="cellIs" dxfId="306" priority="433" operator="lessThan">
      <formula>0</formula>
    </cfRule>
    <cfRule type="cellIs" dxfId="305" priority="436" stopIfTrue="1" operator="lessThan">
      <formula>0</formula>
    </cfRule>
    <cfRule type="cellIs" dxfId="304" priority="435" stopIfTrue="1" operator="lessThan">
      <formula>0</formula>
    </cfRule>
    <cfRule type="cellIs" dxfId="303" priority="434" operator="lessThan">
      <formula>0</formula>
    </cfRule>
  </conditionalFormatting>
  <conditionalFormatting sqref="TT38">
    <cfRule type="cellIs" dxfId="302" priority="431" operator="lessThan">
      <formula>0</formula>
    </cfRule>
  </conditionalFormatting>
  <conditionalFormatting sqref="TT40:TT70">
    <cfRule type="cellIs" dxfId="301" priority="445" operator="greaterThan">
      <formula>0</formula>
    </cfRule>
  </conditionalFormatting>
  <conditionalFormatting sqref="TT70">
    <cfRule type="cellIs" dxfId="300" priority="430" operator="lessThan">
      <formula>0</formula>
    </cfRule>
  </conditionalFormatting>
  <conditionalFormatting sqref="TT72:TT77">
    <cfRule type="cellIs" dxfId="299" priority="428" operator="greaterThan">
      <formula>0</formula>
    </cfRule>
  </conditionalFormatting>
  <conditionalFormatting sqref="TT77">
    <cfRule type="cellIs" dxfId="298" priority="429" operator="lessThan">
      <formula>0</formula>
    </cfRule>
  </conditionalFormatting>
  <conditionalFormatting sqref="TT79">
    <cfRule type="cellIs" dxfId="297" priority="426" operator="greaterThan">
      <formula>0</formula>
    </cfRule>
    <cfRule type="cellIs" dxfId="296" priority="427" operator="lessThan">
      <formula>0</formula>
    </cfRule>
  </conditionalFormatting>
  <conditionalFormatting sqref="TT7:TU7">
    <cfRule type="containsText" dxfId="295" priority="425" operator="containsText" text="FC">
      <formula>NOT(ISERROR(SEARCH("FC",TT7)))</formula>
    </cfRule>
  </conditionalFormatting>
  <conditionalFormatting sqref="TU40:TU70 TU72:TU77 TU79">
    <cfRule type="cellIs" dxfId="294" priority="421" operator="lessThan">
      <formula>0</formula>
    </cfRule>
    <cfRule type="cellIs" dxfId="293" priority="422" operator="lessThan">
      <formula>0</formula>
    </cfRule>
    <cfRule type="cellIs" dxfId="292" priority="423" stopIfTrue="1" operator="lessThan">
      <formula>0</formula>
    </cfRule>
    <cfRule type="cellIs" dxfId="291" priority="424" stopIfTrue="1" operator="lessThan">
      <formula>0</formula>
    </cfRule>
  </conditionalFormatting>
  <conditionalFormatting sqref="TW40:TW70">
    <cfRule type="cellIs" dxfId="290" priority="410" operator="lessThan">
      <formula>0</formula>
    </cfRule>
    <cfRule type="cellIs" dxfId="289" priority="413" stopIfTrue="1" operator="lessThan">
      <formula>0</formula>
    </cfRule>
    <cfRule type="cellIs" dxfId="288" priority="412" stopIfTrue="1" operator="lessThan">
      <formula>0</formula>
    </cfRule>
    <cfRule type="cellIs" dxfId="287" priority="411" operator="lessThan">
      <formula>0</formula>
    </cfRule>
  </conditionalFormatting>
  <conditionalFormatting sqref="TW72:TW77">
    <cfRule type="cellIs" dxfId="286" priority="405" stopIfTrue="1" operator="lessThan">
      <formula>0</formula>
    </cfRule>
    <cfRule type="cellIs" dxfId="285" priority="404" stopIfTrue="1" operator="lessThan">
      <formula>0</formula>
    </cfRule>
    <cfRule type="cellIs" dxfId="284" priority="403" operator="lessThan">
      <formula>0</formula>
    </cfRule>
    <cfRule type="cellIs" dxfId="283" priority="402" operator="lessThan">
      <formula>0</formula>
    </cfRule>
  </conditionalFormatting>
  <conditionalFormatting sqref="TW79">
    <cfRule type="cellIs" dxfId="282" priority="399" operator="lessThan">
      <formula>0</formula>
    </cfRule>
    <cfRule type="cellIs" dxfId="281" priority="401" stopIfTrue="1" operator="lessThan">
      <formula>0</formula>
    </cfRule>
    <cfRule type="cellIs" dxfId="280" priority="400" stopIfTrue="1" operator="lessThan">
      <formula>0</formula>
    </cfRule>
    <cfRule type="cellIs" dxfId="279" priority="398" operator="lessThan">
      <formula>0</formula>
    </cfRule>
  </conditionalFormatting>
  <conditionalFormatting sqref="TX7:TZ7">
    <cfRule type="containsText" dxfId="278" priority="368" operator="containsText" text="FC">
      <formula>NOT(ISERROR(SEARCH("FC",TX7)))</formula>
    </cfRule>
  </conditionalFormatting>
  <conditionalFormatting sqref="UA40:UA70">
    <cfRule type="cellIs" dxfId="277" priority="394" operator="lessThan">
      <formula>0</formula>
    </cfRule>
    <cfRule type="cellIs" dxfId="276" priority="395" operator="lessThan">
      <formula>0</formula>
    </cfRule>
    <cfRule type="cellIs" dxfId="275" priority="396" stopIfTrue="1" operator="lessThan">
      <formula>0</formula>
    </cfRule>
    <cfRule type="cellIs" dxfId="274" priority="397" stopIfTrue="1" operator="lessThan">
      <formula>0</formula>
    </cfRule>
  </conditionalFormatting>
  <conditionalFormatting sqref="UA72:UA77">
    <cfRule type="cellIs" dxfId="273" priority="388" stopIfTrue="1" operator="lessThan">
      <formula>0</formula>
    </cfRule>
    <cfRule type="cellIs" dxfId="272" priority="385" operator="lessThan">
      <formula>0</formula>
    </cfRule>
    <cfRule type="cellIs" dxfId="271" priority="386" operator="lessThan">
      <formula>0</formula>
    </cfRule>
    <cfRule type="cellIs" dxfId="270" priority="387" stopIfTrue="1" operator="lessThan">
      <formula>0</formula>
    </cfRule>
  </conditionalFormatting>
  <conditionalFormatting sqref="UA79">
    <cfRule type="cellIs" dxfId="269" priority="381" operator="lessThan">
      <formula>0</formula>
    </cfRule>
    <cfRule type="cellIs" dxfId="268" priority="382" operator="lessThan">
      <formula>0</formula>
    </cfRule>
    <cfRule type="cellIs" dxfId="267" priority="383" stopIfTrue="1" operator="lessThan">
      <formula>0</formula>
    </cfRule>
    <cfRule type="cellIs" dxfId="266" priority="384" stopIfTrue="1" operator="lessThan">
      <formula>0</formula>
    </cfRule>
  </conditionalFormatting>
  <conditionalFormatting sqref="UA82">
    <cfRule type="cellIs" dxfId="265" priority="363" stopIfTrue="1" operator="lessThan">
      <formula>0</formula>
    </cfRule>
    <cfRule type="cellIs" dxfId="264" priority="362" stopIfTrue="1" operator="lessThan">
      <formula>0</formula>
    </cfRule>
  </conditionalFormatting>
  <conditionalFormatting sqref="UA82:UC82">
    <cfRule type="cellIs" dxfId="263" priority="365" stopIfTrue="1" operator="lessThan">
      <formula>0</formula>
    </cfRule>
    <cfRule type="cellIs" dxfId="262" priority="364" stopIfTrue="1" operator="lessThan">
      <formula>0</formula>
    </cfRule>
  </conditionalFormatting>
  <conditionalFormatting sqref="UA82:UC94">
    <cfRule type="cellIs" dxfId="261" priority="367" stopIfTrue="1" operator="lessThan">
      <formula>0</formula>
    </cfRule>
    <cfRule type="cellIs" dxfId="260" priority="366" stopIfTrue="1" operator="lessThan">
      <formula>0</formula>
    </cfRule>
  </conditionalFormatting>
  <conditionalFormatting sqref="UB38">
    <cfRule type="cellIs" dxfId="259" priority="379" operator="lessThan">
      <formula>0</formula>
    </cfRule>
  </conditionalFormatting>
  <conditionalFormatting sqref="UB40:UB70">
    <cfRule type="cellIs" dxfId="258" priority="393" operator="greaterThan">
      <formula>0</formula>
    </cfRule>
  </conditionalFormatting>
  <conditionalFormatting sqref="UB70">
    <cfRule type="cellIs" dxfId="257" priority="378" operator="lessThan">
      <formula>0</formula>
    </cfRule>
  </conditionalFormatting>
  <conditionalFormatting sqref="UB72:UB77">
    <cfRule type="cellIs" dxfId="256" priority="376" operator="greaterThan">
      <formula>0</formula>
    </cfRule>
  </conditionalFormatting>
  <conditionalFormatting sqref="UB77">
    <cfRule type="cellIs" dxfId="255" priority="377" operator="lessThan">
      <formula>0</formula>
    </cfRule>
  </conditionalFormatting>
  <conditionalFormatting sqref="UB79">
    <cfRule type="cellIs" dxfId="254" priority="374" operator="greaterThan">
      <formula>0</formula>
    </cfRule>
    <cfRule type="cellIs" dxfId="253" priority="375" operator="lessThan">
      <formula>0</formula>
    </cfRule>
  </conditionalFormatting>
  <conditionalFormatting sqref="UB7:UC7">
    <cfRule type="containsText" dxfId="252" priority="373" operator="containsText" text="FC">
      <formula>NOT(ISERROR(SEARCH("FC",UB7)))</formula>
    </cfRule>
  </conditionalFormatting>
  <conditionalFormatting sqref="UC40:UC70 UC72:UC77 UC79">
    <cfRule type="cellIs" dxfId="251" priority="370" operator="lessThan">
      <formula>0</formula>
    </cfRule>
    <cfRule type="cellIs" dxfId="250" priority="369" operator="lessThan">
      <formula>0</formula>
    </cfRule>
    <cfRule type="cellIs" dxfId="249" priority="371" stopIfTrue="1" operator="lessThan">
      <formula>0</formula>
    </cfRule>
    <cfRule type="cellIs" dxfId="248" priority="372" stopIfTrue="1" operator="lessThan">
      <formula>0</formula>
    </cfRule>
  </conditionalFormatting>
  <conditionalFormatting sqref="UE40:UE70">
    <cfRule type="cellIs" dxfId="247" priority="360" stopIfTrue="1" operator="lessThan">
      <formula>0</formula>
    </cfRule>
    <cfRule type="cellIs" dxfId="246" priority="359" operator="lessThan">
      <formula>0</formula>
    </cfRule>
    <cfRule type="cellIs" dxfId="245" priority="358" operator="lessThan">
      <formula>0</formula>
    </cfRule>
    <cfRule type="cellIs" dxfId="244" priority="361" stopIfTrue="1" operator="lessThan">
      <formula>0</formula>
    </cfRule>
  </conditionalFormatting>
  <conditionalFormatting sqref="UE72:UE77">
    <cfRule type="cellIs" dxfId="243" priority="353" stopIfTrue="1" operator="lessThan">
      <formula>0</formula>
    </cfRule>
    <cfRule type="cellIs" dxfId="242" priority="352" stopIfTrue="1" operator="lessThan">
      <formula>0</formula>
    </cfRule>
    <cfRule type="cellIs" dxfId="241" priority="351" operator="lessThan">
      <formula>0</formula>
    </cfRule>
    <cfRule type="cellIs" dxfId="240" priority="350" operator="lessThan">
      <formula>0</formula>
    </cfRule>
  </conditionalFormatting>
  <conditionalFormatting sqref="UE79">
    <cfRule type="cellIs" dxfId="239" priority="347" operator="lessThan">
      <formula>0</formula>
    </cfRule>
    <cfRule type="cellIs" dxfId="238" priority="346" operator="lessThan">
      <formula>0</formula>
    </cfRule>
    <cfRule type="cellIs" dxfId="237" priority="348" stopIfTrue="1" operator="lessThan">
      <formula>0</formula>
    </cfRule>
    <cfRule type="cellIs" dxfId="236" priority="349" stopIfTrue="1" operator="lessThan">
      <formula>0</formula>
    </cfRule>
  </conditionalFormatting>
  <conditionalFormatting sqref="UF7:UH7">
    <cfRule type="containsText" dxfId="235" priority="316" operator="containsText" text="FC">
      <formula>NOT(ISERROR(SEARCH("FC",UF7)))</formula>
    </cfRule>
  </conditionalFormatting>
  <conditionalFormatting sqref="UI40:UI70">
    <cfRule type="cellIs" dxfId="234" priority="342" operator="lessThan">
      <formula>0</formula>
    </cfRule>
    <cfRule type="cellIs" dxfId="233" priority="344" stopIfTrue="1" operator="lessThan">
      <formula>0</formula>
    </cfRule>
    <cfRule type="cellIs" dxfId="232" priority="343" operator="lessThan">
      <formula>0</formula>
    </cfRule>
    <cfRule type="cellIs" dxfId="231" priority="345" stopIfTrue="1" operator="lessThan">
      <formula>0</formula>
    </cfRule>
  </conditionalFormatting>
  <conditionalFormatting sqref="UI72:UI77">
    <cfRule type="cellIs" dxfId="230" priority="336" stopIfTrue="1" operator="lessThan">
      <formula>0</formula>
    </cfRule>
    <cfRule type="cellIs" dxfId="229" priority="335" stopIfTrue="1" operator="lessThan">
      <formula>0</formula>
    </cfRule>
    <cfRule type="cellIs" dxfId="228" priority="334" operator="lessThan">
      <formula>0</formula>
    </cfRule>
    <cfRule type="cellIs" dxfId="227" priority="333" operator="lessThan">
      <formula>0</formula>
    </cfRule>
  </conditionalFormatting>
  <conditionalFormatting sqref="UI79">
    <cfRule type="cellIs" dxfId="226" priority="330" operator="lessThan">
      <formula>0</formula>
    </cfRule>
    <cfRule type="cellIs" dxfId="225" priority="332" stopIfTrue="1" operator="lessThan">
      <formula>0</formula>
    </cfRule>
    <cfRule type="cellIs" dxfId="224" priority="331" stopIfTrue="1" operator="lessThan">
      <formula>0</formula>
    </cfRule>
    <cfRule type="cellIs" dxfId="223" priority="329" operator="lessThan">
      <formula>0</formula>
    </cfRule>
  </conditionalFormatting>
  <conditionalFormatting sqref="UI82">
    <cfRule type="cellIs" dxfId="222" priority="311" stopIfTrue="1" operator="lessThan">
      <formula>0</formula>
    </cfRule>
    <cfRule type="cellIs" dxfId="221" priority="310" stopIfTrue="1" operator="lessThan">
      <formula>0</formula>
    </cfRule>
  </conditionalFormatting>
  <conditionalFormatting sqref="UI82:UK82">
    <cfRule type="cellIs" dxfId="220" priority="313" stopIfTrue="1" operator="lessThan">
      <formula>0</formula>
    </cfRule>
    <cfRule type="cellIs" dxfId="219" priority="312" stopIfTrue="1" operator="lessThan">
      <formula>0</formula>
    </cfRule>
  </conditionalFormatting>
  <conditionalFormatting sqref="UI82:UK94">
    <cfRule type="cellIs" dxfId="218" priority="315" stopIfTrue="1" operator="lessThan">
      <formula>0</formula>
    </cfRule>
    <cfRule type="cellIs" dxfId="217" priority="314" stopIfTrue="1" operator="lessThan">
      <formula>0</formula>
    </cfRule>
  </conditionalFormatting>
  <conditionalFormatting sqref="UJ38">
    <cfRule type="cellIs" dxfId="216" priority="327" operator="lessThan">
      <formula>0</formula>
    </cfRule>
  </conditionalFormatting>
  <conditionalFormatting sqref="UJ40:UJ70">
    <cfRule type="cellIs" dxfId="215" priority="341" operator="greaterThan">
      <formula>0</formula>
    </cfRule>
  </conditionalFormatting>
  <conditionalFormatting sqref="UJ70">
    <cfRule type="cellIs" dxfId="214" priority="326" operator="lessThan">
      <formula>0</formula>
    </cfRule>
  </conditionalFormatting>
  <conditionalFormatting sqref="UJ72:UJ77">
    <cfRule type="cellIs" dxfId="213" priority="324" operator="greaterThan">
      <formula>0</formula>
    </cfRule>
  </conditionalFormatting>
  <conditionalFormatting sqref="UJ77">
    <cfRule type="cellIs" dxfId="212" priority="325" operator="lessThan">
      <formula>0</formula>
    </cfRule>
  </conditionalFormatting>
  <conditionalFormatting sqref="UJ79">
    <cfRule type="cellIs" dxfId="211" priority="322" operator="greaterThan">
      <formula>0</formula>
    </cfRule>
    <cfRule type="cellIs" dxfId="210" priority="323" operator="lessThan">
      <formula>0</formula>
    </cfRule>
  </conditionalFormatting>
  <conditionalFormatting sqref="UJ7:UK7">
    <cfRule type="containsText" dxfId="209" priority="321" operator="containsText" text="FC">
      <formula>NOT(ISERROR(SEARCH("FC",UJ7)))</formula>
    </cfRule>
  </conditionalFormatting>
  <conditionalFormatting sqref="UK40:UK70 UK72:UK77 UK79">
    <cfRule type="cellIs" dxfId="208" priority="320" stopIfTrue="1" operator="lessThan">
      <formula>0</formula>
    </cfRule>
    <cfRule type="cellIs" dxfId="207" priority="317" operator="lessThan">
      <formula>0</formula>
    </cfRule>
    <cfRule type="cellIs" dxfId="206" priority="318" operator="lessThan">
      <formula>0</formula>
    </cfRule>
    <cfRule type="cellIs" dxfId="205" priority="319" stopIfTrue="1" operator="lessThan">
      <formula>0</formula>
    </cfRule>
  </conditionalFormatting>
  <conditionalFormatting sqref="UM10:UM38 UQ10:UQ38 US10:US38 UU10:UU38 UY10:UY38 VA10:VA38 VC10:VC38 VG10:VG38 VI10:VI38 VK10:VK38 VO10:VO38 VQ10:VQ38">
    <cfRule type="cellIs" dxfId="204" priority="230" operator="lessThan">
      <formula>0</formula>
    </cfRule>
    <cfRule type="cellIs" dxfId="203" priority="231" stopIfTrue="1" operator="lessThan">
      <formula>0</formula>
    </cfRule>
    <cfRule type="cellIs" dxfId="202" priority="232" stopIfTrue="1" operator="lessThan">
      <formula>0</formula>
    </cfRule>
    <cfRule type="cellIs" dxfId="201" priority="229" operator="lessThan">
      <formula>0</formula>
    </cfRule>
  </conditionalFormatting>
  <conditionalFormatting sqref="UM40:UM70">
    <cfRule type="cellIs" dxfId="200" priority="226" stopIfTrue="1" operator="lessThan">
      <formula>0</formula>
    </cfRule>
    <cfRule type="cellIs" dxfId="199" priority="225" operator="lessThan">
      <formula>0</formula>
    </cfRule>
    <cfRule type="cellIs" dxfId="198" priority="224" operator="lessThan">
      <formula>0</formula>
    </cfRule>
    <cfRule type="cellIs" dxfId="197" priority="227" stopIfTrue="1" operator="lessThan">
      <formula>0</formula>
    </cfRule>
  </conditionalFormatting>
  <conditionalFormatting sqref="UM72:UM77">
    <cfRule type="cellIs" dxfId="196" priority="223" stopIfTrue="1" operator="lessThan">
      <formula>0</formula>
    </cfRule>
    <cfRule type="cellIs" dxfId="195" priority="222" stopIfTrue="1" operator="lessThan">
      <formula>0</formula>
    </cfRule>
    <cfRule type="cellIs" dxfId="194" priority="221" operator="lessThan">
      <formula>0</formula>
    </cfRule>
    <cfRule type="cellIs" dxfId="193" priority="220" operator="lessThan">
      <formula>0</formula>
    </cfRule>
  </conditionalFormatting>
  <conditionalFormatting sqref="UM79">
    <cfRule type="cellIs" dxfId="192" priority="217" operator="lessThan">
      <formula>0</formula>
    </cfRule>
    <cfRule type="cellIs" dxfId="191" priority="216" operator="lessThan">
      <formula>0</formula>
    </cfRule>
    <cfRule type="cellIs" dxfId="190" priority="219" stopIfTrue="1" operator="lessThan">
      <formula>0</formula>
    </cfRule>
    <cfRule type="cellIs" dxfId="189" priority="218" stopIfTrue="1" operator="lessThan">
      <formula>0</formula>
    </cfRule>
  </conditionalFormatting>
  <conditionalFormatting sqref="UN7:UP7">
    <cfRule type="containsText" dxfId="188" priority="191" operator="containsText" text="FC">
      <formula>NOT(ISERROR(SEARCH("FC",UN7)))</formula>
    </cfRule>
  </conditionalFormatting>
  <conditionalFormatting sqref="UQ40:UQ70">
    <cfRule type="cellIs" dxfId="187" priority="212" operator="lessThan">
      <formula>0</formula>
    </cfRule>
    <cfRule type="cellIs" dxfId="186" priority="213" operator="lessThan">
      <formula>0</formula>
    </cfRule>
    <cfRule type="cellIs" dxfId="185" priority="214" stopIfTrue="1" operator="lessThan">
      <formula>0</formula>
    </cfRule>
    <cfRule type="cellIs" dxfId="184" priority="215" stopIfTrue="1" operator="lessThan">
      <formula>0</formula>
    </cfRule>
  </conditionalFormatting>
  <conditionalFormatting sqref="UQ72:UQ77">
    <cfRule type="cellIs" dxfId="183" priority="208" operator="lessThan">
      <formula>0</formula>
    </cfRule>
    <cfRule type="cellIs" dxfId="182" priority="210" stopIfTrue="1" operator="lessThan">
      <formula>0</formula>
    </cfRule>
    <cfRule type="cellIs" dxfId="181" priority="209" stopIfTrue="1" operator="lessThan">
      <formula>0</formula>
    </cfRule>
    <cfRule type="cellIs" dxfId="180" priority="207" operator="lessThan">
      <formula>0</formula>
    </cfRule>
  </conditionalFormatting>
  <conditionalFormatting sqref="UQ79">
    <cfRule type="cellIs" dxfId="179" priority="203" operator="lessThan">
      <formula>0</formula>
    </cfRule>
    <cfRule type="cellIs" dxfId="178" priority="204" operator="lessThan">
      <formula>0</formula>
    </cfRule>
    <cfRule type="cellIs" dxfId="177" priority="205" stopIfTrue="1" operator="lessThan">
      <formula>0</formula>
    </cfRule>
    <cfRule type="cellIs" dxfId="176" priority="206" stopIfTrue="1" operator="lessThan">
      <formula>0</formula>
    </cfRule>
  </conditionalFormatting>
  <conditionalFormatting sqref="UQ82">
    <cfRule type="cellIs" dxfId="175" priority="185" stopIfTrue="1" operator="lessThan">
      <formula>0</formula>
    </cfRule>
    <cfRule type="cellIs" dxfId="174" priority="186" stopIfTrue="1" operator="lessThan">
      <formula>0</formula>
    </cfRule>
  </conditionalFormatting>
  <conditionalFormatting sqref="UQ82:US82">
    <cfRule type="cellIs" dxfId="173" priority="187" stopIfTrue="1" operator="lessThan">
      <formula>0</formula>
    </cfRule>
    <cfRule type="cellIs" dxfId="172" priority="188" stopIfTrue="1" operator="lessThan">
      <formula>0</formula>
    </cfRule>
  </conditionalFormatting>
  <conditionalFormatting sqref="UQ82:US94">
    <cfRule type="cellIs" dxfId="171" priority="189" stopIfTrue="1" operator="lessThan">
      <formula>0</formula>
    </cfRule>
    <cfRule type="cellIs" dxfId="170" priority="190" stopIfTrue="1" operator="lessThan">
      <formula>0</formula>
    </cfRule>
  </conditionalFormatting>
  <conditionalFormatting sqref="UR10:UR38 UZ10:UZ38 VH10:VH38 VP10:VP38">
    <cfRule type="cellIs" dxfId="169" priority="228" operator="greaterThan">
      <formula>0</formula>
    </cfRule>
  </conditionalFormatting>
  <conditionalFormatting sqref="UR38">
    <cfRule type="cellIs" dxfId="168" priority="202" operator="lessThan">
      <formula>0</formula>
    </cfRule>
  </conditionalFormatting>
  <conditionalFormatting sqref="UR40:UR70">
    <cfRule type="cellIs" dxfId="167" priority="211" operator="greaterThan">
      <formula>0</formula>
    </cfRule>
  </conditionalFormatting>
  <conditionalFormatting sqref="UR70">
    <cfRule type="cellIs" dxfId="166" priority="201" operator="lessThan">
      <formula>0</formula>
    </cfRule>
  </conditionalFormatting>
  <conditionalFormatting sqref="UR72:UR77">
    <cfRule type="cellIs" dxfId="165" priority="199" operator="greaterThan">
      <formula>0</formula>
    </cfRule>
  </conditionalFormatting>
  <conditionalFormatting sqref="UR77">
    <cfRule type="cellIs" dxfId="164" priority="200" operator="lessThan">
      <formula>0</formula>
    </cfRule>
  </conditionalFormatting>
  <conditionalFormatting sqref="UR79">
    <cfRule type="cellIs" dxfId="163" priority="198" operator="lessThan">
      <formula>0</formula>
    </cfRule>
    <cfRule type="cellIs" dxfId="162" priority="197" operator="greaterThan">
      <formula>0</formula>
    </cfRule>
  </conditionalFormatting>
  <conditionalFormatting sqref="UR7:US7">
    <cfRule type="containsText" dxfId="161" priority="196" operator="containsText" text="FC">
      <formula>NOT(ISERROR(SEARCH("FC",UR7)))</formula>
    </cfRule>
  </conditionalFormatting>
  <conditionalFormatting sqref="US40:US70 US72:US77 US79">
    <cfRule type="cellIs" dxfId="160" priority="192" operator="lessThan">
      <formula>0</formula>
    </cfRule>
    <cfRule type="cellIs" dxfId="159" priority="195" stopIfTrue="1" operator="lessThan">
      <formula>0</formula>
    </cfRule>
    <cfRule type="cellIs" dxfId="158" priority="194" stopIfTrue="1" operator="lessThan">
      <formula>0</formula>
    </cfRule>
    <cfRule type="cellIs" dxfId="157" priority="193" operator="lessThan">
      <formula>0</formula>
    </cfRule>
  </conditionalFormatting>
  <conditionalFormatting sqref="UU40:UU70">
    <cfRule type="cellIs" dxfId="156" priority="184" stopIfTrue="1" operator="lessThan">
      <formula>0</formula>
    </cfRule>
    <cfRule type="cellIs" dxfId="155" priority="183" stopIfTrue="1" operator="lessThan">
      <formula>0</formula>
    </cfRule>
    <cfRule type="cellIs" dxfId="154" priority="182" operator="lessThan">
      <formula>0</formula>
    </cfRule>
    <cfRule type="cellIs" dxfId="153" priority="181" operator="lessThan">
      <formula>0</formula>
    </cfRule>
  </conditionalFormatting>
  <conditionalFormatting sqref="UU72:UU77">
    <cfRule type="cellIs" dxfId="152" priority="179" stopIfTrue="1" operator="lessThan">
      <formula>0</formula>
    </cfRule>
    <cfRule type="cellIs" dxfId="151" priority="178" operator="lessThan">
      <formula>0</formula>
    </cfRule>
    <cfRule type="cellIs" dxfId="150" priority="177" operator="lessThan">
      <formula>0</formula>
    </cfRule>
    <cfRule type="cellIs" dxfId="149" priority="180" stopIfTrue="1" operator="lessThan">
      <formula>0</formula>
    </cfRule>
  </conditionalFormatting>
  <conditionalFormatting sqref="UU79">
    <cfRule type="cellIs" dxfId="148" priority="176" stopIfTrue="1" operator="lessThan">
      <formula>0</formula>
    </cfRule>
    <cfRule type="cellIs" dxfId="147" priority="175" stopIfTrue="1" operator="lessThan">
      <formula>0</formula>
    </cfRule>
    <cfRule type="cellIs" dxfId="146" priority="174" operator="lessThan">
      <formula>0</formula>
    </cfRule>
    <cfRule type="cellIs" dxfId="145" priority="173" operator="lessThan">
      <formula>0</formula>
    </cfRule>
  </conditionalFormatting>
  <conditionalFormatting sqref="UV7:UX7">
    <cfRule type="containsText" dxfId="144" priority="148" operator="containsText" text="FC">
      <formula>NOT(ISERROR(SEARCH("FC",UV7)))</formula>
    </cfRule>
  </conditionalFormatting>
  <conditionalFormatting sqref="UY40:UY70">
    <cfRule type="cellIs" dxfId="143" priority="172" stopIfTrue="1" operator="lessThan">
      <formula>0</formula>
    </cfRule>
    <cfRule type="cellIs" dxfId="142" priority="171" stopIfTrue="1" operator="lessThan">
      <formula>0</formula>
    </cfRule>
    <cfRule type="cellIs" dxfId="141" priority="170" operator="lessThan">
      <formula>0</formula>
    </cfRule>
    <cfRule type="cellIs" dxfId="140" priority="169" operator="lessThan">
      <formula>0</formula>
    </cfRule>
  </conditionalFormatting>
  <conditionalFormatting sqref="UY72:UY77">
    <cfRule type="cellIs" dxfId="139" priority="164" operator="lessThan">
      <formula>0</formula>
    </cfRule>
    <cfRule type="cellIs" dxfId="138" priority="165" operator="lessThan">
      <formula>0</formula>
    </cfRule>
    <cfRule type="cellIs" dxfId="137" priority="166" stopIfTrue="1" operator="lessThan">
      <formula>0</formula>
    </cfRule>
    <cfRule type="cellIs" dxfId="136" priority="167" stopIfTrue="1" operator="lessThan">
      <formula>0</formula>
    </cfRule>
  </conditionalFormatting>
  <conditionalFormatting sqref="UY79">
    <cfRule type="cellIs" dxfId="135" priority="160" operator="lessThan">
      <formula>0</formula>
    </cfRule>
    <cfRule type="cellIs" dxfId="134" priority="162" stopIfTrue="1" operator="lessThan">
      <formula>0</formula>
    </cfRule>
    <cfRule type="cellIs" dxfId="133" priority="163" stopIfTrue="1" operator="lessThan">
      <formula>0</formula>
    </cfRule>
    <cfRule type="cellIs" dxfId="132" priority="161" operator="lessThan">
      <formula>0</formula>
    </cfRule>
  </conditionalFormatting>
  <conditionalFormatting sqref="UY82">
    <cfRule type="cellIs" dxfId="131" priority="143" stopIfTrue="1" operator="lessThan">
      <formula>0</formula>
    </cfRule>
    <cfRule type="cellIs" dxfId="130" priority="142" stopIfTrue="1" operator="lessThan">
      <formula>0</formula>
    </cfRule>
  </conditionalFormatting>
  <conditionalFormatting sqref="UY82:VA82">
    <cfRule type="cellIs" dxfId="129" priority="144" stopIfTrue="1" operator="lessThan">
      <formula>0</formula>
    </cfRule>
    <cfRule type="cellIs" dxfId="128" priority="145" stopIfTrue="1" operator="lessThan">
      <formula>0</formula>
    </cfRule>
  </conditionalFormatting>
  <conditionalFormatting sqref="UY82:VA94">
    <cfRule type="cellIs" dxfId="127" priority="147" stopIfTrue="1" operator="lessThan">
      <formula>0</formula>
    </cfRule>
    <cfRule type="cellIs" dxfId="126" priority="146" stopIfTrue="1" operator="lessThan">
      <formula>0</formula>
    </cfRule>
  </conditionalFormatting>
  <conditionalFormatting sqref="UZ38">
    <cfRule type="cellIs" dxfId="125" priority="159" operator="lessThan">
      <formula>0</formula>
    </cfRule>
  </conditionalFormatting>
  <conditionalFormatting sqref="UZ40:UZ70">
    <cfRule type="cellIs" dxfId="124" priority="168" operator="greaterThan">
      <formula>0</formula>
    </cfRule>
  </conditionalFormatting>
  <conditionalFormatting sqref="UZ70">
    <cfRule type="cellIs" dxfId="123" priority="158" operator="lessThan">
      <formula>0</formula>
    </cfRule>
  </conditionalFormatting>
  <conditionalFormatting sqref="UZ72:UZ77">
    <cfRule type="cellIs" dxfId="122" priority="156" operator="greaterThan">
      <formula>0</formula>
    </cfRule>
  </conditionalFormatting>
  <conditionalFormatting sqref="UZ77">
    <cfRule type="cellIs" dxfId="121" priority="157" operator="lessThan">
      <formula>0</formula>
    </cfRule>
  </conditionalFormatting>
  <conditionalFormatting sqref="UZ79">
    <cfRule type="cellIs" dxfId="120" priority="155" operator="lessThan">
      <formula>0</formula>
    </cfRule>
    <cfRule type="cellIs" dxfId="119" priority="154" operator="greaterThan">
      <formula>0</formula>
    </cfRule>
  </conditionalFormatting>
  <conditionalFormatting sqref="UZ7:VA7">
    <cfRule type="containsText" dxfId="118" priority="153" operator="containsText" text="FC">
      <formula>NOT(ISERROR(SEARCH("FC",UZ7)))</formula>
    </cfRule>
  </conditionalFormatting>
  <conditionalFormatting sqref="VA40:VA70 VA72:VA77 VA79">
    <cfRule type="cellIs" dxfId="117" priority="152" stopIfTrue="1" operator="lessThan">
      <formula>0</formula>
    </cfRule>
    <cfRule type="cellIs" dxfId="116" priority="151" stopIfTrue="1" operator="lessThan">
      <formula>0</formula>
    </cfRule>
    <cfRule type="cellIs" dxfId="115" priority="150" operator="lessThan">
      <formula>0</formula>
    </cfRule>
    <cfRule type="cellIs" dxfId="114" priority="149" operator="lessThan">
      <formula>0</formula>
    </cfRule>
  </conditionalFormatting>
  <conditionalFormatting sqref="VC40:VC70">
    <cfRule type="cellIs" dxfId="113" priority="138" operator="lessThan">
      <formula>0</formula>
    </cfRule>
    <cfRule type="cellIs" dxfId="112" priority="139" operator="lessThan">
      <formula>0</formula>
    </cfRule>
    <cfRule type="cellIs" dxfId="111" priority="140" stopIfTrue="1" operator="lessThan">
      <formula>0</formula>
    </cfRule>
    <cfRule type="cellIs" dxfId="110" priority="141" stopIfTrue="1" operator="lessThan">
      <formula>0</formula>
    </cfRule>
  </conditionalFormatting>
  <conditionalFormatting sqref="VC72:VC77">
    <cfRule type="cellIs" dxfId="109" priority="136" stopIfTrue="1" operator="lessThan">
      <formula>0</formula>
    </cfRule>
    <cfRule type="cellIs" dxfId="108" priority="134" operator="lessThan">
      <formula>0</formula>
    </cfRule>
    <cfRule type="cellIs" dxfId="107" priority="135" operator="lessThan">
      <formula>0</formula>
    </cfRule>
    <cfRule type="cellIs" dxfId="106" priority="137" stopIfTrue="1" operator="lessThan">
      <formula>0</formula>
    </cfRule>
  </conditionalFormatting>
  <conditionalFormatting sqref="VC79">
    <cfRule type="cellIs" dxfId="105" priority="130" operator="lessThan">
      <formula>0</formula>
    </cfRule>
    <cfRule type="cellIs" dxfId="104" priority="132" stopIfTrue="1" operator="lessThan">
      <formula>0</formula>
    </cfRule>
    <cfRule type="cellIs" dxfId="103" priority="133" stopIfTrue="1" operator="lessThan">
      <formula>0</formula>
    </cfRule>
    <cfRule type="cellIs" dxfId="102" priority="131" operator="lessThan">
      <formula>0</formula>
    </cfRule>
  </conditionalFormatting>
  <conditionalFormatting sqref="VD7:VF7">
    <cfRule type="containsText" dxfId="101" priority="105" operator="containsText" text="FC">
      <formula>NOT(ISERROR(SEARCH("FC",VD7)))</formula>
    </cfRule>
  </conditionalFormatting>
  <conditionalFormatting sqref="VG40:VG70">
    <cfRule type="cellIs" dxfId="100" priority="126" operator="lessThan">
      <formula>0</formula>
    </cfRule>
    <cfRule type="cellIs" dxfId="99" priority="127" operator="lessThan">
      <formula>0</formula>
    </cfRule>
    <cfRule type="cellIs" dxfId="98" priority="129" stopIfTrue="1" operator="lessThan">
      <formula>0</formula>
    </cfRule>
    <cfRule type="cellIs" dxfId="97" priority="128" stopIfTrue="1" operator="lessThan">
      <formula>0</formula>
    </cfRule>
  </conditionalFormatting>
  <conditionalFormatting sqref="VG72:VG77">
    <cfRule type="cellIs" dxfId="96" priority="121" operator="lessThan">
      <formula>0</formula>
    </cfRule>
    <cfRule type="cellIs" dxfId="95" priority="122" operator="lessThan">
      <formula>0</formula>
    </cfRule>
    <cfRule type="cellIs" dxfId="94" priority="123" stopIfTrue="1" operator="lessThan">
      <formula>0</formula>
    </cfRule>
    <cfRule type="cellIs" dxfId="93" priority="124" stopIfTrue="1" operator="lessThan">
      <formula>0</formula>
    </cfRule>
  </conditionalFormatting>
  <conditionalFormatting sqref="VG79">
    <cfRule type="cellIs" dxfId="92" priority="118" operator="lessThan">
      <formula>0</formula>
    </cfRule>
    <cfRule type="cellIs" dxfId="91" priority="117" operator="lessThan">
      <formula>0</formula>
    </cfRule>
    <cfRule type="cellIs" dxfId="90" priority="120" stopIfTrue="1" operator="lessThan">
      <formula>0</formula>
    </cfRule>
    <cfRule type="cellIs" dxfId="89" priority="119" stopIfTrue="1" operator="lessThan">
      <formula>0</formula>
    </cfRule>
  </conditionalFormatting>
  <conditionalFormatting sqref="VG82">
    <cfRule type="cellIs" dxfId="88" priority="100" stopIfTrue="1" operator="lessThan">
      <formula>0</formula>
    </cfRule>
    <cfRule type="cellIs" dxfId="87" priority="99" stopIfTrue="1" operator="lessThan">
      <formula>0</formula>
    </cfRule>
  </conditionalFormatting>
  <conditionalFormatting sqref="VG82:VI82">
    <cfRule type="cellIs" dxfId="86" priority="102" stopIfTrue="1" operator="lessThan">
      <formula>0</formula>
    </cfRule>
    <cfRule type="cellIs" dxfId="85" priority="101" stopIfTrue="1" operator="lessThan">
      <formula>0</formula>
    </cfRule>
  </conditionalFormatting>
  <conditionalFormatting sqref="VG82:VI94">
    <cfRule type="cellIs" dxfId="84" priority="104" stopIfTrue="1" operator="lessThan">
      <formula>0</formula>
    </cfRule>
    <cfRule type="cellIs" dxfId="83" priority="103" stopIfTrue="1" operator="lessThan">
      <formula>0</formula>
    </cfRule>
  </conditionalFormatting>
  <conditionalFormatting sqref="VH38">
    <cfRule type="cellIs" dxfId="82" priority="116" operator="lessThan">
      <formula>0</formula>
    </cfRule>
  </conditionalFormatting>
  <conditionalFormatting sqref="VH40:VH70">
    <cfRule type="cellIs" dxfId="81" priority="125" operator="greaterThan">
      <formula>0</formula>
    </cfRule>
  </conditionalFormatting>
  <conditionalFormatting sqref="VH70">
    <cfRule type="cellIs" dxfId="80" priority="115" operator="lessThan">
      <formula>0</formula>
    </cfRule>
  </conditionalFormatting>
  <conditionalFormatting sqref="VH72:VH77">
    <cfRule type="cellIs" dxfId="79" priority="113" operator="greaterThan">
      <formula>0</formula>
    </cfRule>
  </conditionalFormatting>
  <conditionalFormatting sqref="VH77">
    <cfRule type="cellIs" dxfId="78" priority="114" operator="lessThan">
      <formula>0</formula>
    </cfRule>
  </conditionalFormatting>
  <conditionalFormatting sqref="VH79">
    <cfRule type="cellIs" dxfId="77" priority="112" operator="lessThan">
      <formula>0</formula>
    </cfRule>
    <cfRule type="cellIs" dxfId="76" priority="111" operator="greaterThan">
      <formula>0</formula>
    </cfRule>
  </conditionalFormatting>
  <conditionalFormatting sqref="VH7:VI7">
    <cfRule type="containsText" dxfId="75" priority="110" operator="containsText" text="FC">
      <formula>NOT(ISERROR(SEARCH("FC",VH7)))</formula>
    </cfRule>
  </conditionalFormatting>
  <conditionalFormatting sqref="VI40:VI70 VI72:VI77 VI79">
    <cfRule type="cellIs" dxfId="74" priority="109" stopIfTrue="1" operator="lessThan">
      <formula>0</formula>
    </cfRule>
    <cfRule type="cellIs" dxfId="73" priority="108" stopIfTrue="1" operator="lessThan">
      <formula>0</formula>
    </cfRule>
    <cfRule type="cellIs" dxfId="72" priority="107" operator="lessThan">
      <formula>0</formula>
    </cfRule>
    <cfRule type="cellIs" dxfId="71" priority="106" operator="lessThan">
      <formula>0</formula>
    </cfRule>
  </conditionalFormatting>
  <conditionalFormatting sqref="VK40:VK70">
    <cfRule type="cellIs" dxfId="70" priority="98" stopIfTrue="1" operator="lessThan">
      <formula>0</formula>
    </cfRule>
    <cfRule type="cellIs" dxfId="69" priority="96" operator="lessThan">
      <formula>0</formula>
    </cfRule>
    <cfRule type="cellIs" dxfId="68" priority="97" stopIfTrue="1" operator="lessThan">
      <formula>0</formula>
    </cfRule>
    <cfRule type="cellIs" dxfId="67" priority="95" operator="lessThan">
      <formula>0</formula>
    </cfRule>
  </conditionalFormatting>
  <conditionalFormatting sqref="VK72:VK77">
    <cfRule type="cellIs" dxfId="66" priority="92" operator="lessThan">
      <formula>0</formula>
    </cfRule>
    <cfRule type="cellIs" dxfId="65" priority="91" operator="lessThan">
      <formula>0</formula>
    </cfRule>
    <cfRule type="cellIs" dxfId="64" priority="94" stopIfTrue="1" operator="lessThan">
      <formula>0</formula>
    </cfRule>
    <cfRule type="cellIs" dxfId="63" priority="93" stopIfTrue="1" operator="lessThan">
      <formula>0</formula>
    </cfRule>
  </conditionalFormatting>
  <conditionalFormatting sqref="VK79">
    <cfRule type="cellIs" dxfId="62" priority="90" stopIfTrue="1" operator="lessThan">
      <formula>0</formula>
    </cfRule>
    <cfRule type="cellIs" dxfId="61" priority="89" stopIfTrue="1" operator="lessThan">
      <formula>0</formula>
    </cfRule>
    <cfRule type="cellIs" dxfId="60" priority="87" operator="lessThan">
      <formula>0</formula>
    </cfRule>
    <cfRule type="cellIs" dxfId="59" priority="88" operator="lessThan">
      <formula>0</formula>
    </cfRule>
  </conditionalFormatting>
  <conditionalFormatting sqref="VL7:VN7">
    <cfRule type="containsText" dxfId="58" priority="62" operator="containsText" text="FC">
      <formula>NOT(ISERROR(SEARCH("FC",VL7)))</formula>
    </cfRule>
  </conditionalFormatting>
  <conditionalFormatting sqref="VO40:VO70">
    <cfRule type="cellIs" dxfId="57" priority="86" stopIfTrue="1" operator="lessThan">
      <formula>0</formula>
    </cfRule>
    <cfRule type="cellIs" dxfId="56" priority="85" stopIfTrue="1" operator="lessThan">
      <formula>0</formula>
    </cfRule>
    <cfRule type="cellIs" dxfId="55" priority="84" operator="lessThan">
      <formula>0</formula>
    </cfRule>
    <cfRule type="cellIs" dxfId="54" priority="83" operator="lessThan">
      <formula>0</formula>
    </cfRule>
  </conditionalFormatting>
  <conditionalFormatting sqref="VO72:VO77">
    <cfRule type="cellIs" dxfId="53" priority="80" stopIfTrue="1" operator="lessThan">
      <formula>0</formula>
    </cfRule>
    <cfRule type="cellIs" dxfId="52" priority="81" stopIfTrue="1" operator="lessThan">
      <formula>0</formula>
    </cfRule>
    <cfRule type="cellIs" dxfId="51" priority="79" operator="lessThan">
      <formula>0</formula>
    </cfRule>
    <cfRule type="cellIs" dxfId="50" priority="78" operator="lessThan">
      <formula>0</formula>
    </cfRule>
  </conditionalFormatting>
  <conditionalFormatting sqref="VO79">
    <cfRule type="cellIs" dxfId="49" priority="76" stopIfTrue="1" operator="lessThan">
      <formula>0</formula>
    </cfRule>
    <cfRule type="cellIs" dxfId="48" priority="77" stopIfTrue="1" operator="lessThan">
      <formula>0</formula>
    </cfRule>
    <cfRule type="cellIs" dxfId="47" priority="74" operator="lessThan">
      <formula>0</formula>
    </cfRule>
    <cfRule type="cellIs" dxfId="46" priority="75" operator="lessThan">
      <formula>0</formula>
    </cfRule>
  </conditionalFormatting>
  <conditionalFormatting sqref="VO82">
    <cfRule type="cellIs" dxfId="45" priority="56" stopIfTrue="1" operator="lessThan">
      <formula>0</formula>
    </cfRule>
    <cfRule type="cellIs" dxfId="44" priority="57" stopIfTrue="1" operator="lessThan">
      <formula>0</formula>
    </cfRule>
  </conditionalFormatting>
  <conditionalFormatting sqref="VO82:VQ82">
    <cfRule type="cellIs" dxfId="43" priority="58" stopIfTrue="1" operator="lessThan">
      <formula>0</formula>
    </cfRule>
    <cfRule type="cellIs" dxfId="42" priority="59" stopIfTrue="1" operator="lessThan">
      <formula>0</formula>
    </cfRule>
  </conditionalFormatting>
  <conditionalFormatting sqref="VO82:VQ94">
    <cfRule type="cellIs" dxfId="41" priority="61" stopIfTrue="1" operator="lessThan">
      <formula>0</formula>
    </cfRule>
    <cfRule type="cellIs" dxfId="40" priority="60" stopIfTrue="1" operator="lessThan">
      <formula>0</formula>
    </cfRule>
  </conditionalFormatting>
  <conditionalFormatting sqref="VP38">
    <cfRule type="cellIs" dxfId="39" priority="73" operator="lessThan">
      <formula>0</formula>
    </cfRule>
  </conditionalFormatting>
  <conditionalFormatting sqref="VP40:VP70">
    <cfRule type="cellIs" dxfId="38" priority="82" operator="greaterThan">
      <formula>0</formula>
    </cfRule>
  </conditionalFormatting>
  <conditionalFormatting sqref="VP70">
    <cfRule type="cellIs" dxfId="37" priority="72" operator="lessThan">
      <formula>0</formula>
    </cfRule>
  </conditionalFormatting>
  <conditionalFormatting sqref="VP72:VP77">
    <cfRule type="cellIs" dxfId="36" priority="70" operator="greaterThan">
      <formula>0</formula>
    </cfRule>
  </conditionalFormatting>
  <conditionalFormatting sqref="VP77">
    <cfRule type="cellIs" dxfId="35" priority="71" operator="lessThan">
      <formula>0</formula>
    </cfRule>
  </conditionalFormatting>
  <conditionalFormatting sqref="VP79">
    <cfRule type="cellIs" dxfId="34" priority="69" operator="lessThan">
      <formula>0</formula>
    </cfRule>
    <cfRule type="cellIs" dxfId="33" priority="68" operator="greaterThan">
      <formula>0</formula>
    </cfRule>
  </conditionalFormatting>
  <conditionalFormatting sqref="VP7:VQ7">
    <cfRule type="containsText" dxfId="32" priority="67" operator="containsText" text="FC">
      <formula>NOT(ISERROR(SEARCH("FC",VP7)))</formula>
    </cfRule>
  </conditionalFormatting>
  <conditionalFormatting sqref="VQ40:VQ70 VQ72:VQ77 VQ79">
    <cfRule type="cellIs" dxfId="31" priority="64" operator="lessThan">
      <formula>0</formula>
    </cfRule>
    <cfRule type="cellIs" dxfId="30" priority="66" stopIfTrue="1" operator="lessThan">
      <formula>0</formula>
    </cfRule>
    <cfRule type="cellIs" dxfId="29" priority="65" stopIfTrue="1" operator="lessThan">
      <formula>0</formula>
    </cfRule>
    <cfRule type="cellIs" dxfId="28" priority="63" operator="lessThan">
      <formula>0</formula>
    </cfRule>
  </conditionalFormatting>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5B30D-121C-4D0C-974B-CA9B239560E4}">
  <dimension ref="A1:C67"/>
  <sheetViews>
    <sheetView tabSelected="1" workbookViewId="0">
      <selection activeCell="I16" sqref="I16"/>
    </sheetView>
  </sheetViews>
  <sheetFormatPr defaultRowHeight="15" x14ac:dyDescent="0.25"/>
  <sheetData>
    <row r="1" spans="1:3" x14ac:dyDescent="0.25">
      <c r="A1" s="232" t="s">
        <v>1559</v>
      </c>
      <c r="B1">
        <v>4172750</v>
      </c>
      <c r="C1">
        <v>0</v>
      </c>
    </row>
    <row r="2" spans="1:3" x14ac:dyDescent="0.25">
      <c r="A2" s="232" t="s">
        <v>1560</v>
      </c>
      <c r="B2">
        <v>4172755</v>
      </c>
      <c r="C2">
        <v>0</v>
      </c>
    </row>
    <row r="3" spans="1:3" x14ac:dyDescent="0.25">
      <c r="A3" s="232" t="s">
        <v>1561</v>
      </c>
      <c r="B3">
        <v>5080299</v>
      </c>
      <c r="C3">
        <v>0</v>
      </c>
    </row>
    <row r="4" spans="1:3" x14ac:dyDescent="0.25">
      <c r="A4" s="232" t="s">
        <v>1562</v>
      </c>
      <c r="B4">
        <v>5073059</v>
      </c>
      <c r="C4">
        <v>0</v>
      </c>
    </row>
    <row r="5" spans="1:3" x14ac:dyDescent="0.25">
      <c r="A5" s="232" t="s">
        <v>1563</v>
      </c>
      <c r="B5">
        <v>5073061</v>
      </c>
      <c r="C5">
        <v>0</v>
      </c>
    </row>
    <row r="6" spans="1:3" x14ac:dyDescent="0.25">
      <c r="A6" s="232" t="s">
        <v>1564</v>
      </c>
      <c r="B6">
        <v>4172749</v>
      </c>
      <c r="C6">
        <v>400</v>
      </c>
    </row>
    <row r="7" spans="1:3" x14ac:dyDescent="0.25">
      <c r="A7" s="232" t="s">
        <v>1565</v>
      </c>
      <c r="B7">
        <v>4172753</v>
      </c>
      <c r="C7">
        <v>0</v>
      </c>
    </row>
    <row r="8" spans="1:3" x14ac:dyDescent="0.25">
      <c r="A8" s="232" t="s">
        <v>1566</v>
      </c>
      <c r="B8">
        <v>5080294</v>
      </c>
      <c r="C8">
        <v>0</v>
      </c>
    </row>
    <row r="9" spans="1:3" x14ac:dyDescent="0.25">
      <c r="A9" s="232" t="s">
        <v>1567</v>
      </c>
      <c r="B9">
        <v>5073058</v>
      </c>
      <c r="C9">
        <v>300</v>
      </c>
    </row>
    <row r="10" spans="1:3" x14ac:dyDescent="0.25">
      <c r="A10" s="232" t="s">
        <v>1568</v>
      </c>
      <c r="B10">
        <v>4172770</v>
      </c>
      <c r="C10">
        <v>200</v>
      </c>
    </row>
    <row r="11" spans="1:3" x14ac:dyDescent="0.25">
      <c r="A11" s="232" t="s">
        <v>1569</v>
      </c>
      <c r="B11">
        <v>4817100</v>
      </c>
      <c r="C11">
        <v>2060</v>
      </c>
    </row>
    <row r="12" spans="1:3" x14ac:dyDescent="0.25">
      <c r="A12" s="232" t="s">
        <v>1570</v>
      </c>
      <c r="B12">
        <v>4817103</v>
      </c>
      <c r="C12">
        <v>140</v>
      </c>
    </row>
    <row r="13" spans="1:3" x14ac:dyDescent="0.25">
      <c r="A13" s="232" t="s">
        <v>1571</v>
      </c>
      <c r="B13">
        <v>4817114</v>
      </c>
      <c r="C13">
        <v>80</v>
      </c>
    </row>
    <row r="14" spans="1:3" x14ac:dyDescent="0.25">
      <c r="A14" s="232" t="s">
        <v>1572</v>
      </c>
      <c r="B14">
        <v>4754918</v>
      </c>
      <c r="C14">
        <v>1720</v>
      </c>
    </row>
    <row r="15" spans="1:3" x14ac:dyDescent="0.25">
      <c r="A15" s="232" t="s">
        <v>1573</v>
      </c>
      <c r="B15">
        <v>4755038</v>
      </c>
      <c r="C15">
        <v>0</v>
      </c>
    </row>
    <row r="16" spans="1:3" x14ac:dyDescent="0.25">
      <c r="A16" s="232" t="s">
        <v>1574</v>
      </c>
      <c r="B16">
        <v>4755081</v>
      </c>
      <c r="C16">
        <v>0</v>
      </c>
    </row>
    <row r="17" spans="1:3" x14ac:dyDescent="0.25">
      <c r="A17" s="232" t="s">
        <v>1575</v>
      </c>
      <c r="B17">
        <v>5080268</v>
      </c>
      <c r="C17">
        <v>0</v>
      </c>
    </row>
    <row r="18" spans="1:3" x14ac:dyDescent="0.25">
      <c r="A18" s="232" t="s">
        <v>1576</v>
      </c>
      <c r="B18">
        <v>5180031</v>
      </c>
      <c r="C18">
        <v>0</v>
      </c>
    </row>
    <row r="19" spans="1:3" x14ac:dyDescent="0.25">
      <c r="A19" s="232" t="s">
        <v>1577</v>
      </c>
      <c r="B19">
        <v>5180032</v>
      </c>
      <c r="C19">
        <v>500</v>
      </c>
    </row>
    <row r="20" spans="1:3" x14ac:dyDescent="0.25">
      <c r="A20" s="232" t="s">
        <v>1578</v>
      </c>
      <c r="B20">
        <v>5180033</v>
      </c>
      <c r="C20">
        <v>0</v>
      </c>
    </row>
    <row r="21" spans="1:3" x14ac:dyDescent="0.25">
      <c r="A21" s="232" t="s">
        <v>1579</v>
      </c>
      <c r="B21">
        <v>5073060</v>
      </c>
      <c r="C21">
        <v>0</v>
      </c>
    </row>
    <row r="22" spans="1:3" x14ac:dyDescent="0.25">
      <c r="A22" s="232" t="s">
        <v>1580</v>
      </c>
      <c r="B22">
        <v>4172763</v>
      </c>
      <c r="C22">
        <v>0</v>
      </c>
    </row>
    <row r="23" spans="1:3" x14ac:dyDescent="0.25">
      <c r="A23" s="232" t="s">
        <v>1581</v>
      </c>
      <c r="B23">
        <v>4172773</v>
      </c>
      <c r="C23">
        <v>1040</v>
      </c>
    </row>
    <row r="24" spans="1:3" x14ac:dyDescent="0.25">
      <c r="A24" s="232" t="s">
        <v>1582</v>
      </c>
      <c r="B24">
        <v>7506617</v>
      </c>
      <c r="C24">
        <v>0</v>
      </c>
    </row>
    <row r="25" spans="1:3" x14ac:dyDescent="0.25">
      <c r="A25" s="232" t="s">
        <v>1583</v>
      </c>
      <c r="B25">
        <v>4172806</v>
      </c>
      <c r="C25">
        <v>0</v>
      </c>
    </row>
    <row r="26" spans="1:3" x14ac:dyDescent="0.25">
      <c r="A26" s="232" t="s">
        <v>1584</v>
      </c>
      <c r="B26">
        <v>4817101</v>
      </c>
      <c r="C26">
        <v>260</v>
      </c>
    </row>
    <row r="27" spans="1:3" x14ac:dyDescent="0.25">
      <c r="A27" s="232" t="s">
        <v>1585</v>
      </c>
      <c r="B27">
        <v>5080285</v>
      </c>
      <c r="C27">
        <v>0</v>
      </c>
    </row>
    <row r="28" spans="1:3" x14ac:dyDescent="0.25">
      <c r="A28" s="232" t="s">
        <v>1586</v>
      </c>
      <c r="B28">
        <v>4817111</v>
      </c>
      <c r="C28">
        <v>0</v>
      </c>
    </row>
    <row r="29" spans="1:3" x14ac:dyDescent="0.25">
      <c r="A29" s="232" t="s">
        <v>1587</v>
      </c>
      <c r="B29">
        <v>5080263</v>
      </c>
      <c r="C29">
        <v>0</v>
      </c>
    </row>
    <row r="30" spans="1:3" x14ac:dyDescent="0.25">
      <c r="A30" s="232" t="s">
        <v>1588</v>
      </c>
      <c r="B30">
        <v>4172784</v>
      </c>
      <c r="C30">
        <v>0</v>
      </c>
    </row>
    <row r="31" spans="1:3" x14ac:dyDescent="0.25">
      <c r="A31" s="232" t="s">
        <v>1589</v>
      </c>
      <c r="B31">
        <v>4172800</v>
      </c>
      <c r="C31">
        <v>0</v>
      </c>
    </row>
    <row r="32" spans="1:3" x14ac:dyDescent="0.25">
      <c r="A32" s="232" t="s">
        <v>1590</v>
      </c>
      <c r="B32">
        <v>4172821</v>
      </c>
      <c r="C32">
        <v>0</v>
      </c>
    </row>
    <row r="33" spans="1:3" x14ac:dyDescent="0.25">
      <c r="A33" s="232" t="s">
        <v>1591</v>
      </c>
      <c r="B33">
        <v>4172826</v>
      </c>
      <c r="C33">
        <v>350</v>
      </c>
    </row>
    <row r="34" spans="1:3" x14ac:dyDescent="0.25">
      <c r="A34" s="232" t="s">
        <v>1592</v>
      </c>
      <c r="B34">
        <v>5080446</v>
      </c>
      <c r="C34">
        <v>0</v>
      </c>
    </row>
    <row r="35" spans="1:3" x14ac:dyDescent="0.25">
      <c r="A35" s="232" t="s">
        <v>1593</v>
      </c>
      <c r="B35">
        <v>5073064</v>
      </c>
      <c r="C35">
        <v>0</v>
      </c>
    </row>
    <row r="36" spans="1:3" x14ac:dyDescent="0.25">
      <c r="A36" s="232" t="s">
        <v>1594</v>
      </c>
      <c r="B36">
        <v>4172820</v>
      </c>
      <c r="C36">
        <v>0</v>
      </c>
    </row>
    <row r="37" spans="1:3" x14ac:dyDescent="0.25">
      <c r="A37" s="232" t="s">
        <v>1595</v>
      </c>
      <c r="B37">
        <v>4172825</v>
      </c>
      <c r="C37">
        <v>1420</v>
      </c>
    </row>
    <row r="38" spans="1:3" x14ac:dyDescent="0.25">
      <c r="A38" s="232" t="s">
        <v>1596</v>
      </c>
      <c r="B38">
        <v>4264989</v>
      </c>
      <c r="C38">
        <v>0</v>
      </c>
    </row>
    <row r="39" spans="1:3" x14ac:dyDescent="0.25">
      <c r="A39" s="232" t="s">
        <v>1597</v>
      </c>
      <c r="B39">
        <v>4817124</v>
      </c>
      <c r="C39">
        <v>0</v>
      </c>
    </row>
    <row r="40" spans="1:3" x14ac:dyDescent="0.25">
      <c r="A40" s="232" t="s">
        <v>1598</v>
      </c>
      <c r="B40">
        <v>4817129</v>
      </c>
      <c r="C40">
        <v>340</v>
      </c>
    </row>
    <row r="41" spans="1:3" x14ac:dyDescent="0.25">
      <c r="A41" s="232" t="s">
        <v>1599</v>
      </c>
      <c r="B41">
        <v>4817131</v>
      </c>
      <c r="C41">
        <v>720</v>
      </c>
    </row>
    <row r="42" spans="1:3" x14ac:dyDescent="0.25">
      <c r="A42" s="232" t="s">
        <v>1600</v>
      </c>
      <c r="B42">
        <v>4817134</v>
      </c>
      <c r="C42">
        <v>1540</v>
      </c>
    </row>
    <row r="43" spans="1:3" x14ac:dyDescent="0.25">
      <c r="A43" s="232" t="s">
        <v>1601</v>
      </c>
      <c r="B43">
        <v>4817136</v>
      </c>
      <c r="C43">
        <v>0</v>
      </c>
    </row>
    <row r="44" spans="1:3" x14ac:dyDescent="0.25">
      <c r="A44" s="232" t="s">
        <v>1602</v>
      </c>
      <c r="B44">
        <v>4755146</v>
      </c>
      <c r="C44">
        <v>100</v>
      </c>
    </row>
    <row r="45" spans="1:3" x14ac:dyDescent="0.25">
      <c r="A45" s="232" t="s">
        <v>1603</v>
      </c>
      <c r="B45">
        <v>5080443</v>
      </c>
      <c r="C45">
        <v>0</v>
      </c>
    </row>
    <row r="46" spans="1:3" x14ac:dyDescent="0.25">
      <c r="A46" s="232" t="s">
        <v>1604</v>
      </c>
      <c r="B46">
        <v>5180039</v>
      </c>
      <c r="C46">
        <v>0</v>
      </c>
    </row>
    <row r="47" spans="1:3" x14ac:dyDescent="0.25">
      <c r="A47" s="232" t="s">
        <v>1605</v>
      </c>
      <c r="B47">
        <v>5180040</v>
      </c>
      <c r="C47">
        <v>460</v>
      </c>
    </row>
    <row r="48" spans="1:3" x14ac:dyDescent="0.25">
      <c r="A48" s="232" t="s">
        <v>1606</v>
      </c>
      <c r="B48">
        <v>5080450</v>
      </c>
      <c r="C48">
        <v>0</v>
      </c>
    </row>
    <row r="49" spans="1:3" x14ac:dyDescent="0.25">
      <c r="A49" s="232" t="s">
        <v>1607</v>
      </c>
      <c r="B49">
        <v>4172797</v>
      </c>
      <c r="C49">
        <v>30</v>
      </c>
    </row>
    <row r="50" spans="1:3" x14ac:dyDescent="0.25">
      <c r="A50" s="232" t="s">
        <v>1608</v>
      </c>
      <c r="B50">
        <v>7506626</v>
      </c>
      <c r="C50">
        <v>0</v>
      </c>
    </row>
    <row r="51" spans="1:3" x14ac:dyDescent="0.25">
      <c r="A51" s="232" t="s">
        <v>1609</v>
      </c>
      <c r="B51">
        <v>7506627</v>
      </c>
      <c r="C51">
        <v>0</v>
      </c>
    </row>
    <row r="52" spans="1:3" x14ac:dyDescent="0.25">
      <c r="A52" s="232" t="s">
        <v>1610</v>
      </c>
      <c r="B52">
        <v>4172790</v>
      </c>
      <c r="C52">
        <v>0</v>
      </c>
    </row>
    <row r="53" spans="1:3" x14ac:dyDescent="0.25">
      <c r="A53" s="232" t="s">
        <v>1611</v>
      </c>
      <c r="B53">
        <v>4264994</v>
      </c>
      <c r="C53">
        <v>0</v>
      </c>
    </row>
    <row r="54" spans="1:3" x14ac:dyDescent="0.25">
      <c r="A54" s="232" t="s">
        <v>1612</v>
      </c>
      <c r="B54">
        <v>4817115</v>
      </c>
      <c r="C54">
        <v>0</v>
      </c>
    </row>
    <row r="55" spans="1:3" x14ac:dyDescent="0.25">
      <c r="A55" s="232" t="s">
        <v>1613</v>
      </c>
      <c r="B55">
        <v>4817125</v>
      </c>
      <c r="C55">
        <v>0</v>
      </c>
    </row>
    <row r="56" spans="1:3" x14ac:dyDescent="0.25">
      <c r="A56" s="232" t="s">
        <v>1614</v>
      </c>
      <c r="B56">
        <v>4755147</v>
      </c>
      <c r="C56">
        <v>0</v>
      </c>
    </row>
    <row r="57" spans="1:3" x14ac:dyDescent="0.25">
      <c r="A57" s="232" t="s">
        <v>1615</v>
      </c>
      <c r="B57">
        <v>5080431</v>
      </c>
      <c r="C57">
        <v>260</v>
      </c>
    </row>
    <row r="58" spans="1:3" x14ac:dyDescent="0.25">
      <c r="A58" s="232" t="s">
        <v>1616</v>
      </c>
      <c r="B58">
        <v>4817130</v>
      </c>
      <c r="C58">
        <v>400</v>
      </c>
    </row>
    <row r="59" spans="1:3" x14ac:dyDescent="0.25">
      <c r="A59" s="232" t="s">
        <v>1617</v>
      </c>
      <c r="B59">
        <v>5080417</v>
      </c>
      <c r="C59">
        <v>0</v>
      </c>
    </row>
    <row r="60" spans="1:3" x14ac:dyDescent="0.25">
      <c r="A60" s="232" t="s">
        <v>1618</v>
      </c>
      <c r="B60">
        <v>5180041</v>
      </c>
      <c r="C60">
        <v>0</v>
      </c>
    </row>
    <row r="61" spans="1:3" x14ac:dyDescent="0.25">
      <c r="A61" s="232" t="s">
        <v>1619</v>
      </c>
      <c r="B61">
        <v>4429348</v>
      </c>
      <c r="C61">
        <v>950</v>
      </c>
    </row>
    <row r="62" spans="1:3" x14ac:dyDescent="0.25">
      <c r="A62" s="232" t="s">
        <v>1620</v>
      </c>
      <c r="B62">
        <v>4429349</v>
      </c>
      <c r="C62">
        <v>1650</v>
      </c>
    </row>
    <row r="63" spans="1:3" x14ac:dyDescent="0.25">
      <c r="A63" s="232" t="s">
        <v>1621</v>
      </c>
      <c r="B63">
        <v>4429351</v>
      </c>
      <c r="C63">
        <v>1260</v>
      </c>
    </row>
    <row r="64" spans="1:3" x14ac:dyDescent="0.25">
      <c r="A64" s="232" t="s">
        <v>1622</v>
      </c>
      <c r="B64">
        <v>4429352</v>
      </c>
      <c r="C64">
        <v>1380</v>
      </c>
    </row>
    <row r="65" spans="1:3" x14ac:dyDescent="0.25">
      <c r="A65" s="232" t="s">
        <v>1623</v>
      </c>
      <c r="B65">
        <v>4429355</v>
      </c>
      <c r="C65">
        <v>1740</v>
      </c>
    </row>
    <row r="66" spans="1:3" x14ac:dyDescent="0.25">
      <c r="A66" s="232" t="s">
        <v>1624</v>
      </c>
      <c r="B66">
        <v>4429356</v>
      </c>
      <c r="C66">
        <v>1020</v>
      </c>
    </row>
    <row r="67" spans="1:3" x14ac:dyDescent="0.25">
      <c r="A67" s="232" t="s">
        <v>1625</v>
      </c>
      <c r="B67">
        <v>4429358</v>
      </c>
      <c r="C67">
        <v>7800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7135D-6225-4E75-B639-A8E99259753E}">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A151-FCFB-4E99-9EF4-4B908E27E72D}">
  <sheetPr codeName="Sheet2"/>
  <dimension ref="A1:BR109"/>
  <sheetViews>
    <sheetView showGridLines="0" zoomScaleNormal="100" workbookViewId="0">
      <pane xSplit="2" ySplit="2" topLeftCell="AJ39" activePane="bottomRight" state="frozen"/>
      <selection pane="topRight" activeCell="C1" sqref="C1"/>
      <selection pane="bottomLeft" activeCell="A3" sqref="A3"/>
      <selection pane="bottomRight" activeCell="AL3" sqref="AL3:BR107"/>
    </sheetView>
  </sheetViews>
  <sheetFormatPr defaultRowHeight="15" x14ac:dyDescent="0.25"/>
  <cols>
    <col min="1" max="1" width="18.140625" bestFit="1" customWidth="1"/>
    <col min="2" max="2" width="18.140625" customWidth="1"/>
    <col min="3" max="16" width="11.85546875" hidden="1" customWidth="1"/>
    <col min="17" max="17" width="10.7109375" hidden="1" customWidth="1"/>
    <col min="18" max="35" width="11.85546875" hidden="1" customWidth="1"/>
    <col min="36" max="68" width="11.85546875" customWidth="1"/>
    <col min="69" max="70" width="10.7109375" bestFit="1" customWidth="1"/>
    <col min="264" max="264" width="18.140625" bestFit="1" customWidth="1"/>
    <col min="265" max="265" width="18.140625" customWidth="1"/>
    <col min="266" max="271" width="11.85546875" bestFit="1" customWidth="1"/>
    <col min="272" max="272" width="11.85546875" customWidth="1"/>
    <col min="273" max="277" width="11.85546875" bestFit="1" customWidth="1"/>
    <col min="278" max="279" width="11.85546875" customWidth="1"/>
    <col min="280" max="284" width="11.85546875" bestFit="1" customWidth="1"/>
    <col min="285" max="287" width="11.85546875" customWidth="1"/>
    <col min="288" max="288" width="11.85546875" bestFit="1" customWidth="1"/>
    <col min="289" max="292" width="11.85546875" customWidth="1"/>
    <col min="293" max="293" width="11.85546875" bestFit="1" customWidth="1"/>
    <col min="294" max="296" width="11.85546875" customWidth="1"/>
    <col min="297" max="297" width="13.140625" bestFit="1" customWidth="1"/>
    <col min="520" max="520" width="18.140625" bestFit="1" customWidth="1"/>
    <col min="521" max="521" width="18.140625" customWidth="1"/>
    <col min="522" max="527" width="11.85546875" bestFit="1" customWidth="1"/>
    <col min="528" max="528" width="11.85546875" customWidth="1"/>
    <col min="529" max="533" width="11.85546875" bestFit="1" customWidth="1"/>
    <col min="534" max="535" width="11.85546875" customWidth="1"/>
    <col min="536" max="540" width="11.85546875" bestFit="1" customWidth="1"/>
    <col min="541" max="543" width="11.85546875" customWidth="1"/>
    <col min="544" max="544" width="11.85546875" bestFit="1" customWidth="1"/>
    <col min="545" max="548" width="11.85546875" customWidth="1"/>
    <col min="549" max="549" width="11.85546875" bestFit="1" customWidth="1"/>
    <col min="550" max="552" width="11.85546875" customWidth="1"/>
    <col min="553" max="553" width="13.140625" bestFit="1" customWidth="1"/>
    <col min="776" max="776" width="18.140625" bestFit="1" customWidth="1"/>
    <col min="777" max="777" width="18.140625" customWidth="1"/>
    <col min="778" max="783" width="11.85546875" bestFit="1" customWidth="1"/>
    <col min="784" max="784" width="11.85546875" customWidth="1"/>
    <col min="785" max="789" width="11.85546875" bestFit="1" customWidth="1"/>
    <col min="790" max="791" width="11.85546875" customWidth="1"/>
    <col min="792" max="796" width="11.85546875" bestFit="1" customWidth="1"/>
    <col min="797" max="799" width="11.85546875" customWidth="1"/>
    <col min="800" max="800" width="11.85546875" bestFit="1" customWidth="1"/>
    <col min="801" max="804" width="11.85546875" customWidth="1"/>
    <col min="805" max="805" width="11.85546875" bestFit="1" customWidth="1"/>
    <col min="806" max="808" width="11.85546875" customWidth="1"/>
    <col min="809" max="809" width="13.140625" bestFit="1" customWidth="1"/>
    <col min="1032" max="1032" width="18.140625" bestFit="1" customWidth="1"/>
    <col min="1033" max="1033" width="18.140625" customWidth="1"/>
    <col min="1034" max="1039" width="11.85546875" bestFit="1" customWidth="1"/>
    <col min="1040" max="1040" width="11.85546875" customWidth="1"/>
    <col min="1041" max="1045" width="11.85546875" bestFit="1" customWidth="1"/>
    <col min="1046" max="1047" width="11.85546875" customWidth="1"/>
    <col min="1048" max="1052" width="11.85546875" bestFit="1" customWidth="1"/>
    <col min="1053" max="1055" width="11.85546875" customWidth="1"/>
    <col min="1056" max="1056" width="11.85546875" bestFit="1" customWidth="1"/>
    <col min="1057" max="1060" width="11.85546875" customWidth="1"/>
    <col min="1061" max="1061" width="11.85546875" bestFit="1" customWidth="1"/>
    <col min="1062" max="1064" width="11.85546875" customWidth="1"/>
    <col min="1065" max="1065" width="13.140625" bestFit="1" customWidth="1"/>
    <col min="1288" max="1288" width="18.140625" bestFit="1" customWidth="1"/>
    <col min="1289" max="1289" width="18.140625" customWidth="1"/>
    <col min="1290" max="1295" width="11.85546875" bestFit="1" customWidth="1"/>
    <col min="1296" max="1296" width="11.85546875" customWidth="1"/>
    <col min="1297" max="1301" width="11.85546875" bestFit="1" customWidth="1"/>
    <col min="1302" max="1303" width="11.85546875" customWidth="1"/>
    <col min="1304" max="1308" width="11.85546875" bestFit="1" customWidth="1"/>
    <col min="1309" max="1311" width="11.85546875" customWidth="1"/>
    <col min="1312" max="1312" width="11.85546875" bestFit="1" customWidth="1"/>
    <col min="1313" max="1316" width="11.85546875" customWidth="1"/>
    <col min="1317" max="1317" width="11.85546875" bestFit="1" customWidth="1"/>
    <col min="1318" max="1320" width="11.85546875" customWidth="1"/>
    <col min="1321" max="1321" width="13.140625" bestFit="1" customWidth="1"/>
    <col min="1544" max="1544" width="18.140625" bestFit="1" customWidth="1"/>
    <col min="1545" max="1545" width="18.140625" customWidth="1"/>
    <col min="1546" max="1551" width="11.85546875" bestFit="1" customWidth="1"/>
    <col min="1552" max="1552" width="11.85546875" customWidth="1"/>
    <col min="1553" max="1557" width="11.85546875" bestFit="1" customWidth="1"/>
    <col min="1558" max="1559" width="11.85546875" customWidth="1"/>
    <col min="1560" max="1564" width="11.85546875" bestFit="1" customWidth="1"/>
    <col min="1565" max="1567" width="11.85546875" customWidth="1"/>
    <col min="1568" max="1568" width="11.85546875" bestFit="1" customWidth="1"/>
    <col min="1569" max="1572" width="11.85546875" customWidth="1"/>
    <col min="1573" max="1573" width="11.85546875" bestFit="1" customWidth="1"/>
    <col min="1574" max="1576" width="11.85546875" customWidth="1"/>
    <col min="1577" max="1577" width="13.140625" bestFit="1" customWidth="1"/>
    <col min="1800" max="1800" width="18.140625" bestFit="1" customWidth="1"/>
    <col min="1801" max="1801" width="18.140625" customWidth="1"/>
    <col min="1802" max="1807" width="11.85546875" bestFit="1" customWidth="1"/>
    <col min="1808" max="1808" width="11.85546875" customWidth="1"/>
    <col min="1809" max="1813" width="11.85546875" bestFit="1" customWidth="1"/>
    <col min="1814" max="1815" width="11.85546875" customWidth="1"/>
    <col min="1816" max="1820" width="11.85546875" bestFit="1" customWidth="1"/>
    <col min="1821" max="1823" width="11.85546875" customWidth="1"/>
    <col min="1824" max="1824" width="11.85546875" bestFit="1" customWidth="1"/>
    <col min="1825" max="1828" width="11.85546875" customWidth="1"/>
    <col min="1829" max="1829" width="11.85546875" bestFit="1" customWidth="1"/>
    <col min="1830" max="1832" width="11.85546875" customWidth="1"/>
    <col min="1833" max="1833" width="13.140625" bestFit="1" customWidth="1"/>
    <col min="2056" max="2056" width="18.140625" bestFit="1" customWidth="1"/>
    <col min="2057" max="2057" width="18.140625" customWidth="1"/>
    <col min="2058" max="2063" width="11.85546875" bestFit="1" customWidth="1"/>
    <col min="2064" max="2064" width="11.85546875" customWidth="1"/>
    <col min="2065" max="2069" width="11.85546875" bestFit="1" customWidth="1"/>
    <col min="2070" max="2071" width="11.85546875" customWidth="1"/>
    <col min="2072" max="2076" width="11.85546875" bestFit="1" customWidth="1"/>
    <col min="2077" max="2079" width="11.85546875" customWidth="1"/>
    <col min="2080" max="2080" width="11.85546875" bestFit="1" customWidth="1"/>
    <col min="2081" max="2084" width="11.85546875" customWidth="1"/>
    <col min="2085" max="2085" width="11.85546875" bestFit="1" customWidth="1"/>
    <col min="2086" max="2088" width="11.85546875" customWidth="1"/>
    <col min="2089" max="2089" width="13.140625" bestFit="1" customWidth="1"/>
    <col min="2312" max="2312" width="18.140625" bestFit="1" customWidth="1"/>
    <col min="2313" max="2313" width="18.140625" customWidth="1"/>
    <col min="2314" max="2319" width="11.85546875" bestFit="1" customWidth="1"/>
    <col min="2320" max="2320" width="11.85546875" customWidth="1"/>
    <col min="2321" max="2325" width="11.85546875" bestFit="1" customWidth="1"/>
    <col min="2326" max="2327" width="11.85546875" customWidth="1"/>
    <col min="2328" max="2332" width="11.85546875" bestFit="1" customWidth="1"/>
    <col min="2333" max="2335" width="11.85546875" customWidth="1"/>
    <col min="2336" max="2336" width="11.85546875" bestFit="1" customWidth="1"/>
    <col min="2337" max="2340" width="11.85546875" customWidth="1"/>
    <col min="2341" max="2341" width="11.85546875" bestFit="1" customWidth="1"/>
    <col min="2342" max="2344" width="11.85546875" customWidth="1"/>
    <col min="2345" max="2345" width="13.140625" bestFit="1" customWidth="1"/>
    <col min="2568" max="2568" width="18.140625" bestFit="1" customWidth="1"/>
    <col min="2569" max="2569" width="18.140625" customWidth="1"/>
    <col min="2570" max="2575" width="11.85546875" bestFit="1" customWidth="1"/>
    <col min="2576" max="2576" width="11.85546875" customWidth="1"/>
    <col min="2577" max="2581" width="11.85546875" bestFit="1" customWidth="1"/>
    <col min="2582" max="2583" width="11.85546875" customWidth="1"/>
    <col min="2584" max="2588" width="11.85546875" bestFit="1" customWidth="1"/>
    <col min="2589" max="2591" width="11.85546875" customWidth="1"/>
    <col min="2592" max="2592" width="11.85546875" bestFit="1" customWidth="1"/>
    <col min="2593" max="2596" width="11.85546875" customWidth="1"/>
    <col min="2597" max="2597" width="11.85546875" bestFit="1" customWidth="1"/>
    <col min="2598" max="2600" width="11.85546875" customWidth="1"/>
    <col min="2601" max="2601" width="13.140625" bestFit="1" customWidth="1"/>
    <col min="2824" max="2824" width="18.140625" bestFit="1" customWidth="1"/>
    <col min="2825" max="2825" width="18.140625" customWidth="1"/>
    <col min="2826" max="2831" width="11.85546875" bestFit="1" customWidth="1"/>
    <col min="2832" max="2832" width="11.85546875" customWidth="1"/>
    <col min="2833" max="2837" width="11.85546875" bestFit="1" customWidth="1"/>
    <col min="2838" max="2839" width="11.85546875" customWidth="1"/>
    <col min="2840" max="2844" width="11.85546875" bestFit="1" customWidth="1"/>
    <col min="2845" max="2847" width="11.85546875" customWidth="1"/>
    <col min="2848" max="2848" width="11.85546875" bestFit="1" customWidth="1"/>
    <col min="2849" max="2852" width="11.85546875" customWidth="1"/>
    <col min="2853" max="2853" width="11.85546875" bestFit="1" customWidth="1"/>
    <col min="2854" max="2856" width="11.85546875" customWidth="1"/>
    <col min="2857" max="2857" width="13.140625" bestFit="1" customWidth="1"/>
    <col min="3080" max="3080" width="18.140625" bestFit="1" customWidth="1"/>
    <col min="3081" max="3081" width="18.140625" customWidth="1"/>
    <col min="3082" max="3087" width="11.85546875" bestFit="1" customWidth="1"/>
    <col min="3088" max="3088" width="11.85546875" customWidth="1"/>
    <col min="3089" max="3093" width="11.85546875" bestFit="1" customWidth="1"/>
    <col min="3094" max="3095" width="11.85546875" customWidth="1"/>
    <col min="3096" max="3100" width="11.85546875" bestFit="1" customWidth="1"/>
    <col min="3101" max="3103" width="11.85546875" customWidth="1"/>
    <col min="3104" max="3104" width="11.85546875" bestFit="1" customWidth="1"/>
    <col min="3105" max="3108" width="11.85546875" customWidth="1"/>
    <col min="3109" max="3109" width="11.85546875" bestFit="1" customWidth="1"/>
    <col min="3110" max="3112" width="11.85546875" customWidth="1"/>
    <col min="3113" max="3113" width="13.140625" bestFit="1" customWidth="1"/>
    <col min="3336" max="3336" width="18.140625" bestFit="1" customWidth="1"/>
    <col min="3337" max="3337" width="18.140625" customWidth="1"/>
    <col min="3338" max="3343" width="11.85546875" bestFit="1" customWidth="1"/>
    <col min="3344" max="3344" width="11.85546875" customWidth="1"/>
    <col min="3345" max="3349" width="11.85546875" bestFit="1" customWidth="1"/>
    <col min="3350" max="3351" width="11.85546875" customWidth="1"/>
    <col min="3352" max="3356" width="11.85546875" bestFit="1" customWidth="1"/>
    <col min="3357" max="3359" width="11.85546875" customWidth="1"/>
    <col min="3360" max="3360" width="11.85546875" bestFit="1" customWidth="1"/>
    <col min="3361" max="3364" width="11.85546875" customWidth="1"/>
    <col min="3365" max="3365" width="11.85546875" bestFit="1" customWidth="1"/>
    <col min="3366" max="3368" width="11.85546875" customWidth="1"/>
    <col min="3369" max="3369" width="13.140625" bestFit="1" customWidth="1"/>
    <col min="3592" max="3592" width="18.140625" bestFit="1" customWidth="1"/>
    <col min="3593" max="3593" width="18.140625" customWidth="1"/>
    <col min="3594" max="3599" width="11.85546875" bestFit="1" customWidth="1"/>
    <col min="3600" max="3600" width="11.85546875" customWidth="1"/>
    <col min="3601" max="3605" width="11.85546875" bestFit="1" customWidth="1"/>
    <col min="3606" max="3607" width="11.85546875" customWidth="1"/>
    <col min="3608" max="3612" width="11.85546875" bestFit="1" customWidth="1"/>
    <col min="3613" max="3615" width="11.85546875" customWidth="1"/>
    <col min="3616" max="3616" width="11.85546875" bestFit="1" customWidth="1"/>
    <col min="3617" max="3620" width="11.85546875" customWidth="1"/>
    <col min="3621" max="3621" width="11.85546875" bestFit="1" customWidth="1"/>
    <col min="3622" max="3624" width="11.85546875" customWidth="1"/>
    <col min="3625" max="3625" width="13.140625" bestFit="1" customWidth="1"/>
    <col min="3848" max="3848" width="18.140625" bestFit="1" customWidth="1"/>
    <col min="3849" max="3849" width="18.140625" customWidth="1"/>
    <col min="3850" max="3855" width="11.85546875" bestFit="1" customWidth="1"/>
    <col min="3856" max="3856" width="11.85546875" customWidth="1"/>
    <col min="3857" max="3861" width="11.85546875" bestFit="1" customWidth="1"/>
    <col min="3862" max="3863" width="11.85546875" customWidth="1"/>
    <col min="3864" max="3868" width="11.85546875" bestFit="1" customWidth="1"/>
    <col min="3869" max="3871" width="11.85546875" customWidth="1"/>
    <col min="3872" max="3872" width="11.85546875" bestFit="1" customWidth="1"/>
    <col min="3873" max="3876" width="11.85546875" customWidth="1"/>
    <col min="3877" max="3877" width="11.85546875" bestFit="1" customWidth="1"/>
    <col min="3878" max="3880" width="11.85546875" customWidth="1"/>
    <col min="3881" max="3881" width="13.140625" bestFit="1" customWidth="1"/>
    <col min="4104" max="4104" width="18.140625" bestFit="1" customWidth="1"/>
    <col min="4105" max="4105" width="18.140625" customWidth="1"/>
    <col min="4106" max="4111" width="11.85546875" bestFit="1" customWidth="1"/>
    <col min="4112" max="4112" width="11.85546875" customWidth="1"/>
    <col min="4113" max="4117" width="11.85546875" bestFit="1" customWidth="1"/>
    <col min="4118" max="4119" width="11.85546875" customWidth="1"/>
    <col min="4120" max="4124" width="11.85546875" bestFit="1" customWidth="1"/>
    <col min="4125" max="4127" width="11.85546875" customWidth="1"/>
    <col min="4128" max="4128" width="11.85546875" bestFit="1" customWidth="1"/>
    <col min="4129" max="4132" width="11.85546875" customWidth="1"/>
    <col min="4133" max="4133" width="11.85546875" bestFit="1" customWidth="1"/>
    <col min="4134" max="4136" width="11.85546875" customWidth="1"/>
    <col min="4137" max="4137" width="13.140625" bestFit="1" customWidth="1"/>
    <col min="4360" max="4360" width="18.140625" bestFit="1" customWidth="1"/>
    <col min="4361" max="4361" width="18.140625" customWidth="1"/>
    <col min="4362" max="4367" width="11.85546875" bestFit="1" customWidth="1"/>
    <col min="4368" max="4368" width="11.85546875" customWidth="1"/>
    <col min="4369" max="4373" width="11.85546875" bestFit="1" customWidth="1"/>
    <col min="4374" max="4375" width="11.85546875" customWidth="1"/>
    <col min="4376" max="4380" width="11.85546875" bestFit="1" customWidth="1"/>
    <col min="4381" max="4383" width="11.85546875" customWidth="1"/>
    <col min="4384" max="4384" width="11.85546875" bestFit="1" customWidth="1"/>
    <col min="4385" max="4388" width="11.85546875" customWidth="1"/>
    <col min="4389" max="4389" width="11.85546875" bestFit="1" customWidth="1"/>
    <col min="4390" max="4392" width="11.85546875" customWidth="1"/>
    <col min="4393" max="4393" width="13.140625" bestFit="1" customWidth="1"/>
    <col min="4616" max="4616" width="18.140625" bestFit="1" customWidth="1"/>
    <col min="4617" max="4617" width="18.140625" customWidth="1"/>
    <col min="4618" max="4623" width="11.85546875" bestFit="1" customWidth="1"/>
    <col min="4624" max="4624" width="11.85546875" customWidth="1"/>
    <col min="4625" max="4629" width="11.85546875" bestFit="1" customWidth="1"/>
    <col min="4630" max="4631" width="11.85546875" customWidth="1"/>
    <col min="4632" max="4636" width="11.85546875" bestFit="1" customWidth="1"/>
    <col min="4637" max="4639" width="11.85546875" customWidth="1"/>
    <col min="4640" max="4640" width="11.85546875" bestFit="1" customWidth="1"/>
    <col min="4641" max="4644" width="11.85546875" customWidth="1"/>
    <col min="4645" max="4645" width="11.85546875" bestFit="1" customWidth="1"/>
    <col min="4646" max="4648" width="11.85546875" customWidth="1"/>
    <col min="4649" max="4649" width="13.140625" bestFit="1" customWidth="1"/>
    <col min="4872" max="4872" width="18.140625" bestFit="1" customWidth="1"/>
    <col min="4873" max="4873" width="18.140625" customWidth="1"/>
    <col min="4874" max="4879" width="11.85546875" bestFit="1" customWidth="1"/>
    <col min="4880" max="4880" width="11.85546875" customWidth="1"/>
    <col min="4881" max="4885" width="11.85546875" bestFit="1" customWidth="1"/>
    <col min="4886" max="4887" width="11.85546875" customWidth="1"/>
    <col min="4888" max="4892" width="11.85546875" bestFit="1" customWidth="1"/>
    <col min="4893" max="4895" width="11.85546875" customWidth="1"/>
    <col min="4896" max="4896" width="11.85546875" bestFit="1" customWidth="1"/>
    <col min="4897" max="4900" width="11.85546875" customWidth="1"/>
    <col min="4901" max="4901" width="11.85546875" bestFit="1" customWidth="1"/>
    <col min="4902" max="4904" width="11.85546875" customWidth="1"/>
    <col min="4905" max="4905" width="13.140625" bestFit="1" customWidth="1"/>
    <col min="5128" max="5128" width="18.140625" bestFit="1" customWidth="1"/>
    <col min="5129" max="5129" width="18.140625" customWidth="1"/>
    <col min="5130" max="5135" width="11.85546875" bestFit="1" customWidth="1"/>
    <col min="5136" max="5136" width="11.85546875" customWidth="1"/>
    <col min="5137" max="5141" width="11.85546875" bestFit="1" customWidth="1"/>
    <col min="5142" max="5143" width="11.85546875" customWidth="1"/>
    <col min="5144" max="5148" width="11.85546875" bestFit="1" customWidth="1"/>
    <col min="5149" max="5151" width="11.85546875" customWidth="1"/>
    <col min="5152" max="5152" width="11.85546875" bestFit="1" customWidth="1"/>
    <col min="5153" max="5156" width="11.85546875" customWidth="1"/>
    <col min="5157" max="5157" width="11.85546875" bestFit="1" customWidth="1"/>
    <col min="5158" max="5160" width="11.85546875" customWidth="1"/>
    <col min="5161" max="5161" width="13.140625" bestFit="1" customWidth="1"/>
    <col min="5384" max="5384" width="18.140625" bestFit="1" customWidth="1"/>
    <col min="5385" max="5385" width="18.140625" customWidth="1"/>
    <col min="5386" max="5391" width="11.85546875" bestFit="1" customWidth="1"/>
    <col min="5392" max="5392" width="11.85546875" customWidth="1"/>
    <col min="5393" max="5397" width="11.85546875" bestFit="1" customWidth="1"/>
    <col min="5398" max="5399" width="11.85546875" customWidth="1"/>
    <col min="5400" max="5404" width="11.85546875" bestFit="1" customWidth="1"/>
    <col min="5405" max="5407" width="11.85546875" customWidth="1"/>
    <col min="5408" max="5408" width="11.85546875" bestFit="1" customWidth="1"/>
    <col min="5409" max="5412" width="11.85546875" customWidth="1"/>
    <col min="5413" max="5413" width="11.85546875" bestFit="1" customWidth="1"/>
    <col min="5414" max="5416" width="11.85546875" customWidth="1"/>
    <col min="5417" max="5417" width="13.140625" bestFit="1" customWidth="1"/>
    <col min="5640" max="5640" width="18.140625" bestFit="1" customWidth="1"/>
    <col min="5641" max="5641" width="18.140625" customWidth="1"/>
    <col min="5642" max="5647" width="11.85546875" bestFit="1" customWidth="1"/>
    <col min="5648" max="5648" width="11.85546875" customWidth="1"/>
    <col min="5649" max="5653" width="11.85546875" bestFit="1" customWidth="1"/>
    <col min="5654" max="5655" width="11.85546875" customWidth="1"/>
    <col min="5656" max="5660" width="11.85546875" bestFit="1" customWidth="1"/>
    <col min="5661" max="5663" width="11.85546875" customWidth="1"/>
    <col min="5664" max="5664" width="11.85546875" bestFit="1" customWidth="1"/>
    <col min="5665" max="5668" width="11.85546875" customWidth="1"/>
    <col min="5669" max="5669" width="11.85546875" bestFit="1" customWidth="1"/>
    <col min="5670" max="5672" width="11.85546875" customWidth="1"/>
    <col min="5673" max="5673" width="13.140625" bestFit="1" customWidth="1"/>
    <col min="5896" max="5896" width="18.140625" bestFit="1" customWidth="1"/>
    <col min="5897" max="5897" width="18.140625" customWidth="1"/>
    <col min="5898" max="5903" width="11.85546875" bestFit="1" customWidth="1"/>
    <col min="5904" max="5904" width="11.85546875" customWidth="1"/>
    <col min="5905" max="5909" width="11.85546875" bestFit="1" customWidth="1"/>
    <col min="5910" max="5911" width="11.85546875" customWidth="1"/>
    <col min="5912" max="5916" width="11.85546875" bestFit="1" customWidth="1"/>
    <col min="5917" max="5919" width="11.85546875" customWidth="1"/>
    <col min="5920" max="5920" width="11.85546875" bestFit="1" customWidth="1"/>
    <col min="5921" max="5924" width="11.85546875" customWidth="1"/>
    <col min="5925" max="5925" width="11.85546875" bestFit="1" customWidth="1"/>
    <col min="5926" max="5928" width="11.85546875" customWidth="1"/>
    <col min="5929" max="5929" width="13.140625" bestFit="1" customWidth="1"/>
    <col min="6152" max="6152" width="18.140625" bestFit="1" customWidth="1"/>
    <col min="6153" max="6153" width="18.140625" customWidth="1"/>
    <col min="6154" max="6159" width="11.85546875" bestFit="1" customWidth="1"/>
    <col min="6160" max="6160" width="11.85546875" customWidth="1"/>
    <col min="6161" max="6165" width="11.85546875" bestFit="1" customWidth="1"/>
    <col min="6166" max="6167" width="11.85546875" customWidth="1"/>
    <col min="6168" max="6172" width="11.85546875" bestFit="1" customWidth="1"/>
    <col min="6173" max="6175" width="11.85546875" customWidth="1"/>
    <col min="6176" max="6176" width="11.85546875" bestFit="1" customWidth="1"/>
    <col min="6177" max="6180" width="11.85546875" customWidth="1"/>
    <col min="6181" max="6181" width="11.85546875" bestFit="1" customWidth="1"/>
    <col min="6182" max="6184" width="11.85546875" customWidth="1"/>
    <col min="6185" max="6185" width="13.140625" bestFit="1" customWidth="1"/>
    <col min="6408" max="6408" width="18.140625" bestFit="1" customWidth="1"/>
    <col min="6409" max="6409" width="18.140625" customWidth="1"/>
    <col min="6410" max="6415" width="11.85546875" bestFit="1" customWidth="1"/>
    <col min="6416" max="6416" width="11.85546875" customWidth="1"/>
    <col min="6417" max="6421" width="11.85546875" bestFit="1" customWidth="1"/>
    <col min="6422" max="6423" width="11.85546875" customWidth="1"/>
    <col min="6424" max="6428" width="11.85546875" bestFit="1" customWidth="1"/>
    <col min="6429" max="6431" width="11.85546875" customWidth="1"/>
    <col min="6432" max="6432" width="11.85546875" bestFit="1" customWidth="1"/>
    <col min="6433" max="6436" width="11.85546875" customWidth="1"/>
    <col min="6437" max="6437" width="11.85546875" bestFit="1" customWidth="1"/>
    <col min="6438" max="6440" width="11.85546875" customWidth="1"/>
    <col min="6441" max="6441" width="13.140625" bestFit="1" customWidth="1"/>
    <col min="6664" max="6664" width="18.140625" bestFit="1" customWidth="1"/>
    <col min="6665" max="6665" width="18.140625" customWidth="1"/>
    <col min="6666" max="6671" width="11.85546875" bestFit="1" customWidth="1"/>
    <col min="6672" max="6672" width="11.85546875" customWidth="1"/>
    <col min="6673" max="6677" width="11.85546875" bestFit="1" customWidth="1"/>
    <col min="6678" max="6679" width="11.85546875" customWidth="1"/>
    <col min="6680" max="6684" width="11.85546875" bestFit="1" customWidth="1"/>
    <col min="6685" max="6687" width="11.85546875" customWidth="1"/>
    <col min="6688" max="6688" width="11.85546875" bestFit="1" customWidth="1"/>
    <col min="6689" max="6692" width="11.85546875" customWidth="1"/>
    <col min="6693" max="6693" width="11.85546875" bestFit="1" customWidth="1"/>
    <col min="6694" max="6696" width="11.85546875" customWidth="1"/>
    <col min="6697" max="6697" width="13.140625" bestFit="1" customWidth="1"/>
    <col min="6920" max="6920" width="18.140625" bestFit="1" customWidth="1"/>
    <col min="6921" max="6921" width="18.140625" customWidth="1"/>
    <col min="6922" max="6927" width="11.85546875" bestFit="1" customWidth="1"/>
    <col min="6928" max="6928" width="11.85546875" customWidth="1"/>
    <col min="6929" max="6933" width="11.85546875" bestFit="1" customWidth="1"/>
    <col min="6934" max="6935" width="11.85546875" customWidth="1"/>
    <col min="6936" max="6940" width="11.85546875" bestFit="1" customWidth="1"/>
    <col min="6941" max="6943" width="11.85546875" customWidth="1"/>
    <col min="6944" max="6944" width="11.85546875" bestFit="1" customWidth="1"/>
    <col min="6945" max="6948" width="11.85546875" customWidth="1"/>
    <col min="6949" max="6949" width="11.85546875" bestFit="1" customWidth="1"/>
    <col min="6950" max="6952" width="11.85546875" customWidth="1"/>
    <col min="6953" max="6953" width="13.140625" bestFit="1" customWidth="1"/>
    <col min="7176" max="7176" width="18.140625" bestFit="1" customWidth="1"/>
    <col min="7177" max="7177" width="18.140625" customWidth="1"/>
    <col min="7178" max="7183" width="11.85546875" bestFit="1" customWidth="1"/>
    <col min="7184" max="7184" width="11.85546875" customWidth="1"/>
    <col min="7185" max="7189" width="11.85546875" bestFit="1" customWidth="1"/>
    <col min="7190" max="7191" width="11.85546875" customWidth="1"/>
    <col min="7192" max="7196" width="11.85546875" bestFit="1" customWidth="1"/>
    <col min="7197" max="7199" width="11.85546875" customWidth="1"/>
    <col min="7200" max="7200" width="11.85546875" bestFit="1" customWidth="1"/>
    <col min="7201" max="7204" width="11.85546875" customWidth="1"/>
    <col min="7205" max="7205" width="11.85546875" bestFit="1" customWidth="1"/>
    <col min="7206" max="7208" width="11.85546875" customWidth="1"/>
    <col min="7209" max="7209" width="13.140625" bestFit="1" customWidth="1"/>
    <col min="7432" max="7432" width="18.140625" bestFit="1" customWidth="1"/>
    <col min="7433" max="7433" width="18.140625" customWidth="1"/>
    <col min="7434" max="7439" width="11.85546875" bestFit="1" customWidth="1"/>
    <col min="7440" max="7440" width="11.85546875" customWidth="1"/>
    <col min="7441" max="7445" width="11.85546875" bestFit="1" customWidth="1"/>
    <col min="7446" max="7447" width="11.85546875" customWidth="1"/>
    <col min="7448" max="7452" width="11.85546875" bestFit="1" customWidth="1"/>
    <col min="7453" max="7455" width="11.85546875" customWidth="1"/>
    <col min="7456" max="7456" width="11.85546875" bestFit="1" customWidth="1"/>
    <col min="7457" max="7460" width="11.85546875" customWidth="1"/>
    <col min="7461" max="7461" width="11.85546875" bestFit="1" customWidth="1"/>
    <col min="7462" max="7464" width="11.85546875" customWidth="1"/>
    <col min="7465" max="7465" width="13.140625" bestFit="1" customWidth="1"/>
    <col min="7688" max="7688" width="18.140625" bestFit="1" customWidth="1"/>
    <col min="7689" max="7689" width="18.140625" customWidth="1"/>
    <col min="7690" max="7695" width="11.85546875" bestFit="1" customWidth="1"/>
    <col min="7696" max="7696" width="11.85546875" customWidth="1"/>
    <col min="7697" max="7701" width="11.85546875" bestFit="1" customWidth="1"/>
    <col min="7702" max="7703" width="11.85546875" customWidth="1"/>
    <col min="7704" max="7708" width="11.85546875" bestFit="1" customWidth="1"/>
    <col min="7709" max="7711" width="11.85546875" customWidth="1"/>
    <col min="7712" max="7712" width="11.85546875" bestFit="1" customWidth="1"/>
    <col min="7713" max="7716" width="11.85546875" customWidth="1"/>
    <col min="7717" max="7717" width="11.85546875" bestFit="1" customWidth="1"/>
    <col min="7718" max="7720" width="11.85546875" customWidth="1"/>
    <col min="7721" max="7721" width="13.140625" bestFit="1" customWidth="1"/>
    <col min="7944" max="7944" width="18.140625" bestFit="1" customWidth="1"/>
    <col min="7945" max="7945" width="18.140625" customWidth="1"/>
    <col min="7946" max="7951" width="11.85546875" bestFit="1" customWidth="1"/>
    <col min="7952" max="7952" width="11.85546875" customWidth="1"/>
    <col min="7953" max="7957" width="11.85546875" bestFit="1" customWidth="1"/>
    <col min="7958" max="7959" width="11.85546875" customWidth="1"/>
    <col min="7960" max="7964" width="11.85546875" bestFit="1" customWidth="1"/>
    <col min="7965" max="7967" width="11.85546875" customWidth="1"/>
    <col min="7968" max="7968" width="11.85546875" bestFit="1" customWidth="1"/>
    <col min="7969" max="7972" width="11.85546875" customWidth="1"/>
    <col min="7973" max="7973" width="11.85546875" bestFit="1" customWidth="1"/>
    <col min="7974" max="7976" width="11.85546875" customWidth="1"/>
    <col min="7977" max="7977" width="13.140625" bestFit="1" customWidth="1"/>
    <col min="8200" max="8200" width="18.140625" bestFit="1" customWidth="1"/>
    <col min="8201" max="8201" width="18.140625" customWidth="1"/>
    <col min="8202" max="8207" width="11.85546875" bestFit="1" customWidth="1"/>
    <col min="8208" max="8208" width="11.85546875" customWidth="1"/>
    <col min="8209" max="8213" width="11.85546875" bestFit="1" customWidth="1"/>
    <col min="8214" max="8215" width="11.85546875" customWidth="1"/>
    <col min="8216" max="8220" width="11.85546875" bestFit="1" customWidth="1"/>
    <col min="8221" max="8223" width="11.85546875" customWidth="1"/>
    <col min="8224" max="8224" width="11.85546875" bestFit="1" customWidth="1"/>
    <col min="8225" max="8228" width="11.85546875" customWidth="1"/>
    <col min="8229" max="8229" width="11.85546875" bestFit="1" customWidth="1"/>
    <col min="8230" max="8232" width="11.85546875" customWidth="1"/>
    <col min="8233" max="8233" width="13.140625" bestFit="1" customWidth="1"/>
    <col min="8456" max="8456" width="18.140625" bestFit="1" customWidth="1"/>
    <col min="8457" max="8457" width="18.140625" customWidth="1"/>
    <col min="8458" max="8463" width="11.85546875" bestFit="1" customWidth="1"/>
    <col min="8464" max="8464" width="11.85546875" customWidth="1"/>
    <col min="8465" max="8469" width="11.85546875" bestFit="1" customWidth="1"/>
    <col min="8470" max="8471" width="11.85546875" customWidth="1"/>
    <col min="8472" max="8476" width="11.85546875" bestFit="1" customWidth="1"/>
    <col min="8477" max="8479" width="11.85546875" customWidth="1"/>
    <col min="8480" max="8480" width="11.85546875" bestFit="1" customWidth="1"/>
    <col min="8481" max="8484" width="11.85546875" customWidth="1"/>
    <col min="8485" max="8485" width="11.85546875" bestFit="1" customWidth="1"/>
    <col min="8486" max="8488" width="11.85546875" customWidth="1"/>
    <col min="8489" max="8489" width="13.140625" bestFit="1" customWidth="1"/>
    <col min="8712" max="8712" width="18.140625" bestFit="1" customWidth="1"/>
    <col min="8713" max="8713" width="18.140625" customWidth="1"/>
    <col min="8714" max="8719" width="11.85546875" bestFit="1" customWidth="1"/>
    <col min="8720" max="8720" width="11.85546875" customWidth="1"/>
    <col min="8721" max="8725" width="11.85546875" bestFit="1" customWidth="1"/>
    <col min="8726" max="8727" width="11.85546875" customWidth="1"/>
    <col min="8728" max="8732" width="11.85546875" bestFit="1" customWidth="1"/>
    <col min="8733" max="8735" width="11.85546875" customWidth="1"/>
    <col min="8736" max="8736" width="11.85546875" bestFit="1" customWidth="1"/>
    <col min="8737" max="8740" width="11.85546875" customWidth="1"/>
    <col min="8741" max="8741" width="11.85546875" bestFit="1" customWidth="1"/>
    <col min="8742" max="8744" width="11.85546875" customWidth="1"/>
    <col min="8745" max="8745" width="13.140625" bestFit="1" customWidth="1"/>
    <col min="8968" max="8968" width="18.140625" bestFit="1" customWidth="1"/>
    <col min="8969" max="8969" width="18.140625" customWidth="1"/>
    <col min="8970" max="8975" width="11.85546875" bestFit="1" customWidth="1"/>
    <col min="8976" max="8976" width="11.85546875" customWidth="1"/>
    <col min="8977" max="8981" width="11.85546875" bestFit="1" customWidth="1"/>
    <col min="8982" max="8983" width="11.85546875" customWidth="1"/>
    <col min="8984" max="8988" width="11.85546875" bestFit="1" customWidth="1"/>
    <col min="8989" max="8991" width="11.85546875" customWidth="1"/>
    <col min="8992" max="8992" width="11.85546875" bestFit="1" customWidth="1"/>
    <col min="8993" max="8996" width="11.85546875" customWidth="1"/>
    <col min="8997" max="8997" width="11.85546875" bestFit="1" customWidth="1"/>
    <col min="8998" max="9000" width="11.85546875" customWidth="1"/>
    <col min="9001" max="9001" width="13.140625" bestFit="1" customWidth="1"/>
    <col min="9224" max="9224" width="18.140625" bestFit="1" customWidth="1"/>
    <col min="9225" max="9225" width="18.140625" customWidth="1"/>
    <col min="9226" max="9231" width="11.85546875" bestFit="1" customWidth="1"/>
    <col min="9232" max="9232" width="11.85546875" customWidth="1"/>
    <col min="9233" max="9237" width="11.85546875" bestFit="1" customWidth="1"/>
    <col min="9238" max="9239" width="11.85546875" customWidth="1"/>
    <col min="9240" max="9244" width="11.85546875" bestFit="1" customWidth="1"/>
    <col min="9245" max="9247" width="11.85546875" customWidth="1"/>
    <col min="9248" max="9248" width="11.85546875" bestFit="1" customWidth="1"/>
    <col min="9249" max="9252" width="11.85546875" customWidth="1"/>
    <col min="9253" max="9253" width="11.85546875" bestFit="1" customWidth="1"/>
    <col min="9254" max="9256" width="11.85546875" customWidth="1"/>
    <col min="9257" max="9257" width="13.140625" bestFit="1" customWidth="1"/>
    <col min="9480" max="9480" width="18.140625" bestFit="1" customWidth="1"/>
    <col min="9481" max="9481" width="18.140625" customWidth="1"/>
    <col min="9482" max="9487" width="11.85546875" bestFit="1" customWidth="1"/>
    <col min="9488" max="9488" width="11.85546875" customWidth="1"/>
    <col min="9489" max="9493" width="11.85546875" bestFit="1" customWidth="1"/>
    <col min="9494" max="9495" width="11.85546875" customWidth="1"/>
    <col min="9496" max="9500" width="11.85546875" bestFit="1" customWidth="1"/>
    <col min="9501" max="9503" width="11.85546875" customWidth="1"/>
    <col min="9504" max="9504" width="11.85546875" bestFit="1" customWidth="1"/>
    <col min="9505" max="9508" width="11.85546875" customWidth="1"/>
    <col min="9509" max="9509" width="11.85546875" bestFit="1" customWidth="1"/>
    <col min="9510" max="9512" width="11.85546875" customWidth="1"/>
    <col min="9513" max="9513" width="13.140625" bestFit="1" customWidth="1"/>
    <col min="9736" max="9736" width="18.140625" bestFit="1" customWidth="1"/>
    <col min="9737" max="9737" width="18.140625" customWidth="1"/>
    <col min="9738" max="9743" width="11.85546875" bestFit="1" customWidth="1"/>
    <col min="9744" max="9744" width="11.85546875" customWidth="1"/>
    <col min="9745" max="9749" width="11.85546875" bestFit="1" customWidth="1"/>
    <col min="9750" max="9751" width="11.85546875" customWidth="1"/>
    <col min="9752" max="9756" width="11.85546875" bestFit="1" customWidth="1"/>
    <col min="9757" max="9759" width="11.85546875" customWidth="1"/>
    <col min="9760" max="9760" width="11.85546875" bestFit="1" customWidth="1"/>
    <col min="9761" max="9764" width="11.85546875" customWidth="1"/>
    <col min="9765" max="9765" width="11.85546875" bestFit="1" customWidth="1"/>
    <col min="9766" max="9768" width="11.85546875" customWidth="1"/>
    <col min="9769" max="9769" width="13.140625" bestFit="1" customWidth="1"/>
    <col min="9992" max="9992" width="18.140625" bestFit="1" customWidth="1"/>
    <col min="9993" max="9993" width="18.140625" customWidth="1"/>
    <col min="9994" max="9999" width="11.85546875" bestFit="1" customWidth="1"/>
    <col min="10000" max="10000" width="11.85546875" customWidth="1"/>
    <col min="10001" max="10005" width="11.85546875" bestFit="1" customWidth="1"/>
    <col min="10006" max="10007" width="11.85546875" customWidth="1"/>
    <col min="10008" max="10012" width="11.85546875" bestFit="1" customWidth="1"/>
    <col min="10013" max="10015" width="11.85546875" customWidth="1"/>
    <col min="10016" max="10016" width="11.85546875" bestFit="1" customWidth="1"/>
    <col min="10017" max="10020" width="11.85546875" customWidth="1"/>
    <col min="10021" max="10021" width="11.85546875" bestFit="1" customWidth="1"/>
    <col min="10022" max="10024" width="11.85546875" customWidth="1"/>
    <col min="10025" max="10025" width="13.140625" bestFit="1" customWidth="1"/>
    <col min="10248" max="10248" width="18.140625" bestFit="1" customWidth="1"/>
    <col min="10249" max="10249" width="18.140625" customWidth="1"/>
    <col min="10250" max="10255" width="11.85546875" bestFit="1" customWidth="1"/>
    <col min="10256" max="10256" width="11.85546875" customWidth="1"/>
    <col min="10257" max="10261" width="11.85546875" bestFit="1" customWidth="1"/>
    <col min="10262" max="10263" width="11.85546875" customWidth="1"/>
    <col min="10264" max="10268" width="11.85546875" bestFit="1" customWidth="1"/>
    <col min="10269" max="10271" width="11.85546875" customWidth="1"/>
    <col min="10272" max="10272" width="11.85546875" bestFit="1" customWidth="1"/>
    <col min="10273" max="10276" width="11.85546875" customWidth="1"/>
    <col min="10277" max="10277" width="11.85546875" bestFit="1" customWidth="1"/>
    <col min="10278" max="10280" width="11.85546875" customWidth="1"/>
    <col min="10281" max="10281" width="13.140625" bestFit="1" customWidth="1"/>
    <col min="10504" max="10504" width="18.140625" bestFit="1" customWidth="1"/>
    <col min="10505" max="10505" width="18.140625" customWidth="1"/>
    <col min="10506" max="10511" width="11.85546875" bestFit="1" customWidth="1"/>
    <col min="10512" max="10512" width="11.85546875" customWidth="1"/>
    <col min="10513" max="10517" width="11.85546875" bestFit="1" customWidth="1"/>
    <col min="10518" max="10519" width="11.85546875" customWidth="1"/>
    <col min="10520" max="10524" width="11.85546875" bestFit="1" customWidth="1"/>
    <col min="10525" max="10527" width="11.85546875" customWidth="1"/>
    <col min="10528" max="10528" width="11.85546875" bestFit="1" customWidth="1"/>
    <col min="10529" max="10532" width="11.85546875" customWidth="1"/>
    <col min="10533" max="10533" width="11.85546875" bestFit="1" customWidth="1"/>
    <col min="10534" max="10536" width="11.85546875" customWidth="1"/>
    <col min="10537" max="10537" width="13.140625" bestFit="1" customWidth="1"/>
    <col min="10760" max="10760" width="18.140625" bestFit="1" customWidth="1"/>
    <col min="10761" max="10761" width="18.140625" customWidth="1"/>
    <col min="10762" max="10767" width="11.85546875" bestFit="1" customWidth="1"/>
    <col min="10768" max="10768" width="11.85546875" customWidth="1"/>
    <col min="10769" max="10773" width="11.85546875" bestFit="1" customWidth="1"/>
    <col min="10774" max="10775" width="11.85546875" customWidth="1"/>
    <col min="10776" max="10780" width="11.85546875" bestFit="1" customWidth="1"/>
    <col min="10781" max="10783" width="11.85546875" customWidth="1"/>
    <col min="10784" max="10784" width="11.85546875" bestFit="1" customWidth="1"/>
    <col min="10785" max="10788" width="11.85546875" customWidth="1"/>
    <col min="10789" max="10789" width="11.85546875" bestFit="1" customWidth="1"/>
    <col min="10790" max="10792" width="11.85546875" customWidth="1"/>
    <col min="10793" max="10793" width="13.140625" bestFit="1" customWidth="1"/>
    <col min="11016" max="11016" width="18.140625" bestFit="1" customWidth="1"/>
    <col min="11017" max="11017" width="18.140625" customWidth="1"/>
    <col min="11018" max="11023" width="11.85546875" bestFit="1" customWidth="1"/>
    <col min="11024" max="11024" width="11.85546875" customWidth="1"/>
    <col min="11025" max="11029" width="11.85546875" bestFit="1" customWidth="1"/>
    <col min="11030" max="11031" width="11.85546875" customWidth="1"/>
    <col min="11032" max="11036" width="11.85546875" bestFit="1" customWidth="1"/>
    <col min="11037" max="11039" width="11.85546875" customWidth="1"/>
    <col min="11040" max="11040" width="11.85546875" bestFit="1" customWidth="1"/>
    <col min="11041" max="11044" width="11.85546875" customWidth="1"/>
    <col min="11045" max="11045" width="11.85546875" bestFit="1" customWidth="1"/>
    <col min="11046" max="11048" width="11.85546875" customWidth="1"/>
    <col min="11049" max="11049" width="13.140625" bestFit="1" customWidth="1"/>
    <col min="11272" max="11272" width="18.140625" bestFit="1" customWidth="1"/>
    <col min="11273" max="11273" width="18.140625" customWidth="1"/>
    <col min="11274" max="11279" width="11.85546875" bestFit="1" customWidth="1"/>
    <col min="11280" max="11280" width="11.85546875" customWidth="1"/>
    <col min="11281" max="11285" width="11.85546875" bestFit="1" customWidth="1"/>
    <col min="11286" max="11287" width="11.85546875" customWidth="1"/>
    <col min="11288" max="11292" width="11.85546875" bestFit="1" customWidth="1"/>
    <col min="11293" max="11295" width="11.85546875" customWidth="1"/>
    <col min="11296" max="11296" width="11.85546875" bestFit="1" customWidth="1"/>
    <col min="11297" max="11300" width="11.85546875" customWidth="1"/>
    <col min="11301" max="11301" width="11.85546875" bestFit="1" customWidth="1"/>
    <col min="11302" max="11304" width="11.85546875" customWidth="1"/>
    <col min="11305" max="11305" width="13.140625" bestFit="1" customWidth="1"/>
    <col min="11528" max="11528" width="18.140625" bestFit="1" customWidth="1"/>
    <col min="11529" max="11529" width="18.140625" customWidth="1"/>
    <col min="11530" max="11535" width="11.85546875" bestFit="1" customWidth="1"/>
    <col min="11536" max="11536" width="11.85546875" customWidth="1"/>
    <col min="11537" max="11541" width="11.85546875" bestFit="1" customWidth="1"/>
    <col min="11542" max="11543" width="11.85546875" customWidth="1"/>
    <col min="11544" max="11548" width="11.85546875" bestFit="1" customWidth="1"/>
    <col min="11549" max="11551" width="11.85546875" customWidth="1"/>
    <col min="11552" max="11552" width="11.85546875" bestFit="1" customWidth="1"/>
    <col min="11553" max="11556" width="11.85546875" customWidth="1"/>
    <col min="11557" max="11557" width="11.85546875" bestFit="1" customWidth="1"/>
    <col min="11558" max="11560" width="11.85546875" customWidth="1"/>
    <col min="11561" max="11561" width="13.140625" bestFit="1" customWidth="1"/>
    <col min="11784" max="11784" width="18.140625" bestFit="1" customWidth="1"/>
    <col min="11785" max="11785" width="18.140625" customWidth="1"/>
    <col min="11786" max="11791" width="11.85546875" bestFit="1" customWidth="1"/>
    <col min="11792" max="11792" width="11.85546875" customWidth="1"/>
    <col min="11793" max="11797" width="11.85546875" bestFit="1" customWidth="1"/>
    <col min="11798" max="11799" width="11.85546875" customWidth="1"/>
    <col min="11800" max="11804" width="11.85546875" bestFit="1" customWidth="1"/>
    <col min="11805" max="11807" width="11.85546875" customWidth="1"/>
    <col min="11808" max="11808" width="11.85546875" bestFit="1" customWidth="1"/>
    <col min="11809" max="11812" width="11.85546875" customWidth="1"/>
    <col min="11813" max="11813" width="11.85546875" bestFit="1" customWidth="1"/>
    <col min="11814" max="11816" width="11.85546875" customWidth="1"/>
    <col min="11817" max="11817" width="13.140625" bestFit="1" customWidth="1"/>
    <col min="12040" max="12040" width="18.140625" bestFit="1" customWidth="1"/>
    <col min="12041" max="12041" width="18.140625" customWidth="1"/>
    <col min="12042" max="12047" width="11.85546875" bestFit="1" customWidth="1"/>
    <col min="12048" max="12048" width="11.85546875" customWidth="1"/>
    <col min="12049" max="12053" width="11.85546875" bestFit="1" customWidth="1"/>
    <col min="12054" max="12055" width="11.85546875" customWidth="1"/>
    <col min="12056" max="12060" width="11.85546875" bestFit="1" customWidth="1"/>
    <col min="12061" max="12063" width="11.85546875" customWidth="1"/>
    <col min="12064" max="12064" width="11.85546875" bestFit="1" customWidth="1"/>
    <col min="12065" max="12068" width="11.85546875" customWidth="1"/>
    <col min="12069" max="12069" width="11.85546875" bestFit="1" customWidth="1"/>
    <col min="12070" max="12072" width="11.85546875" customWidth="1"/>
    <col min="12073" max="12073" width="13.140625" bestFit="1" customWidth="1"/>
    <col min="12296" max="12296" width="18.140625" bestFit="1" customWidth="1"/>
    <col min="12297" max="12297" width="18.140625" customWidth="1"/>
    <col min="12298" max="12303" width="11.85546875" bestFit="1" customWidth="1"/>
    <col min="12304" max="12304" width="11.85546875" customWidth="1"/>
    <col min="12305" max="12309" width="11.85546875" bestFit="1" customWidth="1"/>
    <col min="12310" max="12311" width="11.85546875" customWidth="1"/>
    <col min="12312" max="12316" width="11.85546875" bestFit="1" customWidth="1"/>
    <col min="12317" max="12319" width="11.85546875" customWidth="1"/>
    <col min="12320" max="12320" width="11.85546875" bestFit="1" customWidth="1"/>
    <col min="12321" max="12324" width="11.85546875" customWidth="1"/>
    <col min="12325" max="12325" width="11.85546875" bestFit="1" customWidth="1"/>
    <col min="12326" max="12328" width="11.85546875" customWidth="1"/>
    <col min="12329" max="12329" width="13.140625" bestFit="1" customWidth="1"/>
    <col min="12552" max="12552" width="18.140625" bestFit="1" customWidth="1"/>
    <col min="12553" max="12553" width="18.140625" customWidth="1"/>
    <col min="12554" max="12559" width="11.85546875" bestFit="1" customWidth="1"/>
    <col min="12560" max="12560" width="11.85546875" customWidth="1"/>
    <col min="12561" max="12565" width="11.85546875" bestFit="1" customWidth="1"/>
    <col min="12566" max="12567" width="11.85546875" customWidth="1"/>
    <col min="12568" max="12572" width="11.85546875" bestFit="1" customWidth="1"/>
    <col min="12573" max="12575" width="11.85546875" customWidth="1"/>
    <col min="12576" max="12576" width="11.85546875" bestFit="1" customWidth="1"/>
    <col min="12577" max="12580" width="11.85546875" customWidth="1"/>
    <col min="12581" max="12581" width="11.85546875" bestFit="1" customWidth="1"/>
    <col min="12582" max="12584" width="11.85546875" customWidth="1"/>
    <col min="12585" max="12585" width="13.140625" bestFit="1" customWidth="1"/>
    <col min="12808" max="12808" width="18.140625" bestFit="1" customWidth="1"/>
    <col min="12809" max="12809" width="18.140625" customWidth="1"/>
    <col min="12810" max="12815" width="11.85546875" bestFit="1" customWidth="1"/>
    <col min="12816" max="12816" width="11.85546875" customWidth="1"/>
    <col min="12817" max="12821" width="11.85546875" bestFit="1" customWidth="1"/>
    <col min="12822" max="12823" width="11.85546875" customWidth="1"/>
    <col min="12824" max="12828" width="11.85546875" bestFit="1" customWidth="1"/>
    <col min="12829" max="12831" width="11.85546875" customWidth="1"/>
    <col min="12832" max="12832" width="11.85546875" bestFit="1" customWidth="1"/>
    <col min="12833" max="12836" width="11.85546875" customWidth="1"/>
    <col min="12837" max="12837" width="11.85546875" bestFit="1" customWidth="1"/>
    <col min="12838" max="12840" width="11.85546875" customWidth="1"/>
    <col min="12841" max="12841" width="13.140625" bestFit="1" customWidth="1"/>
    <col min="13064" max="13064" width="18.140625" bestFit="1" customWidth="1"/>
    <col min="13065" max="13065" width="18.140625" customWidth="1"/>
    <col min="13066" max="13071" width="11.85546875" bestFit="1" customWidth="1"/>
    <col min="13072" max="13072" width="11.85546875" customWidth="1"/>
    <col min="13073" max="13077" width="11.85546875" bestFit="1" customWidth="1"/>
    <col min="13078" max="13079" width="11.85546875" customWidth="1"/>
    <col min="13080" max="13084" width="11.85546875" bestFit="1" customWidth="1"/>
    <col min="13085" max="13087" width="11.85546875" customWidth="1"/>
    <col min="13088" max="13088" width="11.85546875" bestFit="1" customWidth="1"/>
    <col min="13089" max="13092" width="11.85546875" customWidth="1"/>
    <col min="13093" max="13093" width="11.85546875" bestFit="1" customWidth="1"/>
    <col min="13094" max="13096" width="11.85546875" customWidth="1"/>
    <col min="13097" max="13097" width="13.140625" bestFit="1" customWidth="1"/>
    <col min="13320" max="13320" width="18.140625" bestFit="1" customWidth="1"/>
    <col min="13321" max="13321" width="18.140625" customWidth="1"/>
    <col min="13322" max="13327" width="11.85546875" bestFit="1" customWidth="1"/>
    <col min="13328" max="13328" width="11.85546875" customWidth="1"/>
    <col min="13329" max="13333" width="11.85546875" bestFit="1" customWidth="1"/>
    <col min="13334" max="13335" width="11.85546875" customWidth="1"/>
    <col min="13336" max="13340" width="11.85546875" bestFit="1" customWidth="1"/>
    <col min="13341" max="13343" width="11.85546875" customWidth="1"/>
    <col min="13344" max="13344" width="11.85546875" bestFit="1" customWidth="1"/>
    <col min="13345" max="13348" width="11.85546875" customWidth="1"/>
    <col min="13349" max="13349" width="11.85546875" bestFit="1" customWidth="1"/>
    <col min="13350" max="13352" width="11.85546875" customWidth="1"/>
    <col min="13353" max="13353" width="13.140625" bestFit="1" customWidth="1"/>
    <col min="13576" max="13576" width="18.140625" bestFit="1" customWidth="1"/>
    <col min="13577" max="13577" width="18.140625" customWidth="1"/>
    <col min="13578" max="13583" width="11.85546875" bestFit="1" customWidth="1"/>
    <col min="13584" max="13584" width="11.85546875" customWidth="1"/>
    <col min="13585" max="13589" width="11.85546875" bestFit="1" customWidth="1"/>
    <col min="13590" max="13591" width="11.85546875" customWidth="1"/>
    <col min="13592" max="13596" width="11.85546875" bestFit="1" customWidth="1"/>
    <col min="13597" max="13599" width="11.85546875" customWidth="1"/>
    <col min="13600" max="13600" width="11.85546875" bestFit="1" customWidth="1"/>
    <col min="13601" max="13604" width="11.85546875" customWidth="1"/>
    <col min="13605" max="13605" width="11.85546875" bestFit="1" customWidth="1"/>
    <col min="13606" max="13608" width="11.85546875" customWidth="1"/>
    <col min="13609" max="13609" width="13.140625" bestFit="1" customWidth="1"/>
    <col min="13832" max="13832" width="18.140625" bestFit="1" customWidth="1"/>
    <col min="13833" max="13833" width="18.140625" customWidth="1"/>
    <col min="13834" max="13839" width="11.85546875" bestFit="1" customWidth="1"/>
    <col min="13840" max="13840" width="11.85546875" customWidth="1"/>
    <col min="13841" max="13845" width="11.85546875" bestFit="1" customWidth="1"/>
    <col min="13846" max="13847" width="11.85546875" customWidth="1"/>
    <col min="13848" max="13852" width="11.85546875" bestFit="1" customWidth="1"/>
    <col min="13853" max="13855" width="11.85546875" customWidth="1"/>
    <col min="13856" max="13856" width="11.85546875" bestFit="1" customWidth="1"/>
    <col min="13857" max="13860" width="11.85546875" customWidth="1"/>
    <col min="13861" max="13861" width="11.85546875" bestFit="1" customWidth="1"/>
    <col min="13862" max="13864" width="11.85546875" customWidth="1"/>
    <col min="13865" max="13865" width="13.140625" bestFit="1" customWidth="1"/>
    <col min="14088" max="14088" width="18.140625" bestFit="1" customWidth="1"/>
    <col min="14089" max="14089" width="18.140625" customWidth="1"/>
    <col min="14090" max="14095" width="11.85546875" bestFit="1" customWidth="1"/>
    <col min="14096" max="14096" width="11.85546875" customWidth="1"/>
    <col min="14097" max="14101" width="11.85546875" bestFit="1" customWidth="1"/>
    <col min="14102" max="14103" width="11.85546875" customWidth="1"/>
    <col min="14104" max="14108" width="11.85546875" bestFit="1" customWidth="1"/>
    <col min="14109" max="14111" width="11.85546875" customWidth="1"/>
    <col min="14112" max="14112" width="11.85546875" bestFit="1" customWidth="1"/>
    <col min="14113" max="14116" width="11.85546875" customWidth="1"/>
    <col min="14117" max="14117" width="11.85546875" bestFit="1" customWidth="1"/>
    <col min="14118" max="14120" width="11.85546875" customWidth="1"/>
    <col min="14121" max="14121" width="13.140625" bestFit="1" customWidth="1"/>
    <col min="14344" max="14344" width="18.140625" bestFit="1" customWidth="1"/>
    <col min="14345" max="14345" width="18.140625" customWidth="1"/>
    <col min="14346" max="14351" width="11.85546875" bestFit="1" customWidth="1"/>
    <col min="14352" max="14352" width="11.85546875" customWidth="1"/>
    <col min="14353" max="14357" width="11.85546875" bestFit="1" customWidth="1"/>
    <col min="14358" max="14359" width="11.85546875" customWidth="1"/>
    <col min="14360" max="14364" width="11.85546875" bestFit="1" customWidth="1"/>
    <col min="14365" max="14367" width="11.85546875" customWidth="1"/>
    <col min="14368" max="14368" width="11.85546875" bestFit="1" customWidth="1"/>
    <col min="14369" max="14372" width="11.85546875" customWidth="1"/>
    <col min="14373" max="14373" width="11.85546875" bestFit="1" customWidth="1"/>
    <col min="14374" max="14376" width="11.85546875" customWidth="1"/>
    <col min="14377" max="14377" width="13.140625" bestFit="1" customWidth="1"/>
    <col min="14600" max="14600" width="18.140625" bestFit="1" customWidth="1"/>
    <col min="14601" max="14601" width="18.140625" customWidth="1"/>
    <col min="14602" max="14607" width="11.85546875" bestFit="1" customWidth="1"/>
    <col min="14608" max="14608" width="11.85546875" customWidth="1"/>
    <col min="14609" max="14613" width="11.85546875" bestFit="1" customWidth="1"/>
    <col min="14614" max="14615" width="11.85546875" customWidth="1"/>
    <col min="14616" max="14620" width="11.85546875" bestFit="1" customWidth="1"/>
    <col min="14621" max="14623" width="11.85546875" customWidth="1"/>
    <col min="14624" max="14624" width="11.85546875" bestFit="1" customWidth="1"/>
    <col min="14625" max="14628" width="11.85546875" customWidth="1"/>
    <col min="14629" max="14629" width="11.85546875" bestFit="1" customWidth="1"/>
    <col min="14630" max="14632" width="11.85546875" customWidth="1"/>
    <col min="14633" max="14633" width="13.140625" bestFit="1" customWidth="1"/>
    <col min="14856" max="14856" width="18.140625" bestFit="1" customWidth="1"/>
    <col min="14857" max="14857" width="18.140625" customWidth="1"/>
    <col min="14858" max="14863" width="11.85546875" bestFit="1" customWidth="1"/>
    <col min="14864" max="14864" width="11.85546875" customWidth="1"/>
    <col min="14865" max="14869" width="11.85546875" bestFit="1" customWidth="1"/>
    <col min="14870" max="14871" width="11.85546875" customWidth="1"/>
    <col min="14872" max="14876" width="11.85546875" bestFit="1" customWidth="1"/>
    <col min="14877" max="14879" width="11.85546875" customWidth="1"/>
    <col min="14880" max="14880" width="11.85546875" bestFit="1" customWidth="1"/>
    <col min="14881" max="14884" width="11.85546875" customWidth="1"/>
    <col min="14885" max="14885" width="11.85546875" bestFit="1" customWidth="1"/>
    <col min="14886" max="14888" width="11.85546875" customWidth="1"/>
    <col min="14889" max="14889" width="13.140625" bestFit="1" customWidth="1"/>
    <col min="15112" max="15112" width="18.140625" bestFit="1" customWidth="1"/>
    <col min="15113" max="15113" width="18.140625" customWidth="1"/>
    <col min="15114" max="15119" width="11.85546875" bestFit="1" customWidth="1"/>
    <col min="15120" max="15120" width="11.85546875" customWidth="1"/>
    <col min="15121" max="15125" width="11.85546875" bestFit="1" customWidth="1"/>
    <col min="15126" max="15127" width="11.85546875" customWidth="1"/>
    <col min="15128" max="15132" width="11.85546875" bestFit="1" customWidth="1"/>
    <col min="15133" max="15135" width="11.85546875" customWidth="1"/>
    <col min="15136" max="15136" width="11.85546875" bestFit="1" customWidth="1"/>
    <col min="15137" max="15140" width="11.85546875" customWidth="1"/>
    <col min="15141" max="15141" width="11.85546875" bestFit="1" customWidth="1"/>
    <col min="15142" max="15144" width="11.85546875" customWidth="1"/>
    <col min="15145" max="15145" width="13.140625" bestFit="1" customWidth="1"/>
    <col min="15368" max="15368" width="18.140625" bestFit="1" customWidth="1"/>
    <col min="15369" max="15369" width="18.140625" customWidth="1"/>
    <col min="15370" max="15375" width="11.85546875" bestFit="1" customWidth="1"/>
    <col min="15376" max="15376" width="11.85546875" customWidth="1"/>
    <col min="15377" max="15381" width="11.85546875" bestFit="1" customWidth="1"/>
    <col min="15382" max="15383" width="11.85546875" customWidth="1"/>
    <col min="15384" max="15388" width="11.85546875" bestFit="1" customWidth="1"/>
    <col min="15389" max="15391" width="11.85546875" customWidth="1"/>
    <col min="15392" max="15392" width="11.85546875" bestFit="1" customWidth="1"/>
    <col min="15393" max="15396" width="11.85546875" customWidth="1"/>
    <col min="15397" max="15397" width="11.85546875" bestFit="1" customWidth="1"/>
    <col min="15398" max="15400" width="11.85546875" customWidth="1"/>
    <col min="15401" max="15401" width="13.140625" bestFit="1" customWidth="1"/>
    <col min="15624" max="15624" width="18.140625" bestFit="1" customWidth="1"/>
    <col min="15625" max="15625" width="18.140625" customWidth="1"/>
    <col min="15626" max="15631" width="11.85546875" bestFit="1" customWidth="1"/>
    <col min="15632" max="15632" width="11.85546875" customWidth="1"/>
    <col min="15633" max="15637" width="11.85546875" bestFit="1" customWidth="1"/>
    <col min="15638" max="15639" width="11.85546875" customWidth="1"/>
    <col min="15640" max="15644" width="11.85546875" bestFit="1" customWidth="1"/>
    <col min="15645" max="15647" width="11.85546875" customWidth="1"/>
    <col min="15648" max="15648" width="11.85546875" bestFit="1" customWidth="1"/>
    <col min="15649" max="15652" width="11.85546875" customWidth="1"/>
    <col min="15653" max="15653" width="11.85546875" bestFit="1" customWidth="1"/>
    <col min="15654" max="15656" width="11.85546875" customWidth="1"/>
    <col min="15657" max="15657" width="13.140625" bestFit="1" customWidth="1"/>
    <col min="15880" max="15880" width="18.140625" bestFit="1" customWidth="1"/>
    <col min="15881" max="15881" width="18.140625" customWidth="1"/>
    <col min="15882" max="15887" width="11.85546875" bestFit="1" customWidth="1"/>
    <col min="15888" max="15888" width="11.85546875" customWidth="1"/>
    <col min="15889" max="15893" width="11.85546875" bestFit="1" customWidth="1"/>
    <col min="15894" max="15895" width="11.85546875" customWidth="1"/>
    <col min="15896" max="15900" width="11.85546875" bestFit="1" customWidth="1"/>
    <col min="15901" max="15903" width="11.85546875" customWidth="1"/>
    <col min="15904" max="15904" width="11.85546875" bestFit="1" customWidth="1"/>
    <col min="15905" max="15908" width="11.85546875" customWidth="1"/>
    <col min="15909" max="15909" width="11.85546875" bestFit="1" customWidth="1"/>
    <col min="15910" max="15912" width="11.85546875" customWidth="1"/>
    <col min="15913" max="15913" width="13.140625" bestFit="1" customWidth="1"/>
    <col min="16136" max="16136" width="18.140625" bestFit="1" customWidth="1"/>
    <col min="16137" max="16137" width="18.140625" customWidth="1"/>
    <col min="16138" max="16143" width="11.85546875" bestFit="1" customWidth="1"/>
    <col min="16144" max="16144" width="11.85546875" customWidth="1"/>
    <col min="16145" max="16149" width="11.85546875" bestFit="1" customWidth="1"/>
    <col min="16150" max="16151" width="11.85546875" customWidth="1"/>
    <col min="16152" max="16156" width="11.85546875" bestFit="1" customWidth="1"/>
    <col min="16157" max="16159" width="11.85546875" customWidth="1"/>
    <col min="16160" max="16160" width="11.85546875" bestFit="1" customWidth="1"/>
    <col min="16161" max="16164" width="11.85546875" customWidth="1"/>
    <col min="16165" max="16165" width="11.85546875" bestFit="1" customWidth="1"/>
    <col min="16166" max="16168" width="11.85546875" customWidth="1"/>
    <col min="16169" max="16169" width="13.140625" bestFit="1" customWidth="1"/>
  </cols>
  <sheetData>
    <row r="1" spans="1:70" x14ac:dyDescent="0.25">
      <c r="A1" s="231" t="s">
        <v>31</v>
      </c>
      <c r="B1" s="231" t="s">
        <v>32</v>
      </c>
      <c r="C1" s="66" t="s">
        <v>10</v>
      </c>
      <c r="D1" s="66" t="s">
        <v>65</v>
      </c>
      <c r="E1" s="66" t="s">
        <v>66</v>
      </c>
      <c r="F1" s="66" t="s">
        <v>67</v>
      </c>
      <c r="G1" s="66" t="s">
        <v>33</v>
      </c>
      <c r="H1" s="66" t="s">
        <v>34</v>
      </c>
      <c r="I1" s="66" t="s">
        <v>35</v>
      </c>
      <c r="J1" s="66" t="s">
        <v>36</v>
      </c>
      <c r="K1" s="66" t="s">
        <v>37</v>
      </c>
      <c r="L1" s="66" t="s">
        <v>38</v>
      </c>
      <c r="M1" s="155" t="s">
        <v>39</v>
      </c>
      <c r="N1" s="66" t="s">
        <v>40</v>
      </c>
      <c r="O1" s="66" t="s">
        <v>41</v>
      </c>
      <c r="P1" s="66" t="s">
        <v>42</v>
      </c>
      <c r="Q1" s="66" t="s">
        <v>43</v>
      </c>
      <c r="R1" s="179" t="s">
        <v>44</v>
      </c>
      <c r="S1" s="180" t="s">
        <v>45</v>
      </c>
      <c r="T1" s="173" t="s">
        <v>46</v>
      </c>
      <c r="U1" s="173" t="s">
        <v>47</v>
      </c>
      <c r="V1" s="180" t="s">
        <v>48</v>
      </c>
      <c r="W1" s="180" t="s">
        <v>49</v>
      </c>
      <c r="X1" s="180" t="s">
        <v>50</v>
      </c>
      <c r="Y1" s="180" t="s">
        <v>51</v>
      </c>
      <c r="Z1" s="180" t="s">
        <v>52</v>
      </c>
      <c r="AA1" s="180" t="s">
        <v>53</v>
      </c>
      <c r="AB1" s="180" t="s">
        <v>54</v>
      </c>
      <c r="AC1" s="180" t="s">
        <v>55</v>
      </c>
      <c r="AD1" s="180" t="s">
        <v>56</v>
      </c>
      <c r="AE1" s="180" t="s">
        <v>57</v>
      </c>
      <c r="AF1" s="180" t="s">
        <v>58</v>
      </c>
      <c r="AG1" s="180" t="s">
        <v>59</v>
      </c>
      <c r="AH1" s="180" t="s">
        <v>60</v>
      </c>
      <c r="AI1" s="180" t="s">
        <v>61</v>
      </c>
      <c r="AJ1" s="180" t="s">
        <v>62</v>
      </c>
      <c r="AK1" s="180" t="s">
        <v>63</v>
      </c>
      <c r="AL1" s="67" t="s">
        <v>64</v>
      </c>
      <c r="AM1" s="67" t="s">
        <v>86</v>
      </c>
      <c r="AN1" s="67" t="s">
        <v>87</v>
      </c>
      <c r="AO1" s="67" t="s">
        <v>88</v>
      </c>
      <c r="AP1" s="67" t="s">
        <v>89</v>
      </c>
      <c r="AQ1" s="67" t="s">
        <v>108</v>
      </c>
      <c r="AR1" s="67" t="s">
        <v>109</v>
      </c>
      <c r="AS1" s="67" t="s">
        <v>110</v>
      </c>
      <c r="AT1" s="67" t="s">
        <v>111</v>
      </c>
      <c r="AU1" s="67" t="s">
        <v>112</v>
      </c>
      <c r="AV1" s="67" t="s">
        <v>129</v>
      </c>
      <c r="AW1" s="67" t="s">
        <v>130</v>
      </c>
      <c r="AX1" s="67" t="s">
        <v>133</v>
      </c>
      <c r="AY1" s="67" t="s">
        <v>134</v>
      </c>
      <c r="AZ1" s="67" t="s">
        <v>146</v>
      </c>
      <c r="BA1" s="67" t="s">
        <v>147</v>
      </c>
      <c r="BB1" s="67" t="s">
        <v>148</v>
      </c>
      <c r="BC1" s="67" t="s">
        <v>10</v>
      </c>
      <c r="BD1" s="67" t="s">
        <v>65</v>
      </c>
      <c r="BE1" s="67" t="s">
        <v>66</v>
      </c>
      <c r="BF1" s="67" t="s">
        <v>67</v>
      </c>
      <c r="BG1" s="67" t="s">
        <v>33</v>
      </c>
      <c r="BH1" s="67" t="s">
        <v>34</v>
      </c>
      <c r="BI1" s="67" t="s">
        <v>35</v>
      </c>
      <c r="BJ1" s="67" t="s">
        <v>36</v>
      </c>
      <c r="BK1" s="67" t="s">
        <v>37</v>
      </c>
      <c r="BL1" s="67" t="s">
        <v>38</v>
      </c>
      <c r="BM1" s="67" t="s">
        <v>39</v>
      </c>
      <c r="BN1" s="67" t="s">
        <v>40</v>
      </c>
      <c r="BO1" s="67" t="s">
        <v>41</v>
      </c>
      <c r="BP1" s="67" t="s">
        <v>42</v>
      </c>
      <c r="BQ1" s="67" t="s">
        <v>43</v>
      </c>
      <c r="BR1" s="67" t="s">
        <v>44</v>
      </c>
    </row>
    <row r="2" spans="1:70" x14ac:dyDescent="0.25">
      <c r="A2" s="231"/>
      <c r="B2" s="231"/>
      <c r="C2" s="68">
        <v>45901</v>
      </c>
      <c r="D2" s="68">
        <v>45908</v>
      </c>
      <c r="E2" s="68">
        <v>45915</v>
      </c>
      <c r="F2" s="68">
        <v>45922</v>
      </c>
      <c r="G2" s="68">
        <v>45929</v>
      </c>
      <c r="H2" s="68">
        <v>45936</v>
      </c>
      <c r="I2" s="68">
        <v>45943</v>
      </c>
      <c r="J2" s="68">
        <v>45950</v>
      </c>
      <c r="K2" s="68">
        <v>45957</v>
      </c>
      <c r="L2" s="68">
        <v>45964</v>
      </c>
      <c r="M2" s="156">
        <v>45971</v>
      </c>
      <c r="N2" s="68">
        <v>45978</v>
      </c>
      <c r="O2" s="68">
        <v>45985</v>
      </c>
      <c r="P2" s="68">
        <v>45992</v>
      </c>
      <c r="Q2" s="68">
        <v>45999</v>
      </c>
      <c r="R2" s="181">
        <v>46006</v>
      </c>
      <c r="S2" s="181">
        <v>46013</v>
      </c>
      <c r="T2" s="156">
        <v>46020</v>
      </c>
      <c r="U2" s="156">
        <v>46027</v>
      </c>
      <c r="V2" s="181">
        <v>46034</v>
      </c>
      <c r="W2" s="181">
        <v>46041</v>
      </c>
      <c r="X2" s="181">
        <v>46048</v>
      </c>
      <c r="Y2" s="181">
        <v>46055</v>
      </c>
      <c r="Z2" s="181">
        <v>46062</v>
      </c>
      <c r="AA2" s="181">
        <v>46069</v>
      </c>
      <c r="AB2" s="181">
        <v>46076</v>
      </c>
      <c r="AC2" s="181">
        <v>46083</v>
      </c>
      <c r="AD2" s="181">
        <v>46090</v>
      </c>
      <c r="AE2" s="181">
        <v>46097</v>
      </c>
      <c r="AF2" s="181">
        <v>46104</v>
      </c>
      <c r="AG2" s="181">
        <v>46111</v>
      </c>
      <c r="AH2" s="181">
        <v>46118</v>
      </c>
      <c r="AI2" s="181">
        <v>46125</v>
      </c>
      <c r="AJ2" s="181">
        <v>46132</v>
      </c>
      <c r="AK2" s="181">
        <v>46139</v>
      </c>
      <c r="AL2" s="69">
        <v>46146</v>
      </c>
      <c r="AM2" s="69">
        <v>46153</v>
      </c>
      <c r="AN2" s="69">
        <v>46160</v>
      </c>
      <c r="AO2" s="69">
        <v>46167</v>
      </c>
      <c r="AP2" s="69">
        <v>46174</v>
      </c>
      <c r="AQ2" s="69">
        <v>46181</v>
      </c>
      <c r="AR2" s="69">
        <v>46188</v>
      </c>
      <c r="AS2" s="69">
        <v>46195</v>
      </c>
      <c r="AT2" s="69">
        <v>46202</v>
      </c>
      <c r="AU2" s="69">
        <v>46209</v>
      </c>
      <c r="AV2" s="69">
        <v>46216</v>
      </c>
      <c r="AW2" s="69">
        <v>46223</v>
      </c>
      <c r="AX2" s="69">
        <v>46230</v>
      </c>
      <c r="AY2" s="69">
        <v>46237</v>
      </c>
      <c r="AZ2" s="69">
        <v>46244</v>
      </c>
      <c r="BA2" s="69">
        <v>46251</v>
      </c>
      <c r="BB2" s="69">
        <v>46258</v>
      </c>
      <c r="BC2" s="69">
        <v>46265</v>
      </c>
      <c r="BD2" s="69">
        <v>46272</v>
      </c>
      <c r="BE2" s="69">
        <v>46279</v>
      </c>
      <c r="BF2" s="69">
        <v>46286</v>
      </c>
      <c r="BG2" s="69">
        <v>46293</v>
      </c>
      <c r="BH2" s="69">
        <v>46300</v>
      </c>
      <c r="BI2" s="69">
        <v>46307</v>
      </c>
      <c r="BJ2" s="69">
        <v>46314</v>
      </c>
      <c r="BK2" s="69">
        <v>46321</v>
      </c>
      <c r="BL2" s="69">
        <v>46328</v>
      </c>
      <c r="BM2" s="69">
        <v>46335</v>
      </c>
      <c r="BN2" s="69">
        <v>46342</v>
      </c>
      <c r="BO2" s="69">
        <v>46349</v>
      </c>
      <c r="BP2" s="69">
        <v>46356</v>
      </c>
      <c r="BQ2" s="69">
        <v>46363</v>
      </c>
      <c r="BR2" s="69">
        <v>46370</v>
      </c>
    </row>
    <row r="3" spans="1:70" x14ac:dyDescent="0.25">
      <c r="A3" s="70">
        <v>31498168</v>
      </c>
      <c r="B3" s="71">
        <v>3410057</v>
      </c>
      <c r="C3" s="72">
        <v>0</v>
      </c>
      <c r="D3" s="72">
        <v>0</v>
      </c>
      <c r="E3" s="72">
        <v>0</v>
      </c>
      <c r="F3" s="72">
        <v>0</v>
      </c>
      <c r="G3" s="72">
        <v>0</v>
      </c>
      <c r="H3" s="72">
        <v>0</v>
      </c>
      <c r="I3" s="72">
        <v>0</v>
      </c>
      <c r="J3" s="72">
        <v>0</v>
      </c>
      <c r="K3" s="119">
        <v>0</v>
      </c>
      <c r="L3" s="72">
        <v>0</v>
      </c>
      <c r="M3" s="157">
        <v>0</v>
      </c>
      <c r="N3" s="72">
        <v>0</v>
      </c>
      <c r="O3" s="72">
        <v>0</v>
      </c>
      <c r="P3" s="72">
        <v>0</v>
      </c>
      <c r="Q3" s="72">
        <v>0</v>
      </c>
      <c r="R3" s="72">
        <v>0</v>
      </c>
      <c r="S3" s="72">
        <v>0</v>
      </c>
      <c r="T3" s="157">
        <v>0</v>
      </c>
      <c r="U3" s="157">
        <v>0</v>
      </c>
      <c r="V3" s="72">
        <v>0</v>
      </c>
      <c r="W3" s="72">
        <v>0</v>
      </c>
      <c r="X3" s="72">
        <v>0</v>
      </c>
      <c r="Y3" s="72">
        <v>0</v>
      </c>
      <c r="Z3" s="72">
        <v>0</v>
      </c>
      <c r="AA3" s="72">
        <v>0</v>
      </c>
      <c r="AB3" s="72">
        <v>0</v>
      </c>
      <c r="AC3" s="72">
        <v>0</v>
      </c>
      <c r="AD3" s="72">
        <v>0</v>
      </c>
      <c r="AE3" s="72">
        <v>0</v>
      </c>
      <c r="AF3" s="72">
        <v>0</v>
      </c>
      <c r="AG3" s="72">
        <v>0</v>
      </c>
      <c r="AH3" s="72">
        <v>0</v>
      </c>
      <c r="AI3" s="72">
        <v>0</v>
      </c>
      <c r="AJ3" s="72">
        <v>0</v>
      </c>
      <c r="AK3" s="72">
        <v>0</v>
      </c>
      <c r="AL3" s="72">
        <v>0</v>
      </c>
      <c r="AM3" s="72">
        <v>0</v>
      </c>
      <c r="AN3" s="72">
        <v>0</v>
      </c>
      <c r="AO3" s="72">
        <v>0</v>
      </c>
      <c r="AP3" s="72">
        <v>0</v>
      </c>
      <c r="AQ3" s="72">
        <v>0</v>
      </c>
      <c r="AR3" s="72">
        <v>0</v>
      </c>
      <c r="AS3" s="72">
        <v>0</v>
      </c>
      <c r="AT3" s="72">
        <v>0</v>
      </c>
      <c r="AU3" s="72">
        <v>0</v>
      </c>
      <c r="AV3" s="72">
        <v>0</v>
      </c>
      <c r="AW3" s="72">
        <v>0</v>
      </c>
      <c r="AX3" s="72">
        <v>0</v>
      </c>
      <c r="AY3" s="72">
        <v>0</v>
      </c>
      <c r="AZ3" s="72">
        <v>0</v>
      </c>
      <c r="BA3" s="72">
        <v>0</v>
      </c>
      <c r="BB3" s="72">
        <v>0</v>
      </c>
      <c r="BC3" s="72">
        <v>0</v>
      </c>
      <c r="BD3" s="72">
        <v>0</v>
      </c>
      <c r="BE3" s="72">
        <v>0</v>
      </c>
      <c r="BF3" s="72">
        <v>0</v>
      </c>
      <c r="BG3" s="72">
        <v>0</v>
      </c>
      <c r="BH3" s="72">
        <v>0</v>
      </c>
      <c r="BI3" s="72">
        <v>0</v>
      </c>
      <c r="BJ3" s="72">
        <v>0</v>
      </c>
      <c r="BK3" s="72">
        <v>0</v>
      </c>
      <c r="BL3" s="72">
        <v>0</v>
      </c>
      <c r="BM3" s="72">
        <v>0</v>
      </c>
      <c r="BN3" s="72">
        <v>0</v>
      </c>
      <c r="BO3" s="72">
        <v>0</v>
      </c>
      <c r="BP3" s="72">
        <v>0</v>
      </c>
      <c r="BQ3" s="72">
        <v>0</v>
      </c>
      <c r="BR3" s="72">
        <v>0</v>
      </c>
    </row>
    <row r="4" spans="1:70" x14ac:dyDescent="0.25">
      <c r="A4" s="74">
        <v>31498379</v>
      </c>
      <c r="B4" s="75">
        <v>3384634</v>
      </c>
      <c r="C4" s="76">
        <v>0</v>
      </c>
      <c r="D4" s="76">
        <v>0</v>
      </c>
      <c r="E4" s="76">
        <v>0</v>
      </c>
      <c r="F4" s="76">
        <v>0</v>
      </c>
      <c r="G4" s="76">
        <v>0</v>
      </c>
      <c r="H4" s="76">
        <v>0</v>
      </c>
      <c r="I4" s="76">
        <v>0</v>
      </c>
      <c r="J4" s="76">
        <v>0</v>
      </c>
      <c r="K4" s="120">
        <v>0</v>
      </c>
      <c r="L4" s="76">
        <v>0</v>
      </c>
      <c r="M4" s="158">
        <v>0</v>
      </c>
      <c r="N4" s="76">
        <v>0</v>
      </c>
      <c r="O4" s="76">
        <v>0</v>
      </c>
      <c r="P4" s="76">
        <v>0</v>
      </c>
      <c r="Q4" s="76">
        <v>0</v>
      </c>
      <c r="R4" s="76">
        <v>0</v>
      </c>
      <c r="S4" s="76">
        <v>0</v>
      </c>
      <c r="T4" s="158">
        <v>0</v>
      </c>
      <c r="U4" s="158">
        <v>0</v>
      </c>
      <c r="V4" s="76">
        <v>0</v>
      </c>
      <c r="W4" s="76">
        <v>0</v>
      </c>
      <c r="X4" s="76">
        <v>0</v>
      </c>
      <c r="Y4" s="76">
        <v>0</v>
      </c>
      <c r="Z4" s="76">
        <v>0</v>
      </c>
      <c r="AA4" s="76">
        <v>0</v>
      </c>
      <c r="AB4" s="76">
        <v>0</v>
      </c>
      <c r="AC4" s="76">
        <v>0</v>
      </c>
      <c r="AD4" s="76">
        <v>0</v>
      </c>
      <c r="AE4" s="76">
        <v>0</v>
      </c>
      <c r="AF4" s="76">
        <v>0</v>
      </c>
      <c r="AG4" s="76">
        <v>0</v>
      </c>
      <c r="AH4" s="76">
        <v>0</v>
      </c>
      <c r="AI4" s="76">
        <v>0</v>
      </c>
      <c r="AJ4" s="76">
        <v>0</v>
      </c>
      <c r="AK4" s="76">
        <v>0</v>
      </c>
      <c r="AL4" s="76">
        <v>0</v>
      </c>
      <c r="AM4" s="76">
        <v>0</v>
      </c>
      <c r="AN4" s="76">
        <v>0</v>
      </c>
      <c r="AO4" s="76">
        <v>0</v>
      </c>
      <c r="AP4" s="76">
        <v>0</v>
      </c>
      <c r="AQ4" s="76">
        <v>0</v>
      </c>
      <c r="AR4" s="76">
        <v>0</v>
      </c>
      <c r="AS4" s="76">
        <v>0</v>
      </c>
      <c r="AT4" s="76">
        <v>0</v>
      </c>
      <c r="AU4" s="76">
        <v>0</v>
      </c>
      <c r="AV4" s="76">
        <v>0</v>
      </c>
      <c r="AW4" s="76">
        <v>0</v>
      </c>
      <c r="AX4" s="76">
        <v>0</v>
      </c>
      <c r="AY4" s="76">
        <v>0</v>
      </c>
      <c r="AZ4" s="76">
        <v>0</v>
      </c>
      <c r="BA4" s="76">
        <v>0</v>
      </c>
      <c r="BB4" s="76">
        <v>0</v>
      </c>
      <c r="BC4" s="76">
        <v>0</v>
      </c>
      <c r="BD4" s="76">
        <v>0</v>
      </c>
      <c r="BE4" s="76">
        <v>0</v>
      </c>
      <c r="BF4" s="76">
        <v>0</v>
      </c>
      <c r="BG4" s="76">
        <v>0</v>
      </c>
      <c r="BH4" s="76">
        <v>0</v>
      </c>
      <c r="BI4" s="76">
        <v>0</v>
      </c>
      <c r="BJ4" s="76">
        <v>0</v>
      </c>
      <c r="BK4" s="76">
        <v>0</v>
      </c>
      <c r="BL4" s="76">
        <v>0</v>
      </c>
      <c r="BM4" s="76">
        <v>0</v>
      </c>
      <c r="BN4" s="76">
        <v>0</v>
      </c>
      <c r="BO4" s="76">
        <v>0</v>
      </c>
      <c r="BP4" s="76">
        <v>0</v>
      </c>
      <c r="BQ4" s="76">
        <v>0</v>
      </c>
      <c r="BR4" s="76">
        <v>0</v>
      </c>
    </row>
    <row r="5" spans="1:70" x14ac:dyDescent="0.25">
      <c r="A5" s="74">
        <v>31498380</v>
      </c>
      <c r="B5" s="75">
        <v>3394765</v>
      </c>
      <c r="C5" s="76">
        <v>0</v>
      </c>
      <c r="D5" s="76">
        <v>0</v>
      </c>
      <c r="E5" s="76">
        <v>0</v>
      </c>
      <c r="F5" s="76">
        <v>0</v>
      </c>
      <c r="G5" s="76">
        <v>0</v>
      </c>
      <c r="H5" s="76">
        <v>0</v>
      </c>
      <c r="I5" s="76">
        <v>0</v>
      </c>
      <c r="J5" s="76">
        <v>0</v>
      </c>
      <c r="K5" s="120">
        <v>0</v>
      </c>
      <c r="L5" s="76">
        <v>0</v>
      </c>
      <c r="M5" s="158">
        <v>0</v>
      </c>
      <c r="N5" s="76">
        <v>0</v>
      </c>
      <c r="O5" s="76">
        <v>0</v>
      </c>
      <c r="P5" s="76">
        <v>0</v>
      </c>
      <c r="Q5" s="76">
        <v>0</v>
      </c>
      <c r="R5" s="76">
        <v>0</v>
      </c>
      <c r="S5" s="76">
        <v>0</v>
      </c>
      <c r="T5" s="158">
        <v>0</v>
      </c>
      <c r="U5" s="158">
        <v>0</v>
      </c>
      <c r="V5" s="76">
        <v>0</v>
      </c>
      <c r="W5" s="76">
        <v>0</v>
      </c>
      <c r="X5" s="76">
        <v>0</v>
      </c>
      <c r="Y5" s="76">
        <v>0</v>
      </c>
      <c r="Z5" s="76">
        <v>0</v>
      </c>
      <c r="AA5" s="76">
        <v>0</v>
      </c>
      <c r="AB5" s="76">
        <v>0</v>
      </c>
      <c r="AC5" s="76">
        <v>0</v>
      </c>
      <c r="AD5" s="76">
        <v>0</v>
      </c>
      <c r="AE5" s="76">
        <v>0</v>
      </c>
      <c r="AF5" s="76">
        <v>0</v>
      </c>
      <c r="AG5" s="76">
        <v>0</v>
      </c>
      <c r="AH5" s="76">
        <v>0</v>
      </c>
      <c r="AI5" s="76">
        <v>0</v>
      </c>
      <c r="AJ5" s="76">
        <v>0</v>
      </c>
      <c r="AK5" s="76">
        <v>0</v>
      </c>
      <c r="AL5" s="76">
        <v>0</v>
      </c>
      <c r="AM5" s="76">
        <v>0</v>
      </c>
      <c r="AN5" s="76">
        <v>0</v>
      </c>
      <c r="AO5" s="76">
        <v>0</v>
      </c>
      <c r="AP5" s="76">
        <v>0</v>
      </c>
      <c r="AQ5" s="76">
        <v>0</v>
      </c>
      <c r="AR5" s="76">
        <v>0</v>
      </c>
      <c r="AS5" s="76">
        <v>0</v>
      </c>
      <c r="AT5" s="76">
        <v>0</v>
      </c>
      <c r="AU5" s="76">
        <v>0</v>
      </c>
      <c r="AV5" s="76">
        <v>0</v>
      </c>
      <c r="AW5" s="76">
        <v>0</v>
      </c>
      <c r="AX5" s="76">
        <v>0</v>
      </c>
      <c r="AY5" s="76">
        <v>0</v>
      </c>
      <c r="AZ5" s="76">
        <v>0</v>
      </c>
      <c r="BA5" s="76">
        <v>0</v>
      </c>
      <c r="BB5" s="76">
        <v>0</v>
      </c>
      <c r="BC5" s="76">
        <v>0</v>
      </c>
      <c r="BD5" s="76">
        <v>0</v>
      </c>
      <c r="BE5" s="76">
        <v>0</v>
      </c>
      <c r="BF5" s="76">
        <v>0</v>
      </c>
      <c r="BG5" s="76">
        <v>0</v>
      </c>
      <c r="BH5" s="76">
        <v>0</v>
      </c>
      <c r="BI5" s="76">
        <v>0</v>
      </c>
      <c r="BJ5" s="76">
        <v>0</v>
      </c>
      <c r="BK5" s="76">
        <v>0</v>
      </c>
      <c r="BL5" s="76">
        <v>0</v>
      </c>
      <c r="BM5" s="76">
        <v>0</v>
      </c>
      <c r="BN5" s="76">
        <v>0</v>
      </c>
      <c r="BO5" s="76">
        <v>0</v>
      </c>
      <c r="BP5" s="76">
        <v>0</v>
      </c>
      <c r="BQ5" s="76">
        <v>0</v>
      </c>
      <c r="BR5" s="76">
        <v>0</v>
      </c>
    </row>
    <row r="6" spans="1:70" x14ac:dyDescent="0.25">
      <c r="A6" s="74">
        <v>32130983</v>
      </c>
      <c r="B6" s="75">
        <v>4454331</v>
      </c>
      <c r="C6" s="76">
        <v>0</v>
      </c>
      <c r="D6" s="76">
        <v>0</v>
      </c>
      <c r="E6" s="76">
        <v>0</v>
      </c>
      <c r="F6" s="76">
        <v>0</v>
      </c>
      <c r="G6" s="76">
        <v>0</v>
      </c>
      <c r="H6" s="76">
        <v>0</v>
      </c>
      <c r="I6" s="76">
        <v>0</v>
      </c>
      <c r="J6" s="76">
        <v>0</v>
      </c>
      <c r="K6" s="120">
        <v>0</v>
      </c>
      <c r="L6" s="76">
        <v>0</v>
      </c>
      <c r="M6" s="158">
        <v>0</v>
      </c>
      <c r="N6" s="76">
        <v>0</v>
      </c>
      <c r="O6" s="76">
        <v>0</v>
      </c>
      <c r="P6" s="76">
        <v>0</v>
      </c>
      <c r="Q6" s="76">
        <v>0</v>
      </c>
      <c r="R6" s="76">
        <v>0</v>
      </c>
      <c r="S6" s="76">
        <v>0</v>
      </c>
      <c r="T6" s="158">
        <v>0</v>
      </c>
      <c r="U6" s="158">
        <v>0</v>
      </c>
      <c r="V6" s="76">
        <v>0</v>
      </c>
      <c r="W6" s="76">
        <v>0</v>
      </c>
      <c r="X6" s="76">
        <v>0</v>
      </c>
      <c r="Y6" s="76">
        <v>0</v>
      </c>
      <c r="Z6" s="76">
        <v>0</v>
      </c>
      <c r="AA6" s="76">
        <v>0</v>
      </c>
      <c r="AB6" s="76">
        <v>0</v>
      </c>
      <c r="AC6" s="76">
        <v>0</v>
      </c>
      <c r="AD6" s="76">
        <v>0</v>
      </c>
      <c r="AE6" s="76">
        <v>0</v>
      </c>
      <c r="AF6" s="76">
        <v>0</v>
      </c>
      <c r="AG6" s="76">
        <v>0</v>
      </c>
      <c r="AH6" s="76">
        <v>0</v>
      </c>
      <c r="AI6" s="76">
        <v>0</v>
      </c>
      <c r="AJ6" s="76">
        <v>0</v>
      </c>
      <c r="AK6" s="76">
        <v>0</v>
      </c>
      <c r="AL6" s="76">
        <v>0</v>
      </c>
      <c r="AM6" s="76">
        <v>0</v>
      </c>
      <c r="AN6" s="76">
        <v>0</v>
      </c>
      <c r="AO6" s="76">
        <v>0</v>
      </c>
      <c r="AP6" s="76">
        <v>0</v>
      </c>
      <c r="AQ6" s="76">
        <v>0</v>
      </c>
      <c r="AR6" s="76">
        <v>0</v>
      </c>
      <c r="AS6" s="76">
        <v>0</v>
      </c>
      <c r="AT6" s="76">
        <v>0</v>
      </c>
      <c r="AU6" s="76">
        <v>0</v>
      </c>
      <c r="AV6" s="76">
        <v>0</v>
      </c>
      <c r="AW6" s="76">
        <v>0</v>
      </c>
      <c r="AX6" s="76">
        <v>0</v>
      </c>
      <c r="AY6" s="76">
        <v>0</v>
      </c>
      <c r="AZ6" s="76">
        <v>0</v>
      </c>
      <c r="BA6" s="76">
        <v>0</v>
      </c>
      <c r="BB6" s="76">
        <v>0</v>
      </c>
      <c r="BC6" s="76">
        <v>0</v>
      </c>
      <c r="BD6" s="76">
        <v>0</v>
      </c>
      <c r="BE6" s="76">
        <v>0</v>
      </c>
      <c r="BF6" s="76">
        <v>0</v>
      </c>
      <c r="BG6" s="76">
        <v>0</v>
      </c>
      <c r="BH6" s="76">
        <v>0</v>
      </c>
      <c r="BI6" s="76">
        <v>0</v>
      </c>
      <c r="BJ6" s="76">
        <v>0</v>
      </c>
      <c r="BK6" s="76">
        <v>0</v>
      </c>
      <c r="BL6" s="76">
        <v>0</v>
      </c>
      <c r="BM6" s="76">
        <v>0</v>
      </c>
      <c r="BN6" s="76">
        <v>0</v>
      </c>
      <c r="BO6" s="76">
        <v>0</v>
      </c>
      <c r="BP6" s="76">
        <v>0</v>
      </c>
      <c r="BQ6" s="76">
        <v>0</v>
      </c>
      <c r="BR6" s="76">
        <v>0</v>
      </c>
    </row>
    <row r="7" spans="1:70" x14ac:dyDescent="0.25">
      <c r="A7" s="74">
        <v>32130984</v>
      </c>
      <c r="B7" s="75">
        <v>4454333</v>
      </c>
      <c r="C7" s="76">
        <v>0</v>
      </c>
      <c r="D7" s="76">
        <v>0</v>
      </c>
      <c r="E7" s="76">
        <v>0</v>
      </c>
      <c r="F7" s="76">
        <v>0</v>
      </c>
      <c r="G7" s="76">
        <v>0</v>
      </c>
      <c r="H7" s="76">
        <v>0</v>
      </c>
      <c r="I7" s="76">
        <v>0</v>
      </c>
      <c r="J7" s="76">
        <v>0</v>
      </c>
      <c r="K7" s="120">
        <v>0</v>
      </c>
      <c r="L7" s="76">
        <v>0</v>
      </c>
      <c r="M7" s="158">
        <v>0</v>
      </c>
      <c r="N7" s="76">
        <v>0</v>
      </c>
      <c r="O7" s="76">
        <v>0</v>
      </c>
      <c r="P7" s="76">
        <v>0</v>
      </c>
      <c r="Q7" s="76">
        <v>0</v>
      </c>
      <c r="R7" s="76">
        <v>0</v>
      </c>
      <c r="S7" s="76">
        <v>0</v>
      </c>
      <c r="T7" s="158">
        <v>0</v>
      </c>
      <c r="U7" s="158">
        <v>0</v>
      </c>
      <c r="V7" s="76">
        <v>0</v>
      </c>
      <c r="W7" s="76">
        <v>0</v>
      </c>
      <c r="X7" s="76">
        <v>0</v>
      </c>
      <c r="Y7" s="76">
        <v>0</v>
      </c>
      <c r="Z7" s="76">
        <v>0</v>
      </c>
      <c r="AA7" s="76">
        <v>0</v>
      </c>
      <c r="AB7" s="76">
        <v>0</v>
      </c>
      <c r="AC7" s="76">
        <v>0</v>
      </c>
      <c r="AD7" s="76">
        <v>0</v>
      </c>
      <c r="AE7" s="76">
        <v>0</v>
      </c>
      <c r="AF7" s="76">
        <v>0</v>
      </c>
      <c r="AG7" s="76">
        <v>0</v>
      </c>
      <c r="AH7" s="76">
        <v>0</v>
      </c>
      <c r="AI7" s="76">
        <v>0</v>
      </c>
      <c r="AJ7" s="76">
        <v>0</v>
      </c>
      <c r="AK7" s="76">
        <v>0</v>
      </c>
      <c r="AL7" s="76">
        <v>0</v>
      </c>
      <c r="AM7" s="76">
        <v>0</v>
      </c>
      <c r="AN7" s="76">
        <v>0</v>
      </c>
      <c r="AO7" s="76">
        <v>0</v>
      </c>
      <c r="AP7" s="76">
        <v>0</v>
      </c>
      <c r="AQ7" s="76">
        <v>0</v>
      </c>
      <c r="AR7" s="76">
        <v>0</v>
      </c>
      <c r="AS7" s="76">
        <v>0</v>
      </c>
      <c r="AT7" s="76">
        <v>0</v>
      </c>
      <c r="AU7" s="76">
        <v>0</v>
      </c>
      <c r="AV7" s="76">
        <v>0</v>
      </c>
      <c r="AW7" s="76">
        <v>0</v>
      </c>
      <c r="AX7" s="76">
        <v>0</v>
      </c>
      <c r="AY7" s="76">
        <v>0</v>
      </c>
      <c r="AZ7" s="76">
        <v>0</v>
      </c>
      <c r="BA7" s="76">
        <v>0</v>
      </c>
      <c r="BB7" s="76">
        <v>0</v>
      </c>
      <c r="BC7" s="76">
        <v>0</v>
      </c>
      <c r="BD7" s="76">
        <v>0</v>
      </c>
      <c r="BE7" s="76">
        <v>0</v>
      </c>
      <c r="BF7" s="76">
        <v>0</v>
      </c>
      <c r="BG7" s="76">
        <v>0</v>
      </c>
      <c r="BH7" s="76">
        <v>0</v>
      </c>
      <c r="BI7" s="76">
        <v>0</v>
      </c>
      <c r="BJ7" s="76">
        <v>0</v>
      </c>
      <c r="BK7" s="76">
        <v>0</v>
      </c>
      <c r="BL7" s="76">
        <v>0</v>
      </c>
      <c r="BM7" s="76">
        <v>0</v>
      </c>
      <c r="BN7" s="76">
        <v>0</v>
      </c>
      <c r="BO7" s="76">
        <v>0</v>
      </c>
      <c r="BP7" s="76">
        <v>0</v>
      </c>
      <c r="BQ7" s="76">
        <v>0</v>
      </c>
      <c r="BR7" s="76">
        <v>0</v>
      </c>
    </row>
    <row r="8" spans="1:70" x14ac:dyDescent="0.25">
      <c r="A8" s="74">
        <v>32130985</v>
      </c>
      <c r="B8" s="75">
        <v>4454334</v>
      </c>
      <c r="C8" s="76">
        <v>0</v>
      </c>
      <c r="D8" s="76">
        <v>0</v>
      </c>
      <c r="E8" s="76">
        <v>0</v>
      </c>
      <c r="F8" s="76">
        <v>0</v>
      </c>
      <c r="G8" s="76">
        <v>0</v>
      </c>
      <c r="H8" s="76">
        <v>0</v>
      </c>
      <c r="I8" s="76">
        <v>0</v>
      </c>
      <c r="J8" s="76">
        <v>0</v>
      </c>
      <c r="K8" s="120">
        <v>0</v>
      </c>
      <c r="L8" s="76">
        <v>0</v>
      </c>
      <c r="M8" s="158">
        <v>0</v>
      </c>
      <c r="N8" s="76">
        <v>0</v>
      </c>
      <c r="O8" s="76">
        <v>0</v>
      </c>
      <c r="P8" s="76">
        <v>0</v>
      </c>
      <c r="Q8" s="76">
        <v>0</v>
      </c>
      <c r="R8" s="76">
        <v>0</v>
      </c>
      <c r="S8" s="76">
        <v>0</v>
      </c>
      <c r="T8" s="158">
        <v>0</v>
      </c>
      <c r="U8" s="158">
        <v>0</v>
      </c>
      <c r="V8" s="76">
        <v>0</v>
      </c>
      <c r="W8" s="76">
        <v>0</v>
      </c>
      <c r="X8" s="76">
        <v>0</v>
      </c>
      <c r="Y8" s="76">
        <v>0</v>
      </c>
      <c r="Z8" s="76">
        <v>0</v>
      </c>
      <c r="AA8" s="76">
        <v>0</v>
      </c>
      <c r="AB8" s="76">
        <v>0</v>
      </c>
      <c r="AC8" s="76">
        <v>0</v>
      </c>
      <c r="AD8" s="76">
        <v>0</v>
      </c>
      <c r="AE8" s="76">
        <v>0</v>
      </c>
      <c r="AF8" s="76">
        <v>0</v>
      </c>
      <c r="AG8" s="76">
        <v>0</v>
      </c>
      <c r="AH8" s="76">
        <v>0</v>
      </c>
      <c r="AI8" s="76">
        <v>0</v>
      </c>
      <c r="AJ8" s="76">
        <v>0</v>
      </c>
      <c r="AK8" s="76">
        <v>0</v>
      </c>
      <c r="AL8" s="76">
        <v>0</v>
      </c>
      <c r="AM8" s="76">
        <v>0</v>
      </c>
      <c r="AN8" s="76">
        <v>0</v>
      </c>
      <c r="AO8" s="76">
        <v>0</v>
      </c>
      <c r="AP8" s="76">
        <v>0</v>
      </c>
      <c r="AQ8" s="76">
        <v>0</v>
      </c>
      <c r="AR8" s="76">
        <v>0</v>
      </c>
      <c r="AS8" s="76">
        <v>0</v>
      </c>
      <c r="AT8" s="76">
        <v>0</v>
      </c>
      <c r="AU8" s="76">
        <v>0</v>
      </c>
      <c r="AV8" s="76">
        <v>0</v>
      </c>
      <c r="AW8" s="76">
        <v>0</v>
      </c>
      <c r="AX8" s="76">
        <v>0</v>
      </c>
      <c r="AY8" s="76">
        <v>0</v>
      </c>
      <c r="AZ8" s="76">
        <v>0</v>
      </c>
      <c r="BA8" s="76">
        <v>0</v>
      </c>
      <c r="BB8" s="76">
        <v>0</v>
      </c>
      <c r="BC8" s="76">
        <v>0</v>
      </c>
      <c r="BD8" s="76">
        <v>0</v>
      </c>
      <c r="BE8" s="76">
        <v>0</v>
      </c>
      <c r="BF8" s="76">
        <v>0</v>
      </c>
      <c r="BG8" s="76">
        <v>0</v>
      </c>
      <c r="BH8" s="76">
        <v>0</v>
      </c>
      <c r="BI8" s="76">
        <v>0</v>
      </c>
      <c r="BJ8" s="76">
        <v>0</v>
      </c>
      <c r="BK8" s="76">
        <v>0</v>
      </c>
      <c r="BL8" s="76">
        <v>0</v>
      </c>
      <c r="BM8" s="76">
        <v>0</v>
      </c>
      <c r="BN8" s="76">
        <v>0</v>
      </c>
      <c r="BO8" s="76">
        <v>0</v>
      </c>
      <c r="BP8" s="76">
        <v>0</v>
      </c>
      <c r="BQ8" s="76">
        <v>0</v>
      </c>
      <c r="BR8" s="76">
        <v>0</v>
      </c>
    </row>
    <row r="9" spans="1:70" x14ac:dyDescent="0.25">
      <c r="A9" s="74">
        <v>32130986</v>
      </c>
      <c r="B9" s="75">
        <v>4454335</v>
      </c>
      <c r="C9" s="76">
        <v>0</v>
      </c>
      <c r="D9" s="76">
        <v>0</v>
      </c>
      <c r="E9" s="76">
        <v>0</v>
      </c>
      <c r="F9" s="76">
        <v>0</v>
      </c>
      <c r="G9" s="76">
        <v>0</v>
      </c>
      <c r="H9" s="76">
        <v>0</v>
      </c>
      <c r="I9" s="76">
        <v>0</v>
      </c>
      <c r="J9" s="76">
        <v>0</v>
      </c>
      <c r="K9" s="120">
        <v>0</v>
      </c>
      <c r="L9" s="76">
        <v>0</v>
      </c>
      <c r="M9" s="158">
        <v>0</v>
      </c>
      <c r="N9" s="76">
        <v>0</v>
      </c>
      <c r="O9" s="76">
        <v>0</v>
      </c>
      <c r="P9" s="76">
        <v>0</v>
      </c>
      <c r="Q9" s="76">
        <v>0</v>
      </c>
      <c r="R9" s="76">
        <v>0</v>
      </c>
      <c r="S9" s="76">
        <v>0</v>
      </c>
      <c r="T9" s="158">
        <v>0</v>
      </c>
      <c r="U9" s="158">
        <v>0</v>
      </c>
      <c r="V9" s="76">
        <v>0</v>
      </c>
      <c r="W9" s="76">
        <v>0</v>
      </c>
      <c r="X9" s="76">
        <v>0</v>
      </c>
      <c r="Y9" s="76">
        <v>0</v>
      </c>
      <c r="Z9" s="76">
        <v>0</v>
      </c>
      <c r="AA9" s="76">
        <v>0</v>
      </c>
      <c r="AB9" s="76">
        <v>0</v>
      </c>
      <c r="AC9" s="76">
        <v>0</v>
      </c>
      <c r="AD9" s="76">
        <v>0</v>
      </c>
      <c r="AE9" s="76">
        <v>0</v>
      </c>
      <c r="AF9" s="76">
        <v>0</v>
      </c>
      <c r="AG9" s="76">
        <v>0</v>
      </c>
      <c r="AH9" s="76">
        <v>0</v>
      </c>
      <c r="AI9" s="76">
        <v>0</v>
      </c>
      <c r="AJ9" s="76">
        <v>0</v>
      </c>
      <c r="AK9" s="76">
        <v>0</v>
      </c>
      <c r="AL9" s="76">
        <v>0</v>
      </c>
      <c r="AM9" s="76">
        <v>0</v>
      </c>
      <c r="AN9" s="76">
        <v>0</v>
      </c>
      <c r="AO9" s="76">
        <v>0</v>
      </c>
      <c r="AP9" s="76">
        <v>0</v>
      </c>
      <c r="AQ9" s="76">
        <v>0</v>
      </c>
      <c r="AR9" s="76">
        <v>0</v>
      </c>
      <c r="AS9" s="76">
        <v>0</v>
      </c>
      <c r="AT9" s="76">
        <v>0</v>
      </c>
      <c r="AU9" s="76">
        <v>0</v>
      </c>
      <c r="AV9" s="76">
        <v>0</v>
      </c>
      <c r="AW9" s="76">
        <v>0</v>
      </c>
      <c r="AX9" s="76">
        <v>0</v>
      </c>
      <c r="AY9" s="76">
        <v>0</v>
      </c>
      <c r="AZ9" s="76">
        <v>0</v>
      </c>
      <c r="BA9" s="76">
        <v>0</v>
      </c>
      <c r="BB9" s="76">
        <v>0</v>
      </c>
      <c r="BC9" s="76">
        <v>0</v>
      </c>
      <c r="BD9" s="76">
        <v>0</v>
      </c>
      <c r="BE9" s="76">
        <v>0</v>
      </c>
      <c r="BF9" s="76">
        <v>0</v>
      </c>
      <c r="BG9" s="76">
        <v>0</v>
      </c>
      <c r="BH9" s="76">
        <v>0</v>
      </c>
      <c r="BI9" s="76">
        <v>0</v>
      </c>
      <c r="BJ9" s="76">
        <v>0</v>
      </c>
      <c r="BK9" s="76">
        <v>0</v>
      </c>
      <c r="BL9" s="76">
        <v>0</v>
      </c>
      <c r="BM9" s="76">
        <v>0</v>
      </c>
      <c r="BN9" s="76">
        <v>0</v>
      </c>
      <c r="BO9" s="76">
        <v>0</v>
      </c>
      <c r="BP9" s="76">
        <v>0</v>
      </c>
      <c r="BQ9" s="76">
        <v>0</v>
      </c>
      <c r="BR9" s="76">
        <v>0</v>
      </c>
    </row>
    <row r="10" spans="1:70" x14ac:dyDescent="0.25">
      <c r="A10" s="74">
        <v>32248170</v>
      </c>
      <c r="B10" s="75">
        <v>4172749</v>
      </c>
      <c r="C10" s="76">
        <v>100</v>
      </c>
      <c r="D10" s="76">
        <v>200</v>
      </c>
      <c r="E10" s="76">
        <v>100</v>
      </c>
      <c r="F10" s="76">
        <v>100</v>
      </c>
      <c r="G10" s="76">
        <v>200</v>
      </c>
      <c r="H10" s="76">
        <v>100</v>
      </c>
      <c r="I10" s="76">
        <v>0</v>
      </c>
      <c r="J10" s="76">
        <v>100</v>
      </c>
      <c r="K10" s="120">
        <v>200</v>
      </c>
      <c r="L10" s="76">
        <v>100</v>
      </c>
      <c r="M10" s="158">
        <v>0</v>
      </c>
      <c r="N10" s="76">
        <v>100</v>
      </c>
      <c r="O10" s="76">
        <v>100</v>
      </c>
      <c r="P10" s="76">
        <v>100</v>
      </c>
      <c r="Q10" s="76">
        <v>100</v>
      </c>
      <c r="R10" s="76">
        <v>200</v>
      </c>
      <c r="S10" s="76">
        <v>0</v>
      </c>
      <c r="T10" s="158">
        <v>0</v>
      </c>
      <c r="U10" s="158">
        <v>0</v>
      </c>
      <c r="V10" s="76">
        <v>100</v>
      </c>
      <c r="W10" s="76">
        <v>100</v>
      </c>
      <c r="X10" s="76">
        <v>100</v>
      </c>
      <c r="Y10" s="76">
        <v>200</v>
      </c>
      <c r="Z10" s="76">
        <v>100</v>
      </c>
      <c r="AA10" s="76">
        <v>100</v>
      </c>
      <c r="AB10" s="76">
        <v>100</v>
      </c>
      <c r="AC10" s="76">
        <v>100</v>
      </c>
      <c r="AD10" s="76">
        <v>200</v>
      </c>
      <c r="AE10" s="76">
        <v>200</v>
      </c>
      <c r="AF10" s="76">
        <v>100</v>
      </c>
      <c r="AG10" s="76">
        <v>200</v>
      </c>
      <c r="AH10" s="76">
        <v>0</v>
      </c>
      <c r="AI10" s="76">
        <v>200</v>
      </c>
      <c r="AJ10" s="76">
        <v>200</v>
      </c>
      <c r="AK10" s="76">
        <v>100</v>
      </c>
      <c r="AL10" s="76">
        <v>200</v>
      </c>
      <c r="AM10" s="76">
        <v>100</v>
      </c>
      <c r="AN10" s="76">
        <v>300</v>
      </c>
      <c r="AO10" s="76">
        <v>0</v>
      </c>
      <c r="AP10" s="76">
        <v>200</v>
      </c>
      <c r="AQ10" s="76">
        <v>200</v>
      </c>
      <c r="AR10" s="76">
        <v>200</v>
      </c>
      <c r="AS10" s="76">
        <v>0</v>
      </c>
      <c r="AT10" s="76">
        <v>100</v>
      </c>
      <c r="AU10" s="76">
        <v>100</v>
      </c>
      <c r="AV10" s="76">
        <v>100</v>
      </c>
      <c r="AW10" s="76">
        <v>0</v>
      </c>
      <c r="AX10" s="76">
        <v>0</v>
      </c>
      <c r="AY10" s="76">
        <v>0</v>
      </c>
      <c r="AZ10" s="76">
        <v>0</v>
      </c>
      <c r="BA10" s="76">
        <v>100</v>
      </c>
      <c r="BB10" s="76">
        <v>200</v>
      </c>
      <c r="BC10" s="76">
        <v>100</v>
      </c>
      <c r="BD10" s="76">
        <v>100</v>
      </c>
      <c r="BE10" s="76">
        <v>100</v>
      </c>
      <c r="BF10" s="76">
        <v>100</v>
      </c>
      <c r="BG10" s="76">
        <v>100</v>
      </c>
      <c r="BH10" s="76">
        <v>100</v>
      </c>
      <c r="BI10" s="76">
        <v>100</v>
      </c>
      <c r="BJ10" s="76">
        <v>100</v>
      </c>
      <c r="BK10" s="76">
        <v>100</v>
      </c>
      <c r="BL10" s="76">
        <v>80</v>
      </c>
      <c r="BM10" s="76">
        <v>80</v>
      </c>
      <c r="BN10" s="76">
        <v>80</v>
      </c>
      <c r="BO10" s="76">
        <v>80</v>
      </c>
      <c r="BP10" s="76">
        <v>80</v>
      </c>
      <c r="BQ10" s="76">
        <v>100</v>
      </c>
      <c r="BR10" s="76">
        <v>100</v>
      </c>
    </row>
    <row r="11" spans="1:70" x14ac:dyDescent="0.25">
      <c r="A11" s="74">
        <v>32248171</v>
      </c>
      <c r="B11" s="75">
        <v>4172753</v>
      </c>
      <c r="C11" s="76">
        <v>0</v>
      </c>
      <c r="D11" s="76">
        <v>0</v>
      </c>
      <c r="E11" s="76">
        <v>0</v>
      </c>
      <c r="F11" s="76">
        <v>0</v>
      </c>
      <c r="G11" s="76">
        <v>0</v>
      </c>
      <c r="H11" s="76">
        <v>0</v>
      </c>
      <c r="I11" s="76">
        <v>0</v>
      </c>
      <c r="J11" s="76">
        <v>0</v>
      </c>
      <c r="K11" s="120">
        <v>100</v>
      </c>
      <c r="L11" s="76">
        <v>0</v>
      </c>
      <c r="M11" s="158">
        <v>0</v>
      </c>
      <c r="N11" s="76">
        <v>0</v>
      </c>
      <c r="O11" s="76">
        <v>0</v>
      </c>
      <c r="P11" s="76">
        <v>0</v>
      </c>
      <c r="Q11" s="76">
        <v>0</v>
      </c>
      <c r="R11" s="76">
        <v>0</v>
      </c>
      <c r="S11" s="76">
        <v>100</v>
      </c>
      <c r="T11" s="158">
        <v>0</v>
      </c>
      <c r="U11" s="158">
        <v>0</v>
      </c>
      <c r="V11" s="76">
        <v>0</v>
      </c>
      <c r="W11" s="76">
        <v>0</v>
      </c>
      <c r="X11" s="76">
        <v>0</v>
      </c>
      <c r="Y11" s="76">
        <v>0</v>
      </c>
      <c r="Z11" s="76">
        <v>0</v>
      </c>
      <c r="AA11" s="76">
        <v>0</v>
      </c>
      <c r="AB11" s="76">
        <v>0</v>
      </c>
      <c r="AC11" s="76">
        <v>0</v>
      </c>
      <c r="AD11" s="76">
        <v>0</v>
      </c>
      <c r="AE11" s="76">
        <v>0</v>
      </c>
      <c r="AF11" s="76">
        <v>0</v>
      </c>
      <c r="AG11" s="76">
        <v>0</v>
      </c>
      <c r="AH11" s="76">
        <v>0</v>
      </c>
      <c r="AI11" s="76">
        <v>100</v>
      </c>
      <c r="AJ11" s="76">
        <v>0</v>
      </c>
      <c r="AK11" s="76">
        <v>0</v>
      </c>
      <c r="AL11" s="76">
        <v>0</v>
      </c>
      <c r="AM11" s="76">
        <v>0</v>
      </c>
      <c r="AN11" s="76">
        <v>0</v>
      </c>
      <c r="AO11" s="76">
        <v>0</v>
      </c>
      <c r="AP11" s="76">
        <v>100</v>
      </c>
      <c r="AQ11" s="76">
        <v>0</v>
      </c>
      <c r="AR11" s="76">
        <v>0</v>
      </c>
      <c r="AS11" s="76">
        <v>0</v>
      </c>
      <c r="AT11" s="76">
        <v>0</v>
      </c>
      <c r="AU11" s="76">
        <v>0</v>
      </c>
      <c r="AV11" s="76">
        <v>100</v>
      </c>
      <c r="AW11" s="76">
        <v>0</v>
      </c>
      <c r="AX11" s="76">
        <v>0</v>
      </c>
      <c r="AY11" s="76">
        <v>0</v>
      </c>
      <c r="AZ11" s="76">
        <v>0</v>
      </c>
      <c r="BA11" s="76">
        <v>0</v>
      </c>
      <c r="BB11" s="76">
        <v>0</v>
      </c>
      <c r="BC11" s="76">
        <v>0</v>
      </c>
      <c r="BD11" s="76">
        <v>30</v>
      </c>
      <c r="BE11" s="76">
        <v>30</v>
      </c>
      <c r="BF11" s="76">
        <v>30</v>
      </c>
      <c r="BG11" s="76">
        <v>10</v>
      </c>
      <c r="BH11" s="76">
        <v>0</v>
      </c>
      <c r="BI11" s="76">
        <v>0</v>
      </c>
      <c r="BJ11" s="76">
        <v>0</v>
      </c>
      <c r="BK11" s="76">
        <v>0</v>
      </c>
      <c r="BL11" s="76">
        <v>0</v>
      </c>
      <c r="BM11" s="76">
        <v>0</v>
      </c>
      <c r="BN11" s="76">
        <v>0</v>
      </c>
      <c r="BO11" s="76">
        <v>0</v>
      </c>
      <c r="BP11" s="76">
        <v>0</v>
      </c>
      <c r="BQ11" s="76">
        <v>50</v>
      </c>
      <c r="BR11" s="76">
        <v>50</v>
      </c>
    </row>
    <row r="12" spans="1:70" x14ac:dyDescent="0.25">
      <c r="A12" s="74">
        <v>32248172</v>
      </c>
      <c r="B12" s="75">
        <v>4172784</v>
      </c>
      <c r="C12" s="76">
        <v>0</v>
      </c>
      <c r="D12" s="76">
        <v>0</v>
      </c>
      <c r="E12" s="76">
        <v>100</v>
      </c>
      <c r="F12" s="76">
        <v>0</v>
      </c>
      <c r="G12" s="76">
        <v>0</v>
      </c>
      <c r="H12" s="76">
        <v>0</v>
      </c>
      <c r="I12" s="76">
        <v>100</v>
      </c>
      <c r="J12" s="76">
        <v>0</v>
      </c>
      <c r="K12" s="120">
        <v>0</v>
      </c>
      <c r="L12" s="76">
        <v>0</v>
      </c>
      <c r="M12" s="158">
        <v>0</v>
      </c>
      <c r="N12" s="76">
        <v>100</v>
      </c>
      <c r="O12" s="76">
        <v>0</v>
      </c>
      <c r="P12" s="76">
        <v>0</v>
      </c>
      <c r="Q12" s="76">
        <v>0</v>
      </c>
      <c r="R12" s="76">
        <v>0</v>
      </c>
      <c r="S12" s="76">
        <v>0</v>
      </c>
      <c r="T12" s="158">
        <v>0</v>
      </c>
      <c r="U12" s="158">
        <v>0</v>
      </c>
      <c r="V12" s="76">
        <v>100</v>
      </c>
      <c r="W12" s="76">
        <v>0</v>
      </c>
      <c r="X12" s="76">
        <v>0</v>
      </c>
      <c r="Y12" s="76">
        <v>100</v>
      </c>
      <c r="Z12" s="76">
        <v>0</v>
      </c>
      <c r="AA12" s="76">
        <v>0</v>
      </c>
      <c r="AB12" s="76">
        <v>0</v>
      </c>
      <c r="AC12" s="76">
        <v>0</v>
      </c>
      <c r="AD12" s="76">
        <v>0</v>
      </c>
      <c r="AE12" s="76">
        <v>0</v>
      </c>
      <c r="AF12" s="76">
        <v>0</v>
      </c>
      <c r="AG12" s="76">
        <v>0</v>
      </c>
      <c r="AH12" s="76">
        <v>0</v>
      </c>
      <c r="AI12" s="76">
        <v>0</v>
      </c>
      <c r="AJ12" s="76">
        <v>0</v>
      </c>
      <c r="AK12" s="76">
        <v>0</v>
      </c>
      <c r="AL12" s="76">
        <v>0</v>
      </c>
      <c r="AM12" s="76">
        <v>100</v>
      </c>
      <c r="AN12" s="76">
        <v>0</v>
      </c>
      <c r="AO12" s="76">
        <v>0</v>
      </c>
      <c r="AP12" s="76">
        <v>0</v>
      </c>
      <c r="AQ12" s="76">
        <v>0</v>
      </c>
      <c r="AR12" s="76">
        <v>0</v>
      </c>
      <c r="AS12" s="76">
        <v>0</v>
      </c>
      <c r="AT12" s="76">
        <v>100</v>
      </c>
      <c r="AU12" s="76">
        <v>0</v>
      </c>
      <c r="AV12" s="76">
        <v>0</v>
      </c>
      <c r="AW12" s="76">
        <v>0</v>
      </c>
      <c r="AX12" s="76">
        <v>0</v>
      </c>
      <c r="AY12" s="76">
        <v>0</v>
      </c>
      <c r="AZ12" s="76">
        <v>0</v>
      </c>
      <c r="BA12" s="76">
        <v>0</v>
      </c>
      <c r="BB12" s="76">
        <v>0</v>
      </c>
      <c r="BC12" s="76">
        <v>0</v>
      </c>
      <c r="BD12" s="76">
        <v>30</v>
      </c>
      <c r="BE12" s="76">
        <v>30</v>
      </c>
      <c r="BF12" s="76">
        <v>30</v>
      </c>
      <c r="BG12" s="76">
        <v>10</v>
      </c>
      <c r="BH12" s="76">
        <v>0</v>
      </c>
      <c r="BI12" s="76">
        <v>0</v>
      </c>
      <c r="BJ12" s="76">
        <v>0</v>
      </c>
      <c r="BK12" s="76">
        <v>0</v>
      </c>
      <c r="BL12" s="76">
        <v>60</v>
      </c>
      <c r="BM12" s="76">
        <v>60</v>
      </c>
      <c r="BN12" s="76">
        <v>60</v>
      </c>
      <c r="BO12" s="76">
        <v>60</v>
      </c>
      <c r="BP12" s="76">
        <v>60</v>
      </c>
      <c r="BQ12" s="76">
        <v>150</v>
      </c>
      <c r="BR12" s="76">
        <v>150</v>
      </c>
    </row>
    <row r="13" spans="1:70" x14ac:dyDescent="0.25">
      <c r="A13" s="74">
        <v>32248173</v>
      </c>
      <c r="B13" s="75">
        <v>4172789</v>
      </c>
      <c r="C13" s="76">
        <v>0</v>
      </c>
      <c r="D13" s="76">
        <v>0</v>
      </c>
      <c r="E13" s="76">
        <v>0</v>
      </c>
      <c r="F13" s="76">
        <v>0</v>
      </c>
      <c r="G13" s="76">
        <v>0</v>
      </c>
      <c r="H13" s="76">
        <v>0</v>
      </c>
      <c r="I13" s="76">
        <v>0</v>
      </c>
      <c r="J13" s="76">
        <v>0</v>
      </c>
      <c r="K13" s="120">
        <v>0</v>
      </c>
      <c r="L13" s="76">
        <v>0</v>
      </c>
      <c r="M13" s="158">
        <v>0</v>
      </c>
      <c r="N13" s="76">
        <v>0</v>
      </c>
      <c r="O13" s="76">
        <v>0</v>
      </c>
      <c r="P13" s="76">
        <v>0</v>
      </c>
      <c r="Q13" s="76">
        <v>0</v>
      </c>
      <c r="R13" s="76">
        <v>0</v>
      </c>
      <c r="S13" s="76">
        <v>0</v>
      </c>
      <c r="T13" s="158">
        <v>0</v>
      </c>
      <c r="U13" s="158">
        <v>0</v>
      </c>
      <c r="V13" s="76">
        <v>0</v>
      </c>
      <c r="W13" s="76">
        <v>0</v>
      </c>
      <c r="X13" s="76">
        <v>0</v>
      </c>
      <c r="Y13" s="76">
        <v>0</v>
      </c>
      <c r="Z13" s="76">
        <v>0</v>
      </c>
      <c r="AA13" s="76">
        <v>0</v>
      </c>
      <c r="AB13" s="76">
        <v>0</v>
      </c>
      <c r="AC13" s="76">
        <v>0</v>
      </c>
      <c r="AD13" s="76">
        <v>0</v>
      </c>
      <c r="AE13" s="76">
        <v>0</v>
      </c>
      <c r="AF13" s="76">
        <v>0</v>
      </c>
      <c r="AG13" s="76">
        <v>0</v>
      </c>
      <c r="AH13" s="76">
        <v>0</v>
      </c>
      <c r="AI13" s="76">
        <v>0</v>
      </c>
      <c r="AJ13" s="76">
        <v>0</v>
      </c>
      <c r="AK13" s="76">
        <v>0</v>
      </c>
      <c r="AL13" s="76">
        <v>0</v>
      </c>
      <c r="AM13" s="76">
        <v>0</v>
      </c>
      <c r="AN13" s="76">
        <v>0</v>
      </c>
      <c r="AO13" s="76">
        <v>0</v>
      </c>
      <c r="AP13" s="76">
        <v>0</v>
      </c>
      <c r="AQ13" s="76">
        <v>0</v>
      </c>
      <c r="AR13" s="76">
        <v>0</v>
      </c>
      <c r="AS13" s="76">
        <v>0</v>
      </c>
      <c r="AT13" s="76">
        <v>0</v>
      </c>
      <c r="AU13" s="76">
        <v>0</v>
      </c>
      <c r="AV13" s="76">
        <v>0</v>
      </c>
      <c r="AW13" s="76">
        <v>0</v>
      </c>
      <c r="AX13" s="76">
        <v>0</v>
      </c>
      <c r="AY13" s="76">
        <v>0</v>
      </c>
      <c r="AZ13" s="76">
        <v>0</v>
      </c>
      <c r="BA13" s="76">
        <v>0</v>
      </c>
      <c r="BB13" s="76">
        <v>0</v>
      </c>
      <c r="BC13" s="76">
        <v>0</v>
      </c>
      <c r="BD13" s="76">
        <v>0</v>
      </c>
      <c r="BE13" s="76">
        <v>0</v>
      </c>
      <c r="BF13" s="76">
        <v>0</v>
      </c>
      <c r="BG13" s="76">
        <v>0</v>
      </c>
      <c r="BH13" s="76">
        <v>0</v>
      </c>
      <c r="BI13" s="76">
        <v>0</v>
      </c>
      <c r="BJ13" s="76">
        <v>0</v>
      </c>
      <c r="BK13" s="76">
        <v>0</v>
      </c>
      <c r="BL13" s="76">
        <v>0</v>
      </c>
      <c r="BM13" s="76">
        <v>0</v>
      </c>
      <c r="BN13" s="76">
        <v>0</v>
      </c>
      <c r="BO13" s="76">
        <v>0</v>
      </c>
      <c r="BP13" s="76">
        <v>0</v>
      </c>
      <c r="BQ13" s="76">
        <v>0</v>
      </c>
      <c r="BR13" s="76">
        <v>0</v>
      </c>
    </row>
    <row r="14" spans="1:70" x14ac:dyDescent="0.25">
      <c r="A14" s="74">
        <v>32248183</v>
      </c>
      <c r="B14" s="75">
        <v>4172797</v>
      </c>
      <c r="C14" s="76">
        <v>0</v>
      </c>
      <c r="D14" s="76">
        <v>0</v>
      </c>
      <c r="E14" s="76">
        <v>0</v>
      </c>
      <c r="F14" s="76">
        <v>0</v>
      </c>
      <c r="G14" s="76">
        <v>0</v>
      </c>
      <c r="H14" s="76">
        <v>0</v>
      </c>
      <c r="I14" s="76">
        <v>0</v>
      </c>
      <c r="J14" s="76">
        <v>0</v>
      </c>
      <c r="K14" s="120">
        <v>0</v>
      </c>
      <c r="L14" s="76">
        <v>0</v>
      </c>
      <c r="M14" s="158">
        <v>0</v>
      </c>
      <c r="N14" s="76">
        <v>0</v>
      </c>
      <c r="O14" s="76">
        <v>0</v>
      </c>
      <c r="P14" s="76">
        <v>0</v>
      </c>
      <c r="Q14" s="76">
        <v>0</v>
      </c>
      <c r="R14" s="76">
        <v>0</v>
      </c>
      <c r="S14" s="76">
        <v>0</v>
      </c>
      <c r="T14" s="158">
        <v>0</v>
      </c>
      <c r="U14" s="158">
        <v>0</v>
      </c>
      <c r="V14" s="76">
        <v>0</v>
      </c>
      <c r="W14" s="76">
        <v>0</v>
      </c>
      <c r="X14" s="76">
        <v>0</v>
      </c>
      <c r="Y14" s="76">
        <v>0</v>
      </c>
      <c r="Z14" s="76">
        <v>0</v>
      </c>
      <c r="AA14" s="76">
        <v>0</v>
      </c>
      <c r="AB14" s="76">
        <v>0</v>
      </c>
      <c r="AC14" s="76">
        <v>0</v>
      </c>
      <c r="AD14" s="76">
        <v>0</v>
      </c>
      <c r="AE14" s="76">
        <v>0</v>
      </c>
      <c r="AF14" s="76">
        <v>0</v>
      </c>
      <c r="AG14" s="76">
        <v>0</v>
      </c>
      <c r="AH14" s="76">
        <v>0</v>
      </c>
      <c r="AI14" s="76">
        <v>0</v>
      </c>
      <c r="AJ14" s="76">
        <v>0</v>
      </c>
      <c r="AK14" s="76">
        <v>0</v>
      </c>
      <c r="AL14" s="76">
        <v>0</v>
      </c>
      <c r="AM14" s="76">
        <v>0</v>
      </c>
      <c r="AN14" s="76">
        <v>0</v>
      </c>
      <c r="AO14" s="76">
        <v>0</v>
      </c>
      <c r="AP14" s="76">
        <v>0</v>
      </c>
      <c r="AQ14" s="76">
        <v>0</v>
      </c>
      <c r="AR14" s="76">
        <v>0</v>
      </c>
      <c r="AS14" s="76">
        <v>0</v>
      </c>
      <c r="AT14" s="76">
        <v>0</v>
      </c>
      <c r="AU14" s="76">
        <v>0</v>
      </c>
      <c r="AV14" s="76">
        <v>0</v>
      </c>
      <c r="AW14" s="76">
        <v>0</v>
      </c>
      <c r="AX14" s="76">
        <v>0</v>
      </c>
      <c r="AY14" s="76">
        <v>0</v>
      </c>
      <c r="AZ14" s="76">
        <v>0</v>
      </c>
      <c r="BA14" s="76">
        <v>0</v>
      </c>
      <c r="BB14" s="76">
        <v>0</v>
      </c>
      <c r="BC14" s="76">
        <v>0</v>
      </c>
      <c r="BD14" s="76">
        <v>0</v>
      </c>
      <c r="BE14" s="76">
        <v>0</v>
      </c>
      <c r="BF14" s="76">
        <v>0</v>
      </c>
      <c r="BG14" s="76">
        <v>0</v>
      </c>
      <c r="BH14" s="76">
        <v>0</v>
      </c>
      <c r="BI14" s="76">
        <v>0</v>
      </c>
      <c r="BJ14" s="76">
        <v>0</v>
      </c>
      <c r="BK14" s="76">
        <v>0</v>
      </c>
      <c r="BL14" s="76">
        <v>0</v>
      </c>
      <c r="BM14" s="76">
        <v>0</v>
      </c>
      <c r="BN14" s="76">
        <v>0</v>
      </c>
      <c r="BO14" s="76">
        <v>0</v>
      </c>
      <c r="BP14" s="76">
        <v>0</v>
      </c>
      <c r="BQ14" s="76">
        <v>0</v>
      </c>
      <c r="BR14" s="76">
        <v>0</v>
      </c>
    </row>
    <row r="15" spans="1:70" x14ac:dyDescent="0.25">
      <c r="A15" s="74">
        <v>32248184</v>
      </c>
      <c r="B15" s="75">
        <v>4172820</v>
      </c>
      <c r="C15" s="76">
        <v>400</v>
      </c>
      <c r="D15" s="76">
        <v>400</v>
      </c>
      <c r="E15" s="76">
        <v>480</v>
      </c>
      <c r="F15" s="76">
        <v>400</v>
      </c>
      <c r="G15" s="76">
        <v>400</v>
      </c>
      <c r="H15" s="76">
        <v>400</v>
      </c>
      <c r="I15" s="76">
        <v>400</v>
      </c>
      <c r="J15" s="76">
        <v>320</v>
      </c>
      <c r="K15" s="120">
        <v>480</v>
      </c>
      <c r="L15" s="76">
        <v>720</v>
      </c>
      <c r="M15" s="158">
        <v>0</v>
      </c>
      <c r="N15" s="76">
        <v>400</v>
      </c>
      <c r="O15" s="76">
        <v>560</v>
      </c>
      <c r="P15" s="76">
        <v>640</v>
      </c>
      <c r="Q15" s="76">
        <v>560</v>
      </c>
      <c r="R15" s="76">
        <v>560</v>
      </c>
      <c r="S15" s="76">
        <v>400</v>
      </c>
      <c r="T15" s="158">
        <v>0</v>
      </c>
      <c r="U15" s="158">
        <v>0</v>
      </c>
      <c r="V15" s="76">
        <v>400</v>
      </c>
      <c r="W15" s="76">
        <v>400</v>
      </c>
      <c r="X15" s="76">
        <v>320</v>
      </c>
      <c r="Y15" s="76">
        <v>480</v>
      </c>
      <c r="Z15" s="76">
        <v>320</v>
      </c>
      <c r="AA15" s="76">
        <v>400</v>
      </c>
      <c r="AB15" s="76">
        <v>400</v>
      </c>
      <c r="AC15" s="76">
        <v>560</v>
      </c>
      <c r="AD15" s="76">
        <v>560</v>
      </c>
      <c r="AE15" s="76">
        <v>560</v>
      </c>
      <c r="AF15" s="76">
        <v>320</v>
      </c>
      <c r="AG15" s="76">
        <v>800</v>
      </c>
      <c r="AH15" s="76">
        <v>0</v>
      </c>
      <c r="AI15" s="76">
        <v>400</v>
      </c>
      <c r="AJ15" s="76">
        <v>0</v>
      </c>
      <c r="AK15" s="76">
        <v>0</v>
      </c>
      <c r="AL15" s="76">
        <v>0</v>
      </c>
      <c r="AM15" s="76">
        <v>0</v>
      </c>
      <c r="AN15" s="76">
        <v>0</v>
      </c>
      <c r="AO15" s="76">
        <v>0</v>
      </c>
      <c r="AP15" s="76">
        <v>0</v>
      </c>
      <c r="AQ15" s="76">
        <v>0</v>
      </c>
      <c r="AR15" s="76">
        <v>0</v>
      </c>
      <c r="AS15" s="76">
        <v>0</v>
      </c>
      <c r="AT15" s="76">
        <v>0</v>
      </c>
      <c r="AU15" s="76">
        <v>0</v>
      </c>
      <c r="AV15" s="76">
        <v>0</v>
      </c>
      <c r="AW15" s="76">
        <v>0</v>
      </c>
      <c r="AX15" s="76">
        <v>0</v>
      </c>
      <c r="AY15" s="76">
        <v>0</v>
      </c>
      <c r="AZ15" s="76">
        <v>0</v>
      </c>
      <c r="BA15" s="76">
        <v>0</v>
      </c>
      <c r="BB15" s="76">
        <v>0</v>
      </c>
      <c r="BC15" s="76">
        <v>0</v>
      </c>
      <c r="BD15" s="76">
        <v>0</v>
      </c>
      <c r="BE15" s="76">
        <v>0</v>
      </c>
      <c r="BF15" s="76">
        <v>0</v>
      </c>
      <c r="BG15" s="76">
        <v>0</v>
      </c>
      <c r="BH15" s="76">
        <v>0</v>
      </c>
      <c r="BI15" s="76">
        <v>0</v>
      </c>
      <c r="BJ15" s="76">
        <v>0</v>
      </c>
      <c r="BK15" s="76">
        <v>0</v>
      </c>
      <c r="BL15" s="76">
        <v>0</v>
      </c>
      <c r="BM15" s="76">
        <v>0</v>
      </c>
      <c r="BN15" s="76">
        <v>0</v>
      </c>
      <c r="BO15" s="76">
        <v>0</v>
      </c>
      <c r="BP15" s="76">
        <v>0</v>
      </c>
      <c r="BQ15" s="76">
        <v>0</v>
      </c>
      <c r="BR15" s="76">
        <v>0</v>
      </c>
    </row>
    <row r="16" spans="1:70" x14ac:dyDescent="0.25">
      <c r="A16" s="74">
        <v>32248185</v>
      </c>
      <c r="B16" s="75">
        <v>4172800</v>
      </c>
      <c r="C16" s="76">
        <v>0</v>
      </c>
      <c r="D16" s="76">
        <v>0</v>
      </c>
      <c r="E16" s="76">
        <v>0</v>
      </c>
      <c r="F16" s="76">
        <v>100</v>
      </c>
      <c r="G16" s="76">
        <v>0</v>
      </c>
      <c r="H16" s="76">
        <v>0</v>
      </c>
      <c r="I16" s="76">
        <v>0</v>
      </c>
      <c r="J16" s="76">
        <v>0</v>
      </c>
      <c r="K16" s="120">
        <v>0</v>
      </c>
      <c r="L16" s="76">
        <v>0</v>
      </c>
      <c r="M16" s="158">
        <v>0</v>
      </c>
      <c r="N16" s="76">
        <v>0</v>
      </c>
      <c r="O16" s="76">
        <v>0</v>
      </c>
      <c r="P16" s="76">
        <v>0</v>
      </c>
      <c r="Q16" s="76">
        <v>0</v>
      </c>
      <c r="R16" s="76">
        <v>0</v>
      </c>
      <c r="S16" s="76">
        <v>0</v>
      </c>
      <c r="T16" s="158">
        <v>0</v>
      </c>
      <c r="U16" s="158">
        <v>0</v>
      </c>
      <c r="V16" s="76">
        <v>0</v>
      </c>
      <c r="W16" s="76">
        <v>0</v>
      </c>
      <c r="X16" s="76">
        <v>0</v>
      </c>
      <c r="Y16" s="76">
        <v>0</v>
      </c>
      <c r="Z16" s="76">
        <v>0</v>
      </c>
      <c r="AA16" s="76">
        <v>0</v>
      </c>
      <c r="AB16" s="76">
        <v>0</v>
      </c>
      <c r="AC16" s="76">
        <v>0</v>
      </c>
      <c r="AD16" s="76">
        <v>0</v>
      </c>
      <c r="AE16" s="76">
        <v>0</v>
      </c>
      <c r="AF16" s="76">
        <v>0</v>
      </c>
      <c r="AG16" s="76">
        <v>0</v>
      </c>
      <c r="AH16" s="76">
        <v>0</v>
      </c>
      <c r="AI16" s="76">
        <v>0</v>
      </c>
      <c r="AJ16" s="76">
        <v>0</v>
      </c>
      <c r="AK16" s="76">
        <v>0</v>
      </c>
      <c r="AL16" s="76">
        <v>0</v>
      </c>
      <c r="AM16" s="76">
        <v>0</v>
      </c>
      <c r="AN16" s="76">
        <v>100</v>
      </c>
      <c r="AO16" s="76">
        <v>0</v>
      </c>
      <c r="AP16" s="76">
        <v>0</v>
      </c>
      <c r="AQ16" s="76">
        <v>0</v>
      </c>
      <c r="AR16" s="76">
        <v>100</v>
      </c>
      <c r="AS16" s="76">
        <v>0</v>
      </c>
      <c r="AT16" s="76">
        <v>100</v>
      </c>
      <c r="AU16" s="76">
        <v>100</v>
      </c>
      <c r="AV16" s="76">
        <v>200</v>
      </c>
      <c r="AW16" s="76">
        <v>0</v>
      </c>
      <c r="AX16" s="76">
        <v>0</v>
      </c>
      <c r="AY16" s="76">
        <v>0</v>
      </c>
      <c r="AZ16" s="76">
        <v>0</v>
      </c>
      <c r="BA16" s="76">
        <v>0</v>
      </c>
      <c r="BB16" s="76">
        <v>100</v>
      </c>
      <c r="BC16" s="76">
        <v>100</v>
      </c>
      <c r="BD16" s="76">
        <v>80</v>
      </c>
      <c r="BE16" s="76">
        <v>80</v>
      </c>
      <c r="BF16" s="76">
        <v>80</v>
      </c>
      <c r="BG16" s="76">
        <v>60</v>
      </c>
      <c r="BH16" s="76">
        <v>50</v>
      </c>
      <c r="BI16" s="76">
        <v>50</v>
      </c>
      <c r="BJ16" s="76">
        <v>50</v>
      </c>
      <c r="BK16" s="76">
        <v>50</v>
      </c>
      <c r="BL16" s="76">
        <v>0</v>
      </c>
      <c r="BM16" s="76">
        <v>0</v>
      </c>
      <c r="BN16" s="76">
        <v>0</v>
      </c>
      <c r="BO16" s="76">
        <v>0</v>
      </c>
      <c r="BP16" s="76">
        <v>0</v>
      </c>
      <c r="BQ16" s="76">
        <v>0</v>
      </c>
      <c r="BR16" s="76">
        <v>0</v>
      </c>
    </row>
    <row r="17" spans="1:70" x14ac:dyDescent="0.25">
      <c r="A17" s="74">
        <v>32248186</v>
      </c>
      <c r="B17" s="75">
        <v>4172821</v>
      </c>
      <c r="C17" s="76">
        <v>200</v>
      </c>
      <c r="D17" s="76">
        <v>300</v>
      </c>
      <c r="E17" s="76">
        <v>300</v>
      </c>
      <c r="F17" s="76">
        <v>300</v>
      </c>
      <c r="G17" s="76">
        <v>300</v>
      </c>
      <c r="H17" s="76">
        <v>200</v>
      </c>
      <c r="I17" s="76">
        <v>300</v>
      </c>
      <c r="J17" s="76">
        <v>200</v>
      </c>
      <c r="K17" s="120">
        <v>300</v>
      </c>
      <c r="L17" s="76">
        <v>600</v>
      </c>
      <c r="M17" s="158">
        <v>0</v>
      </c>
      <c r="N17" s="76">
        <v>200</v>
      </c>
      <c r="O17" s="76">
        <v>100</v>
      </c>
      <c r="P17" s="76">
        <v>300</v>
      </c>
      <c r="Q17" s="76">
        <v>200</v>
      </c>
      <c r="R17" s="76">
        <v>300</v>
      </c>
      <c r="S17" s="76">
        <v>100</v>
      </c>
      <c r="T17" s="158">
        <v>0</v>
      </c>
      <c r="U17" s="158">
        <v>0</v>
      </c>
      <c r="V17" s="76">
        <v>200</v>
      </c>
      <c r="W17" s="76">
        <v>200</v>
      </c>
      <c r="X17" s="76">
        <v>300</v>
      </c>
      <c r="Y17" s="76">
        <v>100</v>
      </c>
      <c r="Z17" s="76">
        <v>200</v>
      </c>
      <c r="AA17" s="76">
        <v>100</v>
      </c>
      <c r="AB17" s="76">
        <v>200</v>
      </c>
      <c r="AC17" s="76">
        <v>200</v>
      </c>
      <c r="AD17" s="76">
        <v>300</v>
      </c>
      <c r="AE17" s="76">
        <v>200</v>
      </c>
      <c r="AF17" s="76">
        <v>100</v>
      </c>
      <c r="AG17" s="76">
        <v>500</v>
      </c>
      <c r="AH17" s="76">
        <v>0</v>
      </c>
      <c r="AI17" s="76">
        <v>100</v>
      </c>
      <c r="AJ17" s="76">
        <v>0</v>
      </c>
      <c r="AK17" s="76">
        <v>0</v>
      </c>
      <c r="AL17" s="76">
        <v>0</v>
      </c>
      <c r="AM17" s="76">
        <v>0</v>
      </c>
      <c r="AN17" s="76">
        <v>0</v>
      </c>
      <c r="AO17" s="76">
        <v>0</v>
      </c>
      <c r="AP17" s="76">
        <v>0</v>
      </c>
      <c r="AQ17" s="76">
        <v>0</v>
      </c>
      <c r="AR17" s="76">
        <v>0</v>
      </c>
      <c r="AS17" s="76">
        <v>0</v>
      </c>
      <c r="AT17" s="76">
        <v>0</v>
      </c>
      <c r="AU17" s="76">
        <v>0</v>
      </c>
      <c r="AV17" s="76">
        <v>0</v>
      </c>
      <c r="AW17" s="76">
        <v>0</v>
      </c>
      <c r="AX17" s="76">
        <v>0</v>
      </c>
      <c r="AY17" s="76">
        <v>0</v>
      </c>
      <c r="AZ17" s="76">
        <v>0</v>
      </c>
      <c r="BA17" s="76">
        <v>0</v>
      </c>
      <c r="BB17" s="76">
        <v>0</v>
      </c>
      <c r="BC17" s="76">
        <v>100</v>
      </c>
      <c r="BD17" s="76">
        <v>0</v>
      </c>
      <c r="BE17" s="76">
        <v>0</v>
      </c>
      <c r="BF17" s="76">
        <v>0</v>
      </c>
      <c r="BG17" s="76">
        <v>0</v>
      </c>
      <c r="BH17" s="76">
        <v>0</v>
      </c>
      <c r="BI17" s="76">
        <v>0</v>
      </c>
      <c r="BJ17" s="76">
        <v>0</v>
      </c>
      <c r="BK17" s="76">
        <v>0</v>
      </c>
      <c r="BL17" s="76">
        <v>0</v>
      </c>
      <c r="BM17" s="76">
        <v>0</v>
      </c>
      <c r="BN17" s="76">
        <v>0</v>
      </c>
      <c r="BO17" s="76">
        <v>0</v>
      </c>
      <c r="BP17" s="76">
        <v>0</v>
      </c>
      <c r="BQ17" s="76">
        <v>0</v>
      </c>
      <c r="BR17" s="76">
        <v>0</v>
      </c>
    </row>
    <row r="18" spans="1:70" x14ac:dyDescent="0.25">
      <c r="A18" s="74">
        <v>32248187</v>
      </c>
      <c r="B18" s="75">
        <v>4172803</v>
      </c>
      <c r="C18" s="76">
        <v>0</v>
      </c>
      <c r="D18" s="76">
        <v>0</v>
      </c>
      <c r="E18" s="76">
        <v>0</v>
      </c>
      <c r="F18" s="76">
        <v>0</v>
      </c>
      <c r="G18" s="76">
        <v>0</v>
      </c>
      <c r="H18" s="76">
        <v>0</v>
      </c>
      <c r="I18" s="76">
        <v>0</v>
      </c>
      <c r="J18" s="76">
        <v>0</v>
      </c>
      <c r="K18" s="120">
        <v>0</v>
      </c>
      <c r="L18" s="76">
        <v>0</v>
      </c>
      <c r="M18" s="158">
        <v>0</v>
      </c>
      <c r="N18" s="76">
        <v>0</v>
      </c>
      <c r="O18" s="76">
        <v>0</v>
      </c>
      <c r="P18" s="76">
        <v>0</v>
      </c>
      <c r="Q18" s="76">
        <v>0</v>
      </c>
      <c r="R18" s="76">
        <v>0</v>
      </c>
      <c r="S18" s="76">
        <v>0</v>
      </c>
      <c r="T18" s="158">
        <v>0</v>
      </c>
      <c r="U18" s="158">
        <v>0</v>
      </c>
      <c r="V18" s="76">
        <v>0</v>
      </c>
      <c r="W18" s="76">
        <v>0</v>
      </c>
      <c r="X18" s="76">
        <v>0</v>
      </c>
      <c r="Y18" s="76">
        <v>0</v>
      </c>
      <c r="Z18" s="76">
        <v>0</v>
      </c>
      <c r="AA18" s="76">
        <v>0</v>
      </c>
      <c r="AB18" s="76">
        <v>0</v>
      </c>
      <c r="AC18" s="76">
        <v>0</v>
      </c>
      <c r="AD18" s="76">
        <v>0</v>
      </c>
      <c r="AE18" s="76">
        <v>0</v>
      </c>
      <c r="AF18" s="76">
        <v>0</v>
      </c>
      <c r="AG18" s="76">
        <v>0</v>
      </c>
      <c r="AH18" s="76">
        <v>0</v>
      </c>
      <c r="AI18" s="76">
        <v>0</v>
      </c>
      <c r="AJ18" s="76">
        <v>0</v>
      </c>
      <c r="AK18" s="76">
        <v>0</v>
      </c>
      <c r="AL18" s="76">
        <v>0</v>
      </c>
      <c r="AM18" s="76">
        <v>0</v>
      </c>
      <c r="AN18" s="76">
        <v>0</v>
      </c>
      <c r="AO18" s="76">
        <v>0</v>
      </c>
      <c r="AP18" s="76">
        <v>0</v>
      </c>
      <c r="AQ18" s="76">
        <v>0</v>
      </c>
      <c r="AR18" s="76">
        <v>0</v>
      </c>
      <c r="AS18" s="76">
        <v>0</v>
      </c>
      <c r="AT18" s="76">
        <v>0</v>
      </c>
      <c r="AU18" s="76">
        <v>0</v>
      </c>
      <c r="AV18" s="76">
        <v>0</v>
      </c>
      <c r="AW18" s="76">
        <v>0</v>
      </c>
      <c r="AX18" s="76">
        <v>0</v>
      </c>
      <c r="AY18" s="76">
        <v>0</v>
      </c>
      <c r="AZ18" s="76">
        <v>0</v>
      </c>
      <c r="BA18" s="76">
        <v>0</v>
      </c>
      <c r="BB18" s="76">
        <v>0</v>
      </c>
      <c r="BC18" s="76">
        <v>0</v>
      </c>
      <c r="BD18" s="76">
        <v>0</v>
      </c>
      <c r="BE18" s="76">
        <v>0</v>
      </c>
      <c r="BF18" s="76">
        <v>0</v>
      </c>
      <c r="BG18" s="76">
        <v>0</v>
      </c>
      <c r="BH18" s="76">
        <v>0</v>
      </c>
      <c r="BI18" s="76">
        <v>0</v>
      </c>
      <c r="BJ18" s="76">
        <v>0</v>
      </c>
      <c r="BK18" s="76">
        <v>0</v>
      </c>
      <c r="BL18" s="76">
        <v>0</v>
      </c>
      <c r="BM18" s="76">
        <v>0</v>
      </c>
      <c r="BN18" s="76">
        <v>0</v>
      </c>
      <c r="BO18" s="76">
        <v>0</v>
      </c>
      <c r="BP18" s="76">
        <v>0</v>
      </c>
      <c r="BQ18" s="76">
        <v>0</v>
      </c>
      <c r="BR18" s="76">
        <v>0</v>
      </c>
    </row>
    <row r="19" spans="1:70" x14ac:dyDescent="0.25">
      <c r="A19" s="74">
        <v>32248188</v>
      </c>
      <c r="B19" s="75">
        <v>4172825</v>
      </c>
      <c r="C19" s="76">
        <v>80</v>
      </c>
      <c r="D19" s="76">
        <v>0</v>
      </c>
      <c r="E19" s="76">
        <v>0</v>
      </c>
      <c r="F19" s="76">
        <v>0</v>
      </c>
      <c r="G19" s="76">
        <v>0</v>
      </c>
      <c r="H19" s="76">
        <v>0</v>
      </c>
      <c r="I19" s="76">
        <v>0</v>
      </c>
      <c r="J19" s="76">
        <v>0</v>
      </c>
      <c r="K19" s="120">
        <v>80</v>
      </c>
      <c r="L19" s="76">
        <v>0</v>
      </c>
      <c r="M19" s="158">
        <v>0</v>
      </c>
      <c r="N19" s="76">
        <v>0</v>
      </c>
      <c r="O19" s="76">
        <v>0</v>
      </c>
      <c r="P19" s="76">
        <v>0</v>
      </c>
      <c r="Q19" s="76">
        <v>0</v>
      </c>
      <c r="R19" s="76">
        <v>80</v>
      </c>
      <c r="S19" s="76">
        <v>0</v>
      </c>
      <c r="T19" s="158">
        <v>0</v>
      </c>
      <c r="U19" s="158">
        <v>0</v>
      </c>
      <c r="V19" s="76">
        <v>0</v>
      </c>
      <c r="W19" s="76">
        <v>0</v>
      </c>
      <c r="X19" s="76">
        <v>0</v>
      </c>
      <c r="Y19" s="76">
        <v>0</v>
      </c>
      <c r="Z19" s="76">
        <v>0</v>
      </c>
      <c r="AA19" s="76">
        <v>0</v>
      </c>
      <c r="AB19" s="76">
        <v>80</v>
      </c>
      <c r="AC19" s="76">
        <v>0</v>
      </c>
      <c r="AD19" s="76">
        <v>0</v>
      </c>
      <c r="AE19" s="76">
        <v>0</v>
      </c>
      <c r="AF19" s="76">
        <v>0</v>
      </c>
      <c r="AG19" s="76">
        <v>0</v>
      </c>
      <c r="AH19" s="76">
        <v>0</v>
      </c>
      <c r="AI19" s="76">
        <v>160</v>
      </c>
      <c r="AJ19" s="76">
        <v>480</v>
      </c>
      <c r="AK19" s="76">
        <v>320</v>
      </c>
      <c r="AL19" s="76">
        <v>720</v>
      </c>
      <c r="AM19" s="76">
        <v>400</v>
      </c>
      <c r="AN19" s="76">
        <v>960</v>
      </c>
      <c r="AO19" s="76">
        <v>0</v>
      </c>
      <c r="AP19" s="76">
        <v>640</v>
      </c>
      <c r="AQ19" s="76">
        <v>480</v>
      </c>
      <c r="AR19" s="76">
        <v>160</v>
      </c>
      <c r="AS19" s="76">
        <v>400</v>
      </c>
      <c r="AT19" s="76">
        <v>400</v>
      </c>
      <c r="AU19" s="76">
        <v>480</v>
      </c>
      <c r="AV19" s="76">
        <v>720</v>
      </c>
      <c r="AW19" s="76">
        <v>0</v>
      </c>
      <c r="AX19" s="76">
        <v>0</v>
      </c>
      <c r="AY19" s="76">
        <v>0</v>
      </c>
      <c r="AZ19" s="76">
        <v>0</v>
      </c>
      <c r="BA19" s="76">
        <v>400</v>
      </c>
      <c r="BB19" s="76">
        <v>480</v>
      </c>
      <c r="BC19" s="76">
        <v>400</v>
      </c>
      <c r="BD19" s="76">
        <v>420</v>
      </c>
      <c r="BE19" s="76">
        <v>420</v>
      </c>
      <c r="BF19" s="76">
        <v>420</v>
      </c>
      <c r="BG19" s="76">
        <v>420</v>
      </c>
      <c r="BH19" s="76">
        <v>280</v>
      </c>
      <c r="BI19" s="76">
        <v>280</v>
      </c>
      <c r="BJ19" s="76">
        <v>280</v>
      </c>
      <c r="BK19" s="76">
        <v>280</v>
      </c>
      <c r="BL19" s="76">
        <v>320</v>
      </c>
      <c r="BM19" s="76">
        <v>320</v>
      </c>
      <c r="BN19" s="76">
        <v>320</v>
      </c>
      <c r="BO19" s="76">
        <v>320</v>
      </c>
      <c r="BP19" s="76">
        <v>320</v>
      </c>
      <c r="BQ19" s="76">
        <v>320</v>
      </c>
      <c r="BR19" s="76">
        <v>320</v>
      </c>
    </row>
    <row r="20" spans="1:70" x14ac:dyDescent="0.25">
      <c r="A20" s="74">
        <v>32248189</v>
      </c>
      <c r="B20" s="75">
        <v>4172806</v>
      </c>
      <c r="C20" s="76">
        <v>0</v>
      </c>
      <c r="D20" s="76">
        <v>0</v>
      </c>
      <c r="E20" s="76">
        <v>0</v>
      </c>
      <c r="F20" s="76">
        <v>0</v>
      </c>
      <c r="G20" s="76">
        <v>0</v>
      </c>
      <c r="H20" s="76">
        <v>0</v>
      </c>
      <c r="I20" s="76">
        <v>0</v>
      </c>
      <c r="J20" s="76">
        <v>0</v>
      </c>
      <c r="K20" s="120">
        <v>0</v>
      </c>
      <c r="L20" s="76">
        <v>0</v>
      </c>
      <c r="M20" s="158">
        <v>0</v>
      </c>
      <c r="N20" s="76">
        <v>0</v>
      </c>
      <c r="O20" s="76">
        <v>0</v>
      </c>
      <c r="P20" s="76">
        <v>0</v>
      </c>
      <c r="Q20" s="76">
        <v>0</v>
      </c>
      <c r="R20" s="76">
        <v>0</v>
      </c>
      <c r="S20" s="76">
        <v>0</v>
      </c>
      <c r="T20" s="158">
        <v>0</v>
      </c>
      <c r="U20" s="158">
        <v>0</v>
      </c>
      <c r="V20" s="76">
        <v>0</v>
      </c>
      <c r="W20" s="76">
        <v>0</v>
      </c>
      <c r="X20" s="76">
        <v>0</v>
      </c>
      <c r="Y20" s="76">
        <v>0</v>
      </c>
      <c r="Z20" s="76">
        <v>0</v>
      </c>
      <c r="AA20" s="76">
        <v>0</v>
      </c>
      <c r="AB20" s="76">
        <v>0</v>
      </c>
      <c r="AC20" s="76">
        <v>0</v>
      </c>
      <c r="AD20" s="76">
        <v>0</v>
      </c>
      <c r="AE20" s="76">
        <v>0</v>
      </c>
      <c r="AF20" s="76">
        <v>0</v>
      </c>
      <c r="AG20" s="76">
        <v>0</v>
      </c>
      <c r="AH20" s="76">
        <v>0</v>
      </c>
      <c r="AI20" s="76">
        <v>0</v>
      </c>
      <c r="AJ20" s="76">
        <v>0</v>
      </c>
      <c r="AK20" s="76">
        <v>0</v>
      </c>
      <c r="AL20" s="76">
        <v>0</v>
      </c>
      <c r="AM20" s="76">
        <v>0</v>
      </c>
      <c r="AN20" s="76">
        <v>0</v>
      </c>
      <c r="AO20" s="76">
        <v>0</v>
      </c>
      <c r="AP20" s="76">
        <v>0</v>
      </c>
      <c r="AQ20" s="76">
        <v>0</v>
      </c>
      <c r="AR20" s="76">
        <v>0</v>
      </c>
      <c r="AS20" s="76">
        <v>0</v>
      </c>
      <c r="AT20" s="76">
        <v>0</v>
      </c>
      <c r="AU20" s="76">
        <v>0</v>
      </c>
      <c r="AV20" s="76">
        <v>0</v>
      </c>
      <c r="AW20" s="76">
        <v>0</v>
      </c>
      <c r="AX20" s="76">
        <v>0</v>
      </c>
      <c r="AY20" s="76">
        <v>0</v>
      </c>
      <c r="AZ20" s="76">
        <v>0</v>
      </c>
      <c r="BA20" s="76">
        <v>0</v>
      </c>
      <c r="BB20" s="76">
        <v>0</v>
      </c>
      <c r="BC20" s="76">
        <v>0</v>
      </c>
      <c r="BD20" s="76">
        <v>0</v>
      </c>
      <c r="BE20" s="76">
        <v>0</v>
      </c>
      <c r="BF20" s="76">
        <v>0</v>
      </c>
      <c r="BG20" s="76">
        <v>0</v>
      </c>
      <c r="BH20" s="76">
        <v>30</v>
      </c>
      <c r="BI20" s="76">
        <v>30</v>
      </c>
      <c r="BJ20" s="76">
        <v>30</v>
      </c>
      <c r="BK20" s="76">
        <v>10</v>
      </c>
      <c r="BL20" s="76">
        <v>40</v>
      </c>
      <c r="BM20" s="76">
        <v>40</v>
      </c>
      <c r="BN20" s="76">
        <v>40</v>
      </c>
      <c r="BO20" s="76">
        <v>40</v>
      </c>
      <c r="BP20" s="76">
        <v>40</v>
      </c>
      <c r="BQ20" s="76">
        <v>100</v>
      </c>
      <c r="BR20" s="76">
        <v>100</v>
      </c>
    </row>
    <row r="21" spans="1:70" x14ac:dyDescent="0.25">
      <c r="A21" s="74">
        <v>32248190</v>
      </c>
      <c r="B21" s="75">
        <v>4172826</v>
      </c>
      <c r="C21" s="76">
        <v>200</v>
      </c>
      <c r="D21" s="76">
        <v>400</v>
      </c>
      <c r="E21" s="76">
        <v>100</v>
      </c>
      <c r="F21" s="76">
        <v>100</v>
      </c>
      <c r="G21" s="76">
        <v>200</v>
      </c>
      <c r="H21" s="76">
        <v>200</v>
      </c>
      <c r="I21" s="76">
        <v>200</v>
      </c>
      <c r="J21" s="76">
        <v>200</v>
      </c>
      <c r="K21" s="120">
        <v>200</v>
      </c>
      <c r="L21" s="76">
        <v>200</v>
      </c>
      <c r="M21" s="158">
        <v>0</v>
      </c>
      <c r="N21" s="76">
        <v>100</v>
      </c>
      <c r="O21" s="76">
        <v>200</v>
      </c>
      <c r="P21" s="76">
        <v>200</v>
      </c>
      <c r="Q21" s="76">
        <v>200</v>
      </c>
      <c r="R21" s="76">
        <v>100</v>
      </c>
      <c r="S21" s="76">
        <v>100</v>
      </c>
      <c r="T21" s="158">
        <v>0</v>
      </c>
      <c r="U21" s="158">
        <v>0</v>
      </c>
      <c r="V21" s="76">
        <v>100</v>
      </c>
      <c r="W21" s="76">
        <v>100</v>
      </c>
      <c r="X21" s="76">
        <v>100</v>
      </c>
      <c r="Y21" s="76">
        <v>0</v>
      </c>
      <c r="Z21" s="76">
        <v>100</v>
      </c>
      <c r="AA21" s="76">
        <v>100</v>
      </c>
      <c r="AB21" s="76">
        <v>100</v>
      </c>
      <c r="AC21" s="76">
        <v>200</v>
      </c>
      <c r="AD21" s="76">
        <v>200</v>
      </c>
      <c r="AE21" s="76">
        <v>200</v>
      </c>
      <c r="AF21" s="76">
        <v>0</v>
      </c>
      <c r="AG21" s="76">
        <v>100</v>
      </c>
      <c r="AH21" s="76">
        <v>0</v>
      </c>
      <c r="AI21" s="76">
        <v>100</v>
      </c>
      <c r="AJ21" s="76">
        <v>200</v>
      </c>
      <c r="AK21" s="76">
        <v>300</v>
      </c>
      <c r="AL21" s="76">
        <v>300</v>
      </c>
      <c r="AM21" s="76">
        <v>200</v>
      </c>
      <c r="AN21" s="76">
        <v>500</v>
      </c>
      <c r="AO21" s="76">
        <v>0</v>
      </c>
      <c r="AP21" s="76">
        <v>200</v>
      </c>
      <c r="AQ21" s="76">
        <v>300</v>
      </c>
      <c r="AR21" s="76">
        <v>200</v>
      </c>
      <c r="AS21" s="76">
        <v>300</v>
      </c>
      <c r="AT21" s="76">
        <v>300</v>
      </c>
      <c r="AU21" s="76">
        <v>200</v>
      </c>
      <c r="AV21" s="76">
        <v>400</v>
      </c>
      <c r="AW21" s="76">
        <v>0</v>
      </c>
      <c r="AX21" s="76">
        <v>0</v>
      </c>
      <c r="AY21" s="76">
        <v>0</v>
      </c>
      <c r="AZ21" s="76">
        <v>0</v>
      </c>
      <c r="BA21" s="76">
        <v>200</v>
      </c>
      <c r="BB21" s="76">
        <v>200</v>
      </c>
      <c r="BC21" s="76">
        <v>200</v>
      </c>
      <c r="BD21" s="76">
        <v>230</v>
      </c>
      <c r="BE21" s="76">
        <v>230</v>
      </c>
      <c r="BF21" s="76">
        <v>230</v>
      </c>
      <c r="BG21" s="76">
        <v>210</v>
      </c>
      <c r="BH21" s="76">
        <v>180</v>
      </c>
      <c r="BI21" s="76">
        <v>180</v>
      </c>
      <c r="BJ21" s="76">
        <v>180</v>
      </c>
      <c r="BK21" s="76">
        <v>160</v>
      </c>
      <c r="BL21" s="76">
        <v>260</v>
      </c>
      <c r="BM21" s="76">
        <v>260</v>
      </c>
      <c r="BN21" s="76">
        <v>260</v>
      </c>
      <c r="BO21" s="76">
        <v>260</v>
      </c>
      <c r="BP21" s="76">
        <v>260</v>
      </c>
      <c r="BQ21" s="76">
        <v>200</v>
      </c>
      <c r="BR21" s="76">
        <v>200</v>
      </c>
    </row>
    <row r="22" spans="1:70" x14ac:dyDescent="0.25">
      <c r="A22" s="74">
        <v>32248191</v>
      </c>
      <c r="B22" s="75">
        <v>4172759</v>
      </c>
      <c r="C22" s="76">
        <v>0</v>
      </c>
      <c r="D22" s="76">
        <v>0</v>
      </c>
      <c r="E22" s="76">
        <v>0</v>
      </c>
      <c r="F22" s="76">
        <v>0</v>
      </c>
      <c r="G22" s="76">
        <v>0</v>
      </c>
      <c r="H22" s="76">
        <v>0</v>
      </c>
      <c r="I22" s="76">
        <v>0</v>
      </c>
      <c r="J22" s="76">
        <v>0</v>
      </c>
      <c r="K22" s="120">
        <v>0</v>
      </c>
      <c r="L22" s="76">
        <v>0</v>
      </c>
      <c r="M22" s="158">
        <v>0</v>
      </c>
      <c r="N22" s="76">
        <v>0</v>
      </c>
      <c r="O22" s="76">
        <v>0</v>
      </c>
      <c r="P22" s="76">
        <v>0</v>
      </c>
      <c r="Q22" s="76">
        <v>0</v>
      </c>
      <c r="R22" s="76">
        <v>0</v>
      </c>
      <c r="S22" s="76">
        <v>0</v>
      </c>
      <c r="T22" s="158">
        <v>0</v>
      </c>
      <c r="U22" s="158">
        <v>0</v>
      </c>
      <c r="V22" s="76">
        <v>0</v>
      </c>
      <c r="W22" s="76">
        <v>0</v>
      </c>
      <c r="X22" s="76">
        <v>0</v>
      </c>
      <c r="Y22" s="76">
        <v>0</v>
      </c>
      <c r="Z22" s="76">
        <v>0</v>
      </c>
      <c r="AA22" s="76">
        <v>0</v>
      </c>
      <c r="AB22" s="76">
        <v>0</v>
      </c>
      <c r="AC22" s="76">
        <v>0</v>
      </c>
      <c r="AD22" s="76">
        <v>0</v>
      </c>
      <c r="AE22" s="76">
        <v>0</v>
      </c>
      <c r="AF22" s="76">
        <v>0</v>
      </c>
      <c r="AG22" s="76">
        <v>0</v>
      </c>
      <c r="AH22" s="76">
        <v>0</v>
      </c>
      <c r="AI22" s="76">
        <v>0</v>
      </c>
      <c r="AJ22" s="76">
        <v>0</v>
      </c>
      <c r="AK22" s="76">
        <v>0</v>
      </c>
      <c r="AL22" s="76">
        <v>0</v>
      </c>
      <c r="AM22" s="76">
        <v>0</v>
      </c>
      <c r="AN22" s="76">
        <v>0</v>
      </c>
      <c r="AO22" s="76">
        <v>0</v>
      </c>
      <c r="AP22" s="76">
        <v>0</v>
      </c>
      <c r="AQ22" s="76">
        <v>0</v>
      </c>
      <c r="AR22" s="76">
        <v>0</v>
      </c>
      <c r="AS22" s="76">
        <v>0</v>
      </c>
      <c r="AT22" s="76">
        <v>0</v>
      </c>
      <c r="AU22" s="76">
        <v>0</v>
      </c>
      <c r="AV22" s="76">
        <v>0</v>
      </c>
      <c r="AW22" s="76">
        <v>0</v>
      </c>
      <c r="AX22" s="76">
        <v>0</v>
      </c>
      <c r="AY22" s="76">
        <v>0</v>
      </c>
      <c r="AZ22" s="76">
        <v>0</v>
      </c>
      <c r="BA22" s="76">
        <v>0</v>
      </c>
      <c r="BB22" s="76">
        <v>0</v>
      </c>
      <c r="BC22" s="76">
        <v>0</v>
      </c>
      <c r="BD22" s="76">
        <v>0</v>
      </c>
      <c r="BE22" s="76">
        <v>0</v>
      </c>
      <c r="BF22" s="76">
        <v>0</v>
      </c>
      <c r="BG22" s="76">
        <v>0</v>
      </c>
      <c r="BH22" s="76">
        <v>0</v>
      </c>
      <c r="BI22" s="76">
        <v>0</v>
      </c>
      <c r="BJ22" s="76">
        <v>0</v>
      </c>
      <c r="BK22" s="76">
        <v>0</v>
      </c>
      <c r="BL22" s="76">
        <v>0</v>
      </c>
      <c r="BM22" s="76">
        <v>0</v>
      </c>
      <c r="BN22" s="76">
        <v>0</v>
      </c>
      <c r="BO22" s="76">
        <v>0</v>
      </c>
      <c r="BP22" s="76">
        <v>0</v>
      </c>
      <c r="BQ22" s="76">
        <v>0</v>
      </c>
      <c r="BR22" s="76">
        <v>0</v>
      </c>
    </row>
    <row r="23" spans="1:70" x14ac:dyDescent="0.25">
      <c r="A23" s="74">
        <v>32248192</v>
      </c>
      <c r="B23" s="75">
        <v>4172770</v>
      </c>
      <c r="C23" s="76">
        <v>1360</v>
      </c>
      <c r="D23" s="76">
        <v>240</v>
      </c>
      <c r="E23" s="76">
        <v>480</v>
      </c>
      <c r="F23" s="76">
        <v>400</v>
      </c>
      <c r="G23" s="76">
        <v>400</v>
      </c>
      <c r="H23" s="76">
        <v>400</v>
      </c>
      <c r="I23" s="76">
        <v>400</v>
      </c>
      <c r="J23" s="76">
        <v>320</v>
      </c>
      <c r="K23" s="120">
        <v>640</v>
      </c>
      <c r="L23" s="76">
        <v>880</v>
      </c>
      <c r="M23" s="158">
        <v>0</v>
      </c>
      <c r="N23" s="76">
        <v>640</v>
      </c>
      <c r="O23" s="76">
        <v>400</v>
      </c>
      <c r="P23" s="76">
        <v>240</v>
      </c>
      <c r="Q23" s="76">
        <v>240</v>
      </c>
      <c r="R23" s="76">
        <v>640</v>
      </c>
      <c r="S23" s="76">
        <v>1040</v>
      </c>
      <c r="T23" s="158">
        <v>0</v>
      </c>
      <c r="U23" s="158">
        <v>0</v>
      </c>
      <c r="V23" s="76">
        <v>960</v>
      </c>
      <c r="W23" s="76">
        <v>800</v>
      </c>
      <c r="X23" s="76">
        <v>960</v>
      </c>
      <c r="Y23" s="76">
        <v>960</v>
      </c>
      <c r="Z23" s="76">
        <v>960</v>
      </c>
      <c r="AA23" s="76">
        <v>800</v>
      </c>
      <c r="AB23" s="76">
        <v>880</v>
      </c>
      <c r="AC23" s="76">
        <v>480</v>
      </c>
      <c r="AD23" s="76">
        <v>400</v>
      </c>
      <c r="AE23" s="76">
        <v>320</v>
      </c>
      <c r="AF23" s="76">
        <v>240</v>
      </c>
      <c r="AG23" s="76">
        <v>1040</v>
      </c>
      <c r="AH23" s="76">
        <v>0</v>
      </c>
      <c r="AI23" s="76">
        <v>400</v>
      </c>
      <c r="AJ23" s="76">
        <v>0</v>
      </c>
      <c r="AK23" s="76">
        <v>0</v>
      </c>
      <c r="AL23" s="76">
        <v>0</v>
      </c>
      <c r="AM23" s="76">
        <v>0</v>
      </c>
      <c r="AN23" s="76">
        <v>0</v>
      </c>
      <c r="AO23" s="76">
        <v>0</v>
      </c>
      <c r="AP23" s="76">
        <v>0</v>
      </c>
      <c r="AQ23" s="76">
        <v>0</v>
      </c>
      <c r="AR23" s="76">
        <v>0</v>
      </c>
      <c r="AS23" s="76">
        <v>0</v>
      </c>
      <c r="AT23" s="76">
        <v>0</v>
      </c>
      <c r="AU23" s="76">
        <v>0</v>
      </c>
      <c r="AV23" s="76">
        <v>0</v>
      </c>
      <c r="AW23" s="76">
        <v>0</v>
      </c>
      <c r="AX23" s="76">
        <v>0</v>
      </c>
      <c r="AY23" s="76">
        <v>0</v>
      </c>
      <c r="AZ23" s="76">
        <v>0</v>
      </c>
      <c r="BA23" s="76">
        <v>0</v>
      </c>
      <c r="BB23" s="76">
        <v>0</v>
      </c>
      <c r="BC23" s="76">
        <v>0</v>
      </c>
      <c r="BD23" s="76">
        <v>0</v>
      </c>
      <c r="BE23" s="76">
        <v>0</v>
      </c>
      <c r="BF23" s="76">
        <v>0</v>
      </c>
      <c r="BG23" s="76">
        <v>0</v>
      </c>
      <c r="BH23" s="76">
        <v>0</v>
      </c>
      <c r="BI23" s="76">
        <v>0</v>
      </c>
      <c r="BJ23" s="76">
        <v>0</v>
      </c>
      <c r="BK23" s="76">
        <v>0</v>
      </c>
      <c r="BL23" s="76">
        <v>0</v>
      </c>
      <c r="BM23" s="76">
        <v>0</v>
      </c>
      <c r="BN23" s="76">
        <v>0</v>
      </c>
      <c r="BO23" s="76">
        <v>0</v>
      </c>
      <c r="BP23" s="76">
        <v>0</v>
      </c>
      <c r="BQ23" s="76">
        <v>0</v>
      </c>
      <c r="BR23" s="76">
        <v>0</v>
      </c>
    </row>
    <row r="24" spans="1:70" x14ac:dyDescent="0.25">
      <c r="A24" s="74">
        <v>32248193</v>
      </c>
      <c r="B24" s="75">
        <v>4172760</v>
      </c>
      <c r="C24" s="76">
        <v>0</v>
      </c>
      <c r="D24" s="76">
        <v>0</v>
      </c>
      <c r="E24" s="76">
        <v>0</v>
      </c>
      <c r="F24" s="76">
        <v>0</v>
      </c>
      <c r="G24" s="76">
        <v>0</v>
      </c>
      <c r="H24" s="76">
        <v>0</v>
      </c>
      <c r="I24" s="76">
        <v>0</v>
      </c>
      <c r="J24" s="76">
        <v>0</v>
      </c>
      <c r="K24" s="120">
        <v>0</v>
      </c>
      <c r="L24" s="76">
        <v>0</v>
      </c>
      <c r="M24" s="158">
        <v>0</v>
      </c>
      <c r="N24" s="76">
        <v>0</v>
      </c>
      <c r="O24" s="76">
        <v>0</v>
      </c>
      <c r="P24" s="76">
        <v>0</v>
      </c>
      <c r="Q24" s="76">
        <v>0</v>
      </c>
      <c r="R24" s="76">
        <v>0</v>
      </c>
      <c r="S24" s="76">
        <v>0</v>
      </c>
      <c r="T24" s="158">
        <v>0</v>
      </c>
      <c r="U24" s="158">
        <v>0</v>
      </c>
      <c r="V24" s="76">
        <v>0</v>
      </c>
      <c r="W24" s="76">
        <v>0</v>
      </c>
      <c r="X24" s="76">
        <v>0</v>
      </c>
      <c r="Y24" s="76">
        <v>0</v>
      </c>
      <c r="Z24" s="76">
        <v>0</v>
      </c>
      <c r="AA24" s="76">
        <v>0</v>
      </c>
      <c r="AB24" s="76">
        <v>0</v>
      </c>
      <c r="AC24" s="76">
        <v>0</v>
      </c>
      <c r="AD24" s="76">
        <v>0</v>
      </c>
      <c r="AE24" s="76">
        <v>0</v>
      </c>
      <c r="AF24" s="76">
        <v>0</v>
      </c>
      <c r="AG24" s="76">
        <v>0</v>
      </c>
      <c r="AH24" s="76">
        <v>0</v>
      </c>
      <c r="AI24" s="76">
        <v>0</v>
      </c>
      <c r="AJ24" s="76">
        <v>0</v>
      </c>
      <c r="AK24" s="76">
        <v>0</v>
      </c>
      <c r="AL24" s="76">
        <v>0</v>
      </c>
      <c r="AM24" s="76">
        <v>0</v>
      </c>
      <c r="AN24" s="76">
        <v>0</v>
      </c>
      <c r="AO24" s="76">
        <v>0</v>
      </c>
      <c r="AP24" s="76">
        <v>0</v>
      </c>
      <c r="AQ24" s="76">
        <v>0</v>
      </c>
      <c r="AR24" s="76">
        <v>0</v>
      </c>
      <c r="AS24" s="76">
        <v>0</v>
      </c>
      <c r="AT24" s="76">
        <v>0</v>
      </c>
      <c r="AU24" s="76">
        <v>0</v>
      </c>
      <c r="AV24" s="76">
        <v>0</v>
      </c>
      <c r="AW24" s="76">
        <v>0</v>
      </c>
      <c r="AX24" s="76">
        <v>0</v>
      </c>
      <c r="AY24" s="76">
        <v>0</v>
      </c>
      <c r="AZ24" s="76">
        <v>0</v>
      </c>
      <c r="BA24" s="76">
        <v>0</v>
      </c>
      <c r="BB24" s="76">
        <v>0</v>
      </c>
      <c r="BC24" s="76">
        <v>0</v>
      </c>
      <c r="BD24" s="76">
        <v>0</v>
      </c>
      <c r="BE24" s="76">
        <v>0</v>
      </c>
      <c r="BF24" s="76">
        <v>0</v>
      </c>
      <c r="BG24" s="76">
        <v>0</v>
      </c>
      <c r="BH24" s="76">
        <v>0</v>
      </c>
      <c r="BI24" s="76">
        <v>0</v>
      </c>
      <c r="BJ24" s="76">
        <v>0</v>
      </c>
      <c r="BK24" s="76">
        <v>0</v>
      </c>
      <c r="BL24" s="76">
        <v>0</v>
      </c>
      <c r="BM24" s="76">
        <v>0</v>
      </c>
      <c r="BN24" s="76">
        <v>0</v>
      </c>
      <c r="BO24" s="76">
        <v>0</v>
      </c>
      <c r="BP24" s="76">
        <v>0</v>
      </c>
      <c r="BQ24" s="76">
        <v>0</v>
      </c>
      <c r="BR24" s="76">
        <v>0</v>
      </c>
    </row>
    <row r="25" spans="1:70" x14ac:dyDescent="0.25">
      <c r="A25" s="74">
        <v>32248194</v>
      </c>
      <c r="B25" s="75">
        <v>4172771</v>
      </c>
      <c r="C25" s="76">
        <v>0</v>
      </c>
      <c r="D25" s="76">
        <v>0</v>
      </c>
      <c r="E25" s="76">
        <v>0</v>
      </c>
      <c r="F25" s="76">
        <v>0</v>
      </c>
      <c r="G25" s="76">
        <v>0</v>
      </c>
      <c r="H25" s="76">
        <v>0</v>
      </c>
      <c r="I25" s="76">
        <v>0</v>
      </c>
      <c r="J25" s="76">
        <v>0</v>
      </c>
      <c r="K25" s="120">
        <v>0</v>
      </c>
      <c r="L25" s="76">
        <v>0</v>
      </c>
      <c r="M25" s="158">
        <v>0</v>
      </c>
      <c r="N25" s="76">
        <v>0</v>
      </c>
      <c r="O25" s="76">
        <v>0</v>
      </c>
      <c r="P25" s="76">
        <v>0</v>
      </c>
      <c r="Q25" s="76">
        <v>0</v>
      </c>
      <c r="R25" s="76">
        <v>0</v>
      </c>
      <c r="S25" s="76">
        <v>0</v>
      </c>
      <c r="T25" s="158">
        <v>0</v>
      </c>
      <c r="U25" s="158">
        <v>0</v>
      </c>
      <c r="V25" s="76">
        <v>0</v>
      </c>
      <c r="W25" s="76">
        <v>0</v>
      </c>
      <c r="X25" s="76">
        <v>0</v>
      </c>
      <c r="Y25" s="76">
        <v>0</v>
      </c>
      <c r="Z25" s="76">
        <v>0</v>
      </c>
      <c r="AA25" s="76">
        <v>0</v>
      </c>
      <c r="AB25" s="76">
        <v>0</v>
      </c>
      <c r="AC25" s="76">
        <v>0</v>
      </c>
      <c r="AD25" s="76">
        <v>0</v>
      </c>
      <c r="AE25" s="76">
        <v>0</v>
      </c>
      <c r="AF25" s="76">
        <v>0</v>
      </c>
      <c r="AG25" s="76">
        <v>0</v>
      </c>
      <c r="AH25" s="76">
        <v>0</v>
      </c>
      <c r="AI25" s="76">
        <v>0</v>
      </c>
      <c r="AJ25" s="76">
        <v>0</v>
      </c>
      <c r="AK25" s="76">
        <v>0</v>
      </c>
      <c r="AL25" s="76">
        <v>0</v>
      </c>
      <c r="AM25" s="76">
        <v>0</v>
      </c>
      <c r="AN25" s="76">
        <v>0</v>
      </c>
      <c r="AO25" s="76">
        <v>0</v>
      </c>
      <c r="AP25" s="76">
        <v>0</v>
      </c>
      <c r="AQ25" s="76">
        <v>0</v>
      </c>
      <c r="AR25" s="76">
        <v>0</v>
      </c>
      <c r="AS25" s="76">
        <v>0</v>
      </c>
      <c r="AT25" s="76">
        <v>0</v>
      </c>
      <c r="AU25" s="76">
        <v>0</v>
      </c>
      <c r="AV25" s="76">
        <v>0</v>
      </c>
      <c r="AW25" s="76">
        <v>0</v>
      </c>
      <c r="AX25" s="76">
        <v>0</v>
      </c>
      <c r="AY25" s="76">
        <v>0</v>
      </c>
      <c r="AZ25" s="76">
        <v>0</v>
      </c>
      <c r="BA25" s="76">
        <v>0</v>
      </c>
      <c r="BB25" s="76">
        <v>0</v>
      </c>
      <c r="BC25" s="76">
        <v>0</v>
      </c>
      <c r="BD25" s="76">
        <v>0</v>
      </c>
      <c r="BE25" s="76">
        <v>0</v>
      </c>
      <c r="BF25" s="76">
        <v>0</v>
      </c>
      <c r="BG25" s="76">
        <v>0</v>
      </c>
      <c r="BH25" s="76">
        <v>0</v>
      </c>
      <c r="BI25" s="76">
        <v>0</v>
      </c>
      <c r="BJ25" s="76">
        <v>0</v>
      </c>
      <c r="BK25" s="76">
        <v>0</v>
      </c>
      <c r="BL25" s="76">
        <v>0</v>
      </c>
      <c r="BM25" s="76">
        <v>0</v>
      </c>
      <c r="BN25" s="76">
        <v>0</v>
      </c>
      <c r="BO25" s="76">
        <v>0</v>
      </c>
      <c r="BP25" s="76">
        <v>0</v>
      </c>
      <c r="BQ25" s="76">
        <v>0</v>
      </c>
      <c r="BR25" s="76">
        <v>0</v>
      </c>
    </row>
    <row r="26" spans="1:70" x14ac:dyDescent="0.25">
      <c r="A26" s="74">
        <v>32248195</v>
      </c>
      <c r="B26" s="75">
        <v>4172763</v>
      </c>
      <c r="C26" s="76">
        <v>0</v>
      </c>
      <c r="D26" s="76">
        <v>0</v>
      </c>
      <c r="E26" s="76">
        <v>0</v>
      </c>
      <c r="F26" s="76">
        <v>0</v>
      </c>
      <c r="G26" s="76">
        <v>0</v>
      </c>
      <c r="H26" s="76">
        <v>0</v>
      </c>
      <c r="I26" s="76">
        <v>0</v>
      </c>
      <c r="J26" s="76">
        <v>0</v>
      </c>
      <c r="K26" s="120">
        <v>0</v>
      </c>
      <c r="L26" s="76">
        <v>0</v>
      </c>
      <c r="M26" s="158">
        <v>0</v>
      </c>
      <c r="N26" s="76">
        <v>0</v>
      </c>
      <c r="O26" s="76">
        <v>0</v>
      </c>
      <c r="P26" s="76">
        <v>0</v>
      </c>
      <c r="Q26" s="76">
        <v>0</v>
      </c>
      <c r="R26" s="76">
        <v>0</v>
      </c>
      <c r="S26" s="76">
        <v>0</v>
      </c>
      <c r="T26" s="158">
        <v>0</v>
      </c>
      <c r="U26" s="158">
        <v>0</v>
      </c>
      <c r="V26" s="76">
        <v>0</v>
      </c>
      <c r="W26" s="76">
        <v>0</v>
      </c>
      <c r="X26" s="76">
        <v>0</v>
      </c>
      <c r="Y26" s="76">
        <v>0</v>
      </c>
      <c r="Z26" s="76">
        <v>0</v>
      </c>
      <c r="AA26" s="76">
        <v>0</v>
      </c>
      <c r="AB26" s="76">
        <v>0</v>
      </c>
      <c r="AC26" s="76">
        <v>0</v>
      </c>
      <c r="AD26" s="76">
        <v>0</v>
      </c>
      <c r="AE26" s="76">
        <v>0</v>
      </c>
      <c r="AF26" s="76">
        <v>0</v>
      </c>
      <c r="AG26" s="76">
        <v>0</v>
      </c>
      <c r="AH26" s="76">
        <v>0</v>
      </c>
      <c r="AI26" s="76">
        <v>0</v>
      </c>
      <c r="AJ26" s="76">
        <v>0</v>
      </c>
      <c r="AK26" s="76">
        <v>0</v>
      </c>
      <c r="AL26" s="76">
        <v>0</v>
      </c>
      <c r="AM26" s="76">
        <v>0</v>
      </c>
      <c r="AN26" s="76">
        <v>0</v>
      </c>
      <c r="AO26" s="76">
        <v>0</v>
      </c>
      <c r="AP26" s="76">
        <v>0</v>
      </c>
      <c r="AQ26" s="76">
        <v>0</v>
      </c>
      <c r="AR26" s="76">
        <v>0</v>
      </c>
      <c r="AS26" s="76">
        <v>0</v>
      </c>
      <c r="AT26" s="76">
        <v>0</v>
      </c>
      <c r="AU26" s="76">
        <v>0</v>
      </c>
      <c r="AV26" s="76">
        <v>0</v>
      </c>
      <c r="AW26" s="76">
        <v>0</v>
      </c>
      <c r="AX26" s="76">
        <v>0</v>
      </c>
      <c r="AY26" s="76">
        <v>0</v>
      </c>
      <c r="AZ26" s="76">
        <v>0</v>
      </c>
      <c r="BA26" s="76">
        <v>0</v>
      </c>
      <c r="BB26" s="76">
        <v>0</v>
      </c>
      <c r="BC26" s="76">
        <v>0</v>
      </c>
      <c r="BD26" s="76">
        <v>0</v>
      </c>
      <c r="BE26" s="76">
        <v>0</v>
      </c>
      <c r="BF26" s="76">
        <v>0</v>
      </c>
      <c r="BG26" s="76">
        <v>0</v>
      </c>
      <c r="BH26" s="76">
        <v>0</v>
      </c>
      <c r="BI26" s="76">
        <v>0</v>
      </c>
      <c r="BJ26" s="76">
        <v>0</v>
      </c>
      <c r="BK26" s="76">
        <v>0</v>
      </c>
      <c r="BL26" s="76">
        <v>0</v>
      </c>
      <c r="BM26" s="76">
        <v>0</v>
      </c>
      <c r="BN26" s="76">
        <v>0</v>
      </c>
      <c r="BO26" s="76">
        <v>0</v>
      </c>
      <c r="BP26" s="76">
        <v>0</v>
      </c>
      <c r="BQ26" s="76">
        <v>0</v>
      </c>
      <c r="BR26" s="76">
        <v>0</v>
      </c>
    </row>
    <row r="27" spans="1:70" x14ac:dyDescent="0.25">
      <c r="A27" s="74">
        <v>32248196</v>
      </c>
      <c r="B27" s="75">
        <v>4172773</v>
      </c>
      <c r="C27" s="76">
        <v>0</v>
      </c>
      <c r="D27" s="76">
        <v>0</v>
      </c>
      <c r="E27" s="76">
        <v>0</v>
      </c>
      <c r="F27" s="76">
        <v>0</v>
      </c>
      <c r="G27" s="76">
        <v>0</v>
      </c>
      <c r="H27" s="76">
        <v>0</v>
      </c>
      <c r="I27" s="76">
        <v>0</v>
      </c>
      <c r="J27" s="76">
        <v>0</v>
      </c>
      <c r="K27" s="120">
        <v>0</v>
      </c>
      <c r="L27" s="76">
        <v>0</v>
      </c>
      <c r="M27" s="158">
        <v>0</v>
      </c>
      <c r="N27" s="76">
        <v>0</v>
      </c>
      <c r="O27" s="76">
        <v>0</v>
      </c>
      <c r="P27" s="76">
        <v>0</v>
      </c>
      <c r="Q27" s="76">
        <v>0</v>
      </c>
      <c r="R27" s="76">
        <v>0</v>
      </c>
      <c r="S27" s="76">
        <v>0</v>
      </c>
      <c r="T27" s="158">
        <v>0</v>
      </c>
      <c r="U27" s="158">
        <v>0</v>
      </c>
      <c r="V27" s="76">
        <v>0</v>
      </c>
      <c r="W27" s="76">
        <v>0</v>
      </c>
      <c r="X27" s="76">
        <v>0</v>
      </c>
      <c r="Y27" s="76">
        <v>0</v>
      </c>
      <c r="Z27" s="76">
        <v>0</v>
      </c>
      <c r="AA27" s="76">
        <v>0</v>
      </c>
      <c r="AB27" s="76">
        <v>0</v>
      </c>
      <c r="AC27" s="76">
        <v>0</v>
      </c>
      <c r="AD27" s="76">
        <v>0</v>
      </c>
      <c r="AE27" s="76">
        <v>0</v>
      </c>
      <c r="AF27" s="76">
        <v>0</v>
      </c>
      <c r="AG27" s="76">
        <v>0</v>
      </c>
      <c r="AH27" s="76">
        <v>0</v>
      </c>
      <c r="AI27" s="76">
        <v>160</v>
      </c>
      <c r="AJ27" s="76">
        <v>880</v>
      </c>
      <c r="AK27" s="76">
        <v>640</v>
      </c>
      <c r="AL27" s="76">
        <v>800</v>
      </c>
      <c r="AM27" s="76">
        <v>400</v>
      </c>
      <c r="AN27" s="76">
        <v>1120</v>
      </c>
      <c r="AO27" s="76">
        <v>0</v>
      </c>
      <c r="AP27" s="76">
        <v>640</v>
      </c>
      <c r="AQ27" s="76">
        <v>640</v>
      </c>
      <c r="AR27" s="76">
        <v>320</v>
      </c>
      <c r="AS27" s="76">
        <v>880</v>
      </c>
      <c r="AT27" s="76">
        <v>960</v>
      </c>
      <c r="AU27" s="76">
        <v>800</v>
      </c>
      <c r="AV27" s="76">
        <v>1120</v>
      </c>
      <c r="AW27" s="76">
        <v>0</v>
      </c>
      <c r="AX27" s="76">
        <v>0</v>
      </c>
      <c r="AY27" s="76">
        <v>0</v>
      </c>
      <c r="AZ27" s="76">
        <v>0</v>
      </c>
      <c r="BA27" s="76">
        <v>560</v>
      </c>
      <c r="BB27" s="76">
        <v>560</v>
      </c>
      <c r="BC27" s="76">
        <v>480</v>
      </c>
      <c r="BD27" s="76">
        <v>580</v>
      </c>
      <c r="BE27" s="76">
        <v>580</v>
      </c>
      <c r="BF27" s="76">
        <v>580</v>
      </c>
      <c r="BG27" s="76">
        <v>580</v>
      </c>
      <c r="BH27" s="76">
        <v>440</v>
      </c>
      <c r="BI27" s="76">
        <v>440</v>
      </c>
      <c r="BJ27" s="76">
        <v>440</v>
      </c>
      <c r="BK27" s="76">
        <v>440</v>
      </c>
      <c r="BL27" s="76">
        <v>630</v>
      </c>
      <c r="BM27" s="76">
        <v>630</v>
      </c>
      <c r="BN27" s="76">
        <v>630</v>
      </c>
      <c r="BO27" s="76">
        <v>630</v>
      </c>
      <c r="BP27" s="76">
        <v>600</v>
      </c>
      <c r="BQ27" s="76">
        <v>920</v>
      </c>
      <c r="BR27" s="76">
        <v>920</v>
      </c>
    </row>
    <row r="28" spans="1:70" x14ac:dyDescent="0.25">
      <c r="A28" s="74">
        <v>32248197</v>
      </c>
      <c r="B28" s="75">
        <v>4172764</v>
      </c>
      <c r="C28" s="76">
        <v>0</v>
      </c>
      <c r="D28" s="76">
        <v>0</v>
      </c>
      <c r="E28" s="76">
        <v>0</v>
      </c>
      <c r="F28" s="76">
        <v>0</v>
      </c>
      <c r="G28" s="76">
        <v>0</v>
      </c>
      <c r="H28" s="76">
        <v>0</v>
      </c>
      <c r="I28" s="76">
        <v>0</v>
      </c>
      <c r="J28" s="76">
        <v>0</v>
      </c>
      <c r="K28" s="120">
        <v>0</v>
      </c>
      <c r="L28" s="76">
        <v>0</v>
      </c>
      <c r="M28" s="158">
        <v>0</v>
      </c>
      <c r="N28" s="76">
        <v>0</v>
      </c>
      <c r="O28" s="76">
        <v>0</v>
      </c>
      <c r="P28" s="76">
        <v>0</v>
      </c>
      <c r="Q28" s="76">
        <v>0</v>
      </c>
      <c r="R28" s="76">
        <v>0</v>
      </c>
      <c r="S28" s="76">
        <v>0</v>
      </c>
      <c r="T28" s="158">
        <v>0</v>
      </c>
      <c r="U28" s="158">
        <v>0</v>
      </c>
      <c r="V28" s="76">
        <v>0</v>
      </c>
      <c r="W28" s="76">
        <v>0</v>
      </c>
      <c r="X28" s="76">
        <v>0</v>
      </c>
      <c r="Y28" s="76">
        <v>0</v>
      </c>
      <c r="Z28" s="76">
        <v>0</v>
      </c>
      <c r="AA28" s="76">
        <v>0</v>
      </c>
      <c r="AB28" s="76">
        <v>0</v>
      </c>
      <c r="AC28" s="76">
        <v>0</v>
      </c>
      <c r="AD28" s="76">
        <v>0</v>
      </c>
      <c r="AE28" s="76">
        <v>0</v>
      </c>
      <c r="AF28" s="76">
        <v>0</v>
      </c>
      <c r="AG28" s="76">
        <v>0</v>
      </c>
      <c r="AH28" s="76">
        <v>0</v>
      </c>
      <c r="AI28" s="76">
        <v>0</v>
      </c>
      <c r="AJ28" s="76">
        <v>0</v>
      </c>
      <c r="AK28" s="76">
        <v>0</v>
      </c>
      <c r="AL28" s="76">
        <v>0</v>
      </c>
      <c r="AM28" s="76">
        <v>0</v>
      </c>
      <c r="AN28" s="76">
        <v>0</v>
      </c>
      <c r="AO28" s="76">
        <v>0</v>
      </c>
      <c r="AP28" s="76">
        <v>0</v>
      </c>
      <c r="AQ28" s="76">
        <v>0</v>
      </c>
      <c r="AR28" s="76">
        <v>0</v>
      </c>
      <c r="AS28" s="76">
        <v>0</v>
      </c>
      <c r="AT28" s="76">
        <v>0</v>
      </c>
      <c r="AU28" s="76">
        <v>0</v>
      </c>
      <c r="AV28" s="76">
        <v>0</v>
      </c>
      <c r="AW28" s="76">
        <v>0</v>
      </c>
      <c r="AX28" s="76">
        <v>0</v>
      </c>
      <c r="AY28" s="76">
        <v>0</v>
      </c>
      <c r="AZ28" s="76">
        <v>0</v>
      </c>
      <c r="BA28" s="76">
        <v>0</v>
      </c>
      <c r="BB28" s="76">
        <v>0</v>
      </c>
      <c r="BC28" s="76">
        <v>0</v>
      </c>
      <c r="BD28" s="76">
        <v>0</v>
      </c>
      <c r="BE28" s="76">
        <v>0</v>
      </c>
      <c r="BF28" s="76">
        <v>0</v>
      </c>
      <c r="BG28" s="76">
        <v>0</v>
      </c>
      <c r="BH28" s="76">
        <v>0</v>
      </c>
      <c r="BI28" s="76">
        <v>0</v>
      </c>
      <c r="BJ28" s="76">
        <v>0</v>
      </c>
      <c r="BK28" s="76">
        <v>0</v>
      </c>
      <c r="BL28" s="76">
        <v>0</v>
      </c>
      <c r="BM28" s="76">
        <v>0</v>
      </c>
      <c r="BN28" s="76">
        <v>0</v>
      </c>
      <c r="BO28" s="76">
        <v>0</v>
      </c>
      <c r="BP28" s="76">
        <v>0</v>
      </c>
      <c r="BQ28" s="76">
        <v>0</v>
      </c>
      <c r="BR28" s="76">
        <v>0</v>
      </c>
    </row>
    <row r="29" spans="1:70" x14ac:dyDescent="0.25">
      <c r="A29" s="74">
        <v>32248198</v>
      </c>
      <c r="B29" s="75">
        <v>4172774</v>
      </c>
      <c r="C29" s="76">
        <v>0</v>
      </c>
      <c r="D29" s="76">
        <v>0</v>
      </c>
      <c r="E29" s="76">
        <v>0</v>
      </c>
      <c r="F29" s="76">
        <v>0</v>
      </c>
      <c r="G29" s="76">
        <v>0</v>
      </c>
      <c r="H29" s="76">
        <v>0</v>
      </c>
      <c r="I29" s="76">
        <v>0</v>
      </c>
      <c r="J29" s="76">
        <v>0</v>
      </c>
      <c r="K29" s="120">
        <v>0</v>
      </c>
      <c r="L29" s="76">
        <v>0</v>
      </c>
      <c r="M29" s="158">
        <v>0</v>
      </c>
      <c r="N29" s="76">
        <v>0</v>
      </c>
      <c r="O29" s="76">
        <v>0</v>
      </c>
      <c r="P29" s="76">
        <v>0</v>
      </c>
      <c r="Q29" s="76">
        <v>0</v>
      </c>
      <c r="R29" s="76">
        <v>0</v>
      </c>
      <c r="S29" s="76">
        <v>0</v>
      </c>
      <c r="T29" s="158">
        <v>0</v>
      </c>
      <c r="U29" s="158">
        <v>0</v>
      </c>
      <c r="V29" s="76">
        <v>0</v>
      </c>
      <c r="W29" s="76">
        <v>0</v>
      </c>
      <c r="X29" s="76">
        <v>0</v>
      </c>
      <c r="Y29" s="76">
        <v>0</v>
      </c>
      <c r="Z29" s="76">
        <v>0</v>
      </c>
      <c r="AA29" s="76">
        <v>0</v>
      </c>
      <c r="AB29" s="76">
        <v>0</v>
      </c>
      <c r="AC29" s="76">
        <v>0</v>
      </c>
      <c r="AD29" s="76">
        <v>0</v>
      </c>
      <c r="AE29" s="76">
        <v>0</v>
      </c>
      <c r="AF29" s="76">
        <v>0</v>
      </c>
      <c r="AG29" s="76">
        <v>0</v>
      </c>
      <c r="AH29" s="76">
        <v>0</v>
      </c>
      <c r="AI29" s="76">
        <v>0</v>
      </c>
      <c r="AJ29" s="76">
        <v>0</v>
      </c>
      <c r="AK29" s="76">
        <v>0</v>
      </c>
      <c r="AL29" s="76">
        <v>0</v>
      </c>
      <c r="AM29" s="76">
        <v>0</v>
      </c>
      <c r="AN29" s="76">
        <v>0</v>
      </c>
      <c r="AO29" s="76">
        <v>0</v>
      </c>
      <c r="AP29" s="76">
        <v>0</v>
      </c>
      <c r="AQ29" s="76">
        <v>0</v>
      </c>
      <c r="AR29" s="76">
        <v>0</v>
      </c>
      <c r="AS29" s="76">
        <v>0</v>
      </c>
      <c r="AT29" s="76">
        <v>0</v>
      </c>
      <c r="AU29" s="76">
        <v>0</v>
      </c>
      <c r="AV29" s="76">
        <v>0</v>
      </c>
      <c r="AW29" s="76">
        <v>0</v>
      </c>
      <c r="AX29" s="76">
        <v>0</v>
      </c>
      <c r="AY29" s="76">
        <v>0</v>
      </c>
      <c r="AZ29" s="76">
        <v>0</v>
      </c>
      <c r="BA29" s="76">
        <v>0</v>
      </c>
      <c r="BB29" s="76">
        <v>0</v>
      </c>
      <c r="BC29" s="76">
        <v>0</v>
      </c>
      <c r="BD29" s="76">
        <v>0</v>
      </c>
      <c r="BE29" s="76">
        <v>0</v>
      </c>
      <c r="BF29" s="76">
        <v>0</v>
      </c>
      <c r="BG29" s="76">
        <v>0</v>
      </c>
      <c r="BH29" s="76">
        <v>0</v>
      </c>
      <c r="BI29" s="76">
        <v>0</v>
      </c>
      <c r="BJ29" s="76">
        <v>0</v>
      </c>
      <c r="BK29" s="76">
        <v>0</v>
      </c>
      <c r="BL29" s="76">
        <v>0</v>
      </c>
      <c r="BM29" s="76">
        <v>0</v>
      </c>
      <c r="BN29" s="76">
        <v>0</v>
      </c>
      <c r="BO29" s="76">
        <v>0</v>
      </c>
      <c r="BP29" s="76">
        <v>0</v>
      </c>
      <c r="BQ29" s="76">
        <v>0</v>
      </c>
      <c r="BR29" s="76">
        <v>0</v>
      </c>
    </row>
    <row r="30" spans="1:70" x14ac:dyDescent="0.25">
      <c r="A30" s="74">
        <v>32248362</v>
      </c>
      <c r="B30" s="75">
        <v>4172750</v>
      </c>
      <c r="C30" s="76">
        <v>0</v>
      </c>
      <c r="D30" s="76">
        <v>320</v>
      </c>
      <c r="E30" s="76">
        <v>160</v>
      </c>
      <c r="F30" s="76">
        <v>320</v>
      </c>
      <c r="G30" s="76">
        <v>160</v>
      </c>
      <c r="H30" s="76">
        <v>160</v>
      </c>
      <c r="I30" s="76">
        <v>320</v>
      </c>
      <c r="J30" s="76">
        <v>160</v>
      </c>
      <c r="K30" s="120">
        <v>160</v>
      </c>
      <c r="L30" s="76">
        <v>480</v>
      </c>
      <c r="M30" s="158">
        <v>0</v>
      </c>
      <c r="N30" s="76">
        <v>160</v>
      </c>
      <c r="O30" s="76">
        <v>160</v>
      </c>
      <c r="P30" s="76">
        <v>160</v>
      </c>
      <c r="Q30" s="76">
        <v>320</v>
      </c>
      <c r="R30" s="76">
        <v>160</v>
      </c>
      <c r="S30" s="76">
        <v>160</v>
      </c>
      <c r="T30" s="158">
        <v>0</v>
      </c>
      <c r="U30" s="158">
        <v>0</v>
      </c>
      <c r="V30" s="76">
        <v>160</v>
      </c>
      <c r="W30" s="76">
        <v>0</v>
      </c>
      <c r="X30" s="76">
        <v>320</v>
      </c>
      <c r="Y30" s="76">
        <v>160</v>
      </c>
      <c r="Z30" s="76">
        <v>160</v>
      </c>
      <c r="AA30" s="76">
        <v>0</v>
      </c>
      <c r="AB30" s="76">
        <v>160</v>
      </c>
      <c r="AC30" s="76">
        <v>320</v>
      </c>
      <c r="AD30" s="76">
        <v>160</v>
      </c>
      <c r="AE30" s="76">
        <v>320</v>
      </c>
      <c r="AF30" s="76">
        <v>0</v>
      </c>
      <c r="AG30" s="76">
        <v>480</v>
      </c>
      <c r="AH30" s="76">
        <v>0</v>
      </c>
      <c r="AI30" s="76">
        <v>160</v>
      </c>
      <c r="AJ30" s="76">
        <v>0</v>
      </c>
      <c r="AK30" s="76">
        <v>160</v>
      </c>
      <c r="AL30" s="76">
        <v>160</v>
      </c>
      <c r="AM30" s="76">
        <v>160</v>
      </c>
      <c r="AN30" s="76">
        <v>320</v>
      </c>
      <c r="AO30" s="76">
        <v>0</v>
      </c>
      <c r="AP30" s="76">
        <v>160</v>
      </c>
      <c r="AQ30" s="76">
        <v>160</v>
      </c>
      <c r="AR30" s="76">
        <v>160</v>
      </c>
      <c r="AS30" s="76">
        <v>160</v>
      </c>
      <c r="AT30" s="76">
        <v>160</v>
      </c>
      <c r="AU30" s="76">
        <v>0</v>
      </c>
      <c r="AV30" s="76">
        <v>160</v>
      </c>
      <c r="AW30" s="76">
        <v>0</v>
      </c>
      <c r="AX30" s="76">
        <v>0</v>
      </c>
      <c r="AY30" s="76">
        <v>0</v>
      </c>
      <c r="AZ30" s="76">
        <v>0</v>
      </c>
      <c r="BA30" s="76">
        <v>160</v>
      </c>
      <c r="BB30" s="76">
        <v>0</v>
      </c>
      <c r="BC30" s="76">
        <v>160</v>
      </c>
      <c r="BD30" s="76">
        <v>80</v>
      </c>
      <c r="BE30" s="76">
        <v>80</v>
      </c>
      <c r="BF30" s="76">
        <v>80</v>
      </c>
      <c r="BG30" s="76">
        <v>80</v>
      </c>
      <c r="BH30" s="76">
        <v>80</v>
      </c>
      <c r="BI30" s="76">
        <v>80</v>
      </c>
      <c r="BJ30" s="76">
        <v>80</v>
      </c>
      <c r="BK30" s="76">
        <v>80</v>
      </c>
      <c r="BL30" s="76">
        <v>130</v>
      </c>
      <c r="BM30" s="76">
        <v>130</v>
      </c>
      <c r="BN30" s="76">
        <v>130</v>
      </c>
      <c r="BO30" s="76">
        <v>130</v>
      </c>
      <c r="BP30" s="76">
        <v>120</v>
      </c>
      <c r="BQ30" s="76">
        <v>160</v>
      </c>
      <c r="BR30" s="76">
        <v>160</v>
      </c>
    </row>
    <row r="31" spans="1:70" x14ac:dyDescent="0.25">
      <c r="A31" s="74">
        <v>32248363</v>
      </c>
      <c r="B31" s="75">
        <v>4172755</v>
      </c>
      <c r="C31" s="76">
        <v>0</v>
      </c>
      <c r="D31" s="76">
        <v>480</v>
      </c>
      <c r="E31" s="76">
        <v>160</v>
      </c>
      <c r="F31" s="76">
        <v>0</v>
      </c>
      <c r="G31" s="76">
        <v>160</v>
      </c>
      <c r="H31" s="76">
        <v>320</v>
      </c>
      <c r="I31" s="76">
        <v>160</v>
      </c>
      <c r="J31" s="76">
        <v>160</v>
      </c>
      <c r="K31" s="120">
        <v>160</v>
      </c>
      <c r="L31" s="76">
        <v>160</v>
      </c>
      <c r="M31" s="158">
        <v>0</v>
      </c>
      <c r="N31" s="76">
        <v>160</v>
      </c>
      <c r="O31" s="76">
        <v>160</v>
      </c>
      <c r="P31" s="76">
        <v>160</v>
      </c>
      <c r="Q31" s="76">
        <v>160</v>
      </c>
      <c r="R31" s="76">
        <v>160</v>
      </c>
      <c r="S31" s="76">
        <v>0</v>
      </c>
      <c r="T31" s="158">
        <v>0</v>
      </c>
      <c r="U31" s="158">
        <v>0</v>
      </c>
      <c r="V31" s="76">
        <v>160</v>
      </c>
      <c r="W31" s="76">
        <v>160</v>
      </c>
      <c r="X31" s="76">
        <v>0</v>
      </c>
      <c r="Y31" s="76">
        <v>0</v>
      </c>
      <c r="Z31" s="76">
        <v>160</v>
      </c>
      <c r="AA31" s="76">
        <v>160</v>
      </c>
      <c r="AB31" s="76">
        <v>0</v>
      </c>
      <c r="AC31" s="76">
        <v>160</v>
      </c>
      <c r="AD31" s="76">
        <v>320</v>
      </c>
      <c r="AE31" s="76">
        <v>160</v>
      </c>
      <c r="AF31" s="76">
        <v>0</v>
      </c>
      <c r="AG31" s="76">
        <v>160</v>
      </c>
      <c r="AH31" s="76">
        <v>0</v>
      </c>
      <c r="AI31" s="76">
        <v>0</v>
      </c>
      <c r="AJ31" s="76">
        <v>160</v>
      </c>
      <c r="AK31" s="76">
        <v>0</v>
      </c>
      <c r="AL31" s="76">
        <v>160</v>
      </c>
      <c r="AM31" s="76">
        <v>0</v>
      </c>
      <c r="AN31" s="76">
        <v>160</v>
      </c>
      <c r="AO31" s="76">
        <v>0</v>
      </c>
      <c r="AP31" s="76">
        <v>0</v>
      </c>
      <c r="AQ31" s="76">
        <v>160</v>
      </c>
      <c r="AR31" s="76">
        <v>160</v>
      </c>
      <c r="AS31" s="76">
        <v>0</v>
      </c>
      <c r="AT31" s="76">
        <v>160</v>
      </c>
      <c r="AU31" s="76">
        <v>0</v>
      </c>
      <c r="AV31" s="76">
        <v>160</v>
      </c>
      <c r="AW31" s="76">
        <v>0</v>
      </c>
      <c r="AX31" s="76">
        <v>0</v>
      </c>
      <c r="AY31" s="76">
        <v>0</v>
      </c>
      <c r="AZ31" s="76">
        <v>0</v>
      </c>
      <c r="BA31" s="76">
        <v>160</v>
      </c>
      <c r="BB31" s="76">
        <v>0</v>
      </c>
      <c r="BC31" s="76">
        <v>160</v>
      </c>
      <c r="BD31" s="76">
        <v>80</v>
      </c>
      <c r="BE31" s="76">
        <v>80</v>
      </c>
      <c r="BF31" s="76">
        <v>80</v>
      </c>
      <c r="BG31" s="76">
        <v>80</v>
      </c>
      <c r="BH31" s="76">
        <v>40</v>
      </c>
      <c r="BI31" s="76">
        <v>40</v>
      </c>
      <c r="BJ31" s="76">
        <v>40</v>
      </c>
      <c r="BK31" s="76">
        <v>40</v>
      </c>
      <c r="BL31" s="76">
        <v>70</v>
      </c>
      <c r="BM31" s="76">
        <v>70</v>
      </c>
      <c r="BN31" s="76">
        <v>70</v>
      </c>
      <c r="BO31" s="76">
        <v>70</v>
      </c>
      <c r="BP31" s="76">
        <v>40</v>
      </c>
      <c r="BQ31" s="76">
        <v>80</v>
      </c>
      <c r="BR31" s="76">
        <v>80</v>
      </c>
    </row>
    <row r="32" spans="1:70" x14ac:dyDescent="0.25">
      <c r="A32" s="74">
        <v>32248364</v>
      </c>
      <c r="B32" s="75">
        <v>4172788</v>
      </c>
      <c r="C32" s="76">
        <v>0</v>
      </c>
      <c r="D32" s="76">
        <v>0</v>
      </c>
      <c r="E32" s="76">
        <v>0</v>
      </c>
      <c r="F32" s="76">
        <v>0</v>
      </c>
      <c r="G32" s="76">
        <v>0</v>
      </c>
      <c r="H32" s="76">
        <v>0</v>
      </c>
      <c r="I32" s="76">
        <v>0</v>
      </c>
      <c r="J32" s="76">
        <v>0</v>
      </c>
      <c r="K32" s="120">
        <v>0</v>
      </c>
      <c r="L32" s="76">
        <v>0</v>
      </c>
      <c r="M32" s="158">
        <v>0</v>
      </c>
      <c r="N32" s="76">
        <v>0</v>
      </c>
      <c r="O32" s="76">
        <v>0</v>
      </c>
      <c r="P32" s="76">
        <v>0</v>
      </c>
      <c r="Q32" s="76">
        <v>0</v>
      </c>
      <c r="R32" s="76">
        <v>0</v>
      </c>
      <c r="S32" s="76">
        <v>0</v>
      </c>
      <c r="T32" s="158">
        <v>0</v>
      </c>
      <c r="U32" s="158">
        <v>0</v>
      </c>
      <c r="V32" s="76">
        <v>0</v>
      </c>
      <c r="W32" s="76">
        <v>0</v>
      </c>
      <c r="X32" s="76">
        <v>0</v>
      </c>
      <c r="Y32" s="76">
        <v>0</v>
      </c>
      <c r="Z32" s="76">
        <v>0</v>
      </c>
      <c r="AA32" s="76">
        <v>0</v>
      </c>
      <c r="AB32" s="76">
        <v>0</v>
      </c>
      <c r="AC32" s="76">
        <v>0</v>
      </c>
      <c r="AD32" s="76">
        <v>0</v>
      </c>
      <c r="AE32" s="76">
        <v>0</v>
      </c>
      <c r="AF32" s="76">
        <v>0</v>
      </c>
      <c r="AG32" s="76">
        <v>0</v>
      </c>
      <c r="AH32" s="76">
        <v>0</v>
      </c>
      <c r="AI32" s="76">
        <v>0</v>
      </c>
      <c r="AJ32" s="76">
        <v>0</v>
      </c>
      <c r="AK32" s="76">
        <v>0</v>
      </c>
      <c r="AL32" s="76">
        <v>0</v>
      </c>
      <c r="AM32" s="76">
        <v>0</v>
      </c>
      <c r="AN32" s="76">
        <v>0</v>
      </c>
      <c r="AO32" s="76">
        <v>0</v>
      </c>
      <c r="AP32" s="76">
        <v>0</v>
      </c>
      <c r="AQ32" s="76">
        <v>0</v>
      </c>
      <c r="AR32" s="76">
        <v>0</v>
      </c>
      <c r="AS32" s="76">
        <v>0</v>
      </c>
      <c r="AT32" s="76">
        <v>0</v>
      </c>
      <c r="AU32" s="76">
        <v>0</v>
      </c>
      <c r="AV32" s="76">
        <v>0</v>
      </c>
      <c r="AW32" s="76">
        <v>0</v>
      </c>
      <c r="AX32" s="76">
        <v>0</v>
      </c>
      <c r="AY32" s="76">
        <v>0</v>
      </c>
      <c r="AZ32" s="76">
        <v>0</v>
      </c>
      <c r="BA32" s="76">
        <v>0</v>
      </c>
      <c r="BB32" s="76">
        <v>0</v>
      </c>
      <c r="BC32" s="76">
        <v>0</v>
      </c>
      <c r="BD32" s="76">
        <v>0</v>
      </c>
      <c r="BE32" s="76">
        <v>0</v>
      </c>
      <c r="BF32" s="76">
        <v>0</v>
      </c>
      <c r="BG32" s="76">
        <v>0</v>
      </c>
      <c r="BH32" s="76">
        <v>0</v>
      </c>
      <c r="BI32" s="76">
        <v>0</v>
      </c>
      <c r="BJ32" s="76">
        <v>0</v>
      </c>
      <c r="BK32" s="76">
        <v>0</v>
      </c>
      <c r="BL32" s="76">
        <v>0</v>
      </c>
      <c r="BM32" s="76">
        <v>0</v>
      </c>
      <c r="BN32" s="76">
        <v>0</v>
      </c>
      <c r="BO32" s="76">
        <v>0</v>
      </c>
      <c r="BP32" s="76">
        <v>0</v>
      </c>
      <c r="BQ32" s="76">
        <v>0</v>
      </c>
      <c r="BR32" s="76">
        <v>0</v>
      </c>
    </row>
    <row r="33" spans="1:70" x14ac:dyDescent="0.25">
      <c r="A33" s="74">
        <v>32248365</v>
      </c>
      <c r="B33" s="75">
        <v>4172790</v>
      </c>
      <c r="C33" s="76">
        <v>0</v>
      </c>
      <c r="D33" s="76">
        <v>0</v>
      </c>
      <c r="E33" s="76">
        <v>0</v>
      </c>
      <c r="F33" s="76">
        <v>0</v>
      </c>
      <c r="G33" s="76">
        <v>0</v>
      </c>
      <c r="H33" s="76">
        <v>0</v>
      </c>
      <c r="I33" s="76">
        <v>0</v>
      </c>
      <c r="J33" s="76">
        <v>0</v>
      </c>
      <c r="K33" s="120">
        <v>0</v>
      </c>
      <c r="L33" s="76">
        <v>0</v>
      </c>
      <c r="M33" s="158">
        <v>0</v>
      </c>
      <c r="N33" s="76">
        <v>0</v>
      </c>
      <c r="O33" s="76">
        <v>0</v>
      </c>
      <c r="P33" s="76">
        <v>0</v>
      </c>
      <c r="Q33" s="76">
        <v>0</v>
      </c>
      <c r="R33" s="76">
        <v>0</v>
      </c>
      <c r="S33" s="76">
        <v>0</v>
      </c>
      <c r="T33" s="158">
        <v>0</v>
      </c>
      <c r="U33" s="158">
        <v>0</v>
      </c>
      <c r="V33" s="76">
        <v>0</v>
      </c>
      <c r="W33" s="76">
        <v>0</v>
      </c>
      <c r="X33" s="76">
        <v>0</v>
      </c>
      <c r="Y33" s="76">
        <v>0</v>
      </c>
      <c r="Z33" s="76">
        <v>0</v>
      </c>
      <c r="AA33" s="76">
        <v>0</v>
      </c>
      <c r="AB33" s="76">
        <v>0</v>
      </c>
      <c r="AC33" s="76">
        <v>0</v>
      </c>
      <c r="AD33" s="76">
        <v>0</v>
      </c>
      <c r="AE33" s="76">
        <v>0</v>
      </c>
      <c r="AF33" s="76">
        <v>0</v>
      </c>
      <c r="AG33" s="76">
        <v>0</v>
      </c>
      <c r="AH33" s="76">
        <v>0</v>
      </c>
      <c r="AI33" s="76">
        <v>0</v>
      </c>
      <c r="AJ33" s="76">
        <v>0</v>
      </c>
      <c r="AK33" s="76">
        <v>0</v>
      </c>
      <c r="AL33" s="76">
        <v>0</v>
      </c>
      <c r="AM33" s="76">
        <v>0</v>
      </c>
      <c r="AN33" s="76">
        <v>0</v>
      </c>
      <c r="AO33" s="76">
        <v>0</v>
      </c>
      <c r="AP33" s="76">
        <v>0</v>
      </c>
      <c r="AQ33" s="76">
        <v>0</v>
      </c>
      <c r="AR33" s="76">
        <v>0</v>
      </c>
      <c r="AS33" s="76">
        <v>0</v>
      </c>
      <c r="AT33" s="76">
        <v>0</v>
      </c>
      <c r="AU33" s="76">
        <v>0</v>
      </c>
      <c r="AV33" s="76">
        <v>0</v>
      </c>
      <c r="AW33" s="76">
        <v>0</v>
      </c>
      <c r="AX33" s="76">
        <v>0</v>
      </c>
      <c r="AY33" s="76">
        <v>0</v>
      </c>
      <c r="AZ33" s="76">
        <v>0</v>
      </c>
      <c r="BA33" s="76">
        <v>0</v>
      </c>
      <c r="BB33" s="76">
        <v>0</v>
      </c>
      <c r="BC33" s="76">
        <v>0</v>
      </c>
      <c r="BD33" s="76">
        <v>0</v>
      </c>
      <c r="BE33" s="76">
        <v>0</v>
      </c>
      <c r="BF33" s="76">
        <v>0</v>
      </c>
      <c r="BG33" s="76">
        <v>0</v>
      </c>
      <c r="BH33" s="76">
        <v>40</v>
      </c>
      <c r="BI33" s="76">
        <v>40</v>
      </c>
      <c r="BJ33" s="76">
        <v>40</v>
      </c>
      <c r="BK33" s="76">
        <v>40</v>
      </c>
      <c r="BL33" s="76">
        <v>0</v>
      </c>
      <c r="BM33" s="76">
        <v>0</v>
      </c>
      <c r="BN33" s="76">
        <v>0</v>
      </c>
      <c r="BO33" s="76">
        <v>0</v>
      </c>
      <c r="BP33" s="76">
        <v>0</v>
      </c>
      <c r="BQ33" s="76">
        <v>0</v>
      </c>
      <c r="BR33" s="76">
        <v>0</v>
      </c>
    </row>
    <row r="34" spans="1:70" x14ac:dyDescent="0.25">
      <c r="A34" s="74">
        <v>32272084</v>
      </c>
      <c r="B34" s="75">
        <v>4264989</v>
      </c>
      <c r="C34" s="76">
        <v>0</v>
      </c>
      <c r="D34" s="76">
        <v>80</v>
      </c>
      <c r="E34" s="76">
        <v>160</v>
      </c>
      <c r="F34" s="76">
        <v>0</v>
      </c>
      <c r="G34" s="76">
        <v>80</v>
      </c>
      <c r="H34" s="76">
        <v>160</v>
      </c>
      <c r="I34" s="76">
        <v>80</v>
      </c>
      <c r="J34" s="76">
        <v>0</v>
      </c>
      <c r="K34" s="120">
        <v>80</v>
      </c>
      <c r="L34" s="76">
        <v>160</v>
      </c>
      <c r="M34" s="158">
        <v>0</v>
      </c>
      <c r="N34" s="76">
        <v>80</v>
      </c>
      <c r="O34" s="76">
        <v>80</v>
      </c>
      <c r="P34" s="76">
        <v>80</v>
      </c>
      <c r="Q34" s="76">
        <v>160</v>
      </c>
      <c r="R34" s="76">
        <v>80</v>
      </c>
      <c r="S34" s="76">
        <v>80</v>
      </c>
      <c r="T34" s="158">
        <v>0</v>
      </c>
      <c r="U34" s="158">
        <v>0</v>
      </c>
      <c r="V34" s="76">
        <v>80</v>
      </c>
      <c r="W34" s="76">
        <v>80</v>
      </c>
      <c r="X34" s="76">
        <v>0</v>
      </c>
      <c r="Y34" s="76">
        <v>0</v>
      </c>
      <c r="Z34" s="76">
        <v>160</v>
      </c>
      <c r="AA34" s="76">
        <v>0</v>
      </c>
      <c r="AB34" s="76">
        <v>80</v>
      </c>
      <c r="AC34" s="76">
        <v>80</v>
      </c>
      <c r="AD34" s="76">
        <v>80</v>
      </c>
      <c r="AE34" s="76">
        <v>80</v>
      </c>
      <c r="AF34" s="76">
        <v>80</v>
      </c>
      <c r="AG34" s="76">
        <v>160</v>
      </c>
      <c r="AH34" s="76">
        <v>0</v>
      </c>
      <c r="AI34" s="76">
        <v>80</v>
      </c>
      <c r="AJ34" s="76">
        <v>0</v>
      </c>
      <c r="AK34" s="76">
        <v>0</v>
      </c>
      <c r="AL34" s="76">
        <v>80</v>
      </c>
      <c r="AM34" s="76">
        <v>80</v>
      </c>
      <c r="AN34" s="76">
        <v>160</v>
      </c>
      <c r="AO34" s="76">
        <v>0</v>
      </c>
      <c r="AP34" s="76">
        <v>80</v>
      </c>
      <c r="AQ34" s="76">
        <v>160</v>
      </c>
      <c r="AR34" s="76">
        <v>80</v>
      </c>
      <c r="AS34" s="76">
        <v>160</v>
      </c>
      <c r="AT34" s="76">
        <v>80</v>
      </c>
      <c r="AU34" s="76">
        <v>160</v>
      </c>
      <c r="AV34" s="76">
        <v>240</v>
      </c>
      <c r="AW34" s="76">
        <v>0</v>
      </c>
      <c r="AX34" s="76">
        <v>0</v>
      </c>
      <c r="AY34" s="76">
        <v>0</v>
      </c>
      <c r="AZ34" s="76">
        <v>0</v>
      </c>
      <c r="BA34" s="76">
        <v>80</v>
      </c>
      <c r="BB34" s="76">
        <v>160</v>
      </c>
      <c r="BC34" s="76">
        <v>80</v>
      </c>
      <c r="BD34" s="76">
        <v>100</v>
      </c>
      <c r="BE34" s="76">
        <v>100</v>
      </c>
      <c r="BF34" s="76">
        <v>100</v>
      </c>
      <c r="BG34" s="76">
        <v>100</v>
      </c>
      <c r="BH34" s="76">
        <v>80</v>
      </c>
      <c r="BI34" s="76">
        <v>80</v>
      </c>
      <c r="BJ34" s="76">
        <v>80</v>
      </c>
      <c r="BK34" s="76">
        <v>80</v>
      </c>
      <c r="BL34" s="76">
        <v>0</v>
      </c>
      <c r="BM34" s="76">
        <v>0</v>
      </c>
      <c r="BN34" s="76">
        <v>0</v>
      </c>
      <c r="BO34" s="76">
        <v>0</v>
      </c>
      <c r="BP34" s="76">
        <v>0</v>
      </c>
      <c r="BQ34" s="76">
        <v>0</v>
      </c>
      <c r="BR34" s="76">
        <v>0</v>
      </c>
    </row>
    <row r="35" spans="1:70" x14ac:dyDescent="0.25">
      <c r="A35" s="74">
        <v>32272085</v>
      </c>
      <c r="B35" s="75">
        <v>4264992</v>
      </c>
      <c r="C35" s="76">
        <v>0</v>
      </c>
      <c r="D35" s="76">
        <v>0</v>
      </c>
      <c r="E35" s="76">
        <v>0</v>
      </c>
      <c r="F35" s="76">
        <v>0</v>
      </c>
      <c r="G35" s="76">
        <v>0</v>
      </c>
      <c r="H35" s="76">
        <v>0</v>
      </c>
      <c r="I35" s="76">
        <v>0</v>
      </c>
      <c r="J35" s="76">
        <v>0</v>
      </c>
      <c r="K35" s="120">
        <v>0</v>
      </c>
      <c r="L35" s="76">
        <v>0</v>
      </c>
      <c r="M35" s="158">
        <v>0</v>
      </c>
      <c r="N35" s="76">
        <v>0</v>
      </c>
      <c r="O35" s="76">
        <v>0</v>
      </c>
      <c r="P35" s="76">
        <v>0</v>
      </c>
      <c r="Q35" s="76">
        <v>0</v>
      </c>
      <c r="R35" s="76">
        <v>0</v>
      </c>
      <c r="S35" s="76">
        <v>0</v>
      </c>
      <c r="T35" s="158">
        <v>0</v>
      </c>
      <c r="U35" s="158">
        <v>0</v>
      </c>
      <c r="V35" s="76">
        <v>0</v>
      </c>
      <c r="W35" s="76">
        <v>0</v>
      </c>
      <c r="X35" s="76">
        <v>0</v>
      </c>
      <c r="Y35" s="76">
        <v>0</v>
      </c>
      <c r="Z35" s="76">
        <v>0</v>
      </c>
      <c r="AA35" s="76">
        <v>0</v>
      </c>
      <c r="AB35" s="76">
        <v>0</v>
      </c>
      <c r="AC35" s="76">
        <v>0</v>
      </c>
      <c r="AD35" s="76">
        <v>0</v>
      </c>
      <c r="AE35" s="76">
        <v>0</v>
      </c>
      <c r="AF35" s="76">
        <v>0</v>
      </c>
      <c r="AG35" s="76">
        <v>0</v>
      </c>
      <c r="AH35" s="76">
        <v>0</v>
      </c>
      <c r="AI35" s="76">
        <v>0</v>
      </c>
      <c r="AJ35" s="76">
        <v>0</v>
      </c>
      <c r="AK35" s="76">
        <v>0</v>
      </c>
      <c r="AL35" s="76">
        <v>0</v>
      </c>
      <c r="AM35" s="76">
        <v>0</v>
      </c>
      <c r="AN35" s="76">
        <v>0</v>
      </c>
      <c r="AO35" s="76">
        <v>0</v>
      </c>
      <c r="AP35" s="76">
        <v>0</v>
      </c>
      <c r="AQ35" s="76">
        <v>0</v>
      </c>
      <c r="AR35" s="76">
        <v>0</v>
      </c>
      <c r="AS35" s="76">
        <v>0</v>
      </c>
      <c r="AT35" s="76">
        <v>0</v>
      </c>
      <c r="AU35" s="76">
        <v>0</v>
      </c>
      <c r="AV35" s="76">
        <v>0</v>
      </c>
      <c r="AW35" s="76">
        <v>0</v>
      </c>
      <c r="AX35" s="76">
        <v>0</v>
      </c>
      <c r="AY35" s="76">
        <v>0</v>
      </c>
      <c r="AZ35" s="76">
        <v>0</v>
      </c>
      <c r="BA35" s="76">
        <v>0</v>
      </c>
      <c r="BB35" s="76">
        <v>0</v>
      </c>
      <c r="BC35" s="76">
        <v>0</v>
      </c>
      <c r="BD35" s="76">
        <v>0</v>
      </c>
      <c r="BE35" s="76">
        <v>0</v>
      </c>
      <c r="BF35" s="76">
        <v>0</v>
      </c>
      <c r="BG35" s="76">
        <v>0</v>
      </c>
      <c r="BH35" s="76">
        <v>0</v>
      </c>
      <c r="BI35" s="76">
        <v>0</v>
      </c>
      <c r="BJ35" s="76">
        <v>0</v>
      </c>
      <c r="BK35" s="76">
        <v>0</v>
      </c>
      <c r="BL35" s="76">
        <v>0</v>
      </c>
      <c r="BM35" s="76">
        <v>0</v>
      </c>
      <c r="BN35" s="76">
        <v>0</v>
      </c>
      <c r="BO35" s="76">
        <v>0</v>
      </c>
      <c r="BP35" s="76">
        <v>0</v>
      </c>
      <c r="BQ35" s="76">
        <v>0</v>
      </c>
      <c r="BR35" s="76">
        <v>0</v>
      </c>
    </row>
    <row r="36" spans="1:70" x14ac:dyDescent="0.25">
      <c r="A36" s="74">
        <v>32272086</v>
      </c>
      <c r="B36" s="75">
        <v>4264994</v>
      </c>
      <c r="C36" s="76">
        <v>0</v>
      </c>
      <c r="D36" s="76">
        <v>0</v>
      </c>
      <c r="E36" s="76">
        <v>0</v>
      </c>
      <c r="F36" s="76">
        <v>0</v>
      </c>
      <c r="G36" s="76">
        <v>0</v>
      </c>
      <c r="H36" s="76">
        <v>0</v>
      </c>
      <c r="I36" s="76">
        <v>0</v>
      </c>
      <c r="J36" s="76">
        <v>0</v>
      </c>
      <c r="K36" s="120">
        <v>0</v>
      </c>
      <c r="L36" s="76">
        <v>0</v>
      </c>
      <c r="M36" s="158">
        <v>0</v>
      </c>
      <c r="N36" s="76">
        <v>0</v>
      </c>
      <c r="O36" s="76">
        <v>0</v>
      </c>
      <c r="P36" s="76">
        <v>0</v>
      </c>
      <c r="Q36" s="76">
        <v>0</v>
      </c>
      <c r="R36" s="76">
        <v>0</v>
      </c>
      <c r="S36" s="76">
        <v>0</v>
      </c>
      <c r="T36" s="158">
        <v>0</v>
      </c>
      <c r="U36" s="158">
        <v>0</v>
      </c>
      <c r="V36" s="76">
        <v>0</v>
      </c>
      <c r="W36" s="76">
        <v>0</v>
      </c>
      <c r="X36" s="76">
        <v>0</v>
      </c>
      <c r="Y36" s="76">
        <v>0</v>
      </c>
      <c r="Z36" s="76">
        <v>0</v>
      </c>
      <c r="AA36" s="76">
        <v>0</v>
      </c>
      <c r="AB36" s="76">
        <v>0</v>
      </c>
      <c r="AC36" s="76">
        <v>0</v>
      </c>
      <c r="AD36" s="76">
        <v>0</v>
      </c>
      <c r="AE36" s="76">
        <v>0</v>
      </c>
      <c r="AF36" s="76">
        <v>0</v>
      </c>
      <c r="AG36" s="76">
        <v>0</v>
      </c>
      <c r="AH36" s="76">
        <v>0</v>
      </c>
      <c r="AI36" s="76">
        <v>0</v>
      </c>
      <c r="AJ36" s="76">
        <v>0</v>
      </c>
      <c r="AK36" s="76">
        <v>0</v>
      </c>
      <c r="AL36" s="76">
        <v>0</v>
      </c>
      <c r="AM36" s="76">
        <v>80</v>
      </c>
      <c r="AN36" s="76">
        <v>0</v>
      </c>
      <c r="AO36" s="76">
        <v>0</v>
      </c>
      <c r="AP36" s="76">
        <v>0</v>
      </c>
      <c r="AQ36" s="76">
        <v>0</v>
      </c>
      <c r="AR36" s="76">
        <v>0</v>
      </c>
      <c r="AS36" s="76">
        <v>0</v>
      </c>
      <c r="AT36" s="76">
        <v>0</v>
      </c>
      <c r="AU36" s="76">
        <v>0</v>
      </c>
      <c r="AV36" s="76">
        <v>0</v>
      </c>
      <c r="AW36" s="76">
        <v>0</v>
      </c>
      <c r="AX36" s="76">
        <v>0</v>
      </c>
      <c r="AY36" s="76">
        <v>0</v>
      </c>
      <c r="AZ36" s="76">
        <v>0</v>
      </c>
      <c r="BA36" s="76">
        <v>0</v>
      </c>
      <c r="BB36" s="76">
        <v>0</v>
      </c>
      <c r="BC36" s="76">
        <v>0</v>
      </c>
      <c r="BD36" s="76">
        <v>0</v>
      </c>
      <c r="BE36" s="76">
        <v>0</v>
      </c>
      <c r="BF36" s="76">
        <v>0</v>
      </c>
      <c r="BG36" s="76">
        <v>0</v>
      </c>
      <c r="BH36" s="76">
        <v>0</v>
      </c>
      <c r="BI36" s="76">
        <v>0</v>
      </c>
      <c r="BJ36" s="76">
        <v>0</v>
      </c>
      <c r="BK36" s="76">
        <v>0</v>
      </c>
      <c r="BL36" s="76">
        <v>50</v>
      </c>
      <c r="BM36" s="76">
        <v>50</v>
      </c>
      <c r="BN36" s="76">
        <v>50</v>
      </c>
      <c r="BO36" s="76">
        <v>50</v>
      </c>
      <c r="BP36" s="76">
        <v>40</v>
      </c>
      <c r="BQ36" s="76">
        <v>40</v>
      </c>
      <c r="BR36" s="76">
        <v>40</v>
      </c>
    </row>
    <row r="37" spans="1:70" x14ac:dyDescent="0.25">
      <c r="A37" s="74">
        <v>32272087</v>
      </c>
      <c r="B37" s="75">
        <v>4264995</v>
      </c>
      <c r="C37" s="76">
        <v>0</v>
      </c>
      <c r="D37" s="76">
        <v>0</v>
      </c>
      <c r="E37" s="76">
        <v>0</v>
      </c>
      <c r="F37" s="76">
        <v>0</v>
      </c>
      <c r="G37" s="76">
        <v>0</v>
      </c>
      <c r="H37" s="76">
        <v>0</v>
      </c>
      <c r="I37" s="76">
        <v>0</v>
      </c>
      <c r="J37" s="76">
        <v>0</v>
      </c>
      <c r="K37" s="120">
        <v>0</v>
      </c>
      <c r="L37" s="76">
        <v>0</v>
      </c>
      <c r="M37" s="158">
        <v>0</v>
      </c>
      <c r="N37" s="76">
        <v>0</v>
      </c>
      <c r="O37" s="76">
        <v>0</v>
      </c>
      <c r="P37" s="76">
        <v>0</v>
      </c>
      <c r="Q37" s="76">
        <v>0</v>
      </c>
      <c r="R37" s="76">
        <v>0</v>
      </c>
      <c r="S37" s="76">
        <v>0</v>
      </c>
      <c r="T37" s="158">
        <v>0</v>
      </c>
      <c r="U37" s="158">
        <v>0</v>
      </c>
      <c r="V37" s="76">
        <v>0</v>
      </c>
      <c r="W37" s="76">
        <v>0</v>
      </c>
      <c r="X37" s="76">
        <v>0</v>
      </c>
      <c r="Y37" s="76">
        <v>0</v>
      </c>
      <c r="Z37" s="76">
        <v>0</v>
      </c>
      <c r="AA37" s="76">
        <v>0</v>
      </c>
      <c r="AB37" s="76">
        <v>0</v>
      </c>
      <c r="AC37" s="76">
        <v>0</v>
      </c>
      <c r="AD37" s="76">
        <v>0</v>
      </c>
      <c r="AE37" s="76">
        <v>0</v>
      </c>
      <c r="AF37" s="76">
        <v>0</v>
      </c>
      <c r="AG37" s="76">
        <v>0</v>
      </c>
      <c r="AH37" s="76">
        <v>0</v>
      </c>
      <c r="AI37" s="76">
        <v>0</v>
      </c>
      <c r="AJ37" s="76">
        <v>0</v>
      </c>
      <c r="AK37" s="76">
        <v>0</v>
      </c>
      <c r="AL37" s="76">
        <v>0</v>
      </c>
      <c r="AM37" s="76">
        <v>0</v>
      </c>
      <c r="AN37" s="76">
        <v>0</v>
      </c>
      <c r="AO37" s="76">
        <v>0</v>
      </c>
      <c r="AP37" s="76">
        <v>0</v>
      </c>
      <c r="AQ37" s="76">
        <v>0</v>
      </c>
      <c r="AR37" s="76">
        <v>0</v>
      </c>
      <c r="AS37" s="76">
        <v>0</v>
      </c>
      <c r="AT37" s="76">
        <v>0</v>
      </c>
      <c r="AU37" s="76">
        <v>0</v>
      </c>
      <c r="AV37" s="76">
        <v>0</v>
      </c>
      <c r="AW37" s="76">
        <v>0</v>
      </c>
      <c r="AX37" s="76">
        <v>0</v>
      </c>
      <c r="AY37" s="76">
        <v>0</v>
      </c>
      <c r="AZ37" s="76">
        <v>0</v>
      </c>
      <c r="BA37" s="76">
        <v>0</v>
      </c>
      <c r="BB37" s="76">
        <v>0</v>
      </c>
      <c r="BC37" s="76">
        <v>0</v>
      </c>
      <c r="BD37" s="76">
        <v>0</v>
      </c>
      <c r="BE37" s="76">
        <v>0</v>
      </c>
      <c r="BF37" s="76">
        <v>0</v>
      </c>
      <c r="BG37" s="76">
        <v>0</v>
      </c>
      <c r="BH37" s="76">
        <v>0</v>
      </c>
      <c r="BI37" s="76">
        <v>0</v>
      </c>
      <c r="BJ37" s="76">
        <v>0</v>
      </c>
      <c r="BK37" s="76">
        <v>0</v>
      </c>
      <c r="BL37" s="76">
        <v>0</v>
      </c>
      <c r="BM37" s="76">
        <v>0</v>
      </c>
      <c r="BN37" s="76">
        <v>0</v>
      </c>
      <c r="BO37" s="76">
        <v>0</v>
      </c>
      <c r="BP37" s="76">
        <v>0</v>
      </c>
      <c r="BQ37" s="76">
        <v>0</v>
      </c>
      <c r="BR37" s="76">
        <v>0</v>
      </c>
    </row>
    <row r="38" spans="1:70" x14ac:dyDescent="0.25">
      <c r="A38" s="74">
        <v>32272490</v>
      </c>
      <c r="B38" s="75">
        <v>4429358</v>
      </c>
      <c r="C38" s="76">
        <v>4800</v>
      </c>
      <c r="D38" s="76">
        <v>1920</v>
      </c>
      <c r="E38" s="76">
        <v>3840</v>
      </c>
      <c r="F38" s="76">
        <v>3840</v>
      </c>
      <c r="G38" s="76">
        <v>2880</v>
      </c>
      <c r="H38" s="76">
        <v>3840</v>
      </c>
      <c r="I38" s="76">
        <v>2880</v>
      </c>
      <c r="J38" s="76">
        <v>2880</v>
      </c>
      <c r="K38" s="120">
        <v>3840</v>
      </c>
      <c r="L38" s="76">
        <v>6240</v>
      </c>
      <c r="M38" s="158">
        <v>0</v>
      </c>
      <c r="N38" s="76">
        <v>3840</v>
      </c>
      <c r="O38" s="76">
        <v>3840</v>
      </c>
      <c r="P38" s="76">
        <v>2880</v>
      </c>
      <c r="Q38" s="76">
        <v>3840</v>
      </c>
      <c r="R38" s="76">
        <v>4800</v>
      </c>
      <c r="S38" s="76">
        <v>4800</v>
      </c>
      <c r="T38" s="158">
        <v>0</v>
      </c>
      <c r="U38" s="158">
        <v>0</v>
      </c>
      <c r="V38" s="76">
        <v>4800</v>
      </c>
      <c r="W38" s="76">
        <v>4320</v>
      </c>
      <c r="X38" s="76">
        <v>6720</v>
      </c>
      <c r="Y38" s="76">
        <v>4800</v>
      </c>
      <c r="Z38" s="76">
        <v>4800</v>
      </c>
      <c r="AA38" s="76">
        <v>4800</v>
      </c>
      <c r="AB38" s="76">
        <v>4800</v>
      </c>
      <c r="AC38" s="76">
        <v>4800</v>
      </c>
      <c r="AD38" s="76">
        <v>3840</v>
      </c>
      <c r="AE38" s="76">
        <v>3840</v>
      </c>
      <c r="AF38" s="76">
        <v>2880</v>
      </c>
      <c r="AG38" s="76">
        <v>7680</v>
      </c>
      <c r="AH38" s="76">
        <v>0</v>
      </c>
      <c r="AI38" s="76">
        <v>3840</v>
      </c>
      <c r="AJ38" s="76">
        <v>4800</v>
      </c>
      <c r="AK38" s="76">
        <v>2880</v>
      </c>
      <c r="AL38" s="76">
        <v>3840</v>
      </c>
      <c r="AM38" s="76">
        <v>2880</v>
      </c>
      <c r="AN38" s="76">
        <v>6720</v>
      </c>
      <c r="AO38" s="76">
        <v>0</v>
      </c>
      <c r="AP38" s="76">
        <v>4800</v>
      </c>
      <c r="AQ38" s="76">
        <v>5760</v>
      </c>
      <c r="AR38" s="76">
        <v>4800</v>
      </c>
      <c r="AS38" s="76">
        <v>4800</v>
      </c>
      <c r="AT38" s="76">
        <v>5760</v>
      </c>
      <c r="AU38" s="76">
        <v>3840</v>
      </c>
      <c r="AV38" s="76">
        <v>7680</v>
      </c>
      <c r="AW38" s="76">
        <v>0</v>
      </c>
      <c r="AX38" s="76">
        <v>0</v>
      </c>
      <c r="AY38" s="76">
        <v>0</v>
      </c>
      <c r="AZ38" s="76">
        <v>0</v>
      </c>
      <c r="BA38" s="76">
        <v>3840</v>
      </c>
      <c r="BB38" s="76">
        <v>3840</v>
      </c>
      <c r="BC38" s="76">
        <v>3840</v>
      </c>
      <c r="BD38" s="76">
        <v>4080</v>
      </c>
      <c r="BE38" s="76">
        <v>4080</v>
      </c>
      <c r="BF38" s="76">
        <v>4080</v>
      </c>
      <c r="BG38" s="76">
        <v>4080</v>
      </c>
      <c r="BH38" s="76">
        <v>2880</v>
      </c>
      <c r="BI38" s="76">
        <v>2880</v>
      </c>
      <c r="BJ38" s="76">
        <v>2880</v>
      </c>
      <c r="BK38" s="76">
        <v>2880</v>
      </c>
      <c r="BL38" s="76">
        <v>4040</v>
      </c>
      <c r="BM38" s="76">
        <v>4040</v>
      </c>
      <c r="BN38" s="76">
        <v>4040</v>
      </c>
      <c r="BO38" s="76">
        <v>4040</v>
      </c>
      <c r="BP38" s="76">
        <v>4000</v>
      </c>
      <c r="BQ38" s="76">
        <v>4800</v>
      </c>
      <c r="BR38" s="76">
        <v>4800</v>
      </c>
    </row>
    <row r="39" spans="1:70" x14ac:dyDescent="0.25">
      <c r="A39" s="74">
        <v>32272492</v>
      </c>
      <c r="B39" s="75">
        <v>4429348</v>
      </c>
      <c r="C39" s="76">
        <v>1000</v>
      </c>
      <c r="D39" s="76">
        <v>800</v>
      </c>
      <c r="E39" s="76">
        <v>1400</v>
      </c>
      <c r="F39" s="76">
        <v>1200</v>
      </c>
      <c r="G39" s="76">
        <v>1000</v>
      </c>
      <c r="H39" s="76">
        <v>1200</v>
      </c>
      <c r="I39" s="76">
        <v>1200</v>
      </c>
      <c r="J39" s="76">
        <v>1000</v>
      </c>
      <c r="K39" s="120">
        <v>1200</v>
      </c>
      <c r="L39" s="76">
        <v>1800</v>
      </c>
      <c r="M39" s="158">
        <v>0</v>
      </c>
      <c r="N39" s="76">
        <v>1200</v>
      </c>
      <c r="O39" s="76">
        <v>1000</v>
      </c>
      <c r="P39" s="76">
        <v>1000</v>
      </c>
      <c r="Q39" s="76">
        <v>1400</v>
      </c>
      <c r="R39" s="76">
        <v>1400</v>
      </c>
      <c r="S39" s="76">
        <v>1400</v>
      </c>
      <c r="T39" s="158">
        <v>0</v>
      </c>
      <c r="U39" s="158">
        <v>0</v>
      </c>
      <c r="V39" s="76">
        <v>1400</v>
      </c>
      <c r="W39" s="76">
        <v>1400</v>
      </c>
      <c r="X39" s="76">
        <v>1200</v>
      </c>
      <c r="Y39" s="76">
        <v>1600</v>
      </c>
      <c r="Z39" s="76">
        <v>1400</v>
      </c>
      <c r="AA39" s="76">
        <v>1400</v>
      </c>
      <c r="AB39" s="76">
        <v>1000</v>
      </c>
      <c r="AC39" s="76">
        <v>1400</v>
      </c>
      <c r="AD39" s="76">
        <v>1400</v>
      </c>
      <c r="AE39" s="76">
        <v>1400</v>
      </c>
      <c r="AF39" s="76">
        <v>800</v>
      </c>
      <c r="AG39" s="76">
        <v>2400</v>
      </c>
      <c r="AH39" s="76">
        <v>0</v>
      </c>
      <c r="AI39" s="76">
        <v>1200</v>
      </c>
      <c r="AJ39" s="76">
        <v>1200</v>
      </c>
      <c r="AK39" s="76">
        <v>600</v>
      </c>
      <c r="AL39" s="76">
        <v>1200</v>
      </c>
      <c r="AM39" s="76">
        <v>600</v>
      </c>
      <c r="AN39" s="76">
        <v>2000</v>
      </c>
      <c r="AO39" s="76">
        <v>0</v>
      </c>
      <c r="AP39" s="76">
        <v>1600</v>
      </c>
      <c r="AQ39" s="76">
        <v>1400</v>
      </c>
      <c r="AR39" s="76">
        <v>1600</v>
      </c>
      <c r="AS39" s="76">
        <v>1400</v>
      </c>
      <c r="AT39" s="76">
        <v>1400</v>
      </c>
      <c r="AU39" s="76">
        <v>1400</v>
      </c>
      <c r="AV39" s="76">
        <v>2200</v>
      </c>
      <c r="AW39" s="76">
        <v>0</v>
      </c>
      <c r="AX39" s="76">
        <v>0</v>
      </c>
      <c r="AY39" s="76">
        <v>0</v>
      </c>
      <c r="AZ39" s="76">
        <v>0</v>
      </c>
      <c r="BA39" s="76">
        <v>1200</v>
      </c>
      <c r="BB39" s="76">
        <v>1000</v>
      </c>
      <c r="BC39" s="76">
        <v>1200</v>
      </c>
      <c r="BD39" s="76">
        <v>1200</v>
      </c>
      <c r="BE39" s="76">
        <v>1200</v>
      </c>
      <c r="BF39" s="76">
        <v>1200</v>
      </c>
      <c r="BG39" s="76">
        <v>1200</v>
      </c>
      <c r="BH39" s="76">
        <v>950</v>
      </c>
      <c r="BI39" s="76">
        <v>950</v>
      </c>
      <c r="BJ39" s="76">
        <v>950</v>
      </c>
      <c r="BK39" s="76">
        <v>950</v>
      </c>
      <c r="BL39" s="76">
        <v>1200</v>
      </c>
      <c r="BM39" s="76">
        <v>1200</v>
      </c>
      <c r="BN39" s="76">
        <v>1200</v>
      </c>
      <c r="BO39" s="76">
        <v>1200</v>
      </c>
      <c r="BP39" s="76">
        <v>1200</v>
      </c>
      <c r="BQ39" s="76">
        <v>1300</v>
      </c>
      <c r="BR39" s="76">
        <v>1300</v>
      </c>
    </row>
    <row r="40" spans="1:70" x14ac:dyDescent="0.25">
      <c r="A40" s="74">
        <v>32272493</v>
      </c>
      <c r="B40" s="75">
        <v>4429349</v>
      </c>
      <c r="C40" s="76">
        <v>1000</v>
      </c>
      <c r="D40" s="76">
        <v>800</v>
      </c>
      <c r="E40" s="76">
        <v>1400</v>
      </c>
      <c r="F40" s="76">
        <v>1200</v>
      </c>
      <c r="G40" s="76">
        <v>1000</v>
      </c>
      <c r="H40" s="76">
        <v>1200</v>
      </c>
      <c r="I40" s="76">
        <v>1000</v>
      </c>
      <c r="J40" s="76">
        <v>1200</v>
      </c>
      <c r="K40" s="120">
        <v>1200</v>
      </c>
      <c r="L40" s="76">
        <v>1750</v>
      </c>
      <c r="M40" s="158">
        <v>0</v>
      </c>
      <c r="N40" s="76">
        <v>1200</v>
      </c>
      <c r="O40" s="76">
        <v>1000</v>
      </c>
      <c r="P40" s="76">
        <v>1000</v>
      </c>
      <c r="Q40" s="76">
        <v>1400</v>
      </c>
      <c r="R40" s="76">
        <v>1400</v>
      </c>
      <c r="S40" s="76">
        <v>1400</v>
      </c>
      <c r="T40" s="158">
        <v>0</v>
      </c>
      <c r="U40" s="158">
        <v>0</v>
      </c>
      <c r="V40" s="76">
        <v>1400</v>
      </c>
      <c r="W40" s="76">
        <v>1400</v>
      </c>
      <c r="X40" s="76">
        <v>1200</v>
      </c>
      <c r="Y40" s="76">
        <v>1600</v>
      </c>
      <c r="Z40" s="76">
        <v>1400</v>
      </c>
      <c r="AA40" s="76">
        <v>1400</v>
      </c>
      <c r="AB40" s="76">
        <v>1000</v>
      </c>
      <c r="AC40" s="76">
        <v>1400</v>
      </c>
      <c r="AD40" s="76">
        <v>1600</v>
      </c>
      <c r="AE40" s="76">
        <v>1400</v>
      </c>
      <c r="AF40" s="76">
        <v>600</v>
      </c>
      <c r="AG40" s="76">
        <v>2600</v>
      </c>
      <c r="AH40" s="76">
        <v>0</v>
      </c>
      <c r="AI40" s="76">
        <v>1200</v>
      </c>
      <c r="AJ40" s="76">
        <v>1000</v>
      </c>
      <c r="AK40" s="76">
        <v>800</v>
      </c>
      <c r="AL40" s="76">
        <v>1000</v>
      </c>
      <c r="AM40" s="76">
        <v>600</v>
      </c>
      <c r="AN40" s="76">
        <v>2200</v>
      </c>
      <c r="AO40" s="76">
        <v>0</v>
      </c>
      <c r="AP40" s="76">
        <v>1400</v>
      </c>
      <c r="AQ40" s="76">
        <v>1600</v>
      </c>
      <c r="AR40" s="76">
        <v>1600</v>
      </c>
      <c r="AS40" s="76">
        <v>1200</v>
      </c>
      <c r="AT40" s="76">
        <v>1600</v>
      </c>
      <c r="AU40" s="76">
        <v>1200</v>
      </c>
      <c r="AV40" s="76">
        <v>2200</v>
      </c>
      <c r="AW40" s="76">
        <v>0</v>
      </c>
      <c r="AX40" s="76">
        <v>0</v>
      </c>
      <c r="AY40" s="76">
        <v>0</v>
      </c>
      <c r="AZ40" s="76">
        <v>0</v>
      </c>
      <c r="BA40" s="76">
        <v>1200</v>
      </c>
      <c r="BB40" s="76">
        <v>1200</v>
      </c>
      <c r="BC40" s="76">
        <v>1200</v>
      </c>
      <c r="BD40" s="76">
        <v>1200</v>
      </c>
      <c r="BE40" s="76">
        <v>1200</v>
      </c>
      <c r="BF40" s="76">
        <v>1200</v>
      </c>
      <c r="BG40" s="76">
        <v>1200</v>
      </c>
      <c r="BH40" s="76">
        <v>900</v>
      </c>
      <c r="BI40" s="76">
        <v>900</v>
      </c>
      <c r="BJ40" s="76">
        <v>900</v>
      </c>
      <c r="BK40" s="76">
        <v>900</v>
      </c>
      <c r="BL40" s="76">
        <v>1240</v>
      </c>
      <c r="BM40" s="76">
        <v>1240</v>
      </c>
      <c r="BN40" s="76">
        <v>1240</v>
      </c>
      <c r="BO40" s="76">
        <v>1240</v>
      </c>
      <c r="BP40" s="76">
        <v>1240</v>
      </c>
      <c r="BQ40" s="76">
        <v>1200</v>
      </c>
      <c r="BR40" s="76">
        <v>1200</v>
      </c>
    </row>
    <row r="41" spans="1:70" x14ac:dyDescent="0.25">
      <c r="A41" s="74">
        <v>32272494</v>
      </c>
      <c r="B41" s="75">
        <v>4429351</v>
      </c>
      <c r="C41" s="76">
        <v>240</v>
      </c>
      <c r="D41" s="76">
        <v>1200</v>
      </c>
      <c r="E41" s="76">
        <v>1680</v>
      </c>
      <c r="F41" s="76">
        <v>1200</v>
      </c>
      <c r="G41" s="76">
        <v>1200</v>
      </c>
      <c r="H41" s="76">
        <v>960</v>
      </c>
      <c r="I41" s="76">
        <v>960</v>
      </c>
      <c r="J41" s="76">
        <v>960</v>
      </c>
      <c r="K41" s="120">
        <v>1200</v>
      </c>
      <c r="L41" s="76">
        <v>1440</v>
      </c>
      <c r="M41" s="158">
        <v>0</v>
      </c>
      <c r="N41" s="76">
        <v>960</v>
      </c>
      <c r="O41" s="76">
        <v>1200</v>
      </c>
      <c r="P41" s="76">
        <v>1440</v>
      </c>
      <c r="Q41" s="76">
        <v>1200</v>
      </c>
      <c r="R41" s="76">
        <v>960</v>
      </c>
      <c r="S41" s="76">
        <v>1200</v>
      </c>
      <c r="T41" s="158">
        <v>0</v>
      </c>
      <c r="U41" s="158">
        <v>0</v>
      </c>
      <c r="V41" s="76">
        <v>720</v>
      </c>
      <c r="W41" s="76">
        <v>960</v>
      </c>
      <c r="X41" s="76">
        <v>720</v>
      </c>
      <c r="Y41" s="76">
        <v>720</v>
      </c>
      <c r="Z41" s="76">
        <v>720</v>
      </c>
      <c r="AA41" s="76">
        <v>720</v>
      </c>
      <c r="AB41" s="76">
        <v>960</v>
      </c>
      <c r="AC41" s="76">
        <v>960</v>
      </c>
      <c r="AD41" s="76">
        <v>1200</v>
      </c>
      <c r="AE41" s="76">
        <v>720</v>
      </c>
      <c r="AF41" s="76">
        <v>720</v>
      </c>
      <c r="AG41" s="76">
        <v>2160</v>
      </c>
      <c r="AH41" s="76">
        <v>0</v>
      </c>
      <c r="AI41" s="76">
        <v>960</v>
      </c>
      <c r="AJ41" s="76">
        <v>960</v>
      </c>
      <c r="AK41" s="76">
        <v>960</v>
      </c>
      <c r="AL41" s="76">
        <v>1200</v>
      </c>
      <c r="AM41" s="76">
        <v>480</v>
      </c>
      <c r="AN41" s="76">
        <v>2160</v>
      </c>
      <c r="AO41" s="76">
        <v>0</v>
      </c>
      <c r="AP41" s="76">
        <v>960</v>
      </c>
      <c r="AQ41" s="76">
        <v>1200</v>
      </c>
      <c r="AR41" s="76">
        <v>1440</v>
      </c>
      <c r="AS41" s="76">
        <v>720</v>
      </c>
      <c r="AT41" s="76">
        <v>1200</v>
      </c>
      <c r="AU41" s="76">
        <v>960</v>
      </c>
      <c r="AV41" s="76">
        <v>1680</v>
      </c>
      <c r="AW41" s="76">
        <v>0</v>
      </c>
      <c r="AX41" s="76">
        <v>0</v>
      </c>
      <c r="AY41" s="76">
        <v>0</v>
      </c>
      <c r="AZ41" s="76">
        <v>0</v>
      </c>
      <c r="BA41" s="76">
        <v>960</v>
      </c>
      <c r="BB41" s="76">
        <v>960</v>
      </c>
      <c r="BC41" s="76">
        <v>960</v>
      </c>
      <c r="BD41" s="76">
        <v>1020</v>
      </c>
      <c r="BE41" s="76">
        <v>1020</v>
      </c>
      <c r="BF41" s="76">
        <v>1020</v>
      </c>
      <c r="BG41" s="76">
        <v>1020</v>
      </c>
      <c r="BH41" s="76">
        <v>780</v>
      </c>
      <c r="BI41" s="76">
        <v>780</v>
      </c>
      <c r="BJ41" s="76">
        <v>780</v>
      </c>
      <c r="BK41" s="76">
        <v>780</v>
      </c>
      <c r="BL41" s="76">
        <v>1110</v>
      </c>
      <c r="BM41" s="76">
        <v>1110</v>
      </c>
      <c r="BN41" s="76">
        <v>1110</v>
      </c>
      <c r="BO41" s="76">
        <v>1110</v>
      </c>
      <c r="BP41" s="76">
        <v>1080</v>
      </c>
      <c r="BQ41" s="76">
        <v>1080</v>
      </c>
      <c r="BR41" s="76">
        <v>1080</v>
      </c>
    </row>
    <row r="42" spans="1:70" x14ac:dyDescent="0.25">
      <c r="A42" s="74">
        <v>32272495</v>
      </c>
      <c r="B42" s="75">
        <v>4429352</v>
      </c>
      <c r="C42" s="76">
        <v>480</v>
      </c>
      <c r="D42" s="76">
        <v>1200</v>
      </c>
      <c r="E42" s="76">
        <v>1680</v>
      </c>
      <c r="F42" s="76">
        <v>1200</v>
      </c>
      <c r="G42" s="76">
        <v>1200</v>
      </c>
      <c r="H42" s="76">
        <v>960</v>
      </c>
      <c r="I42" s="76">
        <v>960</v>
      </c>
      <c r="J42" s="76">
        <v>720</v>
      </c>
      <c r="K42" s="120">
        <v>1440</v>
      </c>
      <c r="L42" s="76">
        <v>1440</v>
      </c>
      <c r="M42" s="158">
        <v>0</v>
      </c>
      <c r="N42" s="76">
        <v>960</v>
      </c>
      <c r="O42" s="76">
        <v>1200</v>
      </c>
      <c r="P42" s="76">
        <v>1440</v>
      </c>
      <c r="Q42" s="76">
        <v>1200</v>
      </c>
      <c r="R42" s="76">
        <v>960</v>
      </c>
      <c r="S42" s="76">
        <v>1200</v>
      </c>
      <c r="T42" s="158">
        <v>0</v>
      </c>
      <c r="U42" s="158">
        <v>0</v>
      </c>
      <c r="V42" s="76">
        <v>720</v>
      </c>
      <c r="W42" s="76">
        <v>960</v>
      </c>
      <c r="X42" s="76">
        <v>720</v>
      </c>
      <c r="Y42" s="76">
        <v>720</v>
      </c>
      <c r="Z42" s="76">
        <v>720</v>
      </c>
      <c r="AA42" s="76">
        <v>720</v>
      </c>
      <c r="AB42" s="76">
        <v>960</v>
      </c>
      <c r="AC42" s="76">
        <v>960</v>
      </c>
      <c r="AD42" s="76">
        <v>1200</v>
      </c>
      <c r="AE42" s="76">
        <v>720</v>
      </c>
      <c r="AF42" s="76">
        <v>720</v>
      </c>
      <c r="AG42" s="76">
        <v>2160</v>
      </c>
      <c r="AH42" s="76">
        <v>0</v>
      </c>
      <c r="AI42" s="76">
        <v>960</v>
      </c>
      <c r="AJ42" s="76">
        <v>960</v>
      </c>
      <c r="AK42" s="76">
        <v>960</v>
      </c>
      <c r="AL42" s="76">
        <v>1200</v>
      </c>
      <c r="AM42" s="76">
        <v>720</v>
      </c>
      <c r="AN42" s="76">
        <v>1920</v>
      </c>
      <c r="AO42" s="76">
        <v>0</v>
      </c>
      <c r="AP42" s="76">
        <v>960</v>
      </c>
      <c r="AQ42" s="76">
        <v>1200</v>
      </c>
      <c r="AR42" s="76">
        <v>1440</v>
      </c>
      <c r="AS42" s="76">
        <v>720</v>
      </c>
      <c r="AT42" s="76">
        <v>1200</v>
      </c>
      <c r="AU42" s="76">
        <v>960</v>
      </c>
      <c r="AV42" s="76">
        <v>1680</v>
      </c>
      <c r="AW42" s="76">
        <v>0</v>
      </c>
      <c r="AX42" s="76">
        <v>0</v>
      </c>
      <c r="AY42" s="76">
        <v>0</v>
      </c>
      <c r="AZ42" s="76">
        <v>0</v>
      </c>
      <c r="BA42" s="76">
        <v>960</v>
      </c>
      <c r="BB42" s="76">
        <v>960</v>
      </c>
      <c r="BC42" s="76">
        <v>960</v>
      </c>
      <c r="BD42" s="76">
        <v>1020</v>
      </c>
      <c r="BE42" s="76">
        <v>1020</v>
      </c>
      <c r="BF42" s="76">
        <v>1020</v>
      </c>
      <c r="BG42" s="76">
        <v>1020</v>
      </c>
      <c r="BH42" s="76">
        <v>780</v>
      </c>
      <c r="BI42" s="76">
        <v>780</v>
      </c>
      <c r="BJ42" s="76">
        <v>780</v>
      </c>
      <c r="BK42" s="76">
        <v>780</v>
      </c>
      <c r="BL42" s="76">
        <v>1160</v>
      </c>
      <c r="BM42" s="76">
        <v>1160</v>
      </c>
      <c r="BN42" s="76">
        <v>1160</v>
      </c>
      <c r="BO42" s="76">
        <v>1160</v>
      </c>
      <c r="BP42" s="76">
        <v>1120</v>
      </c>
      <c r="BQ42" s="76">
        <v>960</v>
      </c>
      <c r="BR42" s="76">
        <v>960</v>
      </c>
    </row>
    <row r="43" spans="1:70" x14ac:dyDescent="0.25">
      <c r="A43" s="74">
        <v>32272496</v>
      </c>
      <c r="B43" s="75">
        <v>4429355</v>
      </c>
      <c r="C43" s="76">
        <v>1440</v>
      </c>
      <c r="D43" s="76">
        <v>240</v>
      </c>
      <c r="E43" s="76">
        <v>720</v>
      </c>
      <c r="F43" s="76">
        <v>480</v>
      </c>
      <c r="G43" s="76">
        <v>720</v>
      </c>
      <c r="H43" s="76">
        <v>480</v>
      </c>
      <c r="I43" s="76">
        <v>480</v>
      </c>
      <c r="J43" s="76">
        <v>480</v>
      </c>
      <c r="K43" s="120">
        <v>720</v>
      </c>
      <c r="L43" s="76">
        <v>1200</v>
      </c>
      <c r="M43" s="158">
        <v>0</v>
      </c>
      <c r="N43" s="76">
        <v>720</v>
      </c>
      <c r="O43" s="76">
        <v>720</v>
      </c>
      <c r="P43" s="76">
        <v>480</v>
      </c>
      <c r="Q43" s="76">
        <v>480</v>
      </c>
      <c r="R43" s="76">
        <v>960</v>
      </c>
      <c r="S43" s="76">
        <v>1440</v>
      </c>
      <c r="T43" s="158">
        <v>0</v>
      </c>
      <c r="U43" s="158">
        <v>0</v>
      </c>
      <c r="V43" s="76">
        <v>960</v>
      </c>
      <c r="W43" s="76">
        <v>1200</v>
      </c>
      <c r="X43" s="76">
        <v>1200</v>
      </c>
      <c r="Y43" s="76">
        <v>1200</v>
      </c>
      <c r="Z43" s="76">
        <v>1200</v>
      </c>
      <c r="AA43" s="76">
        <v>960</v>
      </c>
      <c r="AB43" s="76">
        <v>1200</v>
      </c>
      <c r="AC43" s="76">
        <v>960</v>
      </c>
      <c r="AD43" s="76">
        <v>720</v>
      </c>
      <c r="AE43" s="76">
        <v>480</v>
      </c>
      <c r="AF43" s="76">
        <v>480</v>
      </c>
      <c r="AG43" s="76">
        <v>1200</v>
      </c>
      <c r="AH43" s="76">
        <v>0</v>
      </c>
      <c r="AI43" s="76">
        <v>960</v>
      </c>
      <c r="AJ43" s="76">
        <v>1200</v>
      </c>
      <c r="AK43" s="76">
        <v>720</v>
      </c>
      <c r="AL43" s="76">
        <v>960</v>
      </c>
      <c r="AM43" s="76">
        <v>720</v>
      </c>
      <c r="AN43" s="76">
        <v>1440</v>
      </c>
      <c r="AO43" s="76">
        <v>0</v>
      </c>
      <c r="AP43" s="76">
        <v>960</v>
      </c>
      <c r="AQ43" s="76">
        <v>960</v>
      </c>
      <c r="AR43" s="76">
        <v>1200</v>
      </c>
      <c r="AS43" s="76">
        <v>960</v>
      </c>
      <c r="AT43" s="76">
        <v>1200</v>
      </c>
      <c r="AU43" s="76">
        <v>960</v>
      </c>
      <c r="AV43" s="76">
        <v>1680</v>
      </c>
      <c r="AW43" s="76">
        <v>0</v>
      </c>
      <c r="AX43" s="76">
        <v>0</v>
      </c>
      <c r="AY43" s="76">
        <v>0</v>
      </c>
      <c r="AZ43" s="76">
        <v>0</v>
      </c>
      <c r="BA43" s="76">
        <v>720</v>
      </c>
      <c r="BB43" s="76">
        <v>720</v>
      </c>
      <c r="BC43" s="76">
        <v>960</v>
      </c>
      <c r="BD43" s="76">
        <v>720</v>
      </c>
      <c r="BE43" s="76">
        <v>720</v>
      </c>
      <c r="BF43" s="76">
        <v>720</v>
      </c>
      <c r="BG43" s="76">
        <v>720</v>
      </c>
      <c r="BH43" s="76">
        <v>600</v>
      </c>
      <c r="BI43" s="76">
        <v>600</v>
      </c>
      <c r="BJ43" s="76">
        <v>600</v>
      </c>
      <c r="BK43" s="76">
        <v>600</v>
      </c>
      <c r="BL43" s="76">
        <v>770</v>
      </c>
      <c r="BM43" s="76">
        <v>770</v>
      </c>
      <c r="BN43" s="76">
        <v>770</v>
      </c>
      <c r="BO43" s="76">
        <v>770</v>
      </c>
      <c r="BP43" s="76">
        <v>760</v>
      </c>
      <c r="BQ43" s="76">
        <v>1080</v>
      </c>
      <c r="BR43" s="76">
        <v>1080</v>
      </c>
    </row>
    <row r="44" spans="1:70" x14ac:dyDescent="0.25">
      <c r="A44" s="74">
        <v>32272497</v>
      </c>
      <c r="B44" s="75">
        <v>4429356</v>
      </c>
      <c r="C44" s="76">
        <v>1440</v>
      </c>
      <c r="D44" s="76">
        <v>480</v>
      </c>
      <c r="E44" s="76">
        <v>480</v>
      </c>
      <c r="F44" s="76">
        <v>720</v>
      </c>
      <c r="G44" s="76">
        <v>480</v>
      </c>
      <c r="H44" s="76">
        <v>720</v>
      </c>
      <c r="I44" s="76">
        <v>480</v>
      </c>
      <c r="J44" s="76">
        <v>480</v>
      </c>
      <c r="K44" s="120">
        <v>720</v>
      </c>
      <c r="L44" s="76">
        <v>1200</v>
      </c>
      <c r="M44" s="158">
        <v>0</v>
      </c>
      <c r="N44" s="76">
        <v>720</v>
      </c>
      <c r="O44" s="76">
        <v>720</v>
      </c>
      <c r="P44" s="76">
        <v>480</v>
      </c>
      <c r="Q44" s="76">
        <v>480</v>
      </c>
      <c r="R44" s="76">
        <v>960</v>
      </c>
      <c r="S44" s="76">
        <v>1440</v>
      </c>
      <c r="T44" s="158">
        <v>0</v>
      </c>
      <c r="U44" s="158">
        <v>0</v>
      </c>
      <c r="V44" s="76">
        <v>960</v>
      </c>
      <c r="W44" s="76">
        <v>1200</v>
      </c>
      <c r="X44" s="76">
        <v>960</v>
      </c>
      <c r="Y44" s="76">
        <v>1440</v>
      </c>
      <c r="Z44" s="76">
        <v>1200</v>
      </c>
      <c r="AA44" s="76">
        <v>960</v>
      </c>
      <c r="AB44" s="76">
        <v>1200</v>
      </c>
      <c r="AC44" s="76">
        <v>720</v>
      </c>
      <c r="AD44" s="76">
        <v>960</v>
      </c>
      <c r="AE44" s="76">
        <v>480</v>
      </c>
      <c r="AF44" s="76">
        <v>240</v>
      </c>
      <c r="AG44" s="76">
        <v>1440</v>
      </c>
      <c r="AH44" s="76">
        <v>0</v>
      </c>
      <c r="AI44" s="76">
        <v>960</v>
      </c>
      <c r="AJ44" s="76">
        <v>960</v>
      </c>
      <c r="AK44" s="76">
        <v>960</v>
      </c>
      <c r="AL44" s="76">
        <v>960</v>
      </c>
      <c r="AM44" s="76">
        <v>480</v>
      </c>
      <c r="AN44" s="76">
        <v>1680</v>
      </c>
      <c r="AO44" s="76">
        <v>0</v>
      </c>
      <c r="AP44" s="76">
        <v>960</v>
      </c>
      <c r="AQ44" s="76">
        <v>960</v>
      </c>
      <c r="AR44" s="76">
        <v>960</v>
      </c>
      <c r="AS44" s="76">
        <v>1200</v>
      </c>
      <c r="AT44" s="76">
        <v>1200</v>
      </c>
      <c r="AU44" s="76">
        <v>960</v>
      </c>
      <c r="AV44" s="76">
        <v>1680</v>
      </c>
      <c r="AW44" s="76">
        <v>0</v>
      </c>
      <c r="AX44" s="76">
        <v>0</v>
      </c>
      <c r="AY44" s="76">
        <v>0</v>
      </c>
      <c r="AZ44" s="76">
        <v>0</v>
      </c>
      <c r="BA44" s="76">
        <v>720</v>
      </c>
      <c r="BB44" s="76">
        <v>720</v>
      </c>
      <c r="BC44" s="76">
        <v>720</v>
      </c>
      <c r="BD44" s="76">
        <v>780</v>
      </c>
      <c r="BE44" s="76">
        <v>780</v>
      </c>
      <c r="BF44" s="76">
        <v>780</v>
      </c>
      <c r="BG44" s="76">
        <v>780</v>
      </c>
      <c r="BH44" s="76">
        <v>600</v>
      </c>
      <c r="BI44" s="76">
        <v>600</v>
      </c>
      <c r="BJ44" s="76">
        <v>600</v>
      </c>
      <c r="BK44" s="76">
        <v>600</v>
      </c>
      <c r="BL44" s="76">
        <v>770</v>
      </c>
      <c r="BM44" s="76">
        <v>770</v>
      </c>
      <c r="BN44" s="76">
        <v>770</v>
      </c>
      <c r="BO44" s="76">
        <v>770</v>
      </c>
      <c r="BP44" s="76">
        <v>760</v>
      </c>
      <c r="BQ44" s="76">
        <v>1080</v>
      </c>
      <c r="BR44" s="76">
        <v>1080</v>
      </c>
    </row>
    <row r="45" spans="1:70" x14ac:dyDescent="0.25">
      <c r="A45" s="74">
        <v>32272708</v>
      </c>
      <c r="B45" s="75">
        <v>4817100</v>
      </c>
      <c r="C45" s="76">
        <v>320</v>
      </c>
      <c r="D45" s="76">
        <v>1040</v>
      </c>
      <c r="E45" s="76">
        <v>1200</v>
      </c>
      <c r="F45" s="76">
        <v>1040</v>
      </c>
      <c r="G45" s="76">
        <v>800</v>
      </c>
      <c r="H45" s="76">
        <v>720</v>
      </c>
      <c r="I45" s="76">
        <v>800</v>
      </c>
      <c r="J45" s="76">
        <v>560</v>
      </c>
      <c r="K45" s="120">
        <v>960</v>
      </c>
      <c r="L45" s="76">
        <v>1040</v>
      </c>
      <c r="M45" s="158">
        <v>0</v>
      </c>
      <c r="N45" s="76">
        <v>800</v>
      </c>
      <c r="O45" s="76">
        <v>880</v>
      </c>
      <c r="P45" s="76">
        <v>1200</v>
      </c>
      <c r="Q45" s="76">
        <v>960</v>
      </c>
      <c r="R45" s="76">
        <v>800</v>
      </c>
      <c r="S45" s="76">
        <v>720</v>
      </c>
      <c r="T45" s="158">
        <v>0</v>
      </c>
      <c r="U45" s="158">
        <v>0</v>
      </c>
      <c r="V45" s="76">
        <v>640</v>
      </c>
      <c r="W45" s="76">
        <v>560</v>
      </c>
      <c r="X45" s="76">
        <v>560</v>
      </c>
      <c r="Y45" s="76">
        <v>720</v>
      </c>
      <c r="Z45" s="76">
        <v>560</v>
      </c>
      <c r="AA45" s="76">
        <v>640</v>
      </c>
      <c r="AB45" s="76">
        <v>800</v>
      </c>
      <c r="AC45" s="76">
        <v>880</v>
      </c>
      <c r="AD45" s="76">
        <v>800</v>
      </c>
      <c r="AE45" s="76">
        <v>720</v>
      </c>
      <c r="AF45" s="76">
        <v>400</v>
      </c>
      <c r="AG45" s="76">
        <v>1440</v>
      </c>
      <c r="AH45" s="76">
        <v>0</v>
      </c>
      <c r="AI45" s="76">
        <v>720</v>
      </c>
      <c r="AJ45" s="76">
        <v>960</v>
      </c>
      <c r="AK45" s="76">
        <v>480</v>
      </c>
      <c r="AL45" s="76">
        <v>880</v>
      </c>
      <c r="AM45" s="76">
        <v>640</v>
      </c>
      <c r="AN45" s="76">
        <v>1600</v>
      </c>
      <c r="AO45" s="76">
        <v>0</v>
      </c>
      <c r="AP45" s="76">
        <v>880</v>
      </c>
      <c r="AQ45" s="76">
        <v>960</v>
      </c>
      <c r="AR45" s="76">
        <v>960</v>
      </c>
      <c r="AS45" s="76">
        <v>480</v>
      </c>
      <c r="AT45" s="76">
        <v>640</v>
      </c>
      <c r="AU45" s="76">
        <v>560</v>
      </c>
      <c r="AV45" s="76">
        <v>1200</v>
      </c>
      <c r="AW45" s="76">
        <v>0</v>
      </c>
      <c r="AX45" s="76">
        <v>0</v>
      </c>
      <c r="AY45" s="76">
        <v>0</v>
      </c>
      <c r="AZ45" s="76">
        <v>0</v>
      </c>
      <c r="BA45" s="76">
        <v>640</v>
      </c>
      <c r="BB45" s="76">
        <v>720</v>
      </c>
      <c r="BC45" s="76">
        <v>720</v>
      </c>
      <c r="BD45" s="76">
        <v>720</v>
      </c>
      <c r="BE45" s="76">
        <v>720</v>
      </c>
      <c r="BF45" s="76">
        <v>720</v>
      </c>
      <c r="BG45" s="76">
        <v>720</v>
      </c>
      <c r="BH45" s="76">
        <v>540</v>
      </c>
      <c r="BI45" s="76">
        <v>540</v>
      </c>
      <c r="BJ45" s="76">
        <v>540</v>
      </c>
      <c r="BK45" s="76">
        <v>540</v>
      </c>
      <c r="BL45" s="76">
        <v>580</v>
      </c>
      <c r="BM45" s="76">
        <v>580</v>
      </c>
      <c r="BN45" s="76">
        <v>580</v>
      </c>
      <c r="BO45" s="76">
        <v>580</v>
      </c>
      <c r="BP45" s="76">
        <v>560</v>
      </c>
      <c r="BQ45" s="76">
        <v>600</v>
      </c>
      <c r="BR45" s="76">
        <v>600</v>
      </c>
    </row>
    <row r="46" spans="1:70" x14ac:dyDescent="0.25">
      <c r="A46" s="74">
        <v>32272709</v>
      </c>
      <c r="B46" s="75">
        <v>4817101</v>
      </c>
      <c r="C46" s="76">
        <v>80</v>
      </c>
      <c r="D46" s="76">
        <v>0</v>
      </c>
      <c r="E46" s="76">
        <v>0</v>
      </c>
      <c r="F46" s="76">
        <v>0</v>
      </c>
      <c r="G46" s="76">
        <v>80</v>
      </c>
      <c r="H46" s="76">
        <v>0</v>
      </c>
      <c r="I46" s="76">
        <v>0</v>
      </c>
      <c r="J46" s="76">
        <v>0</v>
      </c>
      <c r="K46" s="120">
        <v>0</v>
      </c>
      <c r="L46" s="76">
        <v>0</v>
      </c>
      <c r="M46" s="158">
        <v>0</v>
      </c>
      <c r="N46" s="76">
        <v>80</v>
      </c>
      <c r="O46" s="76">
        <v>0</v>
      </c>
      <c r="P46" s="76">
        <v>0</v>
      </c>
      <c r="Q46" s="76">
        <v>0</v>
      </c>
      <c r="R46" s="76">
        <v>80</v>
      </c>
      <c r="S46" s="76">
        <v>80</v>
      </c>
      <c r="T46" s="158">
        <v>0</v>
      </c>
      <c r="U46" s="158">
        <v>0</v>
      </c>
      <c r="V46" s="76">
        <v>80</v>
      </c>
      <c r="W46" s="76">
        <v>80</v>
      </c>
      <c r="X46" s="76">
        <v>80</v>
      </c>
      <c r="Y46" s="76">
        <v>80</v>
      </c>
      <c r="Z46" s="76">
        <v>80</v>
      </c>
      <c r="AA46" s="76">
        <v>80</v>
      </c>
      <c r="AB46" s="76">
        <v>0</v>
      </c>
      <c r="AC46" s="76">
        <v>140</v>
      </c>
      <c r="AD46" s="76">
        <v>80</v>
      </c>
      <c r="AE46" s="76">
        <v>80</v>
      </c>
      <c r="AF46" s="76">
        <v>0</v>
      </c>
      <c r="AG46" s="76">
        <v>80</v>
      </c>
      <c r="AH46" s="76">
        <v>0</v>
      </c>
      <c r="AI46" s="76">
        <v>80</v>
      </c>
      <c r="AJ46" s="76">
        <v>0</v>
      </c>
      <c r="AK46" s="76">
        <v>80</v>
      </c>
      <c r="AL46" s="76">
        <v>80</v>
      </c>
      <c r="AM46" s="76">
        <v>0</v>
      </c>
      <c r="AN46" s="76">
        <v>160</v>
      </c>
      <c r="AO46" s="76">
        <v>0</v>
      </c>
      <c r="AP46" s="76">
        <v>80</v>
      </c>
      <c r="AQ46" s="76">
        <v>80</v>
      </c>
      <c r="AR46" s="76">
        <v>160</v>
      </c>
      <c r="AS46" s="76">
        <v>80</v>
      </c>
      <c r="AT46" s="76">
        <v>80</v>
      </c>
      <c r="AU46" s="76">
        <v>80</v>
      </c>
      <c r="AV46" s="76">
        <v>240</v>
      </c>
      <c r="AW46" s="76">
        <v>0</v>
      </c>
      <c r="AX46" s="76">
        <v>0</v>
      </c>
      <c r="AY46" s="76">
        <v>0</v>
      </c>
      <c r="AZ46" s="76">
        <v>0</v>
      </c>
      <c r="BA46" s="76">
        <v>160</v>
      </c>
      <c r="BB46" s="76">
        <v>80</v>
      </c>
      <c r="BC46" s="76">
        <v>80</v>
      </c>
      <c r="BD46" s="76">
        <v>100</v>
      </c>
      <c r="BE46" s="76">
        <v>100</v>
      </c>
      <c r="BF46" s="76">
        <v>100</v>
      </c>
      <c r="BG46" s="76">
        <v>100</v>
      </c>
      <c r="BH46" s="76">
        <v>100</v>
      </c>
      <c r="BI46" s="76">
        <v>100</v>
      </c>
      <c r="BJ46" s="76">
        <v>100</v>
      </c>
      <c r="BK46" s="76">
        <v>100</v>
      </c>
      <c r="BL46" s="76">
        <v>440</v>
      </c>
      <c r="BM46" s="76">
        <v>440</v>
      </c>
      <c r="BN46" s="76">
        <v>440</v>
      </c>
      <c r="BO46" s="76">
        <v>440</v>
      </c>
      <c r="BP46" s="76">
        <v>400</v>
      </c>
      <c r="BQ46" s="76">
        <v>360</v>
      </c>
      <c r="BR46" s="76">
        <v>360</v>
      </c>
    </row>
    <row r="47" spans="1:70" x14ac:dyDescent="0.25">
      <c r="A47" s="74">
        <v>32272710</v>
      </c>
      <c r="B47" s="75">
        <v>4817103</v>
      </c>
      <c r="C47" s="76">
        <v>240</v>
      </c>
      <c r="D47" s="76">
        <v>240</v>
      </c>
      <c r="E47" s="76">
        <v>800</v>
      </c>
      <c r="F47" s="76">
        <v>720</v>
      </c>
      <c r="G47" s="76">
        <v>560</v>
      </c>
      <c r="H47" s="76">
        <v>480</v>
      </c>
      <c r="I47" s="76">
        <v>480</v>
      </c>
      <c r="J47" s="76">
        <v>480</v>
      </c>
      <c r="K47" s="120">
        <v>480</v>
      </c>
      <c r="L47" s="76">
        <v>880</v>
      </c>
      <c r="M47" s="158">
        <v>0</v>
      </c>
      <c r="N47" s="76">
        <v>480</v>
      </c>
      <c r="O47" s="76">
        <v>320</v>
      </c>
      <c r="P47" s="76">
        <v>480</v>
      </c>
      <c r="Q47" s="76">
        <v>560</v>
      </c>
      <c r="R47" s="76">
        <v>640</v>
      </c>
      <c r="S47" s="76">
        <v>560</v>
      </c>
      <c r="T47" s="158">
        <v>0</v>
      </c>
      <c r="U47" s="158">
        <v>0</v>
      </c>
      <c r="V47" s="76">
        <v>720</v>
      </c>
      <c r="W47" s="76">
        <v>720</v>
      </c>
      <c r="X47" s="76">
        <v>480</v>
      </c>
      <c r="Y47" s="76">
        <v>640</v>
      </c>
      <c r="Z47" s="76">
        <v>640</v>
      </c>
      <c r="AA47" s="76">
        <v>560</v>
      </c>
      <c r="AB47" s="76">
        <v>400</v>
      </c>
      <c r="AC47" s="76">
        <v>800</v>
      </c>
      <c r="AD47" s="76">
        <v>880</v>
      </c>
      <c r="AE47" s="76">
        <v>800</v>
      </c>
      <c r="AF47" s="76">
        <v>400</v>
      </c>
      <c r="AG47" s="76">
        <v>1520</v>
      </c>
      <c r="AH47" s="76">
        <v>0</v>
      </c>
      <c r="AI47" s="76">
        <v>640</v>
      </c>
      <c r="AJ47" s="76">
        <v>560</v>
      </c>
      <c r="AK47" s="76">
        <v>320</v>
      </c>
      <c r="AL47" s="76">
        <v>320</v>
      </c>
      <c r="AM47" s="76">
        <v>240</v>
      </c>
      <c r="AN47" s="76">
        <v>800</v>
      </c>
      <c r="AO47" s="76">
        <v>0</v>
      </c>
      <c r="AP47" s="76">
        <v>640</v>
      </c>
      <c r="AQ47" s="76">
        <v>720</v>
      </c>
      <c r="AR47" s="76">
        <v>800</v>
      </c>
      <c r="AS47" s="76">
        <v>720</v>
      </c>
      <c r="AT47" s="76">
        <v>800</v>
      </c>
      <c r="AU47" s="76">
        <v>720</v>
      </c>
      <c r="AV47" s="76">
        <v>1120</v>
      </c>
      <c r="AW47" s="76">
        <v>0</v>
      </c>
      <c r="AX47" s="76">
        <v>0</v>
      </c>
      <c r="AY47" s="76">
        <v>0</v>
      </c>
      <c r="AZ47" s="76">
        <v>0</v>
      </c>
      <c r="BA47" s="76">
        <v>640</v>
      </c>
      <c r="BB47" s="76">
        <v>560</v>
      </c>
      <c r="BC47" s="76">
        <v>560</v>
      </c>
      <c r="BD47" s="76">
        <v>620</v>
      </c>
      <c r="BE47" s="76">
        <v>620</v>
      </c>
      <c r="BF47" s="76">
        <v>620</v>
      </c>
      <c r="BG47" s="76">
        <v>620</v>
      </c>
      <c r="BH47" s="76">
        <v>540</v>
      </c>
      <c r="BI47" s="76">
        <v>540</v>
      </c>
      <c r="BJ47" s="76">
        <v>540</v>
      </c>
      <c r="BK47" s="76">
        <v>540</v>
      </c>
      <c r="BL47" s="76">
        <v>530</v>
      </c>
      <c r="BM47" s="76">
        <v>530</v>
      </c>
      <c r="BN47" s="76">
        <v>530</v>
      </c>
      <c r="BO47" s="76">
        <v>530</v>
      </c>
      <c r="BP47" s="76">
        <v>520</v>
      </c>
      <c r="BQ47" s="76">
        <v>520</v>
      </c>
      <c r="BR47" s="76">
        <v>520</v>
      </c>
    </row>
    <row r="48" spans="1:70" x14ac:dyDescent="0.25">
      <c r="A48" s="74">
        <v>32272711</v>
      </c>
      <c r="B48" s="75">
        <v>4817104</v>
      </c>
      <c r="C48" s="76">
        <v>0</v>
      </c>
      <c r="D48" s="76">
        <v>0</v>
      </c>
      <c r="E48" s="76">
        <v>0</v>
      </c>
      <c r="F48" s="76">
        <v>0</v>
      </c>
      <c r="G48" s="76">
        <v>0</v>
      </c>
      <c r="H48" s="76">
        <v>0</v>
      </c>
      <c r="I48" s="76">
        <v>0</v>
      </c>
      <c r="J48" s="76">
        <v>0</v>
      </c>
      <c r="K48" s="120">
        <v>0</v>
      </c>
      <c r="L48" s="76">
        <v>0</v>
      </c>
      <c r="M48" s="158">
        <v>0</v>
      </c>
      <c r="N48" s="76">
        <v>0</v>
      </c>
      <c r="O48" s="76">
        <v>0</v>
      </c>
      <c r="P48" s="76">
        <v>0</v>
      </c>
      <c r="Q48" s="76">
        <v>0</v>
      </c>
      <c r="R48" s="76">
        <v>0</v>
      </c>
      <c r="S48" s="76">
        <v>0</v>
      </c>
      <c r="T48" s="158">
        <v>0</v>
      </c>
      <c r="U48" s="158">
        <v>0</v>
      </c>
      <c r="V48" s="76">
        <v>0</v>
      </c>
      <c r="W48" s="76">
        <v>0</v>
      </c>
      <c r="X48" s="76">
        <v>0</v>
      </c>
      <c r="Y48" s="76">
        <v>0</v>
      </c>
      <c r="Z48" s="76">
        <v>0</v>
      </c>
      <c r="AA48" s="76">
        <v>0</v>
      </c>
      <c r="AB48" s="76">
        <v>0</v>
      </c>
      <c r="AC48" s="76">
        <v>0</v>
      </c>
      <c r="AD48" s="76">
        <v>0</v>
      </c>
      <c r="AE48" s="76">
        <v>0</v>
      </c>
      <c r="AF48" s="76">
        <v>0</v>
      </c>
      <c r="AG48" s="76">
        <v>0</v>
      </c>
      <c r="AH48" s="76">
        <v>0</v>
      </c>
      <c r="AI48" s="76">
        <v>0</v>
      </c>
      <c r="AJ48" s="76">
        <v>0</v>
      </c>
      <c r="AK48" s="76">
        <v>0</v>
      </c>
      <c r="AL48" s="76">
        <v>0</v>
      </c>
      <c r="AM48" s="76">
        <v>0</v>
      </c>
      <c r="AN48" s="76">
        <v>0</v>
      </c>
      <c r="AO48" s="76">
        <v>0</v>
      </c>
      <c r="AP48" s="76">
        <v>0</v>
      </c>
      <c r="AQ48" s="76">
        <v>0</v>
      </c>
      <c r="AR48" s="76">
        <v>0</v>
      </c>
      <c r="AS48" s="76">
        <v>0</v>
      </c>
      <c r="AT48" s="76">
        <v>0</v>
      </c>
      <c r="AU48" s="76">
        <v>0</v>
      </c>
      <c r="AV48" s="76">
        <v>0</v>
      </c>
      <c r="AW48" s="76">
        <v>0</v>
      </c>
      <c r="AX48" s="76">
        <v>0</v>
      </c>
      <c r="AY48" s="76">
        <v>0</v>
      </c>
      <c r="AZ48" s="76">
        <v>0</v>
      </c>
      <c r="BA48" s="76">
        <v>0</v>
      </c>
      <c r="BB48" s="76">
        <v>0</v>
      </c>
      <c r="BC48" s="76">
        <v>0</v>
      </c>
      <c r="BD48" s="76">
        <v>0</v>
      </c>
      <c r="BE48" s="76">
        <v>0</v>
      </c>
      <c r="BF48" s="76">
        <v>0</v>
      </c>
      <c r="BG48" s="76">
        <v>0</v>
      </c>
      <c r="BH48" s="76">
        <v>0</v>
      </c>
      <c r="BI48" s="76">
        <v>0</v>
      </c>
      <c r="BJ48" s="76">
        <v>0</v>
      </c>
      <c r="BK48" s="76">
        <v>0</v>
      </c>
      <c r="BL48" s="76">
        <v>0</v>
      </c>
      <c r="BM48" s="76">
        <v>0</v>
      </c>
      <c r="BN48" s="76">
        <v>0</v>
      </c>
      <c r="BO48" s="76">
        <v>0</v>
      </c>
      <c r="BP48" s="76">
        <v>0</v>
      </c>
      <c r="BQ48" s="76">
        <v>0</v>
      </c>
      <c r="BR48" s="76">
        <v>0</v>
      </c>
    </row>
    <row r="49" spans="1:70" x14ac:dyDescent="0.25">
      <c r="A49" s="74">
        <v>32272712</v>
      </c>
      <c r="B49" s="75">
        <v>4817108</v>
      </c>
      <c r="C49" s="76">
        <v>0</v>
      </c>
      <c r="D49" s="76">
        <v>0</v>
      </c>
      <c r="E49" s="76">
        <v>0</v>
      </c>
      <c r="F49" s="76">
        <v>0</v>
      </c>
      <c r="G49" s="76">
        <v>0</v>
      </c>
      <c r="H49" s="76">
        <v>0</v>
      </c>
      <c r="I49" s="76">
        <v>0</v>
      </c>
      <c r="J49" s="76">
        <v>0</v>
      </c>
      <c r="K49" s="120">
        <v>0</v>
      </c>
      <c r="L49" s="76">
        <v>0</v>
      </c>
      <c r="M49" s="158">
        <v>0</v>
      </c>
      <c r="N49" s="76">
        <v>0</v>
      </c>
      <c r="O49" s="76">
        <v>0</v>
      </c>
      <c r="P49" s="76">
        <v>0</v>
      </c>
      <c r="Q49" s="76">
        <v>0</v>
      </c>
      <c r="R49" s="76">
        <v>0</v>
      </c>
      <c r="S49" s="76">
        <v>0</v>
      </c>
      <c r="T49" s="158">
        <v>0</v>
      </c>
      <c r="U49" s="158">
        <v>0</v>
      </c>
      <c r="V49" s="76">
        <v>0</v>
      </c>
      <c r="W49" s="76">
        <v>0</v>
      </c>
      <c r="X49" s="76">
        <v>0</v>
      </c>
      <c r="Y49" s="76">
        <v>0</v>
      </c>
      <c r="Z49" s="76">
        <v>0</v>
      </c>
      <c r="AA49" s="76">
        <v>0</v>
      </c>
      <c r="AB49" s="76">
        <v>0</v>
      </c>
      <c r="AC49" s="76">
        <v>0</v>
      </c>
      <c r="AD49" s="76">
        <v>0</v>
      </c>
      <c r="AE49" s="76">
        <v>0</v>
      </c>
      <c r="AF49" s="76">
        <v>0</v>
      </c>
      <c r="AG49" s="76">
        <v>0</v>
      </c>
      <c r="AH49" s="76">
        <v>0</v>
      </c>
      <c r="AI49" s="76">
        <v>0</v>
      </c>
      <c r="AJ49" s="76">
        <v>0</v>
      </c>
      <c r="AK49" s="76">
        <v>0</v>
      </c>
      <c r="AL49" s="76">
        <v>0</v>
      </c>
      <c r="AM49" s="76">
        <v>0</v>
      </c>
      <c r="AN49" s="76">
        <v>0</v>
      </c>
      <c r="AO49" s="76">
        <v>0</v>
      </c>
      <c r="AP49" s="76">
        <v>0</v>
      </c>
      <c r="AQ49" s="76">
        <v>0</v>
      </c>
      <c r="AR49" s="76">
        <v>0</v>
      </c>
      <c r="AS49" s="76">
        <v>0</v>
      </c>
      <c r="AT49" s="76">
        <v>0</v>
      </c>
      <c r="AU49" s="76">
        <v>0</v>
      </c>
      <c r="AV49" s="76">
        <v>0</v>
      </c>
      <c r="AW49" s="76">
        <v>0</v>
      </c>
      <c r="AX49" s="76">
        <v>0</v>
      </c>
      <c r="AY49" s="76">
        <v>0</v>
      </c>
      <c r="AZ49" s="76">
        <v>0</v>
      </c>
      <c r="BA49" s="76">
        <v>0</v>
      </c>
      <c r="BB49" s="76">
        <v>0</v>
      </c>
      <c r="BC49" s="76">
        <v>0</v>
      </c>
      <c r="BD49" s="76">
        <v>0</v>
      </c>
      <c r="BE49" s="76">
        <v>0</v>
      </c>
      <c r="BF49" s="76">
        <v>0</v>
      </c>
      <c r="BG49" s="76">
        <v>0</v>
      </c>
      <c r="BH49" s="76">
        <v>0</v>
      </c>
      <c r="BI49" s="76">
        <v>0</v>
      </c>
      <c r="BJ49" s="76">
        <v>0</v>
      </c>
      <c r="BK49" s="76">
        <v>0</v>
      </c>
      <c r="BL49" s="76">
        <v>0</v>
      </c>
      <c r="BM49" s="76">
        <v>0</v>
      </c>
      <c r="BN49" s="76">
        <v>0</v>
      </c>
      <c r="BO49" s="76">
        <v>0</v>
      </c>
      <c r="BP49" s="76">
        <v>0</v>
      </c>
      <c r="BQ49" s="76">
        <v>0</v>
      </c>
      <c r="BR49" s="76">
        <v>0</v>
      </c>
    </row>
    <row r="50" spans="1:70" x14ac:dyDescent="0.25">
      <c r="A50" s="74">
        <v>32272713</v>
      </c>
      <c r="B50" s="75">
        <v>4817111</v>
      </c>
      <c r="C50" s="76">
        <v>0</v>
      </c>
      <c r="D50" s="76">
        <v>0</v>
      </c>
      <c r="E50" s="76">
        <v>0</v>
      </c>
      <c r="F50" s="76">
        <v>0</v>
      </c>
      <c r="G50" s="76">
        <v>0</v>
      </c>
      <c r="H50" s="76">
        <v>0</v>
      </c>
      <c r="I50" s="76">
        <v>0</v>
      </c>
      <c r="J50" s="76">
        <v>0</v>
      </c>
      <c r="K50" s="120">
        <v>0</v>
      </c>
      <c r="L50" s="76">
        <v>0</v>
      </c>
      <c r="M50" s="158">
        <v>0</v>
      </c>
      <c r="N50" s="76">
        <v>0</v>
      </c>
      <c r="O50" s="76">
        <v>0</v>
      </c>
      <c r="P50" s="76">
        <v>0</v>
      </c>
      <c r="Q50" s="76">
        <v>0</v>
      </c>
      <c r="R50" s="76">
        <v>0</v>
      </c>
      <c r="S50" s="76">
        <v>0</v>
      </c>
      <c r="T50" s="158">
        <v>0</v>
      </c>
      <c r="U50" s="158">
        <v>0</v>
      </c>
      <c r="V50" s="76">
        <v>0</v>
      </c>
      <c r="W50" s="76">
        <v>0</v>
      </c>
      <c r="X50" s="76">
        <v>0</v>
      </c>
      <c r="Y50" s="76">
        <v>0</v>
      </c>
      <c r="Z50" s="76">
        <v>0</v>
      </c>
      <c r="AA50" s="76">
        <v>0</v>
      </c>
      <c r="AB50" s="76">
        <v>0</v>
      </c>
      <c r="AC50" s="76">
        <v>0</v>
      </c>
      <c r="AD50" s="76">
        <v>0</v>
      </c>
      <c r="AE50" s="76">
        <v>0</v>
      </c>
      <c r="AF50" s="76">
        <v>0</v>
      </c>
      <c r="AG50" s="76">
        <v>0</v>
      </c>
      <c r="AH50" s="76">
        <v>0</v>
      </c>
      <c r="AI50" s="76">
        <v>0</v>
      </c>
      <c r="AJ50" s="76">
        <v>0</v>
      </c>
      <c r="AK50" s="76">
        <v>0</v>
      </c>
      <c r="AL50" s="76">
        <v>0</v>
      </c>
      <c r="AM50" s="76">
        <v>0</v>
      </c>
      <c r="AN50" s="76">
        <v>0</v>
      </c>
      <c r="AO50" s="76">
        <v>0</v>
      </c>
      <c r="AP50" s="76">
        <v>0</v>
      </c>
      <c r="AQ50" s="76">
        <v>0</v>
      </c>
      <c r="AR50" s="76">
        <v>0</v>
      </c>
      <c r="AS50" s="76">
        <v>0</v>
      </c>
      <c r="AT50" s="76">
        <v>0</v>
      </c>
      <c r="AU50" s="76">
        <v>0</v>
      </c>
      <c r="AV50" s="76">
        <v>0</v>
      </c>
      <c r="AW50" s="76">
        <v>0</v>
      </c>
      <c r="AX50" s="76">
        <v>0</v>
      </c>
      <c r="AY50" s="76">
        <v>0</v>
      </c>
      <c r="AZ50" s="76">
        <v>0</v>
      </c>
      <c r="BA50" s="76">
        <v>0</v>
      </c>
      <c r="BB50" s="76">
        <v>0</v>
      </c>
      <c r="BC50" s="76">
        <v>0</v>
      </c>
      <c r="BD50" s="76">
        <v>0</v>
      </c>
      <c r="BE50" s="76">
        <v>0</v>
      </c>
      <c r="BF50" s="76">
        <v>0</v>
      </c>
      <c r="BG50" s="76">
        <v>0</v>
      </c>
      <c r="BH50" s="76">
        <v>0</v>
      </c>
      <c r="BI50" s="76">
        <v>0</v>
      </c>
      <c r="BJ50" s="76">
        <v>0</v>
      </c>
      <c r="BK50" s="76">
        <v>0</v>
      </c>
      <c r="BL50" s="76">
        <v>0</v>
      </c>
      <c r="BM50" s="76">
        <v>0</v>
      </c>
      <c r="BN50" s="76">
        <v>0</v>
      </c>
      <c r="BO50" s="76">
        <v>0</v>
      </c>
      <c r="BP50" s="76">
        <v>0</v>
      </c>
      <c r="BQ50" s="76">
        <v>40</v>
      </c>
      <c r="BR50" s="76">
        <v>40</v>
      </c>
    </row>
    <row r="51" spans="1:70" x14ac:dyDescent="0.25">
      <c r="A51" s="74">
        <v>32272714</v>
      </c>
      <c r="B51" s="75">
        <v>4817114</v>
      </c>
      <c r="C51" s="76">
        <v>80</v>
      </c>
      <c r="D51" s="76">
        <v>80</v>
      </c>
      <c r="E51" s="76">
        <v>160</v>
      </c>
      <c r="F51" s="76">
        <v>160</v>
      </c>
      <c r="G51" s="76">
        <v>160</v>
      </c>
      <c r="H51" s="76">
        <v>160</v>
      </c>
      <c r="I51" s="76">
        <v>160</v>
      </c>
      <c r="J51" s="76">
        <v>240</v>
      </c>
      <c r="K51" s="120">
        <v>160</v>
      </c>
      <c r="L51" s="76">
        <v>320</v>
      </c>
      <c r="M51" s="158">
        <v>0</v>
      </c>
      <c r="N51" s="76">
        <v>160</v>
      </c>
      <c r="O51" s="76">
        <v>160</v>
      </c>
      <c r="P51" s="76">
        <v>80</v>
      </c>
      <c r="Q51" s="76">
        <v>80</v>
      </c>
      <c r="R51" s="76">
        <v>400</v>
      </c>
      <c r="S51" s="76">
        <v>240</v>
      </c>
      <c r="T51" s="158">
        <v>0</v>
      </c>
      <c r="U51" s="158">
        <v>0</v>
      </c>
      <c r="V51" s="76">
        <v>240</v>
      </c>
      <c r="W51" s="76">
        <v>240</v>
      </c>
      <c r="X51" s="76">
        <v>240</v>
      </c>
      <c r="Y51" s="76">
        <v>160</v>
      </c>
      <c r="Z51" s="76">
        <v>80</v>
      </c>
      <c r="AA51" s="76">
        <v>320</v>
      </c>
      <c r="AB51" s="76">
        <v>80</v>
      </c>
      <c r="AC51" s="76">
        <v>0</v>
      </c>
      <c r="AD51" s="76">
        <v>0</v>
      </c>
      <c r="AE51" s="76">
        <v>80</v>
      </c>
      <c r="AF51" s="76">
        <v>0</v>
      </c>
      <c r="AG51" s="76">
        <v>160</v>
      </c>
      <c r="AH51" s="76">
        <v>0</v>
      </c>
      <c r="AI51" s="76">
        <v>80</v>
      </c>
      <c r="AJ51" s="76">
        <v>240</v>
      </c>
      <c r="AK51" s="76">
        <v>160</v>
      </c>
      <c r="AL51" s="76">
        <v>80</v>
      </c>
      <c r="AM51" s="76">
        <v>160</v>
      </c>
      <c r="AN51" s="76">
        <v>320</v>
      </c>
      <c r="AO51" s="76">
        <v>0</v>
      </c>
      <c r="AP51" s="76">
        <v>160</v>
      </c>
      <c r="AQ51" s="76">
        <v>160</v>
      </c>
      <c r="AR51" s="76">
        <v>240</v>
      </c>
      <c r="AS51" s="76">
        <v>240</v>
      </c>
      <c r="AT51" s="76">
        <v>240</v>
      </c>
      <c r="AU51" s="76">
        <v>240</v>
      </c>
      <c r="AV51" s="76">
        <v>320</v>
      </c>
      <c r="AW51" s="76">
        <v>0</v>
      </c>
      <c r="AX51" s="76">
        <v>0</v>
      </c>
      <c r="AY51" s="76">
        <v>0</v>
      </c>
      <c r="AZ51" s="76">
        <v>0</v>
      </c>
      <c r="BA51" s="76">
        <v>160</v>
      </c>
      <c r="BB51" s="76">
        <v>160</v>
      </c>
      <c r="BC51" s="76">
        <v>160</v>
      </c>
      <c r="BD51" s="76">
        <v>160</v>
      </c>
      <c r="BE51" s="76">
        <v>160</v>
      </c>
      <c r="BF51" s="76">
        <v>160</v>
      </c>
      <c r="BG51" s="76">
        <v>160</v>
      </c>
      <c r="BH51" s="76">
        <v>140</v>
      </c>
      <c r="BI51" s="76">
        <v>140</v>
      </c>
      <c r="BJ51" s="76">
        <v>140</v>
      </c>
      <c r="BK51" s="76">
        <v>140</v>
      </c>
      <c r="BL51" s="76">
        <v>290</v>
      </c>
      <c r="BM51" s="76">
        <v>290</v>
      </c>
      <c r="BN51" s="76">
        <v>290</v>
      </c>
      <c r="BO51" s="76">
        <v>290</v>
      </c>
      <c r="BP51" s="76">
        <v>280</v>
      </c>
      <c r="BQ51" s="76">
        <v>320</v>
      </c>
      <c r="BR51" s="76">
        <v>320</v>
      </c>
    </row>
    <row r="52" spans="1:70" x14ac:dyDescent="0.25">
      <c r="A52" s="74">
        <v>32272715</v>
      </c>
      <c r="B52" s="75">
        <v>4817115</v>
      </c>
      <c r="C52" s="76">
        <v>0</v>
      </c>
      <c r="D52" s="76">
        <v>0</v>
      </c>
      <c r="E52" s="76">
        <v>0</v>
      </c>
      <c r="F52" s="76">
        <v>0</v>
      </c>
      <c r="G52" s="76">
        <v>0</v>
      </c>
      <c r="H52" s="76">
        <v>0</v>
      </c>
      <c r="I52" s="76">
        <v>0</v>
      </c>
      <c r="J52" s="76">
        <v>0</v>
      </c>
      <c r="K52" s="120">
        <v>0</v>
      </c>
      <c r="L52" s="76">
        <v>0</v>
      </c>
      <c r="M52" s="158">
        <v>0</v>
      </c>
      <c r="N52" s="76">
        <v>0</v>
      </c>
      <c r="O52" s="76">
        <v>0</v>
      </c>
      <c r="P52" s="76">
        <v>0</v>
      </c>
      <c r="Q52" s="76">
        <v>0</v>
      </c>
      <c r="R52" s="76">
        <v>0</v>
      </c>
      <c r="S52" s="76">
        <v>0</v>
      </c>
      <c r="T52" s="158">
        <v>0</v>
      </c>
      <c r="U52" s="158">
        <v>0</v>
      </c>
      <c r="V52" s="76">
        <v>0</v>
      </c>
      <c r="W52" s="76">
        <v>0</v>
      </c>
      <c r="X52" s="76">
        <v>0</v>
      </c>
      <c r="Y52" s="76">
        <v>0</v>
      </c>
      <c r="Z52" s="76">
        <v>0</v>
      </c>
      <c r="AA52" s="76">
        <v>0</v>
      </c>
      <c r="AB52" s="76">
        <v>0</v>
      </c>
      <c r="AC52" s="76">
        <v>0</v>
      </c>
      <c r="AD52" s="76">
        <v>0</v>
      </c>
      <c r="AE52" s="76">
        <v>0</v>
      </c>
      <c r="AF52" s="76">
        <v>0</v>
      </c>
      <c r="AG52" s="76">
        <v>0</v>
      </c>
      <c r="AH52" s="76">
        <v>0</v>
      </c>
      <c r="AI52" s="76">
        <v>0</v>
      </c>
      <c r="AJ52" s="76">
        <v>0</v>
      </c>
      <c r="AK52" s="76">
        <v>0</v>
      </c>
      <c r="AL52" s="76">
        <v>0</v>
      </c>
      <c r="AM52" s="76">
        <v>0</v>
      </c>
      <c r="AN52" s="76">
        <v>0</v>
      </c>
      <c r="AO52" s="76">
        <v>0</v>
      </c>
      <c r="AP52" s="76">
        <v>0</v>
      </c>
      <c r="AQ52" s="76">
        <v>0</v>
      </c>
      <c r="AR52" s="76">
        <v>0</v>
      </c>
      <c r="AS52" s="76">
        <v>0</v>
      </c>
      <c r="AT52" s="76">
        <v>0</v>
      </c>
      <c r="AU52" s="76">
        <v>0</v>
      </c>
      <c r="AV52" s="76">
        <v>0</v>
      </c>
      <c r="AW52" s="76">
        <v>0</v>
      </c>
      <c r="AX52" s="76">
        <v>0</v>
      </c>
      <c r="AY52" s="76">
        <v>0</v>
      </c>
      <c r="AZ52" s="76">
        <v>0</v>
      </c>
      <c r="BA52" s="76">
        <v>0</v>
      </c>
      <c r="BB52" s="76">
        <v>0</v>
      </c>
      <c r="BC52" s="76">
        <v>0</v>
      </c>
      <c r="BD52" s="76">
        <v>0</v>
      </c>
      <c r="BE52" s="76">
        <v>0</v>
      </c>
      <c r="BF52" s="76">
        <v>0</v>
      </c>
      <c r="BG52" s="76">
        <v>0</v>
      </c>
      <c r="BH52" s="76">
        <v>0</v>
      </c>
      <c r="BI52" s="76">
        <v>0</v>
      </c>
      <c r="BJ52" s="76">
        <v>0</v>
      </c>
      <c r="BK52" s="76">
        <v>0</v>
      </c>
      <c r="BL52" s="76">
        <v>20</v>
      </c>
      <c r="BM52" s="76">
        <v>20</v>
      </c>
      <c r="BN52" s="76">
        <v>20</v>
      </c>
      <c r="BO52" s="76">
        <v>20</v>
      </c>
      <c r="BP52" s="76">
        <v>0</v>
      </c>
      <c r="BQ52" s="76">
        <v>0</v>
      </c>
      <c r="BR52" s="76">
        <v>0</v>
      </c>
    </row>
    <row r="53" spans="1:70" x14ac:dyDescent="0.25">
      <c r="A53" s="74">
        <v>32272716</v>
      </c>
      <c r="B53" s="75">
        <v>4817124</v>
      </c>
      <c r="C53" s="76">
        <v>1520</v>
      </c>
      <c r="D53" s="76">
        <v>320</v>
      </c>
      <c r="E53" s="76">
        <v>640</v>
      </c>
      <c r="F53" s="76">
        <v>400</v>
      </c>
      <c r="G53" s="76">
        <v>480</v>
      </c>
      <c r="H53" s="76">
        <v>560</v>
      </c>
      <c r="I53" s="76">
        <v>560</v>
      </c>
      <c r="J53" s="76">
        <v>480</v>
      </c>
      <c r="K53" s="120">
        <v>640</v>
      </c>
      <c r="L53" s="76">
        <v>1120</v>
      </c>
      <c r="M53" s="158">
        <v>0</v>
      </c>
      <c r="N53" s="76">
        <v>640</v>
      </c>
      <c r="O53" s="76">
        <v>400</v>
      </c>
      <c r="P53" s="76">
        <v>320</v>
      </c>
      <c r="Q53" s="76">
        <v>240</v>
      </c>
      <c r="R53" s="76">
        <v>800</v>
      </c>
      <c r="S53" s="76">
        <v>1040</v>
      </c>
      <c r="T53" s="158">
        <v>0</v>
      </c>
      <c r="U53" s="158">
        <v>0</v>
      </c>
      <c r="V53" s="76">
        <v>960</v>
      </c>
      <c r="W53" s="76">
        <v>800</v>
      </c>
      <c r="X53" s="76">
        <v>960</v>
      </c>
      <c r="Y53" s="76">
        <v>880</v>
      </c>
      <c r="Z53" s="76">
        <v>880</v>
      </c>
      <c r="AA53" s="76">
        <v>880</v>
      </c>
      <c r="AB53" s="76">
        <v>880</v>
      </c>
      <c r="AC53" s="76">
        <v>480</v>
      </c>
      <c r="AD53" s="76">
        <v>400</v>
      </c>
      <c r="AE53" s="76">
        <v>320</v>
      </c>
      <c r="AF53" s="76">
        <v>160</v>
      </c>
      <c r="AG53" s="76">
        <v>1040</v>
      </c>
      <c r="AH53" s="76">
        <v>0</v>
      </c>
      <c r="AI53" s="76">
        <v>640</v>
      </c>
      <c r="AJ53" s="76">
        <v>1040</v>
      </c>
      <c r="AK53" s="76">
        <v>560</v>
      </c>
      <c r="AL53" s="76">
        <v>880</v>
      </c>
      <c r="AM53" s="76">
        <v>400</v>
      </c>
      <c r="AN53" s="76">
        <v>1200</v>
      </c>
      <c r="AO53" s="76">
        <v>0</v>
      </c>
      <c r="AP53" s="76">
        <v>720</v>
      </c>
      <c r="AQ53" s="76">
        <v>640</v>
      </c>
      <c r="AR53" s="76">
        <v>720</v>
      </c>
      <c r="AS53" s="76">
        <v>880</v>
      </c>
      <c r="AT53" s="76">
        <v>1040</v>
      </c>
      <c r="AU53" s="76">
        <v>720</v>
      </c>
      <c r="AV53" s="76">
        <v>1120</v>
      </c>
      <c r="AW53" s="76">
        <v>0</v>
      </c>
      <c r="AX53" s="76">
        <v>0</v>
      </c>
      <c r="AY53" s="76">
        <v>0</v>
      </c>
      <c r="AZ53" s="76">
        <v>0</v>
      </c>
      <c r="BA53" s="76">
        <v>560</v>
      </c>
      <c r="BB53" s="76">
        <v>480</v>
      </c>
      <c r="BC53" s="76">
        <v>560</v>
      </c>
      <c r="BD53" s="76">
        <v>560</v>
      </c>
      <c r="BE53" s="76">
        <v>560</v>
      </c>
      <c r="BF53" s="76">
        <v>560</v>
      </c>
      <c r="BG53" s="76">
        <v>560</v>
      </c>
      <c r="BH53" s="76">
        <v>420</v>
      </c>
      <c r="BI53" s="76">
        <v>420</v>
      </c>
      <c r="BJ53" s="76">
        <v>420</v>
      </c>
      <c r="BK53" s="76">
        <v>420</v>
      </c>
      <c r="BL53" s="76">
        <v>530</v>
      </c>
      <c r="BM53" s="76">
        <v>530</v>
      </c>
      <c r="BN53" s="76">
        <v>530</v>
      </c>
      <c r="BO53" s="76">
        <v>530</v>
      </c>
      <c r="BP53" s="76">
        <v>520</v>
      </c>
      <c r="BQ53" s="76">
        <v>960</v>
      </c>
      <c r="BR53" s="76">
        <v>960</v>
      </c>
    </row>
    <row r="54" spans="1:70" x14ac:dyDescent="0.25">
      <c r="A54" s="74">
        <v>32272717</v>
      </c>
      <c r="B54" s="75">
        <v>4817125</v>
      </c>
      <c r="C54" s="76">
        <v>0</v>
      </c>
      <c r="D54" s="76">
        <v>0</v>
      </c>
      <c r="E54" s="76">
        <v>0</v>
      </c>
      <c r="F54" s="76">
        <v>0</v>
      </c>
      <c r="G54" s="76">
        <v>0</v>
      </c>
      <c r="H54" s="76">
        <v>0</v>
      </c>
      <c r="I54" s="76">
        <v>0</v>
      </c>
      <c r="J54" s="76">
        <v>0</v>
      </c>
      <c r="K54" s="120">
        <v>0</v>
      </c>
      <c r="L54" s="76">
        <v>0</v>
      </c>
      <c r="M54" s="158">
        <v>0</v>
      </c>
      <c r="N54" s="76">
        <v>0</v>
      </c>
      <c r="O54" s="76">
        <v>0</v>
      </c>
      <c r="P54" s="76">
        <v>0</v>
      </c>
      <c r="Q54" s="76">
        <v>0</v>
      </c>
      <c r="R54" s="76">
        <v>0</v>
      </c>
      <c r="S54" s="76">
        <v>0</v>
      </c>
      <c r="T54" s="158">
        <v>0</v>
      </c>
      <c r="U54" s="158">
        <v>0</v>
      </c>
      <c r="V54" s="76">
        <v>0</v>
      </c>
      <c r="W54" s="76">
        <v>0</v>
      </c>
      <c r="X54" s="76">
        <v>0</v>
      </c>
      <c r="Y54" s="76">
        <v>0</v>
      </c>
      <c r="Z54" s="76">
        <v>0</v>
      </c>
      <c r="AA54" s="76">
        <v>0</v>
      </c>
      <c r="AB54" s="76">
        <v>0</v>
      </c>
      <c r="AC54" s="76">
        <v>0</v>
      </c>
      <c r="AD54" s="76">
        <v>0</v>
      </c>
      <c r="AE54" s="76">
        <v>0</v>
      </c>
      <c r="AF54" s="76">
        <v>0</v>
      </c>
      <c r="AG54" s="76">
        <v>0</v>
      </c>
      <c r="AH54" s="76">
        <v>0</v>
      </c>
      <c r="AI54" s="76">
        <v>0</v>
      </c>
      <c r="AJ54" s="76">
        <v>0</v>
      </c>
      <c r="AK54" s="76">
        <v>0</v>
      </c>
      <c r="AL54" s="76">
        <v>0</v>
      </c>
      <c r="AM54" s="76">
        <v>0</v>
      </c>
      <c r="AN54" s="76">
        <v>0</v>
      </c>
      <c r="AO54" s="76">
        <v>0</v>
      </c>
      <c r="AP54" s="76">
        <v>0</v>
      </c>
      <c r="AQ54" s="76">
        <v>0</v>
      </c>
      <c r="AR54" s="76">
        <v>0</v>
      </c>
      <c r="AS54" s="76">
        <v>0</v>
      </c>
      <c r="AT54" s="76">
        <v>0</v>
      </c>
      <c r="AU54" s="76">
        <v>0</v>
      </c>
      <c r="AV54" s="76">
        <v>0</v>
      </c>
      <c r="AW54" s="76">
        <v>0</v>
      </c>
      <c r="AX54" s="76">
        <v>0</v>
      </c>
      <c r="AY54" s="76">
        <v>0</v>
      </c>
      <c r="AZ54" s="76">
        <v>0</v>
      </c>
      <c r="BA54" s="76">
        <v>0</v>
      </c>
      <c r="BB54" s="76">
        <v>0</v>
      </c>
      <c r="BC54" s="76">
        <v>0</v>
      </c>
      <c r="BD54" s="76">
        <v>0</v>
      </c>
      <c r="BE54" s="76">
        <v>0</v>
      </c>
      <c r="BF54" s="76">
        <v>0</v>
      </c>
      <c r="BG54" s="76">
        <v>0</v>
      </c>
      <c r="BH54" s="76">
        <v>0</v>
      </c>
      <c r="BI54" s="76">
        <v>0</v>
      </c>
      <c r="BJ54" s="76">
        <v>0</v>
      </c>
      <c r="BK54" s="76">
        <v>0</v>
      </c>
      <c r="BL54" s="76">
        <v>20</v>
      </c>
      <c r="BM54" s="76">
        <v>20</v>
      </c>
      <c r="BN54" s="76">
        <v>20</v>
      </c>
      <c r="BO54" s="76">
        <v>20</v>
      </c>
      <c r="BP54" s="76">
        <v>0</v>
      </c>
      <c r="BQ54" s="76">
        <v>40</v>
      </c>
      <c r="BR54" s="76">
        <v>40</v>
      </c>
    </row>
    <row r="55" spans="1:70" x14ac:dyDescent="0.25">
      <c r="A55" s="74">
        <v>32272718</v>
      </c>
      <c r="B55" s="75">
        <v>4817129</v>
      </c>
      <c r="C55" s="76">
        <v>0</v>
      </c>
      <c r="D55" s="76">
        <v>0</v>
      </c>
      <c r="E55" s="76">
        <v>320</v>
      </c>
      <c r="F55" s="76">
        <v>240</v>
      </c>
      <c r="G55" s="76">
        <v>80</v>
      </c>
      <c r="H55" s="76">
        <v>80</v>
      </c>
      <c r="I55" s="76">
        <v>160</v>
      </c>
      <c r="J55" s="76">
        <v>80</v>
      </c>
      <c r="K55" s="120">
        <v>160</v>
      </c>
      <c r="L55" s="76">
        <v>240</v>
      </c>
      <c r="M55" s="158">
        <v>0</v>
      </c>
      <c r="N55" s="76">
        <v>160</v>
      </c>
      <c r="O55" s="76">
        <v>160</v>
      </c>
      <c r="P55" s="76">
        <v>240</v>
      </c>
      <c r="Q55" s="76">
        <v>80</v>
      </c>
      <c r="R55" s="76">
        <v>80</v>
      </c>
      <c r="S55" s="76">
        <v>240</v>
      </c>
      <c r="T55" s="158">
        <v>0</v>
      </c>
      <c r="U55" s="158">
        <v>0</v>
      </c>
      <c r="V55" s="76">
        <v>240</v>
      </c>
      <c r="W55" s="76">
        <v>160</v>
      </c>
      <c r="X55" s="76">
        <v>80</v>
      </c>
      <c r="Y55" s="76">
        <v>80</v>
      </c>
      <c r="Z55" s="76">
        <v>80</v>
      </c>
      <c r="AA55" s="76">
        <v>0</v>
      </c>
      <c r="AB55" s="76">
        <v>160</v>
      </c>
      <c r="AC55" s="76">
        <v>160</v>
      </c>
      <c r="AD55" s="76">
        <v>80</v>
      </c>
      <c r="AE55" s="76">
        <v>160</v>
      </c>
      <c r="AF55" s="76">
        <v>80</v>
      </c>
      <c r="AG55" s="76">
        <v>160</v>
      </c>
      <c r="AH55" s="76">
        <v>0</v>
      </c>
      <c r="AI55" s="76">
        <v>160</v>
      </c>
      <c r="AJ55" s="76">
        <v>160</v>
      </c>
      <c r="AK55" s="76">
        <v>160</v>
      </c>
      <c r="AL55" s="76">
        <v>80</v>
      </c>
      <c r="AM55" s="76">
        <v>0</v>
      </c>
      <c r="AN55" s="76">
        <v>160</v>
      </c>
      <c r="AO55" s="76">
        <v>0</v>
      </c>
      <c r="AP55" s="76">
        <v>160</v>
      </c>
      <c r="AQ55" s="76">
        <v>80</v>
      </c>
      <c r="AR55" s="76">
        <v>160</v>
      </c>
      <c r="AS55" s="76">
        <v>160</v>
      </c>
      <c r="AT55" s="76">
        <v>80</v>
      </c>
      <c r="AU55" s="76">
        <v>160</v>
      </c>
      <c r="AV55" s="76">
        <v>240</v>
      </c>
      <c r="AW55" s="76">
        <v>0</v>
      </c>
      <c r="AX55" s="76">
        <v>0</v>
      </c>
      <c r="AY55" s="76">
        <v>0</v>
      </c>
      <c r="AZ55" s="76">
        <v>0</v>
      </c>
      <c r="BA55" s="76">
        <v>80</v>
      </c>
      <c r="BB55" s="76">
        <v>160</v>
      </c>
      <c r="BC55" s="76">
        <v>80</v>
      </c>
      <c r="BD55" s="76">
        <v>80</v>
      </c>
      <c r="BE55" s="76">
        <v>80</v>
      </c>
      <c r="BF55" s="76">
        <v>80</v>
      </c>
      <c r="BG55" s="76">
        <v>80</v>
      </c>
      <c r="BH55" s="76">
        <v>60</v>
      </c>
      <c r="BI55" s="76">
        <v>60</v>
      </c>
      <c r="BJ55" s="76">
        <v>60</v>
      </c>
      <c r="BK55" s="76">
        <v>60</v>
      </c>
      <c r="BL55" s="76">
        <v>80</v>
      </c>
      <c r="BM55" s="76">
        <v>80</v>
      </c>
      <c r="BN55" s="76">
        <v>80</v>
      </c>
      <c r="BO55" s="76">
        <v>80</v>
      </c>
      <c r="BP55" s="76">
        <v>80</v>
      </c>
      <c r="BQ55" s="76">
        <v>80</v>
      </c>
      <c r="BR55" s="76">
        <v>80</v>
      </c>
    </row>
    <row r="56" spans="1:70" x14ac:dyDescent="0.25">
      <c r="A56" s="74">
        <v>32272719</v>
      </c>
      <c r="B56" s="75">
        <v>4817130</v>
      </c>
      <c r="C56" s="76">
        <v>80</v>
      </c>
      <c r="D56" s="76">
        <v>0</v>
      </c>
      <c r="E56" s="76">
        <v>80</v>
      </c>
      <c r="F56" s="76">
        <v>0</v>
      </c>
      <c r="G56" s="76">
        <v>80</v>
      </c>
      <c r="H56" s="76">
        <v>0</v>
      </c>
      <c r="I56" s="76">
        <v>0</v>
      </c>
      <c r="J56" s="76">
        <v>0</v>
      </c>
      <c r="K56" s="120">
        <v>80</v>
      </c>
      <c r="L56" s="76">
        <v>0</v>
      </c>
      <c r="M56" s="158">
        <v>0</v>
      </c>
      <c r="N56" s="76">
        <v>80</v>
      </c>
      <c r="O56" s="76">
        <v>0</v>
      </c>
      <c r="P56" s="76">
        <v>80</v>
      </c>
      <c r="Q56" s="76">
        <v>0</v>
      </c>
      <c r="R56" s="76">
        <v>0</v>
      </c>
      <c r="S56" s="76">
        <v>160</v>
      </c>
      <c r="T56" s="158">
        <v>0</v>
      </c>
      <c r="U56" s="158">
        <v>0</v>
      </c>
      <c r="V56" s="76">
        <v>80</v>
      </c>
      <c r="W56" s="76">
        <v>80</v>
      </c>
      <c r="X56" s="76">
        <v>160</v>
      </c>
      <c r="Y56" s="76">
        <v>160</v>
      </c>
      <c r="Z56" s="76">
        <v>80</v>
      </c>
      <c r="AA56" s="76">
        <v>80</v>
      </c>
      <c r="AB56" s="76">
        <v>140</v>
      </c>
      <c r="AC56" s="76">
        <v>160</v>
      </c>
      <c r="AD56" s="76">
        <v>160</v>
      </c>
      <c r="AE56" s="76">
        <v>80</v>
      </c>
      <c r="AF56" s="76">
        <v>80</v>
      </c>
      <c r="AG56" s="76">
        <v>240</v>
      </c>
      <c r="AH56" s="76">
        <v>0</v>
      </c>
      <c r="AI56" s="76">
        <v>400</v>
      </c>
      <c r="AJ56" s="76">
        <v>240</v>
      </c>
      <c r="AK56" s="76">
        <v>160</v>
      </c>
      <c r="AL56" s="76">
        <v>80</v>
      </c>
      <c r="AM56" s="76">
        <v>0</v>
      </c>
      <c r="AN56" s="76">
        <v>160</v>
      </c>
      <c r="AO56" s="76">
        <v>0</v>
      </c>
      <c r="AP56" s="76">
        <v>80</v>
      </c>
      <c r="AQ56" s="76">
        <v>80</v>
      </c>
      <c r="AR56" s="76">
        <v>80</v>
      </c>
      <c r="AS56" s="76">
        <v>0</v>
      </c>
      <c r="AT56" s="76">
        <v>80</v>
      </c>
      <c r="AU56" s="76">
        <v>0</v>
      </c>
      <c r="AV56" s="76">
        <v>80</v>
      </c>
      <c r="AW56" s="76">
        <v>0</v>
      </c>
      <c r="AX56" s="76">
        <v>0</v>
      </c>
      <c r="AY56" s="76">
        <v>0</v>
      </c>
      <c r="AZ56" s="76">
        <v>0</v>
      </c>
      <c r="BA56" s="76">
        <v>80</v>
      </c>
      <c r="BB56" s="76">
        <v>0</v>
      </c>
      <c r="BC56" s="76">
        <v>80</v>
      </c>
      <c r="BD56" s="76">
        <v>20</v>
      </c>
      <c r="BE56" s="76">
        <v>20</v>
      </c>
      <c r="BF56" s="76">
        <v>20</v>
      </c>
      <c r="BG56" s="76">
        <v>20</v>
      </c>
      <c r="BH56" s="76">
        <v>40</v>
      </c>
      <c r="BI56" s="76">
        <v>40</v>
      </c>
      <c r="BJ56" s="76">
        <v>40</v>
      </c>
      <c r="BK56" s="76">
        <v>40</v>
      </c>
      <c r="BL56" s="76">
        <v>50</v>
      </c>
      <c r="BM56" s="76">
        <v>50</v>
      </c>
      <c r="BN56" s="76">
        <v>50</v>
      </c>
      <c r="BO56" s="76">
        <v>50</v>
      </c>
      <c r="BP56" s="76">
        <v>40</v>
      </c>
      <c r="BQ56" s="76">
        <v>40</v>
      </c>
      <c r="BR56" s="76">
        <v>40</v>
      </c>
    </row>
    <row r="57" spans="1:70" x14ac:dyDescent="0.25">
      <c r="A57" s="74">
        <v>32272720</v>
      </c>
      <c r="B57" s="75">
        <v>4817131</v>
      </c>
      <c r="C57" s="76">
        <v>240</v>
      </c>
      <c r="D57" s="76">
        <v>240</v>
      </c>
      <c r="E57" s="76">
        <v>720</v>
      </c>
      <c r="F57" s="76">
        <v>640</v>
      </c>
      <c r="G57" s="76">
        <v>560</v>
      </c>
      <c r="H57" s="76">
        <v>400</v>
      </c>
      <c r="I57" s="76">
        <v>480</v>
      </c>
      <c r="J57" s="76">
        <v>400</v>
      </c>
      <c r="K57" s="120">
        <v>480</v>
      </c>
      <c r="L57" s="76">
        <v>800</v>
      </c>
      <c r="M57" s="158">
        <v>0</v>
      </c>
      <c r="N57" s="76">
        <v>400</v>
      </c>
      <c r="O57" s="76">
        <v>320</v>
      </c>
      <c r="P57" s="76">
        <v>400</v>
      </c>
      <c r="Q57" s="76">
        <v>560</v>
      </c>
      <c r="R57" s="76">
        <v>560</v>
      </c>
      <c r="S57" s="76">
        <v>560</v>
      </c>
      <c r="T57" s="158">
        <v>0</v>
      </c>
      <c r="U57" s="158">
        <v>0</v>
      </c>
      <c r="V57" s="76">
        <v>640</v>
      </c>
      <c r="W57" s="76">
        <v>640</v>
      </c>
      <c r="X57" s="76">
        <v>560</v>
      </c>
      <c r="Y57" s="76">
        <v>640</v>
      </c>
      <c r="Z57" s="76">
        <v>560</v>
      </c>
      <c r="AA57" s="76">
        <v>480</v>
      </c>
      <c r="AB57" s="76">
        <v>400</v>
      </c>
      <c r="AC57" s="76">
        <v>720</v>
      </c>
      <c r="AD57" s="76">
        <v>800</v>
      </c>
      <c r="AE57" s="76">
        <v>800</v>
      </c>
      <c r="AF57" s="76">
        <v>400</v>
      </c>
      <c r="AG57" s="76">
        <v>1440</v>
      </c>
      <c r="AH57" s="76">
        <v>0</v>
      </c>
      <c r="AI57" s="76">
        <v>560</v>
      </c>
      <c r="AJ57" s="76">
        <v>560</v>
      </c>
      <c r="AK57" s="76">
        <v>240</v>
      </c>
      <c r="AL57" s="76">
        <v>240</v>
      </c>
      <c r="AM57" s="76">
        <v>160</v>
      </c>
      <c r="AN57" s="76">
        <v>640</v>
      </c>
      <c r="AO57" s="76">
        <v>0</v>
      </c>
      <c r="AP57" s="76">
        <v>560</v>
      </c>
      <c r="AQ57" s="76">
        <v>560</v>
      </c>
      <c r="AR57" s="76">
        <v>720</v>
      </c>
      <c r="AS57" s="76">
        <v>560</v>
      </c>
      <c r="AT57" s="76">
        <v>720</v>
      </c>
      <c r="AU57" s="76">
        <v>560</v>
      </c>
      <c r="AV57" s="76">
        <v>960</v>
      </c>
      <c r="AW57" s="76">
        <v>0</v>
      </c>
      <c r="AX57" s="76">
        <v>0</v>
      </c>
      <c r="AY57" s="76">
        <v>0</v>
      </c>
      <c r="AZ57" s="76">
        <v>0</v>
      </c>
      <c r="BA57" s="76">
        <v>480</v>
      </c>
      <c r="BB57" s="76">
        <v>400</v>
      </c>
      <c r="BC57" s="76">
        <v>480</v>
      </c>
      <c r="BD57" s="76">
        <v>540</v>
      </c>
      <c r="BE57" s="76">
        <v>540</v>
      </c>
      <c r="BF57" s="76">
        <v>540</v>
      </c>
      <c r="BG57" s="76">
        <v>540</v>
      </c>
      <c r="BH57" s="76">
        <v>460</v>
      </c>
      <c r="BI57" s="76">
        <v>460</v>
      </c>
      <c r="BJ57" s="76">
        <v>460</v>
      </c>
      <c r="BK57" s="76">
        <v>460</v>
      </c>
      <c r="BL57" s="76">
        <v>470</v>
      </c>
      <c r="BM57" s="76">
        <v>470</v>
      </c>
      <c r="BN57" s="76">
        <v>470</v>
      </c>
      <c r="BO57" s="76">
        <v>470</v>
      </c>
      <c r="BP57" s="76">
        <v>440</v>
      </c>
      <c r="BQ57" s="76">
        <v>480</v>
      </c>
      <c r="BR57" s="76">
        <v>480</v>
      </c>
    </row>
    <row r="58" spans="1:70" x14ac:dyDescent="0.25">
      <c r="A58" s="74">
        <v>32272721</v>
      </c>
      <c r="B58" s="75">
        <v>4817133</v>
      </c>
      <c r="C58" s="76">
        <v>0</v>
      </c>
      <c r="D58" s="76">
        <v>0</v>
      </c>
      <c r="E58" s="76">
        <v>0</v>
      </c>
      <c r="F58" s="76">
        <v>0</v>
      </c>
      <c r="G58" s="76">
        <v>0</v>
      </c>
      <c r="H58" s="76">
        <v>0</v>
      </c>
      <c r="I58" s="76">
        <v>0</v>
      </c>
      <c r="J58" s="76">
        <v>0</v>
      </c>
      <c r="K58" s="120">
        <v>0</v>
      </c>
      <c r="L58" s="76">
        <v>0</v>
      </c>
      <c r="M58" s="158">
        <v>0</v>
      </c>
      <c r="N58" s="76">
        <v>0</v>
      </c>
      <c r="O58" s="76">
        <v>0</v>
      </c>
      <c r="P58" s="76">
        <v>0</v>
      </c>
      <c r="Q58" s="76">
        <v>0</v>
      </c>
      <c r="R58" s="76">
        <v>0</v>
      </c>
      <c r="S58" s="76">
        <v>0</v>
      </c>
      <c r="T58" s="158">
        <v>0</v>
      </c>
      <c r="U58" s="158">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c r="AN58" s="76">
        <v>0</v>
      </c>
      <c r="AO58" s="76">
        <v>0</v>
      </c>
      <c r="AP58" s="76">
        <v>0</v>
      </c>
      <c r="AQ58" s="76">
        <v>0</v>
      </c>
      <c r="AR58" s="76">
        <v>0</v>
      </c>
      <c r="AS58" s="76">
        <v>0</v>
      </c>
      <c r="AT58" s="76">
        <v>0</v>
      </c>
      <c r="AU58" s="76">
        <v>0</v>
      </c>
      <c r="AV58" s="76">
        <v>0</v>
      </c>
      <c r="AW58" s="76">
        <v>0</v>
      </c>
      <c r="AX58" s="76">
        <v>0</v>
      </c>
      <c r="AY58" s="76">
        <v>0</v>
      </c>
      <c r="AZ58" s="76">
        <v>0</v>
      </c>
      <c r="BA58" s="76">
        <v>0</v>
      </c>
      <c r="BB58" s="76">
        <v>0</v>
      </c>
      <c r="BC58" s="76">
        <v>0</v>
      </c>
      <c r="BD58" s="76">
        <v>0</v>
      </c>
      <c r="BE58" s="76">
        <v>0</v>
      </c>
      <c r="BF58" s="76">
        <v>0</v>
      </c>
      <c r="BG58" s="76">
        <v>0</v>
      </c>
      <c r="BH58" s="76">
        <v>0</v>
      </c>
      <c r="BI58" s="76">
        <v>0</v>
      </c>
      <c r="BJ58" s="76">
        <v>0</v>
      </c>
      <c r="BK58" s="76">
        <v>0</v>
      </c>
      <c r="BL58" s="76">
        <v>0</v>
      </c>
      <c r="BM58" s="76">
        <v>0</v>
      </c>
      <c r="BN58" s="76">
        <v>0</v>
      </c>
      <c r="BO58" s="76">
        <v>0</v>
      </c>
      <c r="BP58" s="76">
        <v>0</v>
      </c>
      <c r="BQ58" s="76">
        <v>0</v>
      </c>
      <c r="BR58" s="76">
        <v>0</v>
      </c>
    </row>
    <row r="59" spans="1:70" x14ac:dyDescent="0.25">
      <c r="A59" s="74">
        <v>32272722</v>
      </c>
      <c r="B59" s="75">
        <v>4817134</v>
      </c>
      <c r="C59" s="76">
        <v>880</v>
      </c>
      <c r="D59" s="76">
        <v>1200</v>
      </c>
      <c r="E59" s="76">
        <v>1440</v>
      </c>
      <c r="F59" s="76">
        <v>1280</v>
      </c>
      <c r="G59" s="76">
        <v>1280</v>
      </c>
      <c r="H59" s="76">
        <v>1200</v>
      </c>
      <c r="I59" s="76">
        <v>1120</v>
      </c>
      <c r="J59" s="76">
        <v>960</v>
      </c>
      <c r="K59" s="120">
        <v>1520</v>
      </c>
      <c r="L59" s="76">
        <v>1600</v>
      </c>
      <c r="M59" s="158">
        <v>0</v>
      </c>
      <c r="N59" s="76">
        <v>1200</v>
      </c>
      <c r="O59" s="76">
        <v>1280</v>
      </c>
      <c r="P59" s="76">
        <v>1600</v>
      </c>
      <c r="Q59" s="76">
        <v>1520</v>
      </c>
      <c r="R59" s="76">
        <v>1120</v>
      </c>
      <c r="S59" s="76">
        <v>1200</v>
      </c>
      <c r="T59" s="158">
        <v>0</v>
      </c>
      <c r="U59" s="158">
        <v>0</v>
      </c>
      <c r="V59" s="76">
        <v>1040</v>
      </c>
      <c r="W59" s="76">
        <v>800</v>
      </c>
      <c r="X59" s="76">
        <v>1040</v>
      </c>
      <c r="Y59" s="76">
        <v>1280</v>
      </c>
      <c r="Z59" s="76">
        <v>1120</v>
      </c>
      <c r="AA59" s="76">
        <v>1120</v>
      </c>
      <c r="AB59" s="76">
        <v>1120</v>
      </c>
      <c r="AC59" s="76">
        <v>1360</v>
      </c>
      <c r="AD59" s="76">
        <v>1280</v>
      </c>
      <c r="AE59" s="76">
        <v>1120</v>
      </c>
      <c r="AF59" s="76">
        <v>560</v>
      </c>
      <c r="AG59" s="76">
        <v>2400</v>
      </c>
      <c r="AH59" s="76">
        <v>0</v>
      </c>
      <c r="AI59" s="76">
        <v>1120</v>
      </c>
      <c r="AJ59" s="76">
        <v>1040</v>
      </c>
      <c r="AK59" s="76">
        <v>880</v>
      </c>
      <c r="AL59" s="76">
        <v>1440</v>
      </c>
      <c r="AM59" s="76">
        <v>880</v>
      </c>
      <c r="AN59" s="76">
        <v>2560</v>
      </c>
      <c r="AO59" s="76">
        <v>0</v>
      </c>
      <c r="AP59" s="76">
        <v>1280</v>
      </c>
      <c r="AQ59" s="76">
        <v>1520</v>
      </c>
      <c r="AR59" s="76">
        <v>1440</v>
      </c>
      <c r="AS59" s="76">
        <v>960</v>
      </c>
      <c r="AT59" s="76">
        <v>1120</v>
      </c>
      <c r="AU59" s="76">
        <v>960</v>
      </c>
      <c r="AV59" s="76">
        <v>1840</v>
      </c>
      <c r="AW59" s="76">
        <v>0</v>
      </c>
      <c r="AX59" s="76">
        <v>0</v>
      </c>
      <c r="AY59" s="76">
        <v>0</v>
      </c>
      <c r="AZ59" s="76">
        <v>0</v>
      </c>
      <c r="BA59" s="76">
        <v>1040</v>
      </c>
      <c r="BB59" s="76">
        <v>1120</v>
      </c>
      <c r="BC59" s="76">
        <v>1120</v>
      </c>
      <c r="BD59" s="76">
        <v>1100</v>
      </c>
      <c r="BE59" s="76">
        <v>1100</v>
      </c>
      <c r="BF59" s="76">
        <v>1100</v>
      </c>
      <c r="BG59" s="76">
        <v>1100</v>
      </c>
      <c r="BH59" s="76">
        <v>820</v>
      </c>
      <c r="BI59" s="76">
        <v>820</v>
      </c>
      <c r="BJ59" s="76">
        <v>820</v>
      </c>
      <c r="BK59" s="76">
        <v>820</v>
      </c>
      <c r="BL59" s="76">
        <v>960</v>
      </c>
      <c r="BM59" s="76">
        <v>960</v>
      </c>
      <c r="BN59" s="76">
        <v>960</v>
      </c>
      <c r="BO59" s="76">
        <v>960</v>
      </c>
      <c r="BP59" s="76">
        <v>960</v>
      </c>
      <c r="BQ59" s="76">
        <v>920</v>
      </c>
      <c r="BR59" s="76">
        <v>920</v>
      </c>
    </row>
    <row r="60" spans="1:70" x14ac:dyDescent="0.25">
      <c r="A60" s="74">
        <v>32272723</v>
      </c>
      <c r="B60" s="75">
        <v>4817136</v>
      </c>
      <c r="C60" s="76">
        <v>0</v>
      </c>
      <c r="D60" s="76">
        <v>0</v>
      </c>
      <c r="E60" s="76">
        <v>80</v>
      </c>
      <c r="F60" s="76">
        <v>0</v>
      </c>
      <c r="G60" s="76">
        <v>80</v>
      </c>
      <c r="H60" s="76">
        <v>0</v>
      </c>
      <c r="I60" s="76">
        <v>0</v>
      </c>
      <c r="J60" s="76">
        <v>0</v>
      </c>
      <c r="K60" s="120">
        <v>0</v>
      </c>
      <c r="L60" s="76">
        <v>0</v>
      </c>
      <c r="M60" s="158">
        <v>0</v>
      </c>
      <c r="N60" s="76">
        <v>0</v>
      </c>
      <c r="O60" s="76">
        <v>80</v>
      </c>
      <c r="P60" s="76">
        <v>0</v>
      </c>
      <c r="Q60" s="76">
        <v>0</v>
      </c>
      <c r="R60" s="76">
        <v>0</v>
      </c>
      <c r="S60" s="76">
        <v>0</v>
      </c>
      <c r="T60" s="158">
        <v>0</v>
      </c>
      <c r="U60" s="158">
        <v>0</v>
      </c>
      <c r="V60" s="76">
        <v>0</v>
      </c>
      <c r="W60" s="76">
        <v>0</v>
      </c>
      <c r="X60" s="76">
        <v>0</v>
      </c>
      <c r="Y60" s="76">
        <v>0</v>
      </c>
      <c r="Z60" s="76">
        <v>0</v>
      </c>
      <c r="AA60" s="76">
        <v>0</v>
      </c>
      <c r="AB60" s="76">
        <v>0</v>
      </c>
      <c r="AC60" s="76">
        <v>0</v>
      </c>
      <c r="AD60" s="76">
        <v>0</v>
      </c>
      <c r="AE60" s="76">
        <v>80</v>
      </c>
      <c r="AF60" s="76">
        <v>0</v>
      </c>
      <c r="AG60" s="76">
        <v>0</v>
      </c>
      <c r="AH60" s="76">
        <v>0</v>
      </c>
      <c r="AI60" s="76">
        <v>0</v>
      </c>
      <c r="AJ60" s="76">
        <v>0</v>
      </c>
      <c r="AK60" s="76">
        <v>0</v>
      </c>
      <c r="AL60" s="76">
        <v>0</v>
      </c>
      <c r="AM60" s="76">
        <v>0</v>
      </c>
      <c r="AN60" s="76">
        <v>80</v>
      </c>
      <c r="AO60" s="76">
        <v>0</v>
      </c>
      <c r="AP60" s="76">
        <v>0</v>
      </c>
      <c r="AQ60" s="76">
        <v>0</v>
      </c>
      <c r="AR60" s="76">
        <v>80</v>
      </c>
      <c r="AS60" s="76">
        <v>0</v>
      </c>
      <c r="AT60" s="76">
        <v>0</v>
      </c>
      <c r="AU60" s="76">
        <v>80</v>
      </c>
      <c r="AV60" s="76">
        <v>0</v>
      </c>
      <c r="AW60" s="76">
        <v>0</v>
      </c>
      <c r="AX60" s="76">
        <v>0</v>
      </c>
      <c r="AY60" s="76">
        <v>0</v>
      </c>
      <c r="AZ60" s="76">
        <v>0</v>
      </c>
      <c r="BA60" s="76">
        <v>80</v>
      </c>
      <c r="BB60" s="76">
        <v>0</v>
      </c>
      <c r="BC60" s="76">
        <v>0</v>
      </c>
      <c r="BD60" s="76">
        <v>20</v>
      </c>
      <c r="BE60" s="76">
        <v>20</v>
      </c>
      <c r="BF60" s="76">
        <v>20</v>
      </c>
      <c r="BG60" s="76">
        <v>20</v>
      </c>
      <c r="BH60" s="76">
        <v>60</v>
      </c>
      <c r="BI60" s="76">
        <v>60</v>
      </c>
      <c r="BJ60" s="76">
        <v>60</v>
      </c>
      <c r="BK60" s="76">
        <v>60</v>
      </c>
      <c r="BL60" s="76">
        <v>390</v>
      </c>
      <c r="BM60" s="76">
        <v>390</v>
      </c>
      <c r="BN60" s="76">
        <v>390</v>
      </c>
      <c r="BO60" s="76">
        <v>390</v>
      </c>
      <c r="BP60" s="76">
        <v>360</v>
      </c>
      <c r="BQ60" s="76">
        <v>320</v>
      </c>
      <c r="BR60" s="76">
        <v>320</v>
      </c>
    </row>
    <row r="61" spans="1:70" x14ac:dyDescent="0.25">
      <c r="A61" s="74">
        <v>32272821</v>
      </c>
      <c r="B61" s="75">
        <v>4754918</v>
      </c>
      <c r="C61" s="76">
        <v>480</v>
      </c>
      <c r="D61" s="76">
        <v>400</v>
      </c>
      <c r="E61" s="76">
        <v>640</v>
      </c>
      <c r="F61" s="76">
        <v>720</v>
      </c>
      <c r="G61" s="76">
        <v>720</v>
      </c>
      <c r="H61" s="76">
        <v>640</v>
      </c>
      <c r="I61" s="76">
        <v>720</v>
      </c>
      <c r="J61" s="76">
        <v>560</v>
      </c>
      <c r="K61" s="120">
        <v>800</v>
      </c>
      <c r="L61" s="76">
        <v>1100</v>
      </c>
      <c r="M61" s="158">
        <v>0</v>
      </c>
      <c r="N61" s="76">
        <v>720</v>
      </c>
      <c r="O61" s="76">
        <v>800</v>
      </c>
      <c r="P61" s="76">
        <v>800</v>
      </c>
      <c r="Q61" s="76">
        <v>880</v>
      </c>
      <c r="R61" s="76">
        <v>800</v>
      </c>
      <c r="S61" s="76">
        <v>880</v>
      </c>
      <c r="T61" s="158">
        <v>0</v>
      </c>
      <c r="U61" s="158">
        <v>0</v>
      </c>
      <c r="V61" s="76">
        <v>720</v>
      </c>
      <c r="W61" s="76">
        <v>640</v>
      </c>
      <c r="X61" s="76">
        <v>720</v>
      </c>
      <c r="Y61" s="76">
        <v>880</v>
      </c>
      <c r="Z61" s="76">
        <v>800</v>
      </c>
      <c r="AA61" s="76">
        <v>720</v>
      </c>
      <c r="AB61" s="76">
        <v>800</v>
      </c>
      <c r="AC61" s="76">
        <v>960</v>
      </c>
      <c r="AD61" s="76">
        <v>960</v>
      </c>
      <c r="AE61" s="76">
        <v>720</v>
      </c>
      <c r="AF61" s="76">
        <v>400</v>
      </c>
      <c r="AG61" s="76">
        <v>1360</v>
      </c>
      <c r="AH61" s="76">
        <v>0</v>
      </c>
      <c r="AI61" s="76">
        <v>720</v>
      </c>
      <c r="AJ61" s="76">
        <v>560</v>
      </c>
      <c r="AK61" s="76">
        <v>560</v>
      </c>
      <c r="AL61" s="76">
        <v>960</v>
      </c>
      <c r="AM61" s="76">
        <v>400</v>
      </c>
      <c r="AN61" s="76">
        <v>1440</v>
      </c>
      <c r="AO61" s="76">
        <v>0</v>
      </c>
      <c r="AP61" s="76">
        <v>960</v>
      </c>
      <c r="AQ61" s="76">
        <v>880</v>
      </c>
      <c r="AR61" s="76">
        <v>880</v>
      </c>
      <c r="AS61" s="76">
        <v>640</v>
      </c>
      <c r="AT61" s="76">
        <v>880</v>
      </c>
      <c r="AU61" s="76">
        <v>640</v>
      </c>
      <c r="AV61" s="76">
        <v>1200</v>
      </c>
      <c r="AW61" s="76">
        <v>0</v>
      </c>
      <c r="AX61" s="76">
        <v>0</v>
      </c>
      <c r="AY61" s="76">
        <v>0</v>
      </c>
      <c r="AZ61" s="76">
        <v>0</v>
      </c>
      <c r="BA61" s="76">
        <v>720</v>
      </c>
      <c r="BB61" s="76">
        <v>640</v>
      </c>
      <c r="BC61" s="76">
        <v>720</v>
      </c>
      <c r="BD61" s="76">
        <v>640</v>
      </c>
      <c r="BE61" s="76">
        <v>640</v>
      </c>
      <c r="BF61" s="76">
        <v>640</v>
      </c>
      <c r="BG61" s="76">
        <v>640</v>
      </c>
      <c r="BH61" s="76">
        <v>420</v>
      </c>
      <c r="BI61" s="76">
        <v>420</v>
      </c>
      <c r="BJ61" s="76">
        <v>420</v>
      </c>
      <c r="BK61" s="76">
        <v>420</v>
      </c>
      <c r="BL61" s="76">
        <v>640</v>
      </c>
      <c r="BM61" s="76">
        <v>640</v>
      </c>
      <c r="BN61" s="76">
        <v>640</v>
      </c>
      <c r="BO61" s="76">
        <v>640</v>
      </c>
      <c r="BP61" s="76">
        <v>640</v>
      </c>
      <c r="BQ61" s="76">
        <v>640</v>
      </c>
      <c r="BR61" s="76">
        <v>640</v>
      </c>
    </row>
    <row r="62" spans="1:70" x14ac:dyDescent="0.25">
      <c r="A62" s="74">
        <v>32272822</v>
      </c>
      <c r="B62" s="75">
        <v>4755038</v>
      </c>
      <c r="C62" s="76">
        <v>0</v>
      </c>
      <c r="D62" s="76">
        <v>80</v>
      </c>
      <c r="E62" s="76">
        <v>80</v>
      </c>
      <c r="F62" s="76">
        <v>0</v>
      </c>
      <c r="G62" s="76">
        <v>80</v>
      </c>
      <c r="H62" s="76">
        <v>0</v>
      </c>
      <c r="I62" s="76">
        <v>0</v>
      </c>
      <c r="J62" s="76">
        <v>0</v>
      </c>
      <c r="K62" s="120">
        <v>80</v>
      </c>
      <c r="L62" s="76">
        <v>80</v>
      </c>
      <c r="M62" s="158">
        <v>0</v>
      </c>
      <c r="N62" s="76">
        <v>0</v>
      </c>
      <c r="O62" s="76">
        <v>0</v>
      </c>
      <c r="P62" s="76">
        <v>0</v>
      </c>
      <c r="Q62" s="76">
        <v>0</v>
      </c>
      <c r="R62" s="76">
        <v>80</v>
      </c>
      <c r="S62" s="76">
        <v>0</v>
      </c>
      <c r="T62" s="158">
        <v>0</v>
      </c>
      <c r="U62" s="158">
        <v>0</v>
      </c>
      <c r="V62" s="76">
        <v>0</v>
      </c>
      <c r="W62" s="76">
        <v>0</v>
      </c>
      <c r="X62" s="76">
        <v>80</v>
      </c>
      <c r="Y62" s="76">
        <v>80</v>
      </c>
      <c r="Z62" s="76">
        <v>0</v>
      </c>
      <c r="AA62" s="76">
        <v>80</v>
      </c>
      <c r="AB62" s="76">
        <v>0</v>
      </c>
      <c r="AC62" s="76">
        <v>160</v>
      </c>
      <c r="AD62" s="76">
        <v>80</v>
      </c>
      <c r="AE62" s="76">
        <v>80</v>
      </c>
      <c r="AF62" s="76">
        <v>0</v>
      </c>
      <c r="AG62" s="76">
        <v>160</v>
      </c>
      <c r="AH62" s="76">
        <v>0</v>
      </c>
      <c r="AI62" s="76">
        <v>400</v>
      </c>
      <c r="AJ62" s="76">
        <v>160</v>
      </c>
      <c r="AK62" s="76">
        <v>160</v>
      </c>
      <c r="AL62" s="76">
        <v>0</v>
      </c>
      <c r="AM62" s="76">
        <v>0</v>
      </c>
      <c r="AN62" s="76">
        <v>80</v>
      </c>
      <c r="AO62" s="76">
        <v>0</v>
      </c>
      <c r="AP62" s="76">
        <v>0</v>
      </c>
      <c r="AQ62" s="76">
        <v>80</v>
      </c>
      <c r="AR62" s="76">
        <v>80</v>
      </c>
      <c r="AS62" s="76">
        <v>0</v>
      </c>
      <c r="AT62" s="76">
        <v>80</v>
      </c>
      <c r="AU62" s="76">
        <v>80</v>
      </c>
      <c r="AV62" s="76">
        <v>80</v>
      </c>
      <c r="AW62" s="76">
        <v>0</v>
      </c>
      <c r="AX62" s="76">
        <v>0</v>
      </c>
      <c r="AY62" s="76">
        <v>0</v>
      </c>
      <c r="AZ62" s="76">
        <v>0</v>
      </c>
      <c r="BA62" s="76">
        <v>0</v>
      </c>
      <c r="BB62" s="76">
        <v>80</v>
      </c>
      <c r="BC62" s="76">
        <v>80</v>
      </c>
      <c r="BD62" s="76">
        <v>40</v>
      </c>
      <c r="BE62" s="76">
        <v>40</v>
      </c>
      <c r="BF62" s="76">
        <v>40</v>
      </c>
      <c r="BG62" s="76">
        <v>40</v>
      </c>
      <c r="BH62" s="76">
        <v>40</v>
      </c>
      <c r="BI62" s="76">
        <v>40</v>
      </c>
      <c r="BJ62" s="76">
        <v>40</v>
      </c>
      <c r="BK62" s="76">
        <v>40</v>
      </c>
      <c r="BL62" s="76">
        <v>80</v>
      </c>
      <c r="BM62" s="76">
        <v>80</v>
      </c>
      <c r="BN62" s="76">
        <v>80</v>
      </c>
      <c r="BO62" s="76">
        <v>80</v>
      </c>
      <c r="BP62" s="76">
        <v>80</v>
      </c>
      <c r="BQ62" s="76">
        <v>80</v>
      </c>
      <c r="BR62" s="76">
        <v>80</v>
      </c>
    </row>
    <row r="63" spans="1:70" x14ac:dyDescent="0.25">
      <c r="A63" s="74">
        <v>32272823</v>
      </c>
      <c r="B63" s="75">
        <v>4755081</v>
      </c>
      <c r="C63" s="76">
        <v>0</v>
      </c>
      <c r="D63" s="76">
        <v>0</v>
      </c>
      <c r="E63" s="76">
        <v>80</v>
      </c>
      <c r="F63" s="76">
        <v>80</v>
      </c>
      <c r="G63" s="76">
        <v>0</v>
      </c>
      <c r="H63" s="76">
        <v>0</v>
      </c>
      <c r="I63" s="76">
        <v>80</v>
      </c>
      <c r="J63" s="76">
        <v>0</v>
      </c>
      <c r="K63" s="120">
        <v>0</v>
      </c>
      <c r="L63" s="76">
        <v>80</v>
      </c>
      <c r="M63" s="158">
        <v>0</v>
      </c>
      <c r="N63" s="76">
        <v>0</v>
      </c>
      <c r="O63" s="76">
        <v>80</v>
      </c>
      <c r="P63" s="76">
        <v>80</v>
      </c>
      <c r="Q63" s="76">
        <v>0</v>
      </c>
      <c r="R63" s="76">
        <v>80</v>
      </c>
      <c r="S63" s="76">
        <v>0</v>
      </c>
      <c r="T63" s="158">
        <v>0</v>
      </c>
      <c r="U63" s="158">
        <v>0</v>
      </c>
      <c r="V63" s="76">
        <v>80</v>
      </c>
      <c r="W63" s="76">
        <v>0</v>
      </c>
      <c r="X63" s="76">
        <v>80</v>
      </c>
      <c r="Y63" s="76">
        <v>0</v>
      </c>
      <c r="Z63" s="76">
        <v>0</v>
      </c>
      <c r="AA63" s="76">
        <v>0</v>
      </c>
      <c r="AB63" s="76">
        <v>0</v>
      </c>
      <c r="AC63" s="76">
        <v>80</v>
      </c>
      <c r="AD63" s="76">
        <v>0</v>
      </c>
      <c r="AE63" s="76">
        <v>80</v>
      </c>
      <c r="AF63" s="76">
        <v>0</v>
      </c>
      <c r="AG63" s="76">
        <v>80</v>
      </c>
      <c r="AH63" s="76">
        <v>0</v>
      </c>
      <c r="AI63" s="76">
        <v>80</v>
      </c>
      <c r="AJ63" s="76">
        <v>0</v>
      </c>
      <c r="AK63" s="76">
        <v>0</v>
      </c>
      <c r="AL63" s="76">
        <v>0</v>
      </c>
      <c r="AM63" s="76">
        <v>0</v>
      </c>
      <c r="AN63" s="76">
        <v>0</v>
      </c>
      <c r="AO63" s="76">
        <v>0</v>
      </c>
      <c r="AP63" s="76">
        <v>0</v>
      </c>
      <c r="AQ63" s="76">
        <v>0</v>
      </c>
      <c r="AR63" s="76">
        <v>0</v>
      </c>
      <c r="AS63" s="76">
        <v>0</v>
      </c>
      <c r="AT63" s="76">
        <v>0</v>
      </c>
      <c r="AU63" s="76">
        <v>0</v>
      </c>
      <c r="AV63" s="76">
        <v>0</v>
      </c>
      <c r="AW63" s="76">
        <v>0</v>
      </c>
      <c r="AX63" s="76">
        <v>0</v>
      </c>
      <c r="AY63" s="76">
        <v>0</v>
      </c>
      <c r="AZ63" s="76">
        <v>0</v>
      </c>
      <c r="BA63" s="76">
        <v>0</v>
      </c>
      <c r="BB63" s="76">
        <v>0</v>
      </c>
      <c r="BC63" s="76">
        <v>0</v>
      </c>
      <c r="BD63" s="76">
        <v>0</v>
      </c>
      <c r="BE63" s="76">
        <v>0</v>
      </c>
      <c r="BF63" s="76">
        <v>0</v>
      </c>
      <c r="BG63" s="76">
        <v>0</v>
      </c>
      <c r="BH63" s="76">
        <v>20</v>
      </c>
      <c r="BI63" s="76">
        <v>20</v>
      </c>
      <c r="BJ63" s="76">
        <v>20</v>
      </c>
      <c r="BK63" s="76">
        <v>20</v>
      </c>
      <c r="BL63" s="76">
        <v>0</v>
      </c>
      <c r="BM63" s="76">
        <v>0</v>
      </c>
      <c r="BN63" s="76">
        <v>0</v>
      </c>
      <c r="BO63" s="76">
        <v>0</v>
      </c>
      <c r="BP63" s="76">
        <v>0</v>
      </c>
      <c r="BQ63" s="76">
        <v>0</v>
      </c>
      <c r="BR63" s="76">
        <v>0</v>
      </c>
    </row>
    <row r="64" spans="1:70" x14ac:dyDescent="0.25">
      <c r="A64" s="74">
        <v>32272824</v>
      </c>
      <c r="B64" s="75">
        <v>4755083</v>
      </c>
      <c r="C64" s="76">
        <v>0</v>
      </c>
      <c r="D64" s="76">
        <v>0</v>
      </c>
      <c r="E64" s="76">
        <v>0</v>
      </c>
      <c r="F64" s="76">
        <v>0</v>
      </c>
      <c r="G64" s="76">
        <v>0</v>
      </c>
      <c r="H64" s="76">
        <v>0</v>
      </c>
      <c r="I64" s="76">
        <v>0</v>
      </c>
      <c r="J64" s="76">
        <v>0</v>
      </c>
      <c r="K64" s="120">
        <v>0</v>
      </c>
      <c r="L64" s="76">
        <v>0</v>
      </c>
      <c r="M64" s="158">
        <v>0</v>
      </c>
      <c r="N64" s="76">
        <v>0</v>
      </c>
      <c r="O64" s="76">
        <v>0</v>
      </c>
      <c r="P64" s="76">
        <v>0</v>
      </c>
      <c r="Q64" s="76">
        <v>0</v>
      </c>
      <c r="R64" s="76">
        <v>0</v>
      </c>
      <c r="S64" s="76">
        <v>0</v>
      </c>
      <c r="T64" s="158">
        <v>0</v>
      </c>
      <c r="U64" s="158">
        <v>0</v>
      </c>
      <c r="V64" s="76">
        <v>0</v>
      </c>
      <c r="W64" s="76">
        <v>0</v>
      </c>
      <c r="X64" s="76">
        <v>0</v>
      </c>
      <c r="Y64" s="76">
        <v>0</v>
      </c>
      <c r="Z64" s="76">
        <v>0</v>
      </c>
      <c r="AA64" s="76">
        <v>0</v>
      </c>
      <c r="AB64" s="76">
        <v>0</v>
      </c>
      <c r="AC64" s="76">
        <v>0</v>
      </c>
      <c r="AD64" s="76">
        <v>0</v>
      </c>
      <c r="AE64" s="76">
        <v>0</v>
      </c>
      <c r="AF64" s="76">
        <v>0</v>
      </c>
      <c r="AG64" s="76">
        <v>0</v>
      </c>
      <c r="AH64" s="76">
        <v>0</v>
      </c>
      <c r="AI64" s="76">
        <v>0</v>
      </c>
      <c r="AJ64" s="76">
        <v>0</v>
      </c>
      <c r="AK64" s="76">
        <v>0</v>
      </c>
      <c r="AL64" s="76">
        <v>0</v>
      </c>
      <c r="AM64" s="76">
        <v>0</v>
      </c>
      <c r="AN64" s="76">
        <v>0</v>
      </c>
      <c r="AO64" s="76">
        <v>0</v>
      </c>
      <c r="AP64" s="76">
        <v>0</v>
      </c>
      <c r="AQ64" s="76">
        <v>0</v>
      </c>
      <c r="AR64" s="76">
        <v>0</v>
      </c>
      <c r="AS64" s="76">
        <v>0</v>
      </c>
      <c r="AT64" s="76">
        <v>0</v>
      </c>
      <c r="AU64" s="76">
        <v>0</v>
      </c>
      <c r="AV64" s="76">
        <v>0</v>
      </c>
      <c r="AW64" s="76">
        <v>0</v>
      </c>
      <c r="AX64" s="76">
        <v>0</v>
      </c>
      <c r="AY64" s="76">
        <v>0</v>
      </c>
      <c r="AZ64" s="76">
        <v>0</v>
      </c>
      <c r="BA64" s="76">
        <v>0</v>
      </c>
      <c r="BB64" s="76">
        <v>0</v>
      </c>
      <c r="BC64" s="76">
        <v>0</v>
      </c>
      <c r="BD64" s="76">
        <v>0</v>
      </c>
      <c r="BE64" s="76">
        <v>0</v>
      </c>
      <c r="BF64" s="76">
        <v>0</v>
      </c>
      <c r="BG64" s="76">
        <v>0</v>
      </c>
      <c r="BH64" s="76">
        <v>0</v>
      </c>
      <c r="BI64" s="76">
        <v>0</v>
      </c>
      <c r="BJ64" s="76">
        <v>0</v>
      </c>
      <c r="BK64" s="76">
        <v>0</v>
      </c>
      <c r="BL64" s="76">
        <v>0</v>
      </c>
      <c r="BM64" s="76">
        <v>0</v>
      </c>
      <c r="BN64" s="76">
        <v>0</v>
      </c>
      <c r="BO64" s="76">
        <v>0</v>
      </c>
      <c r="BP64" s="76">
        <v>0</v>
      </c>
      <c r="BQ64" s="76">
        <v>0</v>
      </c>
      <c r="BR64" s="76">
        <v>0</v>
      </c>
    </row>
    <row r="65" spans="1:70" x14ac:dyDescent="0.25">
      <c r="A65" s="74">
        <v>32272825</v>
      </c>
      <c r="B65" s="75">
        <v>4755146</v>
      </c>
      <c r="C65" s="76">
        <v>0</v>
      </c>
      <c r="D65" s="76">
        <v>0</v>
      </c>
      <c r="E65" s="76">
        <v>80</v>
      </c>
      <c r="F65" s="76">
        <v>0</v>
      </c>
      <c r="G65" s="76">
        <v>0</v>
      </c>
      <c r="H65" s="76">
        <v>80</v>
      </c>
      <c r="I65" s="76">
        <v>0</v>
      </c>
      <c r="J65" s="76">
        <v>80</v>
      </c>
      <c r="K65" s="120">
        <v>80</v>
      </c>
      <c r="L65" s="76">
        <v>80</v>
      </c>
      <c r="M65" s="158">
        <v>0</v>
      </c>
      <c r="N65" s="76">
        <v>80</v>
      </c>
      <c r="O65" s="76">
        <v>80</v>
      </c>
      <c r="P65" s="76">
        <v>80</v>
      </c>
      <c r="Q65" s="76">
        <v>0</v>
      </c>
      <c r="R65" s="76">
        <v>240</v>
      </c>
      <c r="S65" s="76">
        <v>160</v>
      </c>
      <c r="T65" s="158">
        <v>0</v>
      </c>
      <c r="U65" s="158">
        <v>0</v>
      </c>
      <c r="V65" s="76">
        <v>240</v>
      </c>
      <c r="W65" s="76">
        <v>240</v>
      </c>
      <c r="X65" s="76">
        <v>160</v>
      </c>
      <c r="Y65" s="76">
        <v>240</v>
      </c>
      <c r="Z65" s="76">
        <v>160</v>
      </c>
      <c r="AA65" s="76">
        <v>240</v>
      </c>
      <c r="AB65" s="76">
        <v>0</v>
      </c>
      <c r="AC65" s="76">
        <v>80</v>
      </c>
      <c r="AD65" s="76">
        <v>0</v>
      </c>
      <c r="AE65" s="76">
        <v>0</v>
      </c>
      <c r="AF65" s="76">
        <v>80</v>
      </c>
      <c r="AG65" s="76">
        <v>80</v>
      </c>
      <c r="AH65" s="76">
        <v>0</v>
      </c>
      <c r="AI65" s="76">
        <v>80</v>
      </c>
      <c r="AJ65" s="76">
        <v>80</v>
      </c>
      <c r="AK65" s="76">
        <v>80</v>
      </c>
      <c r="AL65" s="76">
        <v>80</v>
      </c>
      <c r="AM65" s="76">
        <v>80</v>
      </c>
      <c r="AN65" s="76">
        <v>240</v>
      </c>
      <c r="AO65" s="76">
        <v>0</v>
      </c>
      <c r="AP65" s="76">
        <v>160</v>
      </c>
      <c r="AQ65" s="76">
        <v>160</v>
      </c>
      <c r="AR65" s="76">
        <v>160</v>
      </c>
      <c r="AS65" s="76">
        <v>240</v>
      </c>
      <c r="AT65" s="76">
        <v>240</v>
      </c>
      <c r="AU65" s="76">
        <v>160</v>
      </c>
      <c r="AV65" s="76">
        <v>400</v>
      </c>
      <c r="AW65" s="76">
        <v>0</v>
      </c>
      <c r="AX65" s="76">
        <v>0</v>
      </c>
      <c r="AY65" s="76">
        <v>0</v>
      </c>
      <c r="AZ65" s="76">
        <v>0</v>
      </c>
      <c r="BA65" s="76">
        <v>160</v>
      </c>
      <c r="BB65" s="76">
        <v>160</v>
      </c>
      <c r="BC65" s="76">
        <v>160</v>
      </c>
      <c r="BD65" s="76">
        <v>160</v>
      </c>
      <c r="BE65" s="76">
        <v>160</v>
      </c>
      <c r="BF65" s="76">
        <v>160</v>
      </c>
      <c r="BG65" s="76">
        <v>160</v>
      </c>
      <c r="BH65" s="76">
        <v>140</v>
      </c>
      <c r="BI65" s="76">
        <v>140</v>
      </c>
      <c r="BJ65" s="76">
        <v>140</v>
      </c>
      <c r="BK65" s="76">
        <v>140</v>
      </c>
      <c r="BL65" s="76">
        <v>290</v>
      </c>
      <c r="BM65" s="76">
        <v>290</v>
      </c>
      <c r="BN65" s="76">
        <v>290</v>
      </c>
      <c r="BO65" s="76">
        <v>290</v>
      </c>
      <c r="BP65" s="76">
        <v>280</v>
      </c>
      <c r="BQ65" s="76">
        <v>160</v>
      </c>
      <c r="BR65" s="76">
        <v>160</v>
      </c>
    </row>
    <row r="66" spans="1:70" x14ac:dyDescent="0.25">
      <c r="A66" s="74">
        <v>32272826</v>
      </c>
      <c r="B66" s="75">
        <v>4755147</v>
      </c>
      <c r="C66" s="76">
        <v>0</v>
      </c>
      <c r="D66" s="76">
        <v>0</v>
      </c>
      <c r="E66" s="76">
        <v>0</v>
      </c>
      <c r="F66" s="76">
        <v>0</v>
      </c>
      <c r="G66" s="76">
        <v>0</v>
      </c>
      <c r="H66" s="76">
        <v>0</v>
      </c>
      <c r="I66" s="76">
        <v>0</v>
      </c>
      <c r="J66" s="76">
        <v>0</v>
      </c>
      <c r="K66" s="120">
        <v>0</v>
      </c>
      <c r="L66" s="76">
        <v>0</v>
      </c>
      <c r="M66" s="158">
        <v>0</v>
      </c>
      <c r="N66" s="76">
        <v>0</v>
      </c>
      <c r="O66" s="76">
        <v>0</v>
      </c>
      <c r="P66" s="76">
        <v>0</v>
      </c>
      <c r="Q66" s="76">
        <v>0</v>
      </c>
      <c r="R66" s="76">
        <v>0</v>
      </c>
      <c r="S66" s="76">
        <v>0</v>
      </c>
      <c r="T66" s="158">
        <v>0</v>
      </c>
      <c r="U66" s="158">
        <v>0</v>
      </c>
      <c r="V66" s="76">
        <v>0</v>
      </c>
      <c r="W66" s="76">
        <v>0</v>
      </c>
      <c r="X66" s="76">
        <v>0</v>
      </c>
      <c r="Y66" s="76">
        <v>0</v>
      </c>
      <c r="Z66" s="76">
        <v>0</v>
      </c>
      <c r="AA66" s="76">
        <v>0</v>
      </c>
      <c r="AB66" s="76">
        <v>0</v>
      </c>
      <c r="AC66" s="76">
        <v>0</v>
      </c>
      <c r="AD66" s="76">
        <v>0</v>
      </c>
      <c r="AE66" s="76">
        <v>0</v>
      </c>
      <c r="AF66" s="76">
        <v>0</v>
      </c>
      <c r="AG66" s="76">
        <v>0</v>
      </c>
      <c r="AH66" s="76">
        <v>0</v>
      </c>
      <c r="AI66" s="76">
        <v>0</v>
      </c>
      <c r="AJ66" s="76">
        <v>0</v>
      </c>
      <c r="AK66" s="76">
        <v>0</v>
      </c>
      <c r="AL66" s="76">
        <v>0</v>
      </c>
      <c r="AM66" s="76">
        <v>0</v>
      </c>
      <c r="AN66" s="76">
        <v>0</v>
      </c>
      <c r="AO66" s="76">
        <v>0</v>
      </c>
      <c r="AP66" s="76">
        <v>0</v>
      </c>
      <c r="AQ66" s="76">
        <v>0</v>
      </c>
      <c r="AR66" s="76">
        <v>0</v>
      </c>
      <c r="AS66" s="76">
        <v>0</v>
      </c>
      <c r="AT66" s="76">
        <v>0</v>
      </c>
      <c r="AU66" s="76">
        <v>0</v>
      </c>
      <c r="AV66" s="76">
        <v>0</v>
      </c>
      <c r="AW66" s="76">
        <v>0</v>
      </c>
      <c r="AX66" s="76">
        <v>0</v>
      </c>
      <c r="AY66" s="76">
        <v>0</v>
      </c>
      <c r="AZ66" s="76">
        <v>0</v>
      </c>
      <c r="BA66" s="76">
        <v>0</v>
      </c>
      <c r="BB66" s="76">
        <v>0</v>
      </c>
      <c r="BC66" s="76">
        <v>0</v>
      </c>
      <c r="BD66" s="76">
        <v>0</v>
      </c>
      <c r="BE66" s="76">
        <v>0</v>
      </c>
      <c r="BF66" s="76">
        <v>0</v>
      </c>
      <c r="BG66" s="76">
        <v>0</v>
      </c>
      <c r="BH66" s="76">
        <v>0</v>
      </c>
      <c r="BI66" s="76">
        <v>0</v>
      </c>
      <c r="BJ66" s="76">
        <v>0</v>
      </c>
      <c r="BK66" s="76">
        <v>0</v>
      </c>
      <c r="BL66" s="76">
        <v>10</v>
      </c>
      <c r="BM66" s="76">
        <v>10</v>
      </c>
      <c r="BN66" s="76">
        <v>0</v>
      </c>
      <c r="BO66" s="76">
        <v>0</v>
      </c>
      <c r="BP66" s="76">
        <v>0</v>
      </c>
      <c r="BQ66" s="76">
        <v>0</v>
      </c>
      <c r="BR66" s="76">
        <v>0</v>
      </c>
    </row>
    <row r="67" spans="1:70" x14ac:dyDescent="0.25">
      <c r="A67" s="74">
        <v>32272854</v>
      </c>
      <c r="B67" s="75">
        <v>5080285</v>
      </c>
      <c r="C67" s="76">
        <v>80</v>
      </c>
      <c r="D67" s="76">
        <v>0</v>
      </c>
      <c r="E67" s="76">
        <v>0</v>
      </c>
      <c r="F67" s="76">
        <v>0</v>
      </c>
      <c r="G67" s="76">
        <v>80</v>
      </c>
      <c r="H67" s="76">
        <v>0</v>
      </c>
      <c r="I67" s="76">
        <v>0</v>
      </c>
      <c r="J67" s="76">
        <v>0</v>
      </c>
      <c r="K67" s="120">
        <v>80</v>
      </c>
      <c r="L67" s="76">
        <v>0</v>
      </c>
      <c r="M67" s="158">
        <v>0</v>
      </c>
      <c r="N67" s="76">
        <v>0</v>
      </c>
      <c r="O67" s="76">
        <v>80</v>
      </c>
      <c r="P67" s="76">
        <v>0</v>
      </c>
      <c r="Q67" s="76">
        <v>0</v>
      </c>
      <c r="R67" s="76">
        <v>0</v>
      </c>
      <c r="S67" s="76">
        <v>80</v>
      </c>
      <c r="T67" s="158">
        <v>0</v>
      </c>
      <c r="U67" s="158">
        <v>0</v>
      </c>
      <c r="V67" s="76">
        <v>0</v>
      </c>
      <c r="W67" s="76">
        <v>0</v>
      </c>
      <c r="X67" s="76">
        <v>0</v>
      </c>
      <c r="Y67" s="76">
        <v>80</v>
      </c>
      <c r="Z67" s="76">
        <v>0</v>
      </c>
      <c r="AA67" s="76">
        <v>0</v>
      </c>
      <c r="AB67" s="76">
        <v>0</v>
      </c>
      <c r="AC67" s="76">
        <v>80</v>
      </c>
      <c r="AD67" s="76">
        <v>0</v>
      </c>
      <c r="AE67" s="76">
        <v>0</v>
      </c>
      <c r="AF67" s="76">
        <v>0</v>
      </c>
      <c r="AG67" s="76">
        <v>80</v>
      </c>
      <c r="AH67" s="76">
        <v>0</v>
      </c>
      <c r="AI67" s="76">
        <v>160</v>
      </c>
      <c r="AJ67" s="76">
        <v>80</v>
      </c>
      <c r="AK67" s="76">
        <v>80</v>
      </c>
      <c r="AL67" s="76">
        <v>0</v>
      </c>
      <c r="AM67" s="76">
        <v>0</v>
      </c>
      <c r="AN67" s="76">
        <v>80</v>
      </c>
      <c r="AO67" s="76">
        <v>0</v>
      </c>
      <c r="AP67" s="76">
        <v>0</v>
      </c>
      <c r="AQ67" s="76">
        <v>0</v>
      </c>
      <c r="AR67" s="76">
        <v>80</v>
      </c>
      <c r="AS67" s="76">
        <v>0</v>
      </c>
      <c r="AT67" s="76">
        <v>0</v>
      </c>
      <c r="AU67" s="76">
        <v>80</v>
      </c>
      <c r="AV67" s="76">
        <v>0</v>
      </c>
      <c r="AW67" s="76">
        <v>0</v>
      </c>
      <c r="AX67" s="76">
        <v>0</v>
      </c>
      <c r="AY67" s="76">
        <v>0</v>
      </c>
      <c r="AZ67" s="76">
        <v>0</v>
      </c>
      <c r="BA67" s="76">
        <v>80</v>
      </c>
      <c r="BB67" s="76">
        <v>0</v>
      </c>
      <c r="BC67" s="76">
        <v>0</v>
      </c>
      <c r="BD67" s="76">
        <v>20</v>
      </c>
      <c r="BE67" s="76">
        <v>20</v>
      </c>
      <c r="BF67" s="76">
        <v>20</v>
      </c>
      <c r="BG67" s="76">
        <v>20</v>
      </c>
      <c r="BH67" s="76">
        <v>20</v>
      </c>
      <c r="BI67" s="76">
        <v>20</v>
      </c>
      <c r="BJ67" s="76">
        <v>20</v>
      </c>
      <c r="BK67" s="76">
        <v>20</v>
      </c>
      <c r="BL67" s="76">
        <v>40</v>
      </c>
      <c r="BM67" s="76">
        <v>40</v>
      </c>
      <c r="BN67" s="76">
        <v>40</v>
      </c>
      <c r="BO67" s="76">
        <v>40</v>
      </c>
      <c r="BP67" s="76">
        <v>0</v>
      </c>
      <c r="BQ67" s="76">
        <v>40</v>
      </c>
      <c r="BR67" s="76">
        <v>40</v>
      </c>
    </row>
    <row r="68" spans="1:70" x14ac:dyDescent="0.25">
      <c r="A68" s="74">
        <v>32272856</v>
      </c>
      <c r="B68" s="75">
        <v>5080291</v>
      </c>
      <c r="C68" s="76">
        <v>0</v>
      </c>
      <c r="D68" s="76">
        <v>0</v>
      </c>
      <c r="E68" s="76">
        <v>0</v>
      </c>
      <c r="F68" s="76">
        <v>0</v>
      </c>
      <c r="G68" s="76">
        <v>0</v>
      </c>
      <c r="H68" s="76">
        <v>0</v>
      </c>
      <c r="I68" s="76">
        <v>0</v>
      </c>
      <c r="J68" s="76">
        <v>0</v>
      </c>
      <c r="K68" s="120">
        <v>0</v>
      </c>
      <c r="L68" s="76">
        <v>0</v>
      </c>
      <c r="M68" s="158">
        <v>0</v>
      </c>
      <c r="N68" s="76">
        <v>0</v>
      </c>
      <c r="O68" s="76">
        <v>0</v>
      </c>
      <c r="P68" s="76">
        <v>0</v>
      </c>
      <c r="Q68" s="76">
        <v>0</v>
      </c>
      <c r="R68" s="76">
        <v>0</v>
      </c>
      <c r="S68" s="76">
        <v>0</v>
      </c>
      <c r="T68" s="158">
        <v>0</v>
      </c>
      <c r="U68" s="158">
        <v>0</v>
      </c>
      <c r="V68" s="76">
        <v>0</v>
      </c>
      <c r="W68" s="76">
        <v>0</v>
      </c>
      <c r="X68" s="76">
        <v>0</v>
      </c>
      <c r="Y68" s="76">
        <v>0</v>
      </c>
      <c r="Z68" s="76">
        <v>0</v>
      </c>
      <c r="AA68" s="76">
        <v>0</v>
      </c>
      <c r="AB68" s="76">
        <v>0</v>
      </c>
      <c r="AC68" s="76">
        <v>0</v>
      </c>
      <c r="AD68" s="76">
        <v>0</v>
      </c>
      <c r="AE68" s="76">
        <v>0</v>
      </c>
      <c r="AF68" s="76">
        <v>0</v>
      </c>
      <c r="AG68" s="76">
        <v>0</v>
      </c>
      <c r="AH68" s="76">
        <v>0</v>
      </c>
      <c r="AI68" s="76">
        <v>0</v>
      </c>
      <c r="AJ68" s="76">
        <v>0</v>
      </c>
      <c r="AK68" s="76">
        <v>0</v>
      </c>
      <c r="AL68" s="76">
        <v>0</v>
      </c>
      <c r="AM68" s="76">
        <v>0</v>
      </c>
      <c r="AN68" s="76">
        <v>0</v>
      </c>
      <c r="AO68" s="76">
        <v>0</v>
      </c>
      <c r="AP68" s="76">
        <v>0</v>
      </c>
      <c r="AQ68" s="76">
        <v>0</v>
      </c>
      <c r="AR68" s="76">
        <v>0</v>
      </c>
      <c r="AS68" s="76">
        <v>0</v>
      </c>
      <c r="AT68" s="76">
        <v>0</v>
      </c>
      <c r="AU68" s="76">
        <v>0</v>
      </c>
      <c r="AV68" s="76">
        <v>0</v>
      </c>
      <c r="AW68" s="76">
        <v>0</v>
      </c>
      <c r="AX68" s="76">
        <v>0</v>
      </c>
      <c r="AY68" s="76">
        <v>0</v>
      </c>
      <c r="AZ68" s="76">
        <v>0</v>
      </c>
      <c r="BA68" s="76">
        <v>0</v>
      </c>
      <c r="BB68" s="76">
        <v>0</v>
      </c>
      <c r="BC68" s="76">
        <v>0</v>
      </c>
      <c r="BD68" s="76">
        <v>0</v>
      </c>
      <c r="BE68" s="76">
        <v>0</v>
      </c>
      <c r="BF68" s="76">
        <v>0</v>
      </c>
      <c r="BG68" s="76">
        <v>0</v>
      </c>
      <c r="BH68" s="76">
        <v>0</v>
      </c>
      <c r="BI68" s="76">
        <v>0</v>
      </c>
      <c r="BJ68" s="76">
        <v>0</v>
      </c>
      <c r="BK68" s="76">
        <v>0</v>
      </c>
      <c r="BL68" s="76">
        <v>0</v>
      </c>
      <c r="BM68" s="76">
        <v>0</v>
      </c>
      <c r="BN68" s="76">
        <v>0</v>
      </c>
      <c r="BO68" s="76">
        <v>0</v>
      </c>
      <c r="BP68" s="76">
        <v>0</v>
      </c>
      <c r="BQ68" s="76">
        <v>0</v>
      </c>
      <c r="BR68" s="76">
        <v>0</v>
      </c>
    </row>
    <row r="69" spans="1:70" x14ac:dyDescent="0.25">
      <c r="A69" s="74">
        <v>32272857</v>
      </c>
      <c r="B69" s="75">
        <v>5080294</v>
      </c>
      <c r="C69" s="76">
        <v>0</v>
      </c>
      <c r="D69" s="76">
        <v>0</v>
      </c>
      <c r="E69" s="76">
        <v>100</v>
      </c>
      <c r="F69" s="76">
        <v>0</v>
      </c>
      <c r="G69" s="76">
        <v>0</v>
      </c>
      <c r="H69" s="76">
        <v>100</v>
      </c>
      <c r="I69" s="76">
        <v>0</v>
      </c>
      <c r="J69" s="76">
        <v>0</v>
      </c>
      <c r="K69" s="120">
        <v>100</v>
      </c>
      <c r="L69" s="76">
        <v>0</v>
      </c>
      <c r="M69" s="158">
        <v>0</v>
      </c>
      <c r="N69" s="76">
        <v>0</v>
      </c>
      <c r="O69" s="76">
        <v>100</v>
      </c>
      <c r="P69" s="76">
        <v>0</v>
      </c>
      <c r="Q69" s="76">
        <v>100</v>
      </c>
      <c r="R69" s="76">
        <v>0</v>
      </c>
      <c r="S69" s="76">
        <v>0</v>
      </c>
      <c r="T69" s="158">
        <v>0</v>
      </c>
      <c r="U69" s="158">
        <v>0</v>
      </c>
      <c r="V69" s="76">
        <v>100</v>
      </c>
      <c r="W69" s="76">
        <v>0</v>
      </c>
      <c r="X69" s="76">
        <v>0</v>
      </c>
      <c r="Y69" s="76">
        <v>0</v>
      </c>
      <c r="Z69" s="76">
        <v>0</v>
      </c>
      <c r="AA69" s="76">
        <v>100</v>
      </c>
      <c r="AB69" s="76">
        <v>0</v>
      </c>
      <c r="AC69" s="76">
        <v>0</v>
      </c>
      <c r="AD69" s="76">
        <v>100</v>
      </c>
      <c r="AE69" s="76">
        <v>0</v>
      </c>
      <c r="AF69" s="76">
        <v>0</v>
      </c>
      <c r="AG69" s="76">
        <v>100</v>
      </c>
      <c r="AH69" s="76">
        <v>0</v>
      </c>
      <c r="AI69" s="76">
        <v>0</v>
      </c>
      <c r="AJ69" s="76">
        <v>0</v>
      </c>
      <c r="AK69" s="76">
        <v>0</v>
      </c>
      <c r="AL69" s="76">
        <v>0</v>
      </c>
      <c r="AM69" s="76">
        <v>100</v>
      </c>
      <c r="AN69" s="76">
        <v>0</v>
      </c>
      <c r="AO69" s="76">
        <v>0</v>
      </c>
      <c r="AP69" s="76">
        <v>0</v>
      </c>
      <c r="AQ69" s="76">
        <v>0</v>
      </c>
      <c r="AR69" s="76">
        <v>100</v>
      </c>
      <c r="AS69" s="76">
        <v>0</v>
      </c>
      <c r="AT69" s="76">
        <v>0</v>
      </c>
      <c r="AU69" s="76">
        <v>0</v>
      </c>
      <c r="AV69" s="76">
        <v>100</v>
      </c>
      <c r="AW69" s="76">
        <v>0</v>
      </c>
      <c r="AX69" s="76">
        <v>0</v>
      </c>
      <c r="AY69" s="76">
        <v>0</v>
      </c>
      <c r="AZ69" s="76">
        <v>0</v>
      </c>
      <c r="BA69" s="76">
        <v>0</v>
      </c>
      <c r="BB69" s="76">
        <v>0</v>
      </c>
      <c r="BC69" s="76">
        <v>0</v>
      </c>
      <c r="BD69" s="76">
        <v>30</v>
      </c>
      <c r="BE69" s="76">
        <v>30</v>
      </c>
      <c r="BF69" s="76">
        <v>30</v>
      </c>
      <c r="BG69" s="76">
        <v>10</v>
      </c>
      <c r="BH69" s="76">
        <v>30</v>
      </c>
      <c r="BI69" s="76">
        <v>30</v>
      </c>
      <c r="BJ69" s="76">
        <v>30</v>
      </c>
      <c r="BK69" s="76">
        <v>10</v>
      </c>
      <c r="BL69" s="76">
        <v>0</v>
      </c>
      <c r="BM69" s="76">
        <v>0</v>
      </c>
      <c r="BN69" s="76">
        <v>0</v>
      </c>
      <c r="BO69" s="76">
        <v>0</v>
      </c>
      <c r="BP69" s="76">
        <v>0</v>
      </c>
      <c r="BQ69" s="76">
        <v>0</v>
      </c>
      <c r="BR69" s="76">
        <v>0</v>
      </c>
    </row>
    <row r="70" spans="1:70" x14ac:dyDescent="0.25">
      <c r="A70" s="74">
        <v>32272858</v>
      </c>
      <c r="B70" s="75">
        <v>5080299</v>
      </c>
      <c r="C70" s="76">
        <v>0</v>
      </c>
      <c r="D70" s="76">
        <v>0</v>
      </c>
      <c r="E70" s="76">
        <v>0</v>
      </c>
      <c r="F70" s="76">
        <v>0</v>
      </c>
      <c r="G70" s="76">
        <v>0</v>
      </c>
      <c r="H70" s="76">
        <v>0</v>
      </c>
      <c r="I70" s="76">
        <v>0</v>
      </c>
      <c r="J70" s="76">
        <v>0</v>
      </c>
      <c r="K70" s="120">
        <v>0</v>
      </c>
      <c r="L70" s="76">
        <v>0</v>
      </c>
      <c r="M70" s="158">
        <v>0</v>
      </c>
      <c r="N70" s="76">
        <v>0</v>
      </c>
      <c r="O70" s="76">
        <v>0</v>
      </c>
      <c r="P70" s="76">
        <v>0</v>
      </c>
      <c r="Q70" s="76">
        <v>0</v>
      </c>
      <c r="R70" s="76">
        <v>160</v>
      </c>
      <c r="S70" s="76">
        <v>0</v>
      </c>
      <c r="T70" s="158">
        <v>0</v>
      </c>
      <c r="U70" s="158">
        <v>0</v>
      </c>
      <c r="V70" s="76">
        <v>0</v>
      </c>
      <c r="W70" s="76">
        <v>0</v>
      </c>
      <c r="X70" s="76">
        <v>0</v>
      </c>
      <c r="Y70" s="76">
        <v>0</v>
      </c>
      <c r="Z70" s="76">
        <v>0</v>
      </c>
      <c r="AA70" s="76">
        <v>0</v>
      </c>
      <c r="AB70" s="76">
        <v>0</v>
      </c>
      <c r="AC70" s="76">
        <v>0</v>
      </c>
      <c r="AD70" s="76">
        <v>0</v>
      </c>
      <c r="AE70" s="76">
        <v>0</v>
      </c>
      <c r="AF70" s="76">
        <v>0</v>
      </c>
      <c r="AG70" s="76">
        <v>0</v>
      </c>
      <c r="AH70" s="76">
        <v>0</v>
      </c>
      <c r="AI70" s="76">
        <v>160</v>
      </c>
      <c r="AJ70" s="76">
        <v>0</v>
      </c>
      <c r="AK70" s="76">
        <v>0</v>
      </c>
      <c r="AL70" s="76">
        <v>0</v>
      </c>
      <c r="AM70" s="76">
        <v>0</v>
      </c>
      <c r="AN70" s="76">
        <v>0</v>
      </c>
      <c r="AO70" s="76">
        <v>0</v>
      </c>
      <c r="AP70" s="76">
        <v>0</v>
      </c>
      <c r="AQ70" s="76">
        <v>0</v>
      </c>
      <c r="AR70" s="76">
        <v>0</v>
      </c>
      <c r="AS70" s="76">
        <v>0</v>
      </c>
      <c r="AT70" s="76">
        <v>0</v>
      </c>
      <c r="AU70" s="76">
        <v>0</v>
      </c>
      <c r="AV70" s="76">
        <v>0</v>
      </c>
      <c r="AW70" s="76">
        <v>0</v>
      </c>
      <c r="AX70" s="76">
        <v>0</v>
      </c>
      <c r="AY70" s="76">
        <v>0</v>
      </c>
      <c r="AZ70" s="76">
        <v>0</v>
      </c>
      <c r="BA70" s="76">
        <v>0</v>
      </c>
      <c r="BB70" s="76">
        <v>0</v>
      </c>
      <c r="BC70" s="76">
        <v>0</v>
      </c>
      <c r="BD70" s="76">
        <v>40</v>
      </c>
      <c r="BE70" s="76">
        <v>40</v>
      </c>
      <c r="BF70" s="76">
        <v>40</v>
      </c>
      <c r="BG70" s="76">
        <v>40</v>
      </c>
      <c r="BH70" s="76">
        <v>0</v>
      </c>
      <c r="BI70" s="76">
        <v>0</v>
      </c>
      <c r="BJ70" s="76">
        <v>0</v>
      </c>
      <c r="BK70" s="76">
        <v>0</v>
      </c>
      <c r="BL70" s="76">
        <v>0</v>
      </c>
      <c r="BM70" s="76">
        <v>0</v>
      </c>
      <c r="BN70" s="76">
        <v>0</v>
      </c>
      <c r="BO70" s="76">
        <v>0</v>
      </c>
      <c r="BP70" s="76">
        <v>0</v>
      </c>
      <c r="BQ70" s="76">
        <v>0</v>
      </c>
      <c r="BR70" s="76">
        <v>0</v>
      </c>
    </row>
    <row r="71" spans="1:70" x14ac:dyDescent="0.25">
      <c r="A71" s="74">
        <v>32272860</v>
      </c>
      <c r="B71" s="75">
        <v>5080198</v>
      </c>
      <c r="C71" s="76">
        <v>0</v>
      </c>
      <c r="D71" s="76">
        <v>0</v>
      </c>
      <c r="E71" s="76">
        <v>0</v>
      </c>
      <c r="F71" s="76">
        <v>0</v>
      </c>
      <c r="G71" s="76">
        <v>0</v>
      </c>
      <c r="H71" s="76">
        <v>0</v>
      </c>
      <c r="I71" s="76">
        <v>0</v>
      </c>
      <c r="J71" s="76">
        <v>0</v>
      </c>
      <c r="K71" s="120">
        <v>0</v>
      </c>
      <c r="L71" s="76">
        <v>0</v>
      </c>
      <c r="M71" s="158">
        <v>0</v>
      </c>
      <c r="N71" s="76">
        <v>0</v>
      </c>
      <c r="O71" s="76">
        <v>0</v>
      </c>
      <c r="P71" s="76">
        <v>0</v>
      </c>
      <c r="Q71" s="76">
        <v>0</v>
      </c>
      <c r="R71" s="76">
        <v>0</v>
      </c>
      <c r="S71" s="76">
        <v>0</v>
      </c>
      <c r="T71" s="158">
        <v>0</v>
      </c>
      <c r="U71" s="158">
        <v>0</v>
      </c>
      <c r="V71" s="76">
        <v>0</v>
      </c>
      <c r="W71" s="76">
        <v>0</v>
      </c>
      <c r="X71" s="76">
        <v>0</v>
      </c>
      <c r="Y71" s="76">
        <v>0</v>
      </c>
      <c r="Z71" s="76">
        <v>0</v>
      </c>
      <c r="AA71" s="76">
        <v>0</v>
      </c>
      <c r="AB71" s="76">
        <v>0</v>
      </c>
      <c r="AC71" s="76">
        <v>0</v>
      </c>
      <c r="AD71" s="76">
        <v>0</v>
      </c>
      <c r="AE71" s="76">
        <v>0</v>
      </c>
      <c r="AF71" s="76">
        <v>0</v>
      </c>
      <c r="AG71" s="76">
        <v>0</v>
      </c>
      <c r="AH71" s="76">
        <v>0</v>
      </c>
      <c r="AI71" s="76">
        <v>0</v>
      </c>
      <c r="AJ71" s="76">
        <v>0</v>
      </c>
      <c r="AK71" s="76">
        <v>0</v>
      </c>
      <c r="AL71" s="76">
        <v>0</v>
      </c>
      <c r="AM71" s="76">
        <v>0</v>
      </c>
      <c r="AN71" s="76">
        <v>0</v>
      </c>
      <c r="AO71" s="76">
        <v>0</v>
      </c>
      <c r="AP71" s="76">
        <v>0</v>
      </c>
      <c r="AQ71" s="76">
        <v>0</v>
      </c>
      <c r="AR71" s="76">
        <v>0</v>
      </c>
      <c r="AS71" s="76">
        <v>0</v>
      </c>
      <c r="AT71" s="76">
        <v>0</v>
      </c>
      <c r="AU71" s="76">
        <v>0</v>
      </c>
      <c r="AV71" s="76">
        <v>0</v>
      </c>
      <c r="AW71" s="76">
        <v>0</v>
      </c>
      <c r="AX71" s="76">
        <v>0</v>
      </c>
      <c r="AY71" s="76">
        <v>0</v>
      </c>
      <c r="AZ71" s="76">
        <v>0</v>
      </c>
      <c r="BA71" s="76">
        <v>0</v>
      </c>
      <c r="BB71" s="76">
        <v>0</v>
      </c>
      <c r="BC71" s="76">
        <v>0</v>
      </c>
      <c r="BD71" s="76">
        <v>0</v>
      </c>
      <c r="BE71" s="76">
        <v>0</v>
      </c>
      <c r="BF71" s="76">
        <v>0</v>
      </c>
      <c r="BG71" s="76">
        <v>0</v>
      </c>
      <c r="BH71" s="76">
        <v>0</v>
      </c>
      <c r="BI71" s="76">
        <v>0</v>
      </c>
      <c r="BJ71" s="76">
        <v>0</v>
      </c>
      <c r="BK71" s="76">
        <v>0</v>
      </c>
      <c r="BL71" s="76">
        <v>0</v>
      </c>
      <c r="BM71" s="76">
        <v>0</v>
      </c>
      <c r="BN71" s="76">
        <v>0</v>
      </c>
      <c r="BO71" s="76">
        <v>0</v>
      </c>
      <c r="BP71" s="76">
        <v>0</v>
      </c>
      <c r="BQ71" s="76">
        <v>0</v>
      </c>
      <c r="BR71" s="76">
        <v>0</v>
      </c>
    </row>
    <row r="72" spans="1:70" x14ac:dyDescent="0.25">
      <c r="A72" s="74">
        <v>32272861</v>
      </c>
      <c r="B72" s="75">
        <v>5080263</v>
      </c>
      <c r="C72" s="76">
        <v>0</v>
      </c>
      <c r="D72" s="76">
        <v>0</v>
      </c>
      <c r="E72" s="76">
        <v>80</v>
      </c>
      <c r="F72" s="76">
        <v>0</v>
      </c>
      <c r="G72" s="76">
        <v>0</v>
      </c>
      <c r="H72" s="76">
        <v>0</v>
      </c>
      <c r="I72" s="76">
        <v>0</v>
      </c>
      <c r="J72" s="76">
        <v>0</v>
      </c>
      <c r="K72" s="120">
        <v>0</v>
      </c>
      <c r="L72" s="76">
        <v>0</v>
      </c>
      <c r="M72" s="158">
        <v>0</v>
      </c>
      <c r="N72" s="76">
        <v>0</v>
      </c>
      <c r="O72" s="76">
        <v>0</v>
      </c>
      <c r="P72" s="76">
        <v>0</v>
      </c>
      <c r="Q72" s="76">
        <v>0</v>
      </c>
      <c r="R72" s="76">
        <v>0</v>
      </c>
      <c r="S72" s="76">
        <v>0</v>
      </c>
      <c r="T72" s="158">
        <v>0</v>
      </c>
      <c r="U72" s="158">
        <v>0</v>
      </c>
      <c r="V72" s="76">
        <v>0</v>
      </c>
      <c r="W72" s="76">
        <v>0</v>
      </c>
      <c r="X72" s="76">
        <v>0</v>
      </c>
      <c r="Y72" s="76">
        <v>0</v>
      </c>
      <c r="Z72" s="76">
        <v>0</v>
      </c>
      <c r="AA72" s="76">
        <v>0</v>
      </c>
      <c r="AB72" s="76">
        <v>0</v>
      </c>
      <c r="AC72" s="76">
        <v>0</v>
      </c>
      <c r="AD72" s="76">
        <v>0</v>
      </c>
      <c r="AE72" s="76">
        <v>0</v>
      </c>
      <c r="AF72" s="76">
        <v>0</v>
      </c>
      <c r="AG72" s="76">
        <v>0</v>
      </c>
      <c r="AH72" s="76">
        <v>0</v>
      </c>
      <c r="AI72" s="76">
        <v>0</v>
      </c>
      <c r="AJ72" s="76">
        <v>0</v>
      </c>
      <c r="AK72" s="76">
        <v>0</v>
      </c>
      <c r="AL72" s="76">
        <v>0</v>
      </c>
      <c r="AM72" s="76">
        <v>0</v>
      </c>
      <c r="AN72" s="76">
        <v>0</v>
      </c>
      <c r="AO72" s="76">
        <v>0</v>
      </c>
      <c r="AP72" s="76">
        <v>0</v>
      </c>
      <c r="AQ72" s="76">
        <v>0</v>
      </c>
      <c r="AR72" s="76">
        <v>0</v>
      </c>
      <c r="AS72" s="76">
        <v>0</v>
      </c>
      <c r="AT72" s="76">
        <v>0</v>
      </c>
      <c r="AU72" s="76">
        <v>0</v>
      </c>
      <c r="AV72" s="76">
        <v>0</v>
      </c>
      <c r="AW72" s="76">
        <v>0</v>
      </c>
      <c r="AX72" s="76">
        <v>0</v>
      </c>
      <c r="AY72" s="76">
        <v>0</v>
      </c>
      <c r="AZ72" s="76">
        <v>0</v>
      </c>
      <c r="BA72" s="76">
        <v>0</v>
      </c>
      <c r="BB72" s="76">
        <v>0</v>
      </c>
      <c r="BC72" s="76">
        <v>0</v>
      </c>
      <c r="BD72" s="76">
        <v>0</v>
      </c>
      <c r="BE72" s="76">
        <v>0</v>
      </c>
      <c r="BF72" s="76">
        <v>0</v>
      </c>
      <c r="BG72" s="76">
        <v>0</v>
      </c>
      <c r="BH72" s="76">
        <v>0</v>
      </c>
      <c r="BI72" s="76">
        <v>0</v>
      </c>
      <c r="BJ72" s="76">
        <v>0</v>
      </c>
      <c r="BK72" s="76">
        <v>0</v>
      </c>
      <c r="BL72" s="76">
        <v>0</v>
      </c>
      <c r="BM72" s="76">
        <v>0</v>
      </c>
      <c r="BN72" s="76">
        <v>0</v>
      </c>
      <c r="BO72" s="76">
        <v>0</v>
      </c>
      <c r="BP72" s="76">
        <v>0</v>
      </c>
      <c r="BQ72" s="76">
        <v>0</v>
      </c>
      <c r="BR72" s="76">
        <v>0</v>
      </c>
    </row>
    <row r="73" spans="1:70" x14ac:dyDescent="0.25">
      <c r="A73" s="74">
        <v>32272862</v>
      </c>
      <c r="B73" s="75">
        <v>5080371</v>
      </c>
      <c r="C73" s="76">
        <v>0</v>
      </c>
      <c r="D73" s="76">
        <v>0</v>
      </c>
      <c r="E73" s="76">
        <v>0</v>
      </c>
      <c r="F73" s="76">
        <v>0</v>
      </c>
      <c r="G73" s="76">
        <v>0</v>
      </c>
      <c r="H73" s="76">
        <v>0</v>
      </c>
      <c r="I73" s="76">
        <v>0</v>
      </c>
      <c r="J73" s="76">
        <v>0</v>
      </c>
      <c r="K73" s="120">
        <v>0</v>
      </c>
      <c r="L73" s="76">
        <v>0</v>
      </c>
      <c r="M73" s="158">
        <v>0</v>
      </c>
      <c r="N73" s="76">
        <v>0</v>
      </c>
      <c r="O73" s="76">
        <v>0</v>
      </c>
      <c r="P73" s="76">
        <v>0</v>
      </c>
      <c r="Q73" s="76">
        <v>0</v>
      </c>
      <c r="R73" s="76">
        <v>0</v>
      </c>
      <c r="S73" s="76">
        <v>0</v>
      </c>
      <c r="T73" s="158">
        <v>0</v>
      </c>
      <c r="U73" s="158">
        <v>0</v>
      </c>
      <c r="V73" s="76">
        <v>0</v>
      </c>
      <c r="W73" s="76">
        <v>0</v>
      </c>
      <c r="X73" s="76">
        <v>0</v>
      </c>
      <c r="Y73" s="76">
        <v>0</v>
      </c>
      <c r="Z73" s="76">
        <v>0</v>
      </c>
      <c r="AA73" s="76">
        <v>0</v>
      </c>
      <c r="AB73" s="76">
        <v>0</v>
      </c>
      <c r="AC73" s="76">
        <v>0</v>
      </c>
      <c r="AD73" s="76">
        <v>0</v>
      </c>
      <c r="AE73" s="76">
        <v>0</v>
      </c>
      <c r="AF73" s="76">
        <v>0</v>
      </c>
      <c r="AG73" s="76">
        <v>0</v>
      </c>
      <c r="AH73" s="76">
        <v>0</v>
      </c>
      <c r="AI73" s="76">
        <v>0</v>
      </c>
      <c r="AJ73" s="76">
        <v>0</v>
      </c>
      <c r="AK73" s="76">
        <v>0</v>
      </c>
      <c r="AL73" s="76">
        <v>0</v>
      </c>
      <c r="AM73" s="76">
        <v>0</v>
      </c>
      <c r="AN73" s="76">
        <v>0</v>
      </c>
      <c r="AO73" s="76">
        <v>0</v>
      </c>
      <c r="AP73" s="76">
        <v>0</v>
      </c>
      <c r="AQ73" s="76">
        <v>0</v>
      </c>
      <c r="AR73" s="76">
        <v>0</v>
      </c>
      <c r="AS73" s="76">
        <v>0</v>
      </c>
      <c r="AT73" s="76">
        <v>0</v>
      </c>
      <c r="AU73" s="76">
        <v>0</v>
      </c>
      <c r="AV73" s="76">
        <v>0</v>
      </c>
      <c r="AW73" s="76">
        <v>0</v>
      </c>
      <c r="AX73" s="76">
        <v>0</v>
      </c>
      <c r="AY73" s="76">
        <v>0</v>
      </c>
      <c r="AZ73" s="76">
        <v>0</v>
      </c>
      <c r="BA73" s="76">
        <v>0</v>
      </c>
      <c r="BB73" s="76">
        <v>0</v>
      </c>
      <c r="BC73" s="76">
        <v>0</v>
      </c>
      <c r="BD73" s="76">
        <v>0</v>
      </c>
      <c r="BE73" s="76">
        <v>0</v>
      </c>
      <c r="BF73" s="76">
        <v>0</v>
      </c>
      <c r="BG73" s="76">
        <v>0</v>
      </c>
      <c r="BH73" s="76">
        <v>0</v>
      </c>
      <c r="BI73" s="76">
        <v>0</v>
      </c>
      <c r="BJ73" s="76">
        <v>0</v>
      </c>
      <c r="BK73" s="76">
        <v>0</v>
      </c>
      <c r="BL73" s="76">
        <v>0</v>
      </c>
      <c r="BM73" s="76">
        <v>0</v>
      </c>
      <c r="BN73" s="76">
        <v>0</v>
      </c>
      <c r="BO73" s="76">
        <v>0</v>
      </c>
      <c r="BP73" s="76">
        <v>0</v>
      </c>
      <c r="BQ73" s="76">
        <v>0</v>
      </c>
      <c r="BR73" s="76">
        <v>0</v>
      </c>
    </row>
    <row r="74" spans="1:70" x14ac:dyDescent="0.25">
      <c r="A74" s="74">
        <v>32272863</v>
      </c>
      <c r="B74" s="75">
        <v>5080268</v>
      </c>
      <c r="C74" s="76">
        <v>0</v>
      </c>
      <c r="D74" s="76">
        <v>0</v>
      </c>
      <c r="E74" s="76">
        <v>0</v>
      </c>
      <c r="F74" s="76">
        <v>0</v>
      </c>
      <c r="G74" s="76">
        <v>0</v>
      </c>
      <c r="H74" s="76">
        <v>0</v>
      </c>
      <c r="I74" s="76">
        <v>0</v>
      </c>
      <c r="J74" s="76">
        <v>0</v>
      </c>
      <c r="K74" s="120">
        <v>0</v>
      </c>
      <c r="L74" s="76">
        <v>0</v>
      </c>
      <c r="M74" s="158">
        <v>0</v>
      </c>
      <c r="N74" s="76">
        <v>80</v>
      </c>
      <c r="O74" s="76">
        <v>0</v>
      </c>
      <c r="P74" s="76">
        <v>0</v>
      </c>
      <c r="Q74" s="76">
        <v>0</v>
      </c>
      <c r="R74" s="76">
        <v>0</v>
      </c>
      <c r="S74" s="76">
        <v>0</v>
      </c>
      <c r="T74" s="158">
        <v>0</v>
      </c>
      <c r="U74" s="158">
        <v>0</v>
      </c>
      <c r="V74" s="76">
        <v>0</v>
      </c>
      <c r="W74" s="76">
        <v>0</v>
      </c>
      <c r="X74" s="76">
        <v>0</v>
      </c>
      <c r="Y74" s="76">
        <v>80</v>
      </c>
      <c r="Z74" s="76">
        <v>0</v>
      </c>
      <c r="AA74" s="76">
        <v>0</v>
      </c>
      <c r="AB74" s="76">
        <v>0</v>
      </c>
      <c r="AC74" s="76">
        <v>0</v>
      </c>
      <c r="AD74" s="76">
        <v>0</v>
      </c>
      <c r="AE74" s="76">
        <v>0</v>
      </c>
      <c r="AF74" s="76">
        <v>0</v>
      </c>
      <c r="AG74" s="76">
        <v>0</v>
      </c>
      <c r="AH74" s="76">
        <v>0</v>
      </c>
      <c r="AI74" s="76">
        <v>0</v>
      </c>
      <c r="AJ74" s="76">
        <v>0</v>
      </c>
      <c r="AK74" s="76">
        <v>0</v>
      </c>
      <c r="AL74" s="76">
        <v>0</v>
      </c>
      <c r="AM74" s="76">
        <v>0</v>
      </c>
      <c r="AN74" s="76">
        <v>0</v>
      </c>
      <c r="AO74" s="76">
        <v>0</v>
      </c>
      <c r="AP74" s="76">
        <v>0</v>
      </c>
      <c r="AQ74" s="76">
        <v>0</v>
      </c>
      <c r="AR74" s="76">
        <v>0</v>
      </c>
      <c r="AS74" s="76">
        <v>0</v>
      </c>
      <c r="AT74" s="76">
        <v>0</v>
      </c>
      <c r="AU74" s="76">
        <v>0</v>
      </c>
      <c r="AV74" s="76">
        <v>0</v>
      </c>
      <c r="AW74" s="76">
        <v>0</v>
      </c>
      <c r="AX74" s="76">
        <v>0</v>
      </c>
      <c r="AY74" s="76">
        <v>0</v>
      </c>
      <c r="AZ74" s="76">
        <v>0</v>
      </c>
      <c r="BA74" s="76">
        <v>0</v>
      </c>
      <c r="BB74" s="76">
        <v>0</v>
      </c>
      <c r="BC74" s="76">
        <v>0</v>
      </c>
      <c r="BD74" s="76">
        <v>0</v>
      </c>
      <c r="BE74" s="76">
        <v>0</v>
      </c>
      <c r="BF74" s="76">
        <v>0</v>
      </c>
      <c r="BG74" s="76">
        <v>0</v>
      </c>
      <c r="BH74" s="76">
        <v>0</v>
      </c>
      <c r="BI74" s="76">
        <v>0</v>
      </c>
      <c r="BJ74" s="76">
        <v>0</v>
      </c>
      <c r="BK74" s="76">
        <v>0</v>
      </c>
      <c r="BL74" s="76">
        <v>0</v>
      </c>
      <c r="BM74" s="76">
        <v>0</v>
      </c>
      <c r="BN74" s="76">
        <v>0</v>
      </c>
      <c r="BO74" s="76">
        <v>0</v>
      </c>
      <c r="BP74" s="76">
        <v>0</v>
      </c>
      <c r="BQ74" s="76">
        <v>0</v>
      </c>
      <c r="BR74" s="76">
        <v>0</v>
      </c>
    </row>
    <row r="75" spans="1:70" x14ac:dyDescent="0.25">
      <c r="A75" s="74">
        <v>32272864</v>
      </c>
      <c r="B75" s="75">
        <v>5080375</v>
      </c>
      <c r="C75" s="76">
        <v>0</v>
      </c>
      <c r="D75" s="76">
        <v>0</v>
      </c>
      <c r="E75" s="76">
        <v>0</v>
      </c>
      <c r="F75" s="76">
        <v>0</v>
      </c>
      <c r="G75" s="76">
        <v>0</v>
      </c>
      <c r="H75" s="76">
        <v>0</v>
      </c>
      <c r="I75" s="76">
        <v>0</v>
      </c>
      <c r="J75" s="76">
        <v>0</v>
      </c>
      <c r="K75" s="120">
        <v>0</v>
      </c>
      <c r="L75" s="76">
        <v>0</v>
      </c>
      <c r="M75" s="158">
        <v>0</v>
      </c>
      <c r="N75" s="76">
        <v>0</v>
      </c>
      <c r="O75" s="76">
        <v>0</v>
      </c>
      <c r="P75" s="76">
        <v>0</v>
      </c>
      <c r="Q75" s="76">
        <v>0</v>
      </c>
      <c r="R75" s="76">
        <v>0</v>
      </c>
      <c r="S75" s="76">
        <v>0</v>
      </c>
      <c r="T75" s="158">
        <v>0</v>
      </c>
      <c r="U75" s="158">
        <v>0</v>
      </c>
      <c r="V75" s="76">
        <v>0</v>
      </c>
      <c r="W75" s="76">
        <v>0</v>
      </c>
      <c r="X75" s="76">
        <v>0</v>
      </c>
      <c r="Y75" s="76">
        <v>0</v>
      </c>
      <c r="Z75" s="76">
        <v>0</v>
      </c>
      <c r="AA75" s="76">
        <v>0</v>
      </c>
      <c r="AB75" s="76">
        <v>0</v>
      </c>
      <c r="AC75" s="76">
        <v>0</v>
      </c>
      <c r="AD75" s="76">
        <v>0</v>
      </c>
      <c r="AE75" s="76">
        <v>0</v>
      </c>
      <c r="AF75" s="76">
        <v>0</v>
      </c>
      <c r="AG75" s="76">
        <v>0</v>
      </c>
      <c r="AH75" s="76">
        <v>0</v>
      </c>
      <c r="AI75" s="76">
        <v>0</v>
      </c>
      <c r="AJ75" s="76">
        <v>0</v>
      </c>
      <c r="AK75" s="76">
        <v>0</v>
      </c>
      <c r="AL75" s="76">
        <v>0</v>
      </c>
      <c r="AM75" s="76">
        <v>0</v>
      </c>
      <c r="AN75" s="76">
        <v>0</v>
      </c>
      <c r="AO75" s="76">
        <v>0</v>
      </c>
      <c r="AP75" s="76">
        <v>0</v>
      </c>
      <c r="AQ75" s="76">
        <v>0</v>
      </c>
      <c r="AR75" s="76">
        <v>0</v>
      </c>
      <c r="AS75" s="76">
        <v>0</v>
      </c>
      <c r="AT75" s="76">
        <v>0</v>
      </c>
      <c r="AU75" s="76">
        <v>0</v>
      </c>
      <c r="AV75" s="76">
        <v>0</v>
      </c>
      <c r="AW75" s="76">
        <v>0</v>
      </c>
      <c r="AX75" s="76">
        <v>0</v>
      </c>
      <c r="AY75" s="76">
        <v>0</v>
      </c>
      <c r="AZ75" s="76">
        <v>0</v>
      </c>
      <c r="BA75" s="76">
        <v>0</v>
      </c>
      <c r="BB75" s="76">
        <v>0</v>
      </c>
      <c r="BC75" s="76">
        <v>0</v>
      </c>
      <c r="BD75" s="76">
        <v>0</v>
      </c>
      <c r="BE75" s="76">
        <v>0</v>
      </c>
      <c r="BF75" s="76">
        <v>0</v>
      </c>
      <c r="BG75" s="76">
        <v>0</v>
      </c>
      <c r="BH75" s="76">
        <v>0</v>
      </c>
      <c r="BI75" s="76">
        <v>0</v>
      </c>
      <c r="BJ75" s="76">
        <v>0</v>
      </c>
      <c r="BK75" s="76">
        <v>0</v>
      </c>
      <c r="BL75" s="76">
        <v>0</v>
      </c>
      <c r="BM75" s="76">
        <v>0</v>
      </c>
      <c r="BN75" s="76">
        <v>0</v>
      </c>
      <c r="BO75" s="76">
        <v>0</v>
      </c>
      <c r="BP75" s="76">
        <v>0</v>
      </c>
      <c r="BQ75" s="76">
        <v>0</v>
      </c>
      <c r="BR75" s="76">
        <v>0</v>
      </c>
    </row>
    <row r="76" spans="1:70" x14ac:dyDescent="0.25">
      <c r="A76" s="74">
        <v>32272865</v>
      </c>
      <c r="B76" s="75">
        <v>5080284</v>
      </c>
      <c r="C76" s="76">
        <v>0</v>
      </c>
      <c r="D76" s="76">
        <v>0</v>
      </c>
      <c r="E76" s="76">
        <v>0</v>
      </c>
      <c r="F76" s="76">
        <v>0</v>
      </c>
      <c r="G76" s="76">
        <v>0</v>
      </c>
      <c r="H76" s="76">
        <v>0</v>
      </c>
      <c r="I76" s="76">
        <v>0</v>
      </c>
      <c r="J76" s="76">
        <v>0</v>
      </c>
      <c r="K76" s="120">
        <v>0</v>
      </c>
      <c r="L76" s="76">
        <v>0</v>
      </c>
      <c r="M76" s="158">
        <v>0</v>
      </c>
      <c r="N76" s="76">
        <v>0</v>
      </c>
      <c r="O76" s="76">
        <v>0</v>
      </c>
      <c r="P76" s="76">
        <v>0</v>
      </c>
      <c r="Q76" s="76">
        <v>0</v>
      </c>
      <c r="R76" s="76">
        <v>0</v>
      </c>
      <c r="S76" s="76">
        <v>0</v>
      </c>
      <c r="T76" s="158">
        <v>0</v>
      </c>
      <c r="U76" s="158">
        <v>0</v>
      </c>
      <c r="V76" s="76">
        <v>0</v>
      </c>
      <c r="W76" s="76">
        <v>0</v>
      </c>
      <c r="X76" s="76">
        <v>0</v>
      </c>
      <c r="Y76" s="76">
        <v>0</v>
      </c>
      <c r="Z76" s="76">
        <v>0</v>
      </c>
      <c r="AA76" s="76">
        <v>0</v>
      </c>
      <c r="AB76" s="76">
        <v>0</v>
      </c>
      <c r="AC76" s="76">
        <v>0</v>
      </c>
      <c r="AD76" s="76">
        <v>0</v>
      </c>
      <c r="AE76" s="76">
        <v>0</v>
      </c>
      <c r="AF76" s="76">
        <v>0</v>
      </c>
      <c r="AG76" s="76">
        <v>0</v>
      </c>
      <c r="AH76" s="76">
        <v>0</v>
      </c>
      <c r="AI76" s="76">
        <v>0</v>
      </c>
      <c r="AJ76" s="76">
        <v>0</v>
      </c>
      <c r="AK76" s="76">
        <v>0</v>
      </c>
      <c r="AL76" s="76">
        <v>0</v>
      </c>
      <c r="AM76" s="76">
        <v>0</v>
      </c>
      <c r="AN76" s="76">
        <v>0</v>
      </c>
      <c r="AO76" s="76">
        <v>0</v>
      </c>
      <c r="AP76" s="76">
        <v>0</v>
      </c>
      <c r="AQ76" s="76">
        <v>0</v>
      </c>
      <c r="AR76" s="76">
        <v>0</v>
      </c>
      <c r="AS76" s="76">
        <v>0</v>
      </c>
      <c r="AT76" s="76">
        <v>0</v>
      </c>
      <c r="AU76" s="76">
        <v>0</v>
      </c>
      <c r="AV76" s="76">
        <v>0</v>
      </c>
      <c r="AW76" s="76">
        <v>0</v>
      </c>
      <c r="AX76" s="76">
        <v>0</v>
      </c>
      <c r="AY76" s="76">
        <v>0</v>
      </c>
      <c r="AZ76" s="76">
        <v>0</v>
      </c>
      <c r="BA76" s="76">
        <v>0</v>
      </c>
      <c r="BB76" s="76">
        <v>0</v>
      </c>
      <c r="BC76" s="76">
        <v>0</v>
      </c>
      <c r="BD76" s="76">
        <v>0</v>
      </c>
      <c r="BE76" s="76">
        <v>0</v>
      </c>
      <c r="BF76" s="76">
        <v>0</v>
      </c>
      <c r="BG76" s="76">
        <v>0</v>
      </c>
      <c r="BH76" s="76">
        <v>0</v>
      </c>
      <c r="BI76" s="76">
        <v>0</v>
      </c>
      <c r="BJ76" s="76">
        <v>0</v>
      </c>
      <c r="BK76" s="76">
        <v>0</v>
      </c>
      <c r="BL76" s="76">
        <v>0</v>
      </c>
      <c r="BM76" s="76">
        <v>0</v>
      </c>
      <c r="BN76" s="76">
        <v>0</v>
      </c>
      <c r="BO76" s="76">
        <v>0</v>
      </c>
      <c r="BP76" s="76">
        <v>0</v>
      </c>
      <c r="BQ76" s="76">
        <v>0</v>
      </c>
      <c r="BR76" s="76">
        <v>0</v>
      </c>
    </row>
    <row r="77" spans="1:70" x14ac:dyDescent="0.25">
      <c r="A77" s="74">
        <v>32272866</v>
      </c>
      <c r="B77" s="75">
        <v>5080378</v>
      </c>
      <c r="C77" s="76">
        <v>0</v>
      </c>
      <c r="D77" s="76">
        <v>0</v>
      </c>
      <c r="E77" s="76">
        <v>0</v>
      </c>
      <c r="F77" s="76">
        <v>0</v>
      </c>
      <c r="G77" s="76">
        <v>0</v>
      </c>
      <c r="H77" s="76">
        <v>0</v>
      </c>
      <c r="I77" s="76">
        <v>0</v>
      </c>
      <c r="J77" s="76">
        <v>0</v>
      </c>
      <c r="K77" s="120">
        <v>0</v>
      </c>
      <c r="L77" s="76">
        <v>0</v>
      </c>
      <c r="M77" s="158">
        <v>0</v>
      </c>
      <c r="N77" s="76">
        <v>0</v>
      </c>
      <c r="O77" s="76">
        <v>0</v>
      </c>
      <c r="P77" s="76">
        <v>0</v>
      </c>
      <c r="Q77" s="76">
        <v>0</v>
      </c>
      <c r="R77" s="76">
        <v>0</v>
      </c>
      <c r="S77" s="76">
        <v>0</v>
      </c>
      <c r="T77" s="158">
        <v>0</v>
      </c>
      <c r="U77" s="158">
        <v>0</v>
      </c>
      <c r="V77" s="76">
        <v>0</v>
      </c>
      <c r="W77" s="76">
        <v>0</v>
      </c>
      <c r="X77" s="76">
        <v>0</v>
      </c>
      <c r="Y77" s="76">
        <v>0</v>
      </c>
      <c r="Z77" s="76">
        <v>0</v>
      </c>
      <c r="AA77" s="76">
        <v>0</v>
      </c>
      <c r="AB77" s="76">
        <v>0</v>
      </c>
      <c r="AC77" s="76">
        <v>0</v>
      </c>
      <c r="AD77" s="76">
        <v>0</v>
      </c>
      <c r="AE77" s="76">
        <v>0</v>
      </c>
      <c r="AF77" s="76">
        <v>0</v>
      </c>
      <c r="AG77" s="76">
        <v>0</v>
      </c>
      <c r="AH77" s="76">
        <v>0</v>
      </c>
      <c r="AI77" s="76">
        <v>0</v>
      </c>
      <c r="AJ77" s="76">
        <v>0</v>
      </c>
      <c r="AK77" s="76">
        <v>0</v>
      </c>
      <c r="AL77" s="76">
        <v>0</v>
      </c>
      <c r="AM77" s="76">
        <v>0</v>
      </c>
      <c r="AN77" s="76">
        <v>0</v>
      </c>
      <c r="AO77" s="76">
        <v>0</v>
      </c>
      <c r="AP77" s="76">
        <v>0</v>
      </c>
      <c r="AQ77" s="76">
        <v>0</v>
      </c>
      <c r="AR77" s="76">
        <v>0</v>
      </c>
      <c r="AS77" s="76">
        <v>0</v>
      </c>
      <c r="AT77" s="76">
        <v>0</v>
      </c>
      <c r="AU77" s="76">
        <v>0</v>
      </c>
      <c r="AV77" s="76">
        <v>0</v>
      </c>
      <c r="AW77" s="76">
        <v>0</v>
      </c>
      <c r="AX77" s="76">
        <v>0</v>
      </c>
      <c r="AY77" s="76">
        <v>0</v>
      </c>
      <c r="AZ77" s="76">
        <v>0</v>
      </c>
      <c r="BA77" s="76">
        <v>0</v>
      </c>
      <c r="BB77" s="76">
        <v>0</v>
      </c>
      <c r="BC77" s="76">
        <v>0</v>
      </c>
      <c r="BD77" s="76">
        <v>0</v>
      </c>
      <c r="BE77" s="76">
        <v>0</v>
      </c>
      <c r="BF77" s="76">
        <v>0</v>
      </c>
      <c r="BG77" s="76">
        <v>0</v>
      </c>
      <c r="BH77" s="76">
        <v>0</v>
      </c>
      <c r="BI77" s="76">
        <v>0</v>
      </c>
      <c r="BJ77" s="76">
        <v>0</v>
      </c>
      <c r="BK77" s="76">
        <v>0</v>
      </c>
      <c r="BL77" s="76">
        <v>0</v>
      </c>
      <c r="BM77" s="76">
        <v>0</v>
      </c>
      <c r="BN77" s="76">
        <v>0</v>
      </c>
      <c r="BO77" s="76">
        <v>0</v>
      </c>
      <c r="BP77" s="76">
        <v>0</v>
      </c>
      <c r="BQ77" s="76">
        <v>0</v>
      </c>
      <c r="BR77" s="76">
        <v>0</v>
      </c>
    </row>
    <row r="78" spans="1:70" x14ac:dyDescent="0.25">
      <c r="A78" s="74">
        <v>32272868</v>
      </c>
      <c r="B78" s="75">
        <v>5080417</v>
      </c>
      <c r="C78" s="76">
        <v>0</v>
      </c>
      <c r="D78" s="76">
        <v>0</v>
      </c>
      <c r="E78" s="76">
        <v>80</v>
      </c>
      <c r="F78" s="76">
        <v>0</v>
      </c>
      <c r="G78" s="76">
        <v>0</v>
      </c>
      <c r="H78" s="76">
        <v>0</v>
      </c>
      <c r="I78" s="76">
        <v>0</v>
      </c>
      <c r="J78" s="76">
        <v>0</v>
      </c>
      <c r="K78" s="120">
        <v>0</v>
      </c>
      <c r="L78" s="76">
        <v>0</v>
      </c>
      <c r="M78" s="158">
        <v>0</v>
      </c>
      <c r="N78" s="76">
        <v>0</v>
      </c>
      <c r="O78" s="76">
        <v>0</v>
      </c>
      <c r="P78" s="76">
        <v>0</v>
      </c>
      <c r="Q78" s="76">
        <v>0</v>
      </c>
      <c r="R78" s="76">
        <v>0</v>
      </c>
      <c r="S78" s="76">
        <v>0</v>
      </c>
      <c r="T78" s="158">
        <v>0</v>
      </c>
      <c r="U78" s="158">
        <v>0</v>
      </c>
      <c r="V78" s="76">
        <v>0</v>
      </c>
      <c r="W78" s="76">
        <v>0</v>
      </c>
      <c r="X78" s="76">
        <v>0</v>
      </c>
      <c r="Y78" s="76">
        <v>0</v>
      </c>
      <c r="Z78" s="76">
        <v>0</v>
      </c>
      <c r="AA78" s="76">
        <v>0</v>
      </c>
      <c r="AB78" s="76">
        <v>0</v>
      </c>
      <c r="AC78" s="76">
        <v>0</v>
      </c>
      <c r="AD78" s="76">
        <v>0</v>
      </c>
      <c r="AE78" s="76">
        <v>0</v>
      </c>
      <c r="AF78" s="76">
        <v>0</v>
      </c>
      <c r="AG78" s="76">
        <v>0</v>
      </c>
      <c r="AH78" s="76">
        <v>0</v>
      </c>
      <c r="AI78" s="76">
        <v>0</v>
      </c>
      <c r="AJ78" s="76">
        <v>0</v>
      </c>
      <c r="AK78" s="76">
        <v>0</v>
      </c>
      <c r="AL78" s="76">
        <v>0</v>
      </c>
      <c r="AM78" s="76">
        <v>0</v>
      </c>
      <c r="AN78" s="76">
        <v>0</v>
      </c>
      <c r="AO78" s="76">
        <v>0</v>
      </c>
      <c r="AP78" s="76">
        <v>0</v>
      </c>
      <c r="AQ78" s="76">
        <v>0</v>
      </c>
      <c r="AR78" s="76">
        <v>0</v>
      </c>
      <c r="AS78" s="76">
        <v>0</v>
      </c>
      <c r="AT78" s="76">
        <v>0</v>
      </c>
      <c r="AU78" s="76">
        <v>0</v>
      </c>
      <c r="AV78" s="76">
        <v>0</v>
      </c>
      <c r="AW78" s="76">
        <v>0</v>
      </c>
      <c r="AX78" s="76">
        <v>0</v>
      </c>
      <c r="AY78" s="76">
        <v>0</v>
      </c>
      <c r="AZ78" s="76">
        <v>0</v>
      </c>
      <c r="BA78" s="76">
        <v>0</v>
      </c>
      <c r="BB78" s="76">
        <v>0</v>
      </c>
      <c r="BC78" s="76">
        <v>0</v>
      </c>
      <c r="BD78" s="76">
        <v>0</v>
      </c>
      <c r="BE78" s="76">
        <v>0</v>
      </c>
      <c r="BF78" s="76">
        <v>0</v>
      </c>
      <c r="BG78" s="76">
        <v>0</v>
      </c>
      <c r="BH78" s="76">
        <v>0</v>
      </c>
      <c r="BI78" s="76">
        <v>0</v>
      </c>
      <c r="BJ78" s="76">
        <v>0</v>
      </c>
      <c r="BK78" s="76">
        <v>0</v>
      </c>
      <c r="BL78" s="76">
        <v>0</v>
      </c>
      <c r="BM78" s="76">
        <v>0</v>
      </c>
      <c r="BN78" s="76">
        <v>0</v>
      </c>
      <c r="BO78" s="76">
        <v>0</v>
      </c>
      <c r="BP78" s="76">
        <v>0</v>
      </c>
      <c r="BQ78" s="76">
        <v>0</v>
      </c>
      <c r="BR78" s="76">
        <v>0</v>
      </c>
    </row>
    <row r="79" spans="1:70" x14ac:dyDescent="0.25">
      <c r="A79" s="74">
        <v>32272869</v>
      </c>
      <c r="B79" s="75">
        <v>5080420</v>
      </c>
      <c r="C79" s="76">
        <v>0</v>
      </c>
      <c r="D79" s="76">
        <v>0</v>
      </c>
      <c r="E79" s="76">
        <v>0</v>
      </c>
      <c r="F79" s="76">
        <v>0</v>
      </c>
      <c r="G79" s="76">
        <v>0</v>
      </c>
      <c r="H79" s="76">
        <v>0</v>
      </c>
      <c r="I79" s="76">
        <v>0</v>
      </c>
      <c r="J79" s="76">
        <v>0</v>
      </c>
      <c r="K79" s="120">
        <v>0</v>
      </c>
      <c r="L79" s="76">
        <v>0</v>
      </c>
      <c r="M79" s="158">
        <v>0</v>
      </c>
      <c r="N79" s="76">
        <v>0</v>
      </c>
      <c r="O79" s="76">
        <v>0</v>
      </c>
      <c r="P79" s="76">
        <v>0</v>
      </c>
      <c r="Q79" s="76">
        <v>0</v>
      </c>
      <c r="R79" s="76">
        <v>0</v>
      </c>
      <c r="S79" s="76">
        <v>0</v>
      </c>
      <c r="T79" s="158">
        <v>0</v>
      </c>
      <c r="U79" s="158">
        <v>0</v>
      </c>
      <c r="V79" s="76">
        <v>0</v>
      </c>
      <c r="W79" s="76">
        <v>0</v>
      </c>
      <c r="X79" s="76">
        <v>0</v>
      </c>
      <c r="Y79" s="76">
        <v>0</v>
      </c>
      <c r="Z79" s="76">
        <v>0</v>
      </c>
      <c r="AA79" s="76">
        <v>0</v>
      </c>
      <c r="AB79" s="76">
        <v>0</v>
      </c>
      <c r="AC79" s="76">
        <v>0</v>
      </c>
      <c r="AD79" s="76">
        <v>0</v>
      </c>
      <c r="AE79" s="76">
        <v>0</v>
      </c>
      <c r="AF79" s="76">
        <v>0</v>
      </c>
      <c r="AG79" s="76">
        <v>0</v>
      </c>
      <c r="AH79" s="76">
        <v>0</v>
      </c>
      <c r="AI79" s="76">
        <v>0</v>
      </c>
      <c r="AJ79" s="76">
        <v>0</v>
      </c>
      <c r="AK79" s="76">
        <v>0</v>
      </c>
      <c r="AL79" s="76">
        <v>0</v>
      </c>
      <c r="AM79" s="76">
        <v>0</v>
      </c>
      <c r="AN79" s="76">
        <v>0</v>
      </c>
      <c r="AO79" s="76">
        <v>0</v>
      </c>
      <c r="AP79" s="76">
        <v>0</v>
      </c>
      <c r="AQ79" s="76">
        <v>0</v>
      </c>
      <c r="AR79" s="76">
        <v>0</v>
      </c>
      <c r="AS79" s="76">
        <v>0</v>
      </c>
      <c r="AT79" s="76">
        <v>0</v>
      </c>
      <c r="AU79" s="76">
        <v>0</v>
      </c>
      <c r="AV79" s="76">
        <v>0</v>
      </c>
      <c r="AW79" s="76">
        <v>0</v>
      </c>
      <c r="AX79" s="76">
        <v>0</v>
      </c>
      <c r="AY79" s="76">
        <v>0</v>
      </c>
      <c r="AZ79" s="76">
        <v>0</v>
      </c>
      <c r="BA79" s="76">
        <v>0</v>
      </c>
      <c r="BB79" s="76">
        <v>0</v>
      </c>
      <c r="BC79" s="76">
        <v>0</v>
      </c>
      <c r="BD79" s="76">
        <v>0</v>
      </c>
      <c r="BE79" s="76">
        <v>0</v>
      </c>
      <c r="BF79" s="76">
        <v>0</v>
      </c>
      <c r="BG79" s="76">
        <v>0</v>
      </c>
      <c r="BH79" s="76">
        <v>0</v>
      </c>
      <c r="BI79" s="76">
        <v>0</v>
      </c>
      <c r="BJ79" s="76">
        <v>0</v>
      </c>
      <c r="BK79" s="76">
        <v>0</v>
      </c>
      <c r="BL79" s="76">
        <v>0</v>
      </c>
      <c r="BM79" s="76">
        <v>0</v>
      </c>
      <c r="BN79" s="76">
        <v>0</v>
      </c>
      <c r="BO79" s="76">
        <v>0</v>
      </c>
      <c r="BP79" s="76">
        <v>0</v>
      </c>
      <c r="BQ79" s="76">
        <v>0</v>
      </c>
      <c r="BR79" s="76">
        <v>0</v>
      </c>
    </row>
    <row r="80" spans="1:70" x14ac:dyDescent="0.25">
      <c r="A80" s="74">
        <v>32272870</v>
      </c>
      <c r="B80" s="75">
        <v>5080421</v>
      </c>
      <c r="C80" s="76">
        <v>0</v>
      </c>
      <c r="D80" s="76">
        <v>0</v>
      </c>
      <c r="E80" s="76">
        <v>0</v>
      </c>
      <c r="F80" s="76">
        <v>0</v>
      </c>
      <c r="G80" s="76">
        <v>0</v>
      </c>
      <c r="H80" s="76">
        <v>0</v>
      </c>
      <c r="I80" s="76">
        <v>0</v>
      </c>
      <c r="J80" s="76">
        <v>0</v>
      </c>
      <c r="K80" s="120">
        <v>0</v>
      </c>
      <c r="L80" s="76">
        <v>0</v>
      </c>
      <c r="M80" s="158">
        <v>0</v>
      </c>
      <c r="N80" s="76">
        <v>0</v>
      </c>
      <c r="O80" s="76">
        <v>0</v>
      </c>
      <c r="P80" s="76">
        <v>0</v>
      </c>
      <c r="Q80" s="76">
        <v>0</v>
      </c>
      <c r="R80" s="76">
        <v>0</v>
      </c>
      <c r="S80" s="76">
        <v>0</v>
      </c>
      <c r="T80" s="158">
        <v>0</v>
      </c>
      <c r="U80" s="158">
        <v>0</v>
      </c>
      <c r="V80" s="76">
        <v>0</v>
      </c>
      <c r="W80" s="76">
        <v>0</v>
      </c>
      <c r="X80" s="76">
        <v>0</v>
      </c>
      <c r="Y80" s="76">
        <v>0</v>
      </c>
      <c r="Z80" s="76">
        <v>0</v>
      </c>
      <c r="AA80" s="76">
        <v>0</v>
      </c>
      <c r="AB80" s="76">
        <v>0</v>
      </c>
      <c r="AC80" s="76">
        <v>0</v>
      </c>
      <c r="AD80" s="76">
        <v>0</v>
      </c>
      <c r="AE80" s="76">
        <v>0</v>
      </c>
      <c r="AF80" s="76">
        <v>0</v>
      </c>
      <c r="AG80" s="76">
        <v>0</v>
      </c>
      <c r="AH80" s="76">
        <v>0</v>
      </c>
      <c r="AI80" s="76">
        <v>0</v>
      </c>
      <c r="AJ80" s="76">
        <v>0</v>
      </c>
      <c r="AK80" s="76">
        <v>0</v>
      </c>
      <c r="AL80" s="76">
        <v>0</v>
      </c>
      <c r="AM80" s="76">
        <v>0</v>
      </c>
      <c r="AN80" s="76">
        <v>0</v>
      </c>
      <c r="AO80" s="76">
        <v>0</v>
      </c>
      <c r="AP80" s="76">
        <v>0</v>
      </c>
      <c r="AQ80" s="76">
        <v>0</v>
      </c>
      <c r="AR80" s="76">
        <v>0</v>
      </c>
      <c r="AS80" s="76">
        <v>0</v>
      </c>
      <c r="AT80" s="76">
        <v>0</v>
      </c>
      <c r="AU80" s="76">
        <v>0</v>
      </c>
      <c r="AV80" s="76">
        <v>0</v>
      </c>
      <c r="AW80" s="76">
        <v>0</v>
      </c>
      <c r="AX80" s="76">
        <v>0</v>
      </c>
      <c r="AY80" s="76">
        <v>0</v>
      </c>
      <c r="AZ80" s="76">
        <v>0</v>
      </c>
      <c r="BA80" s="76">
        <v>0</v>
      </c>
      <c r="BB80" s="76">
        <v>0</v>
      </c>
      <c r="BC80" s="76">
        <v>0</v>
      </c>
      <c r="BD80" s="76">
        <v>0</v>
      </c>
      <c r="BE80" s="76">
        <v>0</v>
      </c>
      <c r="BF80" s="76">
        <v>0</v>
      </c>
      <c r="BG80" s="76">
        <v>0</v>
      </c>
      <c r="BH80" s="76">
        <v>0</v>
      </c>
      <c r="BI80" s="76">
        <v>0</v>
      </c>
      <c r="BJ80" s="76">
        <v>0</v>
      </c>
      <c r="BK80" s="76">
        <v>0</v>
      </c>
      <c r="BL80" s="76">
        <v>0</v>
      </c>
      <c r="BM80" s="76">
        <v>0</v>
      </c>
      <c r="BN80" s="76">
        <v>0</v>
      </c>
      <c r="BO80" s="76">
        <v>0</v>
      </c>
      <c r="BP80" s="76">
        <v>0</v>
      </c>
      <c r="BQ80" s="76">
        <v>0</v>
      </c>
      <c r="BR80" s="76">
        <v>0</v>
      </c>
    </row>
    <row r="81" spans="1:70" x14ac:dyDescent="0.25">
      <c r="A81" s="74">
        <v>32272871</v>
      </c>
      <c r="B81" s="75">
        <v>5080426</v>
      </c>
      <c r="C81" s="76">
        <v>0</v>
      </c>
      <c r="D81" s="76">
        <v>0</v>
      </c>
      <c r="E81" s="76">
        <v>0</v>
      </c>
      <c r="F81" s="76">
        <v>0</v>
      </c>
      <c r="G81" s="76">
        <v>0</v>
      </c>
      <c r="H81" s="76">
        <v>0</v>
      </c>
      <c r="I81" s="76">
        <v>0</v>
      </c>
      <c r="J81" s="76">
        <v>0</v>
      </c>
      <c r="K81" s="120">
        <v>0</v>
      </c>
      <c r="L81" s="76">
        <v>0</v>
      </c>
      <c r="M81" s="158">
        <v>0</v>
      </c>
      <c r="N81" s="76">
        <v>0</v>
      </c>
      <c r="O81" s="76">
        <v>0</v>
      </c>
      <c r="P81" s="76">
        <v>0</v>
      </c>
      <c r="Q81" s="76">
        <v>0</v>
      </c>
      <c r="R81" s="76">
        <v>0</v>
      </c>
      <c r="S81" s="76">
        <v>0</v>
      </c>
      <c r="T81" s="158">
        <v>0</v>
      </c>
      <c r="U81" s="158">
        <v>0</v>
      </c>
      <c r="V81" s="76">
        <v>0</v>
      </c>
      <c r="W81" s="76">
        <v>0</v>
      </c>
      <c r="X81" s="76">
        <v>0</v>
      </c>
      <c r="Y81" s="76">
        <v>0</v>
      </c>
      <c r="Z81" s="76">
        <v>0</v>
      </c>
      <c r="AA81" s="76">
        <v>0</v>
      </c>
      <c r="AB81" s="76">
        <v>0</v>
      </c>
      <c r="AC81" s="76">
        <v>0</v>
      </c>
      <c r="AD81" s="76">
        <v>0</v>
      </c>
      <c r="AE81" s="76">
        <v>0</v>
      </c>
      <c r="AF81" s="76">
        <v>0</v>
      </c>
      <c r="AG81" s="76">
        <v>0</v>
      </c>
      <c r="AH81" s="76">
        <v>0</v>
      </c>
      <c r="AI81" s="76">
        <v>0</v>
      </c>
      <c r="AJ81" s="76">
        <v>0</v>
      </c>
      <c r="AK81" s="76">
        <v>0</v>
      </c>
      <c r="AL81" s="76">
        <v>0</v>
      </c>
      <c r="AM81" s="76">
        <v>0</v>
      </c>
      <c r="AN81" s="76">
        <v>0</v>
      </c>
      <c r="AO81" s="76">
        <v>0</v>
      </c>
      <c r="AP81" s="76">
        <v>0</v>
      </c>
      <c r="AQ81" s="76">
        <v>0</v>
      </c>
      <c r="AR81" s="76">
        <v>0</v>
      </c>
      <c r="AS81" s="76">
        <v>0</v>
      </c>
      <c r="AT81" s="76">
        <v>0</v>
      </c>
      <c r="AU81" s="76">
        <v>0</v>
      </c>
      <c r="AV81" s="76">
        <v>0</v>
      </c>
      <c r="AW81" s="76">
        <v>0</v>
      </c>
      <c r="AX81" s="76">
        <v>0</v>
      </c>
      <c r="AY81" s="76">
        <v>0</v>
      </c>
      <c r="AZ81" s="76">
        <v>0</v>
      </c>
      <c r="BA81" s="76">
        <v>0</v>
      </c>
      <c r="BB81" s="76">
        <v>0</v>
      </c>
      <c r="BC81" s="76">
        <v>0</v>
      </c>
      <c r="BD81" s="76">
        <v>0</v>
      </c>
      <c r="BE81" s="76">
        <v>0</v>
      </c>
      <c r="BF81" s="76">
        <v>0</v>
      </c>
      <c r="BG81" s="76">
        <v>0</v>
      </c>
      <c r="BH81" s="76">
        <v>0</v>
      </c>
      <c r="BI81" s="76">
        <v>0</v>
      </c>
      <c r="BJ81" s="76">
        <v>0</v>
      </c>
      <c r="BK81" s="76">
        <v>0</v>
      </c>
      <c r="BL81" s="76">
        <v>0</v>
      </c>
      <c r="BM81" s="76">
        <v>0</v>
      </c>
      <c r="BN81" s="76">
        <v>0</v>
      </c>
      <c r="BO81" s="76">
        <v>0</v>
      </c>
      <c r="BP81" s="76">
        <v>0</v>
      </c>
      <c r="BQ81" s="76">
        <v>0</v>
      </c>
      <c r="BR81" s="76">
        <v>0</v>
      </c>
    </row>
    <row r="82" spans="1:70" x14ac:dyDescent="0.25">
      <c r="A82" s="74">
        <v>32272872</v>
      </c>
      <c r="B82" s="75">
        <v>5080431</v>
      </c>
      <c r="C82" s="76">
        <v>80</v>
      </c>
      <c r="D82" s="76">
        <v>0</v>
      </c>
      <c r="E82" s="76">
        <v>0</v>
      </c>
      <c r="F82" s="76">
        <v>80</v>
      </c>
      <c r="G82" s="76">
        <v>0</v>
      </c>
      <c r="H82" s="76">
        <v>80</v>
      </c>
      <c r="I82" s="76">
        <v>0</v>
      </c>
      <c r="J82" s="76">
        <v>0</v>
      </c>
      <c r="K82" s="120">
        <v>0</v>
      </c>
      <c r="L82" s="76">
        <v>80</v>
      </c>
      <c r="M82" s="158">
        <v>0</v>
      </c>
      <c r="N82" s="76">
        <v>0</v>
      </c>
      <c r="O82" s="76">
        <v>0</v>
      </c>
      <c r="P82" s="76">
        <v>0</v>
      </c>
      <c r="Q82" s="76">
        <v>80</v>
      </c>
      <c r="R82" s="76">
        <v>0</v>
      </c>
      <c r="S82" s="76">
        <v>0</v>
      </c>
      <c r="T82" s="158">
        <v>0</v>
      </c>
      <c r="U82" s="158">
        <v>0</v>
      </c>
      <c r="V82" s="76">
        <v>0</v>
      </c>
      <c r="W82" s="76">
        <v>0</v>
      </c>
      <c r="X82" s="76">
        <v>80</v>
      </c>
      <c r="Y82" s="76">
        <v>0</v>
      </c>
      <c r="Z82" s="76">
        <v>0</v>
      </c>
      <c r="AA82" s="76">
        <v>80</v>
      </c>
      <c r="AB82" s="76">
        <v>0</v>
      </c>
      <c r="AC82" s="76">
        <v>0</v>
      </c>
      <c r="AD82" s="76">
        <v>80</v>
      </c>
      <c r="AE82" s="76">
        <v>0</v>
      </c>
      <c r="AF82" s="76">
        <v>0</v>
      </c>
      <c r="AG82" s="76">
        <v>80</v>
      </c>
      <c r="AH82" s="76">
        <v>0</v>
      </c>
      <c r="AI82" s="76">
        <v>160</v>
      </c>
      <c r="AJ82" s="76">
        <v>80</v>
      </c>
      <c r="AK82" s="76">
        <v>0</v>
      </c>
      <c r="AL82" s="76">
        <v>80</v>
      </c>
      <c r="AM82" s="76">
        <v>0</v>
      </c>
      <c r="AN82" s="76">
        <v>0</v>
      </c>
      <c r="AO82" s="76">
        <v>0</v>
      </c>
      <c r="AP82" s="76">
        <v>0</v>
      </c>
      <c r="AQ82" s="76">
        <v>80</v>
      </c>
      <c r="AR82" s="76">
        <v>0</v>
      </c>
      <c r="AS82" s="76">
        <v>0</v>
      </c>
      <c r="AT82" s="76">
        <v>0</v>
      </c>
      <c r="AU82" s="76">
        <v>80</v>
      </c>
      <c r="AV82" s="76">
        <v>0</v>
      </c>
      <c r="AW82" s="76">
        <v>0</v>
      </c>
      <c r="AX82" s="76">
        <v>0</v>
      </c>
      <c r="AY82" s="76">
        <v>0</v>
      </c>
      <c r="AZ82" s="76">
        <v>0</v>
      </c>
      <c r="BA82" s="76">
        <v>0</v>
      </c>
      <c r="BB82" s="76">
        <v>80</v>
      </c>
      <c r="BC82" s="76">
        <v>0</v>
      </c>
      <c r="BD82" s="76">
        <v>20</v>
      </c>
      <c r="BE82" s="76">
        <v>20</v>
      </c>
      <c r="BF82" s="76">
        <v>20</v>
      </c>
      <c r="BG82" s="76">
        <v>20</v>
      </c>
      <c r="BH82" s="76">
        <v>0</v>
      </c>
      <c r="BI82" s="76">
        <v>0</v>
      </c>
      <c r="BJ82" s="76">
        <v>0</v>
      </c>
      <c r="BK82" s="76">
        <v>0</v>
      </c>
      <c r="BL82" s="76">
        <v>40</v>
      </c>
      <c r="BM82" s="76">
        <v>40</v>
      </c>
      <c r="BN82" s="76">
        <v>40</v>
      </c>
      <c r="BO82" s="76">
        <v>40</v>
      </c>
      <c r="BP82" s="76">
        <v>0</v>
      </c>
      <c r="BQ82" s="76">
        <v>40</v>
      </c>
      <c r="BR82" s="76">
        <v>40</v>
      </c>
    </row>
    <row r="83" spans="1:70" x14ac:dyDescent="0.25">
      <c r="A83" s="74">
        <v>32272873</v>
      </c>
      <c r="B83" s="75">
        <v>5080463</v>
      </c>
      <c r="C83" s="76">
        <v>0</v>
      </c>
      <c r="D83" s="76">
        <v>0</v>
      </c>
      <c r="E83" s="76">
        <v>0</v>
      </c>
      <c r="F83" s="76">
        <v>0</v>
      </c>
      <c r="G83" s="76">
        <v>0</v>
      </c>
      <c r="H83" s="76">
        <v>0</v>
      </c>
      <c r="I83" s="76">
        <v>0</v>
      </c>
      <c r="J83" s="76">
        <v>0</v>
      </c>
      <c r="K83" s="120">
        <v>0</v>
      </c>
      <c r="L83" s="76">
        <v>0</v>
      </c>
      <c r="M83" s="158">
        <v>0</v>
      </c>
      <c r="N83" s="76">
        <v>0</v>
      </c>
      <c r="O83" s="76">
        <v>0</v>
      </c>
      <c r="P83" s="76">
        <v>0</v>
      </c>
      <c r="Q83" s="76">
        <v>0</v>
      </c>
      <c r="R83" s="76">
        <v>0</v>
      </c>
      <c r="S83" s="76">
        <v>0</v>
      </c>
      <c r="T83" s="158">
        <v>0</v>
      </c>
      <c r="U83" s="158">
        <v>0</v>
      </c>
      <c r="V83" s="76">
        <v>0</v>
      </c>
      <c r="W83" s="76">
        <v>0</v>
      </c>
      <c r="X83" s="76">
        <v>0</v>
      </c>
      <c r="Y83" s="76">
        <v>0</v>
      </c>
      <c r="Z83" s="76">
        <v>0</v>
      </c>
      <c r="AA83" s="76">
        <v>0</v>
      </c>
      <c r="AB83" s="76">
        <v>0</v>
      </c>
      <c r="AC83" s="76">
        <v>0</v>
      </c>
      <c r="AD83" s="76">
        <v>0</v>
      </c>
      <c r="AE83" s="76">
        <v>0</v>
      </c>
      <c r="AF83" s="76">
        <v>0</v>
      </c>
      <c r="AG83" s="76">
        <v>0</v>
      </c>
      <c r="AH83" s="76">
        <v>0</v>
      </c>
      <c r="AI83" s="76">
        <v>0</v>
      </c>
      <c r="AJ83" s="76">
        <v>0</v>
      </c>
      <c r="AK83" s="76">
        <v>0</v>
      </c>
      <c r="AL83" s="76">
        <v>0</v>
      </c>
      <c r="AM83" s="76">
        <v>0</v>
      </c>
      <c r="AN83" s="76">
        <v>0</v>
      </c>
      <c r="AO83" s="76">
        <v>0</v>
      </c>
      <c r="AP83" s="76">
        <v>0</v>
      </c>
      <c r="AQ83" s="76">
        <v>0</v>
      </c>
      <c r="AR83" s="76">
        <v>0</v>
      </c>
      <c r="AS83" s="76">
        <v>0</v>
      </c>
      <c r="AT83" s="76">
        <v>0</v>
      </c>
      <c r="AU83" s="76">
        <v>0</v>
      </c>
      <c r="AV83" s="76">
        <v>0</v>
      </c>
      <c r="AW83" s="76">
        <v>0</v>
      </c>
      <c r="AX83" s="76">
        <v>0</v>
      </c>
      <c r="AY83" s="76">
        <v>0</v>
      </c>
      <c r="AZ83" s="76">
        <v>0</v>
      </c>
      <c r="BA83" s="76">
        <v>0</v>
      </c>
      <c r="BB83" s="76">
        <v>0</v>
      </c>
      <c r="BC83" s="76">
        <v>0</v>
      </c>
      <c r="BD83" s="76">
        <v>0</v>
      </c>
      <c r="BE83" s="76">
        <v>0</v>
      </c>
      <c r="BF83" s="76">
        <v>0</v>
      </c>
      <c r="BG83" s="76">
        <v>0</v>
      </c>
      <c r="BH83" s="76">
        <v>0</v>
      </c>
      <c r="BI83" s="76">
        <v>0</v>
      </c>
      <c r="BJ83" s="76">
        <v>0</v>
      </c>
      <c r="BK83" s="76">
        <v>0</v>
      </c>
      <c r="BL83" s="76">
        <v>0</v>
      </c>
      <c r="BM83" s="76">
        <v>0</v>
      </c>
      <c r="BN83" s="76">
        <v>0</v>
      </c>
      <c r="BO83" s="76">
        <v>0</v>
      </c>
      <c r="BP83" s="76">
        <v>0</v>
      </c>
      <c r="BQ83" s="76">
        <v>0</v>
      </c>
      <c r="BR83" s="76">
        <v>0</v>
      </c>
    </row>
    <row r="84" spans="1:70" x14ac:dyDescent="0.25">
      <c r="A84" s="74">
        <v>32272874</v>
      </c>
      <c r="B84" s="75">
        <v>5080439</v>
      </c>
      <c r="C84" s="76">
        <v>0</v>
      </c>
      <c r="D84" s="76">
        <v>0</v>
      </c>
      <c r="E84" s="76">
        <v>0</v>
      </c>
      <c r="F84" s="76">
        <v>0</v>
      </c>
      <c r="G84" s="76">
        <v>0</v>
      </c>
      <c r="H84" s="76">
        <v>0</v>
      </c>
      <c r="I84" s="76">
        <v>0</v>
      </c>
      <c r="J84" s="76">
        <v>0</v>
      </c>
      <c r="K84" s="120">
        <v>0</v>
      </c>
      <c r="L84" s="76">
        <v>0</v>
      </c>
      <c r="M84" s="158">
        <v>0</v>
      </c>
      <c r="N84" s="76">
        <v>0</v>
      </c>
      <c r="O84" s="76">
        <v>0</v>
      </c>
      <c r="P84" s="76">
        <v>0</v>
      </c>
      <c r="Q84" s="76">
        <v>0</v>
      </c>
      <c r="R84" s="76">
        <v>0</v>
      </c>
      <c r="S84" s="76">
        <v>0</v>
      </c>
      <c r="T84" s="158">
        <v>0</v>
      </c>
      <c r="U84" s="158">
        <v>0</v>
      </c>
      <c r="V84" s="76">
        <v>0</v>
      </c>
      <c r="W84" s="76">
        <v>0</v>
      </c>
      <c r="X84" s="76">
        <v>0</v>
      </c>
      <c r="Y84" s="76">
        <v>0</v>
      </c>
      <c r="Z84" s="76">
        <v>0</v>
      </c>
      <c r="AA84" s="76">
        <v>0</v>
      </c>
      <c r="AB84" s="76">
        <v>0</v>
      </c>
      <c r="AC84" s="76">
        <v>0</v>
      </c>
      <c r="AD84" s="76">
        <v>0</v>
      </c>
      <c r="AE84" s="76">
        <v>0</v>
      </c>
      <c r="AF84" s="76">
        <v>0</v>
      </c>
      <c r="AG84" s="76">
        <v>0</v>
      </c>
      <c r="AH84" s="76">
        <v>0</v>
      </c>
      <c r="AI84" s="76">
        <v>0</v>
      </c>
      <c r="AJ84" s="76">
        <v>0</v>
      </c>
      <c r="AK84" s="76">
        <v>0</v>
      </c>
      <c r="AL84" s="76">
        <v>0</v>
      </c>
      <c r="AM84" s="76">
        <v>0</v>
      </c>
      <c r="AN84" s="76">
        <v>0</v>
      </c>
      <c r="AO84" s="76">
        <v>0</v>
      </c>
      <c r="AP84" s="76">
        <v>0</v>
      </c>
      <c r="AQ84" s="76">
        <v>0</v>
      </c>
      <c r="AR84" s="76">
        <v>0</v>
      </c>
      <c r="AS84" s="76">
        <v>0</v>
      </c>
      <c r="AT84" s="76">
        <v>0</v>
      </c>
      <c r="AU84" s="76">
        <v>0</v>
      </c>
      <c r="AV84" s="76">
        <v>0</v>
      </c>
      <c r="AW84" s="76">
        <v>0</v>
      </c>
      <c r="AX84" s="76">
        <v>0</v>
      </c>
      <c r="AY84" s="76">
        <v>0</v>
      </c>
      <c r="AZ84" s="76">
        <v>0</v>
      </c>
      <c r="BA84" s="76">
        <v>0</v>
      </c>
      <c r="BB84" s="76">
        <v>0</v>
      </c>
      <c r="BC84" s="76">
        <v>0</v>
      </c>
      <c r="BD84" s="76">
        <v>0</v>
      </c>
      <c r="BE84" s="76">
        <v>0</v>
      </c>
      <c r="BF84" s="76">
        <v>0</v>
      </c>
      <c r="BG84" s="76">
        <v>0</v>
      </c>
      <c r="BH84" s="76">
        <v>0</v>
      </c>
      <c r="BI84" s="76">
        <v>0</v>
      </c>
      <c r="BJ84" s="76">
        <v>0</v>
      </c>
      <c r="BK84" s="76">
        <v>0</v>
      </c>
      <c r="BL84" s="76">
        <v>0</v>
      </c>
      <c r="BM84" s="76">
        <v>0</v>
      </c>
      <c r="BN84" s="76">
        <v>0</v>
      </c>
      <c r="BO84" s="76">
        <v>0</v>
      </c>
      <c r="BP84" s="76">
        <v>0</v>
      </c>
      <c r="BQ84" s="76">
        <v>0</v>
      </c>
      <c r="BR84" s="76">
        <v>0</v>
      </c>
    </row>
    <row r="85" spans="1:70" x14ac:dyDescent="0.25">
      <c r="A85" s="74">
        <v>32272875</v>
      </c>
      <c r="B85" s="75">
        <v>5080443</v>
      </c>
      <c r="C85" s="76">
        <v>0</v>
      </c>
      <c r="D85" s="76">
        <v>80</v>
      </c>
      <c r="E85" s="76">
        <v>0</v>
      </c>
      <c r="F85" s="76">
        <v>80</v>
      </c>
      <c r="G85" s="76">
        <v>0</v>
      </c>
      <c r="H85" s="76">
        <v>80</v>
      </c>
      <c r="I85" s="76">
        <v>80</v>
      </c>
      <c r="J85" s="76">
        <v>80</v>
      </c>
      <c r="K85" s="120">
        <v>0</v>
      </c>
      <c r="L85" s="76">
        <v>80</v>
      </c>
      <c r="M85" s="158">
        <v>0</v>
      </c>
      <c r="N85" s="76">
        <v>80</v>
      </c>
      <c r="O85" s="76">
        <v>80</v>
      </c>
      <c r="P85" s="76">
        <v>80</v>
      </c>
      <c r="Q85" s="76">
        <v>0</v>
      </c>
      <c r="R85" s="76">
        <v>80</v>
      </c>
      <c r="S85" s="76">
        <v>80</v>
      </c>
      <c r="T85" s="158">
        <v>0</v>
      </c>
      <c r="U85" s="158">
        <v>0</v>
      </c>
      <c r="V85" s="76">
        <v>80</v>
      </c>
      <c r="W85" s="76">
        <v>80</v>
      </c>
      <c r="X85" s="76">
        <v>0</v>
      </c>
      <c r="Y85" s="76">
        <v>160</v>
      </c>
      <c r="Z85" s="76">
        <v>0</v>
      </c>
      <c r="AA85" s="76">
        <v>80</v>
      </c>
      <c r="AB85" s="76">
        <v>80</v>
      </c>
      <c r="AC85" s="76">
        <v>80</v>
      </c>
      <c r="AD85" s="76">
        <v>80</v>
      </c>
      <c r="AE85" s="76">
        <v>0</v>
      </c>
      <c r="AF85" s="76">
        <v>80</v>
      </c>
      <c r="AG85" s="76">
        <v>80</v>
      </c>
      <c r="AH85" s="76">
        <v>0</v>
      </c>
      <c r="AI85" s="76">
        <v>80</v>
      </c>
      <c r="AJ85" s="76">
        <v>0</v>
      </c>
      <c r="AK85" s="76">
        <v>0</v>
      </c>
      <c r="AL85" s="76">
        <v>0</v>
      </c>
      <c r="AM85" s="76">
        <v>0</v>
      </c>
      <c r="AN85" s="76">
        <v>0</v>
      </c>
      <c r="AO85" s="76">
        <v>0</v>
      </c>
      <c r="AP85" s="76">
        <v>0</v>
      </c>
      <c r="AQ85" s="76">
        <v>0</v>
      </c>
      <c r="AR85" s="76">
        <v>0</v>
      </c>
      <c r="AS85" s="76">
        <v>0</v>
      </c>
      <c r="AT85" s="76">
        <v>0</v>
      </c>
      <c r="AU85" s="76">
        <v>0</v>
      </c>
      <c r="AV85" s="76">
        <v>0</v>
      </c>
      <c r="AW85" s="76">
        <v>0</v>
      </c>
      <c r="AX85" s="76">
        <v>0</v>
      </c>
      <c r="AY85" s="76">
        <v>0</v>
      </c>
      <c r="AZ85" s="76">
        <v>0</v>
      </c>
      <c r="BA85" s="76">
        <v>0</v>
      </c>
      <c r="BB85" s="76">
        <v>0</v>
      </c>
      <c r="BC85" s="76">
        <v>0</v>
      </c>
      <c r="BD85" s="76">
        <v>0</v>
      </c>
      <c r="BE85" s="76">
        <v>0</v>
      </c>
      <c r="BF85" s="76">
        <v>0</v>
      </c>
      <c r="BG85" s="76">
        <v>0</v>
      </c>
      <c r="BH85" s="76">
        <v>0</v>
      </c>
      <c r="BI85" s="76">
        <v>0</v>
      </c>
      <c r="BJ85" s="76">
        <v>0</v>
      </c>
      <c r="BK85" s="76">
        <v>0</v>
      </c>
      <c r="BL85" s="76">
        <v>0</v>
      </c>
      <c r="BM85" s="76">
        <v>0</v>
      </c>
      <c r="BN85" s="76">
        <v>0</v>
      </c>
      <c r="BO85" s="76">
        <v>0</v>
      </c>
      <c r="BP85" s="76">
        <v>0</v>
      </c>
      <c r="BQ85" s="76">
        <v>0</v>
      </c>
      <c r="BR85" s="76">
        <v>0</v>
      </c>
    </row>
    <row r="86" spans="1:70" x14ac:dyDescent="0.25">
      <c r="A86" s="74">
        <v>32272876</v>
      </c>
      <c r="B86" s="75">
        <v>5080465</v>
      </c>
      <c r="C86" s="76">
        <v>0</v>
      </c>
      <c r="D86" s="76">
        <v>0</v>
      </c>
      <c r="E86" s="76">
        <v>0</v>
      </c>
      <c r="F86" s="76">
        <v>0</v>
      </c>
      <c r="G86" s="76">
        <v>0</v>
      </c>
      <c r="H86" s="76">
        <v>0</v>
      </c>
      <c r="I86" s="76">
        <v>0</v>
      </c>
      <c r="J86" s="76">
        <v>0</v>
      </c>
      <c r="K86" s="120">
        <v>0</v>
      </c>
      <c r="L86" s="76">
        <v>0</v>
      </c>
      <c r="M86" s="158">
        <v>0</v>
      </c>
      <c r="N86" s="76">
        <v>0</v>
      </c>
      <c r="O86" s="76">
        <v>0</v>
      </c>
      <c r="P86" s="76">
        <v>0</v>
      </c>
      <c r="Q86" s="76">
        <v>0</v>
      </c>
      <c r="R86" s="76">
        <v>0</v>
      </c>
      <c r="S86" s="76">
        <v>0</v>
      </c>
      <c r="T86" s="158">
        <v>0</v>
      </c>
      <c r="U86" s="158">
        <v>0</v>
      </c>
      <c r="V86" s="76">
        <v>0</v>
      </c>
      <c r="W86" s="76">
        <v>0</v>
      </c>
      <c r="X86" s="76">
        <v>0</v>
      </c>
      <c r="Y86" s="76">
        <v>0</v>
      </c>
      <c r="Z86" s="76">
        <v>0</v>
      </c>
      <c r="AA86" s="76">
        <v>0</v>
      </c>
      <c r="AB86" s="76">
        <v>0</v>
      </c>
      <c r="AC86" s="76">
        <v>0</v>
      </c>
      <c r="AD86" s="76">
        <v>0</v>
      </c>
      <c r="AE86" s="76">
        <v>0</v>
      </c>
      <c r="AF86" s="76">
        <v>0</v>
      </c>
      <c r="AG86" s="76">
        <v>0</v>
      </c>
      <c r="AH86" s="76">
        <v>0</v>
      </c>
      <c r="AI86" s="76">
        <v>0</v>
      </c>
      <c r="AJ86" s="76">
        <v>0</v>
      </c>
      <c r="AK86" s="76">
        <v>0</v>
      </c>
      <c r="AL86" s="76">
        <v>0</v>
      </c>
      <c r="AM86" s="76">
        <v>0</v>
      </c>
      <c r="AN86" s="76">
        <v>0</v>
      </c>
      <c r="AO86" s="76">
        <v>0</v>
      </c>
      <c r="AP86" s="76">
        <v>0</v>
      </c>
      <c r="AQ86" s="76">
        <v>0</v>
      </c>
      <c r="AR86" s="76">
        <v>0</v>
      </c>
      <c r="AS86" s="76">
        <v>0</v>
      </c>
      <c r="AT86" s="76">
        <v>0</v>
      </c>
      <c r="AU86" s="76">
        <v>0</v>
      </c>
      <c r="AV86" s="76">
        <v>0</v>
      </c>
      <c r="AW86" s="76">
        <v>0</v>
      </c>
      <c r="AX86" s="76">
        <v>0</v>
      </c>
      <c r="AY86" s="76">
        <v>0</v>
      </c>
      <c r="AZ86" s="76">
        <v>0</v>
      </c>
      <c r="BA86" s="76">
        <v>0</v>
      </c>
      <c r="BB86" s="76">
        <v>0</v>
      </c>
      <c r="BC86" s="76">
        <v>0</v>
      </c>
      <c r="BD86" s="76">
        <v>0</v>
      </c>
      <c r="BE86" s="76">
        <v>0</v>
      </c>
      <c r="BF86" s="76">
        <v>0</v>
      </c>
      <c r="BG86" s="76">
        <v>0</v>
      </c>
      <c r="BH86" s="76">
        <v>0</v>
      </c>
      <c r="BI86" s="76">
        <v>0</v>
      </c>
      <c r="BJ86" s="76">
        <v>0</v>
      </c>
      <c r="BK86" s="76">
        <v>0</v>
      </c>
      <c r="BL86" s="76">
        <v>0</v>
      </c>
      <c r="BM86" s="76">
        <v>0</v>
      </c>
      <c r="BN86" s="76">
        <v>0</v>
      </c>
      <c r="BO86" s="76">
        <v>0</v>
      </c>
      <c r="BP86" s="76">
        <v>0</v>
      </c>
      <c r="BQ86" s="76">
        <v>0</v>
      </c>
      <c r="BR86" s="76">
        <v>0</v>
      </c>
    </row>
    <row r="87" spans="1:70" x14ac:dyDescent="0.25">
      <c r="A87" s="74">
        <v>32272877</v>
      </c>
      <c r="B87" s="75">
        <v>5080446</v>
      </c>
      <c r="C87" s="76">
        <v>0</v>
      </c>
      <c r="D87" s="76">
        <v>100</v>
      </c>
      <c r="E87" s="76">
        <v>0</v>
      </c>
      <c r="F87" s="76">
        <v>0</v>
      </c>
      <c r="G87" s="76">
        <v>0</v>
      </c>
      <c r="H87" s="76">
        <v>0</v>
      </c>
      <c r="I87" s="76">
        <v>0</v>
      </c>
      <c r="J87" s="76">
        <v>0</v>
      </c>
      <c r="K87" s="120">
        <v>0</v>
      </c>
      <c r="L87" s="76">
        <v>100</v>
      </c>
      <c r="M87" s="158">
        <v>0</v>
      </c>
      <c r="N87" s="76">
        <v>0</v>
      </c>
      <c r="O87" s="76">
        <v>0</v>
      </c>
      <c r="P87" s="76">
        <v>0</v>
      </c>
      <c r="Q87" s="76">
        <v>0</v>
      </c>
      <c r="R87" s="76">
        <v>0</v>
      </c>
      <c r="S87" s="76">
        <v>0</v>
      </c>
      <c r="T87" s="158">
        <v>0</v>
      </c>
      <c r="U87" s="158">
        <v>0</v>
      </c>
      <c r="V87" s="76">
        <v>0</v>
      </c>
      <c r="W87" s="76">
        <v>0</v>
      </c>
      <c r="X87" s="76">
        <v>0</v>
      </c>
      <c r="Y87" s="76">
        <v>0</v>
      </c>
      <c r="Z87" s="76">
        <v>0</v>
      </c>
      <c r="AA87" s="76">
        <v>100</v>
      </c>
      <c r="AB87" s="76">
        <v>0</v>
      </c>
      <c r="AC87" s="76">
        <v>0</v>
      </c>
      <c r="AD87" s="76">
        <v>0</v>
      </c>
      <c r="AE87" s="76">
        <v>0</v>
      </c>
      <c r="AF87" s="76">
        <v>0</v>
      </c>
      <c r="AG87" s="76">
        <v>0</v>
      </c>
      <c r="AH87" s="76">
        <v>0</v>
      </c>
      <c r="AI87" s="76">
        <v>0</v>
      </c>
      <c r="AJ87" s="76">
        <v>0</v>
      </c>
      <c r="AK87" s="76">
        <v>0</v>
      </c>
      <c r="AL87" s="76">
        <v>0</v>
      </c>
      <c r="AM87" s="76">
        <v>0</v>
      </c>
      <c r="AN87" s="76">
        <v>0</v>
      </c>
      <c r="AO87" s="76">
        <v>0</v>
      </c>
      <c r="AP87" s="76">
        <v>0</v>
      </c>
      <c r="AQ87" s="76">
        <v>0</v>
      </c>
      <c r="AR87" s="76">
        <v>0</v>
      </c>
      <c r="AS87" s="76">
        <v>100</v>
      </c>
      <c r="AT87" s="76">
        <v>0</v>
      </c>
      <c r="AU87" s="76">
        <v>0</v>
      </c>
      <c r="AV87" s="76">
        <v>0</v>
      </c>
      <c r="AW87" s="76">
        <v>0</v>
      </c>
      <c r="AX87" s="76">
        <v>0</v>
      </c>
      <c r="AY87" s="76">
        <v>0</v>
      </c>
      <c r="AZ87" s="76">
        <v>0</v>
      </c>
      <c r="BA87" s="76">
        <v>0</v>
      </c>
      <c r="BB87" s="76">
        <v>0</v>
      </c>
      <c r="BC87" s="76">
        <v>0</v>
      </c>
      <c r="BD87" s="76">
        <v>0</v>
      </c>
      <c r="BE87" s="76">
        <v>0</v>
      </c>
      <c r="BF87" s="76">
        <v>0</v>
      </c>
      <c r="BG87" s="76">
        <v>0</v>
      </c>
      <c r="BH87" s="76">
        <v>0</v>
      </c>
      <c r="BI87" s="76">
        <v>0</v>
      </c>
      <c r="BJ87" s="76">
        <v>0</v>
      </c>
      <c r="BK87" s="76">
        <v>0</v>
      </c>
      <c r="BL87" s="76">
        <v>0</v>
      </c>
      <c r="BM87" s="76">
        <v>0</v>
      </c>
      <c r="BN87" s="76">
        <v>0</v>
      </c>
      <c r="BO87" s="76">
        <v>0</v>
      </c>
      <c r="BP87" s="76">
        <v>0</v>
      </c>
      <c r="BQ87" s="76">
        <v>0</v>
      </c>
      <c r="BR87" s="76">
        <v>0</v>
      </c>
    </row>
    <row r="88" spans="1:70" x14ac:dyDescent="0.25">
      <c r="A88" s="74">
        <v>32272878</v>
      </c>
      <c r="B88" s="75">
        <v>5080469</v>
      </c>
      <c r="C88" s="76">
        <v>0</v>
      </c>
      <c r="D88" s="76">
        <v>0</v>
      </c>
      <c r="E88" s="76">
        <v>0</v>
      </c>
      <c r="F88" s="76">
        <v>0</v>
      </c>
      <c r="G88" s="76">
        <v>0</v>
      </c>
      <c r="H88" s="76">
        <v>0</v>
      </c>
      <c r="I88" s="76">
        <v>0</v>
      </c>
      <c r="J88" s="76">
        <v>0</v>
      </c>
      <c r="K88" s="120">
        <v>0</v>
      </c>
      <c r="L88" s="76">
        <v>0</v>
      </c>
      <c r="M88" s="158">
        <v>0</v>
      </c>
      <c r="N88" s="76">
        <v>0</v>
      </c>
      <c r="O88" s="76">
        <v>0</v>
      </c>
      <c r="P88" s="76">
        <v>0</v>
      </c>
      <c r="Q88" s="76">
        <v>0</v>
      </c>
      <c r="R88" s="76">
        <v>0</v>
      </c>
      <c r="S88" s="76">
        <v>0</v>
      </c>
      <c r="T88" s="158">
        <v>0</v>
      </c>
      <c r="U88" s="158">
        <v>0</v>
      </c>
      <c r="V88" s="76">
        <v>0</v>
      </c>
      <c r="W88" s="76">
        <v>0</v>
      </c>
      <c r="X88" s="76">
        <v>0</v>
      </c>
      <c r="Y88" s="76">
        <v>0</v>
      </c>
      <c r="Z88" s="76">
        <v>0</v>
      </c>
      <c r="AA88" s="76">
        <v>0</v>
      </c>
      <c r="AB88" s="76">
        <v>0</v>
      </c>
      <c r="AC88" s="76">
        <v>0</v>
      </c>
      <c r="AD88" s="76">
        <v>0</v>
      </c>
      <c r="AE88" s="76">
        <v>0</v>
      </c>
      <c r="AF88" s="76">
        <v>0</v>
      </c>
      <c r="AG88" s="76">
        <v>0</v>
      </c>
      <c r="AH88" s="76">
        <v>0</v>
      </c>
      <c r="AI88" s="76">
        <v>0</v>
      </c>
      <c r="AJ88" s="76">
        <v>0</v>
      </c>
      <c r="AK88" s="76">
        <v>0</v>
      </c>
      <c r="AL88" s="76">
        <v>0</v>
      </c>
      <c r="AM88" s="76">
        <v>0</v>
      </c>
      <c r="AN88" s="76">
        <v>0</v>
      </c>
      <c r="AO88" s="76">
        <v>0</v>
      </c>
      <c r="AP88" s="76">
        <v>0</v>
      </c>
      <c r="AQ88" s="76">
        <v>0</v>
      </c>
      <c r="AR88" s="76">
        <v>0</v>
      </c>
      <c r="AS88" s="76">
        <v>0</v>
      </c>
      <c r="AT88" s="76">
        <v>0</v>
      </c>
      <c r="AU88" s="76">
        <v>0</v>
      </c>
      <c r="AV88" s="76">
        <v>0</v>
      </c>
      <c r="AW88" s="76">
        <v>0</v>
      </c>
      <c r="AX88" s="76">
        <v>0</v>
      </c>
      <c r="AY88" s="76">
        <v>0</v>
      </c>
      <c r="AZ88" s="76">
        <v>0</v>
      </c>
      <c r="BA88" s="76">
        <v>0</v>
      </c>
      <c r="BB88" s="76">
        <v>0</v>
      </c>
      <c r="BC88" s="76">
        <v>0</v>
      </c>
      <c r="BD88" s="76">
        <v>0</v>
      </c>
      <c r="BE88" s="76">
        <v>0</v>
      </c>
      <c r="BF88" s="76">
        <v>0</v>
      </c>
      <c r="BG88" s="76">
        <v>0</v>
      </c>
      <c r="BH88" s="76">
        <v>0</v>
      </c>
      <c r="BI88" s="76">
        <v>0</v>
      </c>
      <c r="BJ88" s="76">
        <v>0</v>
      </c>
      <c r="BK88" s="76">
        <v>0</v>
      </c>
      <c r="BL88" s="76">
        <v>0</v>
      </c>
      <c r="BM88" s="76">
        <v>0</v>
      </c>
      <c r="BN88" s="76">
        <v>0</v>
      </c>
      <c r="BO88" s="76">
        <v>0</v>
      </c>
      <c r="BP88" s="76">
        <v>0</v>
      </c>
      <c r="BQ88" s="76">
        <v>0</v>
      </c>
      <c r="BR88" s="76">
        <v>0</v>
      </c>
    </row>
    <row r="89" spans="1:70" x14ac:dyDescent="0.25">
      <c r="A89" s="74">
        <v>32272880</v>
      </c>
      <c r="B89" s="75">
        <v>5080450</v>
      </c>
      <c r="C89" s="76">
        <v>0</v>
      </c>
      <c r="D89" s="76">
        <v>0</v>
      </c>
      <c r="E89" s="76">
        <v>0</v>
      </c>
      <c r="F89" s="76">
        <v>0</v>
      </c>
      <c r="G89" s="76">
        <v>0</v>
      </c>
      <c r="H89" s="76">
        <v>0</v>
      </c>
      <c r="I89" s="76">
        <v>0</v>
      </c>
      <c r="J89" s="76">
        <v>0</v>
      </c>
      <c r="K89" s="120">
        <v>0</v>
      </c>
      <c r="L89" s="76">
        <v>0</v>
      </c>
      <c r="M89" s="158">
        <v>0</v>
      </c>
      <c r="N89" s="76">
        <v>0</v>
      </c>
      <c r="O89" s="76">
        <v>0</v>
      </c>
      <c r="P89" s="76">
        <v>0</v>
      </c>
      <c r="Q89" s="76">
        <v>0</v>
      </c>
      <c r="R89" s="76">
        <v>0</v>
      </c>
      <c r="S89" s="76">
        <v>0</v>
      </c>
      <c r="T89" s="158">
        <v>0</v>
      </c>
      <c r="U89" s="158">
        <v>0</v>
      </c>
      <c r="V89" s="76">
        <v>0</v>
      </c>
      <c r="W89" s="76">
        <v>0</v>
      </c>
      <c r="X89" s="76">
        <v>0</v>
      </c>
      <c r="Y89" s="76">
        <v>0</v>
      </c>
      <c r="Z89" s="76">
        <v>0</v>
      </c>
      <c r="AA89" s="76">
        <v>0</v>
      </c>
      <c r="AB89" s="76">
        <v>0</v>
      </c>
      <c r="AC89" s="76">
        <v>0</v>
      </c>
      <c r="AD89" s="76">
        <v>0</v>
      </c>
      <c r="AE89" s="76">
        <v>0</v>
      </c>
      <c r="AF89" s="76">
        <v>0</v>
      </c>
      <c r="AG89" s="76">
        <v>0</v>
      </c>
      <c r="AH89" s="76">
        <v>0</v>
      </c>
      <c r="AI89" s="76">
        <v>0</v>
      </c>
      <c r="AJ89" s="76">
        <v>0</v>
      </c>
      <c r="AK89" s="76">
        <v>0</v>
      </c>
      <c r="AL89" s="76">
        <v>0</v>
      </c>
      <c r="AM89" s="76">
        <v>0</v>
      </c>
      <c r="AN89" s="76">
        <v>0</v>
      </c>
      <c r="AO89" s="76">
        <v>0</v>
      </c>
      <c r="AP89" s="76">
        <v>0</v>
      </c>
      <c r="AQ89" s="76">
        <v>0</v>
      </c>
      <c r="AR89" s="76">
        <v>0</v>
      </c>
      <c r="AS89" s="76">
        <v>0</v>
      </c>
      <c r="AT89" s="76">
        <v>0</v>
      </c>
      <c r="AU89" s="76">
        <v>0</v>
      </c>
      <c r="AV89" s="76">
        <v>0</v>
      </c>
      <c r="AW89" s="76">
        <v>0</v>
      </c>
      <c r="AX89" s="76">
        <v>0</v>
      </c>
      <c r="AY89" s="76">
        <v>0</v>
      </c>
      <c r="AZ89" s="76">
        <v>0</v>
      </c>
      <c r="BA89" s="76">
        <v>0</v>
      </c>
      <c r="BB89" s="76">
        <v>0</v>
      </c>
      <c r="BC89" s="76">
        <v>0</v>
      </c>
      <c r="BD89" s="76">
        <v>0</v>
      </c>
      <c r="BE89" s="76">
        <v>0</v>
      </c>
      <c r="BF89" s="76">
        <v>0</v>
      </c>
      <c r="BG89" s="76">
        <v>0</v>
      </c>
      <c r="BH89" s="76">
        <v>0</v>
      </c>
      <c r="BI89" s="76">
        <v>0</v>
      </c>
      <c r="BJ89" s="76">
        <v>0</v>
      </c>
      <c r="BK89" s="76">
        <v>0</v>
      </c>
      <c r="BL89" s="76">
        <v>0</v>
      </c>
      <c r="BM89" s="76">
        <v>0</v>
      </c>
      <c r="BN89" s="76">
        <v>0</v>
      </c>
      <c r="BO89" s="76">
        <v>0</v>
      </c>
      <c r="BP89" s="76">
        <v>0</v>
      </c>
      <c r="BQ89" s="76">
        <v>0</v>
      </c>
      <c r="BR89" s="76">
        <v>0</v>
      </c>
    </row>
    <row r="90" spans="1:70" x14ac:dyDescent="0.25">
      <c r="A90" s="74">
        <v>32272882</v>
      </c>
      <c r="B90" s="75">
        <v>5080459</v>
      </c>
      <c r="C90" s="76">
        <v>0</v>
      </c>
      <c r="D90" s="76">
        <v>0</v>
      </c>
      <c r="E90" s="76">
        <v>0</v>
      </c>
      <c r="F90" s="76">
        <v>0</v>
      </c>
      <c r="G90" s="76">
        <v>0</v>
      </c>
      <c r="H90" s="76">
        <v>0</v>
      </c>
      <c r="I90" s="76">
        <v>0</v>
      </c>
      <c r="J90" s="76">
        <v>0</v>
      </c>
      <c r="K90" s="120">
        <v>0</v>
      </c>
      <c r="L90" s="76">
        <v>0</v>
      </c>
      <c r="M90" s="158">
        <v>0</v>
      </c>
      <c r="N90" s="76">
        <v>0</v>
      </c>
      <c r="O90" s="76">
        <v>0</v>
      </c>
      <c r="P90" s="76">
        <v>0</v>
      </c>
      <c r="Q90" s="76">
        <v>0</v>
      </c>
      <c r="R90" s="76">
        <v>0</v>
      </c>
      <c r="S90" s="76">
        <v>0</v>
      </c>
      <c r="T90" s="158">
        <v>0</v>
      </c>
      <c r="U90" s="158">
        <v>0</v>
      </c>
      <c r="V90" s="76">
        <v>0</v>
      </c>
      <c r="W90" s="76">
        <v>0</v>
      </c>
      <c r="X90" s="76">
        <v>0</v>
      </c>
      <c r="Y90" s="76">
        <v>0</v>
      </c>
      <c r="Z90" s="76">
        <v>0</v>
      </c>
      <c r="AA90" s="76">
        <v>0</v>
      </c>
      <c r="AB90" s="76">
        <v>0</v>
      </c>
      <c r="AC90" s="76">
        <v>0</v>
      </c>
      <c r="AD90" s="76">
        <v>0</v>
      </c>
      <c r="AE90" s="76">
        <v>0</v>
      </c>
      <c r="AF90" s="76">
        <v>0</v>
      </c>
      <c r="AG90" s="76">
        <v>0</v>
      </c>
      <c r="AH90" s="76">
        <v>0</v>
      </c>
      <c r="AI90" s="76">
        <v>0</v>
      </c>
      <c r="AJ90" s="76">
        <v>0</v>
      </c>
      <c r="AK90" s="76">
        <v>0</v>
      </c>
      <c r="AL90" s="76">
        <v>0</v>
      </c>
      <c r="AM90" s="76">
        <v>0</v>
      </c>
      <c r="AN90" s="76">
        <v>0</v>
      </c>
      <c r="AO90" s="76">
        <v>0</v>
      </c>
      <c r="AP90" s="76">
        <v>0</v>
      </c>
      <c r="AQ90" s="76">
        <v>0</v>
      </c>
      <c r="AR90" s="76">
        <v>0</v>
      </c>
      <c r="AS90" s="76">
        <v>0</v>
      </c>
      <c r="AT90" s="76">
        <v>0</v>
      </c>
      <c r="AU90" s="76">
        <v>0</v>
      </c>
      <c r="AV90" s="76">
        <v>0</v>
      </c>
      <c r="AW90" s="76">
        <v>0</v>
      </c>
      <c r="AX90" s="76">
        <v>0</v>
      </c>
      <c r="AY90" s="76">
        <v>0</v>
      </c>
      <c r="AZ90" s="76">
        <v>0</v>
      </c>
      <c r="BA90" s="76">
        <v>0</v>
      </c>
      <c r="BB90" s="76">
        <v>0</v>
      </c>
      <c r="BC90" s="76">
        <v>0</v>
      </c>
      <c r="BD90" s="76">
        <v>0</v>
      </c>
      <c r="BE90" s="76">
        <v>0</v>
      </c>
      <c r="BF90" s="76">
        <v>0</v>
      </c>
      <c r="BG90" s="76">
        <v>0</v>
      </c>
      <c r="BH90" s="76">
        <v>0</v>
      </c>
      <c r="BI90" s="76">
        <v>0</v>
      </c>
      <c r="BJ90" s="76">
        <v>0</v>
      </c>
      <c r="BK90" s="76">
        <v>0</v>
      </c>
      <c r="BL90" s="76">
        <v>0</v>
      </c>
      <c r="BM90" s="76">
        <v>0</v>
      </c>
      <c r="BN90" s="76">
        <v>0</v>
      </c>
      <c r="BO90" s="76">
        <v>0</v>
      </c>
      <c r="BP90" s="76">
        <v>0</v>
      </c>
      <c r="BQ90" s="76">
        <v>0</v>
      </c>
      <c r="BR90" s="76">
        <v>0</v>
      </c>
    </row>
    <row r="91" spans="1:70" x14ac:dyDescent="0.25">
      <c r="A91" s="74">
        <v>32288785</v>
      </c>
      <c r="B91" s="75">
        <v>5073060</v>
      </c>
      <c r="C91" s="76">
        <v>0</v>
      </c>
      <c r="D91" s="76">
        <v>0</v>
      </c>
      <c r="E91" s="76">
        <v>0</v>
      </c>
      <c r="F91" s="76">
        <v>0</v>
      </c>
      <c r="G91" s="76">
        <v>0</v>
      </c>
      <c r="H91" s="76">
        <v>0</v>
      </c>
      <c r="I91" s="76">
        <v>0</v>
      </c>
      <c r="J91" s="76">
        <v>0</v>
      </c>
      <c r="K91" s="120">
        <v>0</v>
      </c>
      <c r="L91" s="76">
        <v>0</v>
      </c>
      <c r="M91" s="158">
        <v>0</v>
      </c>
      <c r="N91" s="76">
        <v>0</v>
      </c>
      <c r="O91" s="76">
        <v>0</v>
      </c>
      <c r="P91" s="76">
        <v>0</v>
      </c>
      <c r="Q91" s="76">
        <v>0</v>
      </c>
      <c r="R91" s="76">
        <v>0</v>
      </c>
      <c r="S91" s="76">
        <v>0</v>
      </c>
      <c r="T91" s="158">
        <v>0</v>
      </c>
      <c r="U91" s="158">
        <v>0</v>
      </c>
      <c r="V91" s="76">
        <v>0</v>
      </c>
      <c r="W91" s="76">
        <v>0</v>
      </c>
      <c r="X91" s="76">
        <v>0</v>
      </c>
      <c r="Y91" s="76">
        <v>0</v>
      </c>
      <c r="Z91" s="76">
        <v>0</v>
      </c>
      <c r="AA91" s="76">
        <v>0</v>
      </c>
      <c r="AB91" s="76">
        <v>0</v>
      </c>
      <c r="AC91" s="76">
        <v>0</v>
      </c>
      <c r="AD91" s="76">
        <v>0</v>
      </c>
      <c r="AE91" s="76">
        <v>0</v>
      </c>
      <c r="AF91" s="76">
        <v>0</v>
      </c>
      <c r="AG91" s="76">
        <v>0</v>
      </c>
      <c r="AH91" s="76">
        <v>0</v>
      </c>
      <c r="AI91" s="76">
        <v>0</v>
      </c>
      <c r="AJ91" s="76">
        <v>0</v>
      </c>
      <c r="AK91" s="76">
        <v>0</v>
      </c>
      <c r="AL91" s="76">
        <v>0</v>
      </c>
      <c r="AM91" s="76">
        <v>0</v>
      </c>
      <c r="AN91" s="76">
        <v>0</v>
      </c>
      <c r="AO91" s="76">
        <v>0</v>
      </c>
      <c r="AP91" s="76">
        <v>0</v>
      </c>
      <c r="AQ91" s="76">
        <v>0</v>
      </c>
      <c r="AR91" s="76">
        <v>0</v>
      </c>
      <c r="AS91" s="76">
        <v>0</v>
      </c>
      <c r="AT91" s="76">
        <v>0</v>
      </c>
      <c r="AU91" s="76">
        <v>0</v>
      </c>
      <c r="AV91" s="76">
        <v>0</v>
      </c>
      <c r="AW91" s="76">
        <v>0</v>
      </c>
      <c r="AX91" s="76">
        <v>0</v>
      </c>
      <c r="AY91" s="76">
        <v>0</v>
      </c>
      <c r="AZ91" s="76">
        <v>0</v>
      </c>
      <c r="BA91" s="76">
        <v>0</v>
      </c>
      <c r="BB91" s="76">
        <v>0</v>
      </c>
      <c r="BC91" s="76">
        <v>0</v>
      </c>
      <c r="BD91" s="76">
        <v>0</v>
      </c>
      <c r="BE91" s="76">
        <v>0</v>
      </c>
      <c r="BF91" s="76">
        <v>0</v>
      </c>
      <c r="BG91" s="76">
        <v>0</v>
      </c>
      <c r="BH91" s="76">
        <v>0</v>
      </c>
      <c r="BI91" s="76">
        <v>0</v>
      </c>
      <c r="BJ91" s="76">
        <v>0</v>
      </c>
      <c r="BK91" s="76">
        <v>0</v>
      </c>
      <c r="BL91" s="76">
        <v>0</v>
      </c>
      <c r="BM91" s="76">
        <v>0</v>
      </c>
      <c r="BN91" s="76">
        <v>0</v>
      </c>
      <c r="BO91" s="76">
        <v>0</v>
      </c>
      <c r="BP91" s="76">
        <v>0</v>
      </c>
      <c r="BQ91" s="76">
        <v>0</v>
      </c>
      <c r="BR91" s="76">
        <v>0</v>
      </c>
    </row>
    <row r="92" spans="1:70" x14ac:dyDescent="0.25">
      <c r="A92" s="74">
        <v>32288786</v>
      </c>
      <c r="B92" s="75">
        <v>5073059</v>
      </c>
      <c r="C92" s="76">
        <v>160</v>
      </c>
      <c r="D92" s="76">
        <v>0</v>
      </c>
      <c r="E92" s="76">
        <v>0</v>
      </c>
      <c r="F92" s="76">
        <v>0</v>
      </c>
      <c r="G92" s="76">
        <v>0</v>
      </c>
      <c r="H92" s="76">
        <v>160</v>
      </c>
      <c r="I92" s="76">
        <v>0</v>
      </c>
      <c r="J92" s="76">
        <v>0</v>
      </c>
      <c r="K92" s="120">
        <v>160</v>
      </c>
      <c r="L92" s="76">
        <v>160</v>
      </c>
      <c r="M92" s="158">
        <v>0</v>
      </c>
      <c r="N92" s="76">
        <v>0</v>
      </c>
      <c r="O92" s="76">
        <v>0</v>
      </c>
      <c r="P92" s="76">
        <v>0</v>
      </c>
      <c r="Q92" s="76">
        <v>160</v>
      </c>
      <c r="R92" s="76">
        <v>0</v>
      </c>
      <c r="S92" s="76">
        <v>0</v>
      </c>
      <c r="T92" s="158">
        <v>0</v>
      </c>
      <c r="U92" s="158">
        <v>0</v>
      </c>
      <c r="V92" s="76">
        <v>0</v>
      </c>
      <c r="W92" s="76">
        <v>160</v>
      </c>
      <c r="X92" s="76">
        <v>0</v>
      </c>
      <c r="Y92" s="76">
        <v>0</v>
      </c>
      <c r="Z92" s="76">
        <v>0</v>
      </c>
      <c r="AA92" s="76">
        <v>0</v>
      </c>
      <c r="AB92" s="76">
        <v>0</v>
      </c>
      <c r="AC92" s="76">
        <v>160</v>
      </c>
      <c r="AD92" s="76">
        <v>0</v>
      </c>
      <c r="AE92" s="76">
        <v>0</v>
      </c>
      <c r="AF92" s="76">
        <v>0</v>
      </c>
      <c r="AG92" s="76">
        <v>160</v>
      </c>
      <c r="AH92" s="76">
        <v>0</v>
      </c>
      <c r="AI92" s="76">
        <v>0</v>
      </c>
      <c r="AJ92" s="76">
        <v>0</v>
      </c>
      <c r="AK92" s="76">
        <v>0</v>
      </c>
      <c r="AL92" s="76">
        <v>0</v>
      </c>
      <c r="AM92" s="76">
        <v>0</v>
      </c>
      <c r="AN92" s="76">
        <v>160</v>
      </c>
      <c r="AO92" s="76">
        <v>0</v>
      </c>
      <c r="AP92" s="76">
        <v>0</v>
      </c>
      <c r="AQ92" s="76">
        <v>0</v>
      </c>
      <c r="AR92" s="76">
        <v>160</v>
      </c>
      <c r="AS92" s="76">
        <v>0</v>
      </c>
      <c r="AT92" s="76">
        <v>0</v>
      </c>
      <c r="AU92" s="76">
        <v>160</v>
      </c>
      <c r="AV92" s="76">
        <v>0</v>
      </c>
      <c r="AW92" s="76">
        <v>0</v>
      </c>
      <c r="AX92" s="76">
        <v>0</v>
      </c>
      <c r="AY92" s="76">
        <v>0</v>
      </c>
      <c r="AZ92" s="76">
        <v>0</v>
      </c>
      <c r="BA92" s="76">
        <v>0</v>
      </c>
      <c r="BB92" s="76">
        <v>160</v>
      </c>
      <c r="BC92" s="76">
        <v>0</v>
      </c>
      <c r="BD92" s="76">
        <v>40</v>
      </c>
      <c r="BE92" s="76">
        <v>40</v>
      </c>
      <c r="BF92" s="76">
        <v>40</v>
      </c>
      <c r="BG92" s="76">
        <v>40</v>
      </c>
      <c r="BH92" s="76">
        <v>40</v>
      </c>
      <c r="BI92" s="76">
        <v>40</v>
      </c>
      <c r="BJ92" s="76">
        <v>40</v>
      </c>
      <c r="BK92" s="76">
        <v>40</v>
      </c>
      <c r="BL92" s="76">
        <v>0</v>
      </c>
      <c r="BM92" s="76">
        <v>0</v>
      </c>
      <c r="BN92" s="76">
        <v>0</v>
      </c>
      <c r="BO92" s="76">
        <v>0</v>
      </c>
      <c r="BP92" s="76">
        <v>0</v>
      </c>
      <c r="BQ92" s="76">
        <v>80</v>
      </c>
      <c r="BR92" s="76">
        <v>80</v>
      </c>
    </row>
    <row r="93" spans="1:70" x14ac:dyDescent="0.25">
      <c r="A93" s="74">
        <v>32288787</v>
      </c>
      <c r="B93" s="75">
        <v>5073058</v>
      </c>
      <c r="C93" s="76">
        <v>100</v>
      </c>
      <c r="D93" s="76">
        <v>200</v>
      </c>
      <c r="E93" s="76">
        <v>200</v>
      </c>
      <c r="F93" s="76">
        <v>0</v>
      </c>
      <c r="G93" s="76">
        <v>200</v>
      </c>
      <c r="H93" s="76">
        <v>100</v>
      </c>
      <c r="I93" s="76">
        <v>200</v>
      </c>
      <c r="J93" s="76">
        <v>100</v>
      </c>
      <c r="K93" s="120">
        <v>200</v>
      </c>
      <c r="L93" s="76">
        <v>400</v>
      </c>
      <c r="M93" s="158">
        <v>0</v>
      </c>
      <c r="N93" s="76">
        <v>200</v>
      </c>
      <c r="O93" s="76">
        <v>100</v>
      </c>
      <c r="P93" s="76">
        <v>300</v>
      </c>
      <c r="Q93" s="76">
        <v>200</v>
      </c>
      <c r="R93" s="76">
        <v>200</v>
      </c>
      <c r="S93" s="76">
        <v>0</v>
      </c>
      <c r="T93" s="158">
        <v>0</v>
      </c>
      <c r="U93" s="158">
        <v>0</v>
      </c>
      <c r="V93" s="76">
        <v>200</v>
      </c>
      <c r="W93" s="76">
        <v>100</v>
      </c>
      <c r="X93" s="76">
        <v>100</v>
      </c>
      <c r="Y93" s="76">
        <v>100</v>
      </c>
      <c r="Z93" s="76">
        <v>100</v>
      </c>
      <c r="AA93" s="76">
        <v>0</v>
      </c>
      <c r="AB93" s="76">
        <v>0</v>
      </c>
      <c r="AC93" s="76">
        <v>100</v>
      </c>
      <c r="AD93" s="76">
        <v>100</v>
      </c>
      <c r="AE93" s="76">
        <v>100</v>
      </c>
      <c r="AF93" s="76">
        <v>100</v>
      </c>
      <c r="AG93" s="76">
        <v>300</v>
      </c>
      <c r="AH93" s="76">
        <v>0</v>
      </c>
      <c r="AI93" s="76">
        <v>100</v>
      </c>
      <c r="AJ93" s="76">
        <v>100</v>
      </c>
      <c r="AK93" s="76">
        <v>100</v>
      </c>
      <c r="AL93" s="76">
        <v>100</v>
      </c>
      <c r="AM93" s="76">
        <v>200</v>
      </c>
      <c r="AN93" s="76">
        <v>200</v>
      </c>
      <c r="AO93" s="76">
        <v>0</v>
      </c>
      <c r="AP93" s="76">
        <v>200</v>
      </c>
      <c r="AQ93" s="76">
        <v>100</v>
      </c>
      <c r="AR93" s="76">
        <v>200</v>
      </c>
      <c r="AS93" s="76">
        <v>100</v>
      </c>
      <c r="AT93" s="76">
        <v>200</v>
      </c>
      <c r="AU93" s="76">
        <v>100</v>
      </c>
      <c r="AV93" s="76">
        <v>200</v>
      </c>
      <c r="AW93" s="76">
        <v>0</v>
      </c>
      <c r="AX93" s="76">
        <v>0</v>
      </c>
      <c r="AY93" s="76">
        <v>0</v>
      </c>
      <c r="AZ93" s="76">
        <v>0</v>
      </c>
      <c r="BA93" s="76">
        <v>100</v>
      </c>
      <c r="BB93" s="76">
        <v>200</v>
      </c>
      <c r="BC93" s="76">
        <v>100</v>
      </c>
      <c r="BD93" s="76">
        <v>130</v>
      </c>
      <c r="BE93" s="76">
        <v>130</v>
      </c>
      <c r="BF93" s="76">
        <v>130</v>
      </c>
      <c r="BG93" s="76">
        <v>110</v>
      </c>
      <c r="BH93" s="76">
        <v>80</v>
      </c>
      <c r="BI93" s="76">
        <v>80</v>
      </c>
      <c r="BJ93" s="76">
        <v>80</v>
      </c>
      <c r="BK93" s="76">
        <v>60</v>
      </c>
      <c r="BL93" s="76">
        <v>40</v>
      </c>
      <c r="BM93" s="76">
        <v>40</v>
      </c>
      <c r="BN93" s="76">
        <v>40</v>
      </c>
      <c r="BO93" s="76">
        <v>40</v>
      </c>
      <c r="BP93" s="76">
        <v>40</v>
      </c>
      <c r="BQ93" s="76">
        <v>50</v>
      </c>
      <c r="BR93" s="76">
        <v>50</v>
      </c>
    </row>
    <row r="94" spans="1:70" x14ac:dyDescent="0.25">
      <c r="A94" s="74">
        <v>32288788</v>
      </c>
      <c r="B94" s="75">
        <v>5073061</v>
      </c>
      <c r="C94" s="76">
        <v>0</v>
      </c>
      <c r="D94" s="76">
        <v>0</v>
      </c>
      <c r="E94" s="76">
        <v>0</v>
      </c>
      <c r="F94" s="76">
        <v>0</v>
      </c>
      <c r="G94" s="76">
        <v>0</v>
      </c>
      <c r="H94" s="76">
        <v>0</v>
      </c>
      <c r="I94" s="76">
        <v>0</v>
      </c>
      <c r="J94" s="76">
        <v>0</v>
      </c>
      <c r="K94" s="120">
        <v>160</v>
      </c>
      <c r="L94" s="76">
        <v>0</v>
      </c>
      <c r="M94" s="158">
        <v>0</v>
      </c>
      <c r="N94" s="76">
        <v>0</v>
      </c>
      <c r="O94" s="76">
        <v>0</v>
      </c>
      <c r="P94" s="76">
        <v>0</v>
      </c>
      <c r="Q94" s="76">
        <v>0</v>
      </c>
      <c r="R94" s="76">
        <v>0</v>
      </c>
      <c r="S94" s="76">
        <v>0</v>
      </c>
      <c r="T94" s="158">
        <v>0</v>
      </c>
      <c r="U94" s="158">
        <v>0</v>
      </c>
      <c r="V94" s="76">
        <v>0</v>
      </c>
      <c r="W94" s="76">
        <v>0</v>
      </c>
      <c r="X94" s="76">
        <v>0</v>
      </c>
      <c r="Y94" s="76">
        <v>0</v>
      </c>
      <c r="Z94" s="76">
        <v>0</v>
      </c>
      <c r="AA94" s="76">
        <v>0</v>
      </c>
      <c r="AB94" s="76">
        <v>0</v>
      </c>
      <c r="AC94" s="76">
        <v>0</v>
      </c>
      <c r="AD94" s="76">
        <v>0</v>
      </c>
      <c r="AE94" s="76">
        <v>0</v>
      </c>
      <c r="AF94" s="76">
        <v>0</v>
      </c>
      <c r="AG94" s="76">
        <v>0</v>
      </c>
      <c r="AH94" s="76">
        <v>0</v>
      </c>
      <c r="AI94" s="76">
        <v>0</v>
      </c>
      <c r="AJ94" s="76">
        <v>0</v>
      </c>
      <c r="AK94" s="76">
        <v>0</v>
      </c>
      <c r="AL94" s="76">
        <v>0</v>
      </c>
      <c r="AM94" s="76">
        <v>0</v>
      </c>
      <c r="AN94" s="76">
        <v>0</v>
      </c>
      <c r="AO94" s="76">
        <v>0</v>
      </c>
      <c r="AP94" s="76">
        <v>0</v>
      </c>
      <c r="AQ94" s="76">
        <v>0</v>
      </c>
      <c r="AR94" s="76">
        <v>0</v>
      </c>
      <c r="AS94" s="76">
        <v>0</v>
      </c>
      <c r="AT94" s="76">
        <v>0</v>
      </c>
      <c r="AU94" s="76">
        <v>0</v>
      </c>
      <c r="AV94" s="76">
        <v>0</v>
      </c>
      <c r="AW94" s="76">
        <v>0</v>
      </c>
      <c r="AX94" s="76">
        <v>0</v>
      </c>
      <c r="AY94" s="76">
        <v>0</v>
      </c>
      <c r="AZ94" s="76">
        <v>0</v>
      </c>
      <c r="BA94" s="76">
        <v>0</v>
      </c>
      <c r="BB94" s="76">
        <v>160</v>
      </c>
      <c r="BC94" s="76">
        <v>0</v>
      </c>
      <c r="BD94" s="76">
        <v>0</v>
      </c>
      <c r="BE94" s="76">
        <v>0</v>
      </c>
      <c r="BF94" s="76">
        <v>0</v>
      </c>
      <c r="BG94" s="76">
        <v>0</v>
      </c>
      <c r="BH94" s="76">
        <v>0</v>
      </c>
      <c r="BI94" s="76">
        <v>0</v>
      </c>
      <c r="BJ94" s="76">
        <v>0</v>
      </c>
      <c r="BK94" s="76">
        <v>0</v>
      </c>
      <c r="BL94" s="76">
        <v>0</v>
      </c>
      <c r="BM94" s="76">
        <v>0</v>
      </c>
      <c r="BN94" s="76">
        <v>0</v>
      </c>
      <c r="BO94" s="76">
        <v>0</v>
      </c>
      <c r="BP94" s="76">
        <v>0</v>
      </c>
      <c r="BQ94" s="76">
        <v>0</v>
      </c>
      <c r="BR94" s="76">
        <v>0</v>
      </c>
    </row>
    <row r="95" spans="1:70" x14ac:dyDescent="0.25">
      <c r="A95" s="74">
        <v>32288789</v>
      </c>
      <c r="B95" s="75">
        <v>5073066</v>
      </c>
      <c r="C95" s="76">
        <v>0</v>
      </c>
      <c r="D95" s="76">
        <v>0</v>
      </c>
      <c r="E95" s="76">
        <v>0</v>
      </c>
      <c r="F95" s="76">
        <v>0</v>
      </c>
      <c r="G95" s="76">
        <v>0</v>
      </c>
      <c r="H95" s="76">
        <v>0</v>
      </c>
      <c r="I95" s="76">
        <v>0</v>
      </c>
      <c r="J95" s="76">
        <v>0</v>
      </c>
      <c r="K95" s="120">
        <v>0</v>
      </c>
      <c r="L95" s="76">
        <v>0</v>
      </c>
      <c r="M95" s="158">
        <v>0</v>
      </c>
      <c r="N95" s="76">
        <v>0</v>
      </c>
      <c r="O95" s="76">
        <v>0</v>
      </c>
      <c r="P95" s="76">
        <v>0</v>
      </c>
      <c r="Q95" s="76">
        <v>0</v>
      </c>
      <c r="R95" s="76">
        <v>0</v>
      </c>
      <c r="S95" s="76">
        <v>0</v>
      </c>
      <c r="T95" s="158">
        <v>0</v>
      </c>
      <c r="U95" s="158">
        <v>0</v>
      </c>
      <c r="V95" s="76">
        <v>0</v>
      </c>
      <c r="W95" s="76">
        <v>0</v>
      </c>
      <c r="X95" s="76">
        <v>0</v>
      </c>
      <c r="Y95" s="76">
        <v>0</v>
      </c>
      <c r="Z95" s="76">
        <v>0</v>
      </c>
      <c r="AA95" s="76">
        <v>0</v>
      </c>
      <c r="AB95" s="76">
        <v>0</v>
      </c>
      <c r="AC95" s="76">
        <v>0</v>
      </c>
      <c r="AD95" s="76">
        <v>0</v>
      </c>
      <c r="AE95" s="76">
        <v>0</v>
      </c>
      <c r="AF95" s="76">
        <v>0</v>
      </c>
      <c r="AG95" s="76">
        <v>0</v>
      </c>
      <c r="AH95" s="76">
        <v>0</v>
      </c>
      <c r="AI95" s="76">
        <v>0</v>
      </c>
      <c r="AJ95" s="76">
        <v>0</v>
      </c>
      <c r="AK95" s="76">
        <v>0</v>
      </c>
      <c r="AL95" s="76">
        <v>0</v>
      </c>
      <c r="AM95" s="76">
        <v>0</v>
      </c>
      <c r="AN95" s="76">
        <v>0</v>
      </c>
      <c r="AO95" s="76">
        <v>0</v>
      </c>
      <c r="AP95" s="76">
        <v>0</v>
      </c>
      <c r="AQ95" s="76">
        <v>0</v>
      </c>
      <c r="AR95" s="76">
        <v>0</v>
      </c>
      <c r="AS95" s="76">
        <v>0</v>
      </c>
      <c r="AT95" s="76">
        <v>0</v>
      </c>
      <c r="AU95" s="76">
        <v>0</v>
      </c>
      <c r="AV95" s="76">
        <v>0</v>
      </c>
      <c r="AW95" s="76">
        <v>0</v>
      </c>
      <c r="AX95" s="76">
        <v>0</v>
      </c>
      <c r="AY95" s="76">
        <v>0</v>
      </c>
      <c r="AZ95" s="76">
        <v>0</v>
      </c>
      <c r="BA95" s="76">
        <v>0</v>
      </c>
      <c r="BB95" s="76">
        <v>0</v>
      </c>
      <c r="BC95" s="76">
        <v>0</v>
      </c>
      <c r="BD95" s="76">
        <v>0</v>
      </c>
      <c r="BE95" s="76">
        <v>0</v>
      </c>
      <c r="BF95" s="76">
        <v>0</v>
      </c>
      <c r="BG95" s="76">
        <v>0</v>
      </c>
      <c r="BH95" s="76">
        <v>0</v>
      </c>
      <c r="BI95" s="76">
        <v>0</v>
      </c>
      <c r="BJ95" s="76">
        <v>0</v>
      </c>
      <c r="BK95" s="76">
        <v>0</v>
      </c>
      <c r="BL95" s="76">
        <v>0</v>
      </c>
      <c r="BM95" s="76">
        <v>0</v>
      </c>
      <c r="BN95" s="76">
        <v>0</v>
      </c>
      <c r="BO95" s="76">
        <v>0</v>
      </c>
      <c r="BP95" s="76">
        <v>0</v>
      </c>
      <c r="BQ95" s="76">
        <v>0</v>
      </c>
      <c r="BR95" s="76">
        <v>0</v>
      </c>
    </row>
    <row r="96" spans="1:70" x14ac:dyDescent="0.25">
      <c r="A96" s="74">
        <v>32288790</v>
      </c>
      <c r="B96" s="75">
        <v>5073064</v>
      </c>
      <c r="C96" s="76">
        <v>0</v>
      </c>
      <c r="D96" s="76">
        <v>0</v>
      </c>
      <c r="E96" s="76">
        <v>100</v>
      </c>
      <c r="F96" s="76">
        <v>0</v>
      </c>
      <c r="G96" s="76">
        <v>0</v>
      </c>
      <c r="H96" s="76">
        <v>0</v>
      </c>
      <c r="I96" s="76">
        <v>0</v>
      </c>
      <c r="J96" s="76">
        <v>0</v>
      </c>
      <c r="K96" s="120">
        <v>0</v>
      </c>
      <c r="L96" s="76">
        <v>0</v>
      </c>
      <c r="M96" s="158">
        <v>0</v>
      </c>
      <c r="N96" s="76">
        <v>0</v>
      </c>
      <c r="O96" s="76">
        <v>0</v>
      </c>
      <c r="P96" s="76">
        <v>0</v>
      </c>
      <c r="Q96" s="76">
        <v>0</v>
      </c>
      <c r="R96" s="76">
        <v>0</v>
      </c>
      <c r="S96" s="76">
        <v>0</v>
      </c>
      <c r="T96" s="158">
        <v>0</v>
      </c>
      <c r="U96" s="158">
        <v>0</v>
      </c>
      <c r="V96" s="76">
        <v>0</v>
      </c>
      <c r="W96" s="76">
        <v>0</v>
      </c>
      <c r="X96" s="76">
        <v>0</v>
      </c>
      <c r="Y96" s="76">
        <v>0</v>
      </c>
      <c r="Z96" s="76">
        <v>0</v>
      </c>
      <c r="AA96" s="76">
        <v>0</v>
      </c>
      <c r="AB96" s="76">
        <v>0</v>
      </c>
      <c r="AC96" s="76">
        <v>0</v>
      </c>
      <c r="AD96" s="76">
        <v>0</v>
      </c>
      <c r="AE96" s="76">
        <v>0</v>
      </c>
      <c r="AF96" s="76">
        <v>0</v>
      </c>
      <c r="AG96" s="76">
        <v>0</v>
      </c>
      <c r="AH96" s="76">
        <v>0</v>
      </c>
      <c r="AI96" s="76">
        <v>100</v>
      </c>
      <c r="AJ96" s="76">
        <v>0</v>
      </c>
      <c r="AK96" s="76">
        <v>0</v>
      </c>
      <c r="AL96" s="76">
        <v>0</v>
      </c>
      <c r="AM96" s="76">
        <v>0</v>
      </c>
      <c r="AN96" s="76">
        <v>0</v>
      </c>
      <c r="AO96" s="76">
        <v>0</v>
      </c>
      <c r="AP96" s="76">
        <v>0</v>
      </c>
      <c r="AQ96" s="76">
        <v>0</v>
      </c>
      <c r="AR96" s="76">
        <v>0</v>
      </c>
      <c r="AS96" s="76">
        <v>0</v>
      </c>
      <c r="AT96" s="76">
        <v>0</v>
      </c>
      <c r="AU96" s="76">
        <v>0</v>
      </c>
      <c r="AV96" s="76">
        <v>0</v>
      </c>
      <c r="AW96" s="76">
        <v>0</v>
      </c>
      <c r="AX96" s="76">
        <v>0</v>
      </c>
      <c r="AY96" s="76">
        <v>0</v>
      </c>
      <c r="AZ96" s="76">
        <v>0</v>
      </c>
      <c r="BA96" s="76">
        <v>0</v>
      </c>
      <c r="BB96" s="76">
        <v>100</v>
      </c>
      <c r="BC96" s="76">
        <v>0</v>
      </c>
      <c r="BD96" s="76">
        <v>0</v>
      </c>
      <c r="BE96" s="76">
        <v>0</v>
      </c>
      <c r="BF96" s="76">
        <v>0</v>
      </c>
      <c r="BG96" s="76">
        <v>0</v>
      </c>
      <c r="BH96" s="76">
        <v>0</v>
      </c>
      <c r="BI96" s="76">
        <v>0</v>
      </c>
      <c r="BJ96" s="76">
        <v>0</v>
      </c>
      <c r="BK96" s="76">
        <v>0</v>
      </c>
      <c r="BL96" s="76">
        <v>20</v>
      </c>
      <c r="BM96" s="76">
        <v>20</v>
      </c>
      <c r="BN96" s="76">
        <v>20</v>
      </c>
      <c r="BO96" s="76">
        <v>20</v>
      </c>
      <c r="BP96" s="76">
        <v>20</v>
      </c>
      <c r="BQ96" s="76">
        <v>50</v>
      </c>
      <c r="BR96" s="76">
        <v>50</v>
      </c>
    </row>
    <row r="97" spans="1:70" x14ac:dyDescent="0.25">
      <c r="A97" s="74">
        <v>32288791</v>
      </c>
      <c r="B97" s="75">
        <v>5073067</v>
      </c>
      <c r="C97" s="76">
        <v>0</v>
      </c>
      <c r="D97" s="76">
        <v>0</v>
      </c>
      <c r="E97" s="76">
        <v>0</v>
      </c>
      <c r="F97" s="76">
        <v>0</v>
      </c>
      <c r="G97" s="76">
        <v>0</v>
      </c>
      <c r="H97" s="76">
        <v>0</v>
      </c>
      <c r="I97" s="76">
        <v>0</v>
      </c>
      <c r="J97" s="76">
        <v>0</v>
      </c>
      <c r="K97" s="120">
        <v>0</v>
      </c>
      <c r="L97" s="76">
        <v>0</v>
      </c>
      <c r="M97" s="158">
        <v>0</v>
      </c>
      <c r="N97" s="76">
        <v>0</v>
      </c>
      <c r="O97" s="76">
        <v>0</v>
      </c>
      <c r="P97" s="76">
        <v>0</v>
      </c>
      <c r="Q97" s="76">
        <v>0</v>
      </c>
      <c r="R97" s="76">
        <v>0</v>
      </c>
      <c r="S97" s="76">
        <v>0</v>
      </c>
      <c r="T97" s="158">
        <v>0</v>
      </c>
      <c r="U97" s="158">
        <v>0</v>
      </c>
      <c r="V97" s="76">
        <v>0</v>
      </c>
      <c r="W97" s="76">
        <v>0</v>
      </c>
      <c r="X97" s="76">
        <v>0</v>
      </c>
      <c r="Y97" s="76">
        <v>0</v>
      </c>
      <c r="Z97" s="76">
        <v>0</v>
      </c>
      <c r="AA97" s="76">
        <v>0</v>
      </c>
      <c r="AB97" s="76">
        <v>0</v>
      </c>
      <c r="AC97" s="76">
        <v>0</v>
      </c>
      <c r="AD97" s="76">
        <v>0</v>
      </c>
      <c r="AE97" s="76">
        <v>0</v>
      </c>
      <c r="AF97" s="76">
        <v>0</v>
      </c>
      <c r="AG97" s="76">
        <v>0</v>
      </c>
      <c r="AH97" s="76">
        <v>0</v>
      </c>
      <c r="AI97" s="76">
        <v>0</v>
      </c>
      <c r="AJ97" s="76">
        <v>0</v>
      </c>
      <c r="AK97" s="76">
        <v>0</v>
      </c>
      <c r="AL97" s="76">
        <v>0</v>
      </c>
      <c r="AM97" s="76">
        <v>0</v>
      </c>
      <c r="AN97" s="76">
        <v>0</v>
      </c>
      <c r="AO97" s="76">
        <v>0</v>
      </c>
      <c r="AP97" s="76">
        <v>0</v>
      </c>
      <c r="AQ97" s="76">
        <v>0</v>
      </c>
      <c r="AR97" s="76">
        <v>0</v>
      </c>
      <c r="AS97" s="76">
        <v>0</v>
      </c>
      <c r="AT97" s="76">
        <v>0</v>
      </c>
      <c r="AU97" s="76">
        <v>0</v>
      </c>
      <c r="AV97" s="76">
        <v>0</v>
      </c>
      <c r="AW97" s="76">
        <v>0</v>
      </c>
      <c r="AX97" s="76">
        <v>0</v>
      </c>
      <c r="AY97" s="76">
        <v>0</v>
      </c>
      <c r="AZ97" s="76">
        <v>0</v>
      </c>
      <c r="BA97" s="76">
        <v>0</v>
      </c>
      <c r="BB97" s="76">
        <v>0</v>
      </c>
      <c r="BC97" s="76">
        <v>0</v>
      </c>
      <c r="BD97" s="76">
        <v>0</v>
      </c>
      <c r="BE97" s="76">
        <v>0</v>
      </c>
      <c r="BF97" s="76">
        <v>0</v>
      </c>
      <c r="BG97" s="76">
        <v>0</v>
      </c>
      <c r="BH97" s="76">
        <v>0</v>
      </c>
      <c r="BI97" s="76">
        <v>0</v>
      </c>
      <c r="BJ97" s="76">
        <v>0</v>
      </c>
      <c r="BK97" s="76">
        <v>0</v>
      </c>
      <c r="BL97" s="76">
        <v>0</v>
      </c>
      <c r="BM97" s="76">
        <v>0</v>
      </c>
      <c r="BN97" s="76">
        <v>0</v>
      </c>
      <c r="BO97" s="76">
        <v>0</v>
      </c>
      <c r="BP97" s="76">
        <v>0</v>
      </c>
      <c r="BQ97" s="76">
        <v>0</v>
      </c>
      <c r="BR97" s="76">
        <v>0</v>
      </c>
    </row>
    <row r="98" spans="1:70" x14ac:dyDescent="0.25">
      <c r="A98" s="74">
        <v>32288792</v>
      </c>
      <c r="B98" s="75">
        <v>5073065</v>
      </c>
      <c r="C98" s="76">
        <v>0</v>
      </c>
      <c r="D98" s="76">
        <v>0</v>
      </c>
      <c r="E98" s="76">
        <v>0</v>
      </c>
      <c r="F98" s="76">
        <v>0</v>
      </c>
      <c r="G98" s="76">
        <v>0</v>
      </c>
      <c r="H98" s="76">
        <v>0</v>
      </c>
      <c r="I98" s="76">
        <v>0</v>
      </c>
      <c r="J98" s="76">
        <v>0</v>
      </c>
      <c r="K98" s="120">
        <v>0</v>
      </c>
      <c r="L98" s="76">
        <v>0</v>
      </c>
      <c r="M98" s="158">
        <v>0</v>
      </c>
      <c r="N98" s="76">
        <v>0</v>
      </c>
      <c r="O98" s="76">
        <v>0</v>
      </c>
      <c r="P98" s="76">
        <v>0</v>
      </c>
      <c r="Q98" s="76">
        <v>0</v>
      </c>
      <c r="R98" s="76">
        <v>0</v>
      </c>
      <c r="S98" s="76">
        <v>0</v>
      </c>
      <c r="T98" s="158">
        <v>0</v>
      </c>
      <c r="U98" s="158">
        <v>0</v>
      </c>
      <c r="V98" s="76">
        <v>0</v>
      </c>
      <c r="W98" s="76">
        <v>0</v>
      </c>
      <c r="X98" s="76">
        <v>0</v>
      </c>
      <c r="Y98" s="76">
        <v>0</v>
      </c>
      <c r="Z98" s="76">
        <v>0</v>
      </c>
      <c r="AA98" s="76">
        <v>0</v>
      </c>
      <c r="AB98" s="76">
        <v>0</v>
      </c>
      <c r="AC98" s="76">
        <v>0</v>
      </c>
      <c r="AD98" s="76">
        <v>0</v>
      </c>
      <c r="AE98" s="76">
        <v>0</v>
      </c>
      <c r="AF98" s="76">
        <v>0</v>
      </c>
      <c r="AG98" s="76">
        <v>0</v>
      </c>
      <c r="AH98" s="76">
        <v>0</v>
      </c>
      <c r="AI98" s="76">
        <v>0</v>
      </c>
      <c r="AJ98" s="76">
        <v>0</v>
      </c>
      <c r="AK98" s="76">
        <v>0</v>
      </c>
      <c r="AL98" s="76">
        <v>0</v>
      </c>
      <c r="AM98" s="76">
        <v>0</v>
      </c>
      <c r="AN98" s="76">
        <v>0</v>
      </c>
      <c r="AO98" s="76">
        <v>0</v>
      </c>
      <c r="AP98" s="76">
        <v>0</v>
      </c>
      <c r="AQ98" s="76">
        <v>0</v>
      </c>
      <c r="AR98" s="76">
        <v>0</v>
      </c>
      <c r="AS98" s="76">
        <v>0</v>
      </c>
      <c r="AT98" s="76">
        <v>0</v>
      </c>
      <c r="AU98" s="76">
        <v>0</v>
      </c>
      <c r="AV98" s="76">
        <v>0</v>
      </c>
      <c r="AW98" s="76">
        <v>0</v>
      </c>
      <c r="AX98" s="76">
        <v>0</v>
      </c>
      <c r="AY98" s="76">
        <v>0</v>
      </c>
      <c r="AZ98" s="76">
        <v>0</v>
      </c>
      <c r="BA98" s="76">
        <v>0</v>
      </c>
      <c r="BB98" s="76">
        <v>0</v>
      </c>
      <c r="BC98" s="76">
        <v>0</v>
      </c>
      <c r="BD98" s="76">
        <v>0</v>
      </c>
      <c r="BE98" s="76">
        <v>0</v>
      </c>
      <c r="BF98" s="76">
        <v>0</v>
      </c>
      <c r="BG98" s="76">
        <v>0</v>
      </c>
      <c r="BH98" s="76">
        <v>0</v>
      </c>
      <c r="BI98" s="76">
        <v>0</v>
      </c>
      <c r="BJ98" s="76">
        <v>0</v>
      </c>
      <c r="BK98" s="76">
        <v>0</v>
      </c>
      <c r="BL98" s="76">
        <v>0</v>
      </c>
      <c r="BM98" s="76">
        <v>0</v>
      </c>
      <c r="BN98" s="76">
        <v>0</v>
      </c>
      <c r="BO98" s="76">
        <v>0</v>
      </c>
      <c r="BP98" s="76">
        <v>0</v>
      </c>
      <c r="BQ98" s="76">
        <v>0</v>
      </c>
      <c r="BR98" s="76">
        <v>0</v>
      </c>
    </row>
    <row r="99" spans="1:70" x14ac:dyDescent="0.25">
      <c r="A99" s="74">
        <v>32332625</v>
      </c>
      <c r="B99" s="75">
        <v>5180039</v>
      </c>
      <c r="C99" s="76">
        <v>0</v>
      </c>
      <c r="D99" s="76">
        <v>0</v>
      </c>
      <c r="E99" s="76">
        <v>0</v>
      </c>
      <c r="F99" s="76">
        <v>0</v>
      </c>
      <c r="G99" s="76">
        <v>0</v>
      </c>
      <c r="H99" s="76">
        <v>0</v>
      </c>
      <c r="I99" s="76">
        <v>0</v>
      </c>
      <c r="J99" s="76">
        <v>80</v>
      </c>
      <c r="K99" s="120">
        <v>0</v>
      </c>
      <c r="L99" s="76">
        <v>0</v>
      </c>
      <c r="M99" s="158">
        <v>0</v>
      </c>
      <c r="N99" s="76">
        <v>0</v>
      </c>
      <c r="O99" s="76">
        <v>0</v>
      </c>
      <c r="P99" s="76">
        <v>0</v>
      </c>
      <c r="Q99" s="76">
        <v>0</v>
      </c>
      <c r="R99" s="76">
        <v>0</v>
      </c>
      <c r="S99" s="76">
        <v>0</v>
      </c>
      <c r="T99" s="158">
        <v>0</v>
      </c>
      <c r="U99" s="158">
        <v>0</v>
      </c>
      <c r="V99" s="76">
        <v>0</v>
      </c>
      <c r="W99" s="76">
        <v>0</v>
      </c>
      <c r="X99" s="76">
        <v>0</v>
      </c>
      <c r="Y99" s="76">
        <v>0</v>
      </c>
      <c r="Z99" s="76">
        <v>0</v>
      </c>
      <c r="AA99" s="76">
        <v>0</v>
      </c>
      <c r="AB99" s="76">
        <v>0</v>
      </c>
      <c r="AC99" s="76">
        <v>0</v>
      </c>
      <c r="AD99" s="76">
        <v>0</v>
      </c>
      <c r="AE99" s="76">
        <v>0</v>
      </c>
      <c r="AF99" s="76">
        <v>0</v>
      </c>
      <c r="AG99" s="76">
        <v>0</v>
      </c>
      <c r="AH99" s="76">
        <v>0</v>
      </c>
      <c r="AI99" s="76">
        <v>0</v>
      </c>
      <c r="AJ99" s="76">
        <v>0</v>
      </c>
      <c r="AK99" s="76">
        <v>0</v>
      </c>
      <c r="AL99" s="76">
        <v>0</v>
      </c>
      <c r="AM99" s="76">
        <v>0</v>
      </c>
      <c r="AN99" s="76">
        <v>0</v>
      </c>
      <c r="AO99" s="76">
        <v>0</v>
      </c>
      <c r="AP99" s="76">
        <v>0</v>
      </c>
      <c r="AQ99" s="76">
        <v>0</v>
      </c>
      <c r="AR99" s="76">
        <v>0</v>
      </c>
      <c r="AS99" s="76">
        <v>0</v>
      </c>
      <c r="AT99" s="76">
        <v>0</v>
      </c>
      <c r="AU99" s="76">
        <v>0</v>
      </c>
      <c r="AV99" s="76">
        <v>0</v>
      </c>
      <c r="AW99" s="76">
        <v>0</v>
      </c>
      <c r="AX99" s="76">
        <v>0</v>
      </c>
      <c r="AY99" s="76">
        <v>0</v>
      </c>
      <c r="AZ99" s="76">
        <v>0</v>
      </c>
      <c r="BA99" s="76">
        <v>0</v>
      </c>
      <c r="BB99" s="76">
        <v>0</v>
      </c>
      <c r="BC99" s="76">
        <v>0</v>
      </c>
      <c r="BD99" s="76">
        <v>0</v>
      </c>
      <c r="BE99" s="76">
        <v>0</v>
      </c>
      <c r="BF99" s="76">
        <v>0</v>
      </c>
      <c r="BG99" s="76">
        <v>0</v>
      </c>
      <c r="BH99" s="76">
        <v>0</v>
      </c>
      <c r="BI99" s="76">
        <v>0</v>
      </c>
      <c r="BJ99" s="76">
        <v>0</v>
      </c>
      <c r="BK99" s="76">
        <v>0</v>
      </c>
      <c r="BL99" s="76">
        <v>0</v>
      </c>
      <c r="BM99" s="76">
        <v>0</v>
      </c>
      <c r="BN99" s="76">
        <v>0</v>
      </c>
      <c r="BO99" s="76">
        <v>0</v>
      </c>
      <c r="BP99" s="76">
        <v>0</v>
      </c>
      <c r="BQ99" s="76">
        <v>0</v>
      </c>
      <c r="BR99" s="76">
        <v>0</v>
      </c>
    </row>
    <row r="100" spans="1:70" x14ac:dyDescent="0.25">
      <c r="A100" s="74">
        <v>32332626</v>
      </c>
      <c r="B100" s="75">
        <v>5180031</v>
      </c>
      <c r="C100" s="76">
        <v>0</v>
      </c>
      <c r="D100" s="76">
        <v>0</v>
      </c>
      <c r="E100" s="76">
        <v>0</v>
      </c>
      <c r="F100" s="76">
        <v>0</v>
      </c>
      <c r="G100" s="76">
        <v>0</v>
      </c>
      <c r="H100" s="76">
        <v>0</v>
      </c>
      <c r="I100" s="76">
        <v>0</v>
      </c>
      <c r="J100" s="76">
        <v>0</v>
      </c>
      <c r="K100" s="120">
        <v>0</v>
      </c>
      <c r="L100" s="76">
        <v>0</v>
      </c>
      <c r="M100" s="158">
        <v>0</v>
      </c>
      <c r="N100" s="76">
        <v>0</v>
      </c>
      <c r="O100" s="76">
        <v>0</v>
      </c>
      <c r="P100" s="76">
        <v>0</v>
      </c>
      <c r="Q100" s="76">
        <v>0</v>
      </c>
      <c r="R100" s="76">
        <v>0</v>
      </c>
      <c r="S100" s="76">
        <v>0</v>
      </c>
      <c r="T100" s="158">
        <v>0</v>
      </c>
      <c r="U100" s="158">
        <v>0</v>
      </c>
      <c r="V100" s="76">
        <v>0</v>
      </c>
      <c r="W100" s="76">
        <v>0</v>
      </c>
      <c r="X100" s="76">
        <v>0</v>
      </c>
      <c r="Y100" s="76">
        <v>0</v>
      </c>
      <c r="Z100" s="76">
        <v>0</v>
      </c>
      <c r="AA100" s="76">
        <v>0</v>
      </c>
      <c r="AB100" s="76">
        <v>0</v>
      </c>
      <c r="AC100" s="76">
        <v>0</v>
      </c>
      <c r="AD100" s="76">
        <v>0</v>
      </c>
      <c r="AE100" s="76">
        <v>0</v>
      </c>
      <c r="AF100" s="76">
        <v>0</v>
      </c>
      <c r="AG100" s="76">
        <v>0</v>
      </c>
      <c r="AH100" s="76">
        <v>0</v>
      </c>
      <c r="AI100" s="76">
        <v>0</v>
      </c>
      <c r="AJ100" s="76">
        <v>0</v>
      </c>
      <c r="AK100" s="76">
        <v>0</v>
      </c>
      <c r="AL100" s="76">
        <v>0</v>
      </c>
      <c r="AM100" s="76">
        <v>0</v>
      </c>
      <c r="AN100" s="76">
        <v>0</v>
      </c>
      <c r="AO100" s="76">
        <v>0</v>
      </c>
      <c r="AP100" s="76">
        <v>0</v>
      </c>
      <c r="AQ100" s="76">
        <v>0</v>
      </c>
      <c r="AR100" s="76">
        <v>0</v>
      </c>
      <c r="AS100" s="76">
        <v>0</v>
      </c>
      <c r="AT100" s="76">
        <v>0</v>
      </c>
      <c r="AU100" s="76">
        <v>0</v>
      </c>
      <c r="AV100" s="76">
        <v>0</v>
      </c>
      <c r="AW100" s="76">
        <v>0</v>
      </c>
      <c r="AX100" s="76">
        <v>0</v>
      </c>
      <c r="AY100" s="76">
        <v>0</v>
      </c>
      <c r="AZ100" s="76">
        <v>0</v>
      </c>
      <c r="BA100" s="76">
        <v>0</v>
      </c>
      <c r="BB100" s="76">
        <v>0</v>
      </c>
      <c r="BC100" s="76">
        <v>0</v>
      </c>
      <c r="BD100" s="76">
        <v>0</v>
      </c>
      <c r="BE100" s="76">
        <v>0</v>
      </c>
      <c r="BF100" s="76">
        <v>0</v>
      </c>
      <c r="BG100" s="76">
        <v>0</v>
      </c>
      <c r="BH100" s="76">
        <v>0</v>
      </c>
      <c r="BI100" s="76">
        <v>0</v>
      </c>
      <c r="BJ100" s="76">
        <v>0</v>
      </c>
      <c r="BK100" s="76">
        <v>0</v>
      </c>
      <c r="BL100" s="76">
        <v>0</v>
      </c>
      <c r="BM100" s="76">
        <v>0</v>
      </c>
      <c r="BN100" s="76">
        <v>0</v>
      </c>
      <c r="BO100" s="76">
        <v>0</v>
      </c>
      <c r="BP100" s="76">
        <v>0</v>
      </c>
      <c r="BQ100" s="76">
        <v>0</v>
      </c>
      <c r="BR100" s="76">
        <v>0</v>
      </c>
    </row>
    <row r="101" spans="1:70" x14ac:dyDescent="0.25">
      <c r="A101" s="74">
        <v>32332627</v>
      </c>
      <c r="B101" s="75">
        <v>5180032</v>
      </c>
      <c r="C101" s="76">
        <v>0</v>
      </c>
      <c r="D101" s="76">
        <v>0</v>
      </c>
      <c r="E101" s="76">
        <v>80</v>
      </c>
      <c r="F101" s="76">
        <v>80</v>
      </c>
      <c r="G101" s="76">
        <v>80</v>
      </c>
      <c r="H101" s="76">
        <v>160</v>
      </c>
      <c r="I101" s="76">
        <v>80</v>
      </c>
      <c r="J101" s="76">
        <v>80</v>
      </c>
      <c r="K101" s="120">
        <v>80</v>
      </c>
      <c r="L101" s="76">
        <v>240</v>
      </c>
      <c r="M101" s="158">
        <v>0</v>
      </c>
      <c r="N101" s="76">
        <v>80</v>
      </c>
      <c r="O101" s="76">
        <v>160</v>
      </c>
      <c r="P101" s="76">
        <v>80</v>
      </c>
      <c r="Q101" s="76">
        <v>80</v>
      </c>
      <c r="R101" s="76">
        <v>160</v>
      </c>
      <c r="S101" s="76">
        <v>160</v>
      </c>
      <c r="T101" s="158">
        <v>0</v>
      </c>
      <c r="U101" s="158">
        <v>0</v>
      </c>
      <c r="V101" s="76">
        <v>160</v>
      </c>
      <c r="W101" s="76">
        <v>160</v>
      </c>
      <c r="X101" s="76">
        <v>80</v>
      </c>
      <c r="Y101" s="76">
        <v>160</v>
      </c>
      <c r="Z101" s="76">
        <v>160</v>
      </c>
      <c r="AA101" s="76">
        <v>80</v>
      </c>
      <c r="AB101" s="76">
        <v>160</v>
      </c>
      <c r="AC101" s="76">
        <v>160</v>
      </c>
      <c r="AD101" s="76">
        <v>160</v>
      </c>
      <c r="AE101" s="76">
        <v>160</v>
      </c>
      <c r="AF101" s="76">
        <v>0</v>
      </c>
      <c r="AG101" s="76">
        <v>320</v>
      </c>
      <c r="AH101" s="76">
        <v>0</v>
      </c>
      <c r="AI101" s="76">
        <v>80</v>
      </c>
      <c r="AJ101" s="76">
        <v>0</v>
      </c>
      <c r="AK101" s="76">
        <v>80</v>
      </c>
      <c r="AL101" s="76">
        <v>160</v>
      </c>
      <c r="AM101" s="76">
        <v>80</v>
      </c>
      <c r="AN101" s="76">
        <v>320</v>
      </c>
      <c r="AO101" s="76">
        <v>0</v>
      </c>
      <c r="AP101" s="76">
        <v>160</v>
      </c>
      <c r="AQ101" s="76">
        <v>160</v>
      </c>
      <c r="AR101" s="76">
        <v>160</v>
      </c>
      <c r="AS101" s="76">
        <v>160</v>
      </c>
      <c r="AT101" s="76">
        <v>160</v>
      </c>
      <c r="AU101" s="76">
        <v>80</v>
      </c>
      <c r="AV101" s="76">
        <v>240</v>
      </c>
      <c r="AW101" s="76">
        <v>0</v>
      </c>
      <c r="AX101" s="76">
        <v>0</v>
      </c>
      <c r="AY101" s="76">
        <v>0</v>
      </c>
      <c r="AZ101" s="76">
        <v>0</v>
      </c>
      <c r="BA101" s="76">
        <v>160</v>
      </c>
      <c r="BB101" s="76">
        <v>160</v>
      </c>
      <c r="BC101" s="76">
        <v>160</v>
      </c>
      <c r="BD101" s="76">
        <v>140</v>
      </c>
      <c r="BE101" s="76">
        <v>140</v>
      </c>
      <c r="BF101" s="76">
        <v>140</v>
      </c>
      <c r="BG101" s="76">
        <v>140</v>
      </c>
      <c r="BH101" s="76">
        <v>100</v>
      </c>
      <c r="BI101" s="76">
        <v>100</v>
      </c>
      <c r="BJ101" s="76">
        <v>100</v>
      </c>
      <c r="BK101" s="76">
        <v>100</v>
      </c>
      <c r="BL101" s="76">
        <v>150</v>
      </c>
      <c r="BM101" s="76">
        <v>150</v>
      </c>
      <c r="BN101" s="76">
        <v>150</v>
      </c>
      <c r="BO101" s="76">
        <v>150</v>
      </c>
      <c r="BP101" s="76">
        <v>120</v>
      </c>
      <c r="BQ101" s="76">
        <v>120</v>
      </c>
      <c r="BR101" s="76">
        <v>120</v>
      </c>
    </row>
    <row r="102" spans="1:70" x14ac:dyDescent="0.25">
      <c r="A102" s="74">
        <v>32332628</v>
      </c>
      <c r="B102" s="75">
        <v>5180040</v>
      </c>
      <c r="C102" s="76">
        <v>0</v>
      </c>
      <c r="D102" s="76">
        <v>0</v>
      </c>
      <c r="E102" s="76">
        <v>0</v>
      </c>
      <c r="F102" s="76">
        <v>80</v>
      </c>
      <c r="G102" s="76">
        <v>80</v>
      </c>
      <c r="H102" s="76">
        <v>80</v>
      </c>
      <c r="I102" s="76">
        <v>80</v>
      </c>
      <c r="J102" s="76">
        <v>80</v>
      </c>
      <c r="K102" s="120">
        <v>80</v>
      </c>
      <c r="L102" s="76">
        <v>160</v>
      </c>
      <c r="M102" s="158">
        <v>0</v>
      </c>
      <c r="N102" s="76">
        <v>80</v>
      </c>
      <c r="O102" s="76">
        <v>80</v>
      </c>
      <c r="P102" s="76">
        <v>80</v>
      </c>
      <c r="Q102" s="76">
        <v>80</v>
      </c>
      <c r="R102" s="76">
        <v>80</v>
      </c>
      <c r="S102" s="76">
        <v>80</v>
      </c>
      <c r="T102" s="158">
        <v>0</v>
      </c>
      <c r="U102" s="158">
        <v>0</v>
      </c>
      <c r="V102" s="76">
        <v>160</v>
      </c>
      <c r="W102" s="76">
        <v>80</v>
      </c>
      <c r="X102" s="76">
        <v>80</v>
      </c>
      <c r="Y102" s="76">
        <v>160</v>
      </c>
      <c r="Z102" s="76">
        <v>80</v>
      </c>
      <c r="AA102" s="76">
        <v>80</v>
      </c>
      <c r="AB102" s="76">
        <v>80</v>
      </c>
      <c r="AC102" s="76">
        <v>160</v>
      </c>
      <c r="AD102" s="76">
        <v>80</v>
      </c>
      <c r="AE102" s="76">
        <v>80</v>
      </c>
      <c r="AF102" s="76">
        <v>80</v>
      </c>
      <c r="AG102" s="76">
        <v>160</v>
      </c>
      <c r="AH102" s="76">
        <v>0</v>
      </c>
      <c r="AI102" s="76">
        <v>80</v>
      </c>
      <c r="AJ102" s="76">
        <v>80</v>
      </c>
      <c r="AK102" s="76">
        <v>0</v>
      </c>
      <c r="AL102" s="76">
        <v>160</v>
      </c>
      <c r="AM102" s="76">
        <v>80</v>
      </c>
      <c r="AN102" s="76">
        <v>160</v>
      </c>
      <c r="AO102" s="76">
        <v>0</v>
      </c>
      <c r="AP102" s="76">
        <v>80</v>
      </c>
      <c r="AQ102" s="76">
        <v>160</v>
      </c>
      <c r="AR102" s="76">
        <v>160</v>
      </c>
      <c r="AS102" s="76">
        <v>80</v>
      </c>
      <c r="AT102" s="76">
        <v>160</v>
      </c>
      <c r="AU102" s="76">
        <v>80</v>
      </c>
      <c r="AV102" s="76">
        <v>160</v>
      </c>
      <c r="AW102" s="76">
        <v>0</v>
      </c>
      <c r="AX102" s="76">
        <v>0</v>
      </c>
      <c r="AY102" s="76">
        <v>0</v>
      </c>
      <c r="AZ102" s="76">
        <v>0</v>
      </c>
      <c r="BA102" s="76">
        <v>160</v>
      </c>
      <c r="BB102" s="76">
        <v>80</v>
      </c>
      <c r="BC102" s="76">
        <v>160</v>
      </c>
      <c r="BD102" s="76">
        <v>100</v>
      </c>
      <c r="BE102" s="76">
        <v>100</v>
      </c>
      <c r="BF102" s="76">
        <v>100</v>
      </c>
      <c r="BG102" s="76">
        <v>100</v>
      </c>
      <c r="BH102" s="76">
        <v>80</v>
      </c>
      <c r="BI102" s="76">
        <v>80</v>
      </c>
      <c r="BJ102" s="76">
        <v>80</v>
      </c>
      <c r="BK102" s="76">
        <v>80</v>
      </c>
      <c r="BL102" s="76">
        <v>120</v>
      </c>
      <c r="BM102" s="76">
        <v>120</v>
      </c>
      <c r="BN102" s="76">
        <v>120</v>
      </c>
      <c r="BO102" s="76">
        <v>120</v>
      </c>
      <c r="BP102" s="76">
        <v>80</v>
      </c>
      <c r="BQ102" s="76">
        <v>80</v>
      </c>
      <c r="BR102" s="76">
        <v>80</v>
      </c>
    </row>
    <row r="103" spans="1:70" x14ac:dyDescent="0.25">
      <c r="A103" s="74">
        <v>32332629</v>
      </c>
      <c r="B103" s="75">
        <v>5180041</v>
      </c>
      <c r="C103" s="76">
        <v>0</v>
      </c>
      <c r="D103" s="76">
        <v>0</v>
      </c>
      <c r="E103" s="76">
        <v>0</v>
      </c>
      <c r="F103" s="76">
        <v>0</v>
      </c>
      <c r="G103" s="76">
        <v>0</v>
      </c>
      <c r="H103" s="76">
        <v>80</v>
      </c>
      <c r="I103" s="76">
        <v>0</v>
      </c>
      <c r="J103" s="76">
        <v>0</v>
      </c>
      <c r="K103" s="120">
        <v>0</v>
      </c>
      <c r="L103" s="76">
        <v>0</v>
      </c>
      <c r="M103" s="158">
        <v>0</v>
      </c>
      <c r="N103" s="76">
        <v>0</v>
      </c>
      <c r="O103" s="76">
        <v>0</v>
      </c>
      <c r="P103" s="76">
        <v>0</v>
      </c>
      <c r="Q103" s="76">
        <v>80</v>
      </c>
      <c r="R103" s="76">
        <v>0</v>
      </c>
      <c r="S103" s="76">
        <v>0</v>
      </c>
      <c r="T103" s="158">
        <v>0</v>
      </c>
      <c r="U103" s="158">
        <v>0</v>
      </c>
      <c r="V103" s="76">
        <v>80</v>
      </c>
      <c r="W103" s="76">
        <v>0</v>
      </c>
      <c r="X103" s="76">
        <v>0</v>
      </c>
      <c r="Y103" s="76">
        <v>0</v>
      </c>
      <c r="Z103" s="76">
        <v>80</v>
      </c>
      <c r="AA103" s="76">
        <v>0</v>
      </c>
      <c r="AB103" s="76">
        <v>0</v>
      </c>
      <c r="AC103" s="76">
        <v>0</v>
      </c>
      <c r="AD103" s="76">
        <v>0</v>
      </c>
      <c r="AE103" s="76">
        <v>80</v>
      </c>
      <c r="AF103" s="76">
        <v>0</v>
      </c>
      <c r="AG103" s="76">
        <v>0</v>
      </c>
      <c r="AH103" s="76">
        <v>0</v>
      </c>
      <c r="AI103" s="76">
        <v>0</v>
      </c>
      <c r="AJ103" s="76">
        <v>0</v>
      </c>
      <c r="AK103" s="76">
        <v>0</v>
      </c>
      <c r="AL103" s="76">
        <v>0</v>
      </c>
      <c r="AM103" s="76">
        <v>0</v>
      </c>
      <c r="AN103" s="76">
        <v>0</v>
      </c>
      <c r="AO103" s="76">
        <v>0</v>
      </c>
      <c r="AP103" s="76">
        <v>0</v>
      </c>
      <c r="AQ103" s="76">
        <v>0</v>
      </c>
      <c r="AR103" s="76">
        <v>80</v>
      </c>
      <c r="AS103" s="76">
        <v>0</v>
      </c>
      <c r="AT103" s="76">
        <v>0</v>
      </c>
      <c r="AU103" s="76">
        <v>80</v>
      </c>
      <c r="AV103" s="76">
        <v>0</v>
      </c>
      <c r="AW103" s="76">
        <v>0</v>
      </c>
      <c r="AX103" s="76">
        <v>0</v>
      </c>
      <c r="AY103" s="76">
        <v>0</v>
      </c>
      <c r="AZ103" s="76">
        <v>0</v>
      </c>
      <c r="BA103" s="76">
        <v>80</v>
      </c>
      <c r="BB103" s="76">
        <v>0</v>
      </c>
      <c r="BC103" s="76">
        <v>0</v>
      </c>
      <c r="BD103" s="76">
        <v>0</v>
      </c>
      <c r="BE103" s="76">
        <v>0</v>
      </c>
      <c r="BF103" s="76">
        <v>0</v>
      </c>
      <c r="BG103" s="76">
        <v>0</v>
      </c>
      <c r="BH103" s="76">
        <v>0</v>
      </c>
      <c r="BI103" s="76">
        <v>0</v>
      </c>
      <c r="BJ103" s="76">
        <v>0</v>
      </c>
      <c r="BK103" s="76">
        <v>0</v>
      </c>
      <c r="BL103" s="76">
        <v>20</v>
      </c>
      <c r="BM103" s="76">
        <v>20</v>
      </c>
      <c r="BN103" s="76">
        <v>20</v>
      </c>
      <c r="BO103" s="76">
        <v>20</v>
      </c>
      <c r="BP103" s="76">
        <v>0</v>
      </c>
      <c r="BQ103" s="76">
        <v>40</v>
      </c>
      <c r="BR103" s="76">
        <v>40</v>
      </c>
    </row>
    <row r="104" spans="1:70" x14ac:dyDescent="0.25">
      <c r="A104" s="77">
        <v>32332630</v>
      </c>
      <c r="B104" s="78">
        <v>5180033</v>
      </c>
      <c r="C104" s="79">
        <v>0</v>
      </c>
      <c r="D104" s="79">
        <v>0</v>
      </c>
      <c r="E104" s="79">
        <v>80</v>
      </c>
      <c r="F104" s="79">
        <v>0</v>
      </c>
      <c r="G104" s="79">
        <v>0</v>
      </c>
      <c r="H104" s="79">
        <v>0</v>
      </c>
      <c r="I104" s="79">
        <v>0</v>
      </c>
      <c r="J104" s="79">
        <v>0</v>
      </c>
      <c r="K104" s="121">
        <v>0</v>
      </c>
      <c r="L104" s="79">
        <v>0</v>
      </c>
      <c r="M104" s="159">
        <v>0</v>
      </c>
      <c r="N104" s="79">
        <v>0</v>
      </c>
      <c r="O104" s="79">
        <v>0</v>
      </c>
      <c r="P104" s="79">
        <v>0</v>
      </c>
      <c r="Q104" s="79">
        <v>0</v>
      </c>
      <c r="R104" s="79">
        <v>0</v>
      </c>
      <c r="S104" s="79">
        <v>0</v>
      </c>
      <c r="T104" s="159">
        <v>0</v>
      </c>
      <c r="U104" s="159">
        <v>0</v>
      </c>
      <c r="V104" s="79">
        <v>80</v>
      </c>
      <c r="W104" s="79">
        <v>0</v>
      </c>
      <c r="X104" s="79">
        <v>0</v>
      </c>
      <c r="Y104" s="79">
        <v>0</v>
      </c>
      <c r="Z104" s="79">
        <v>0</v>
      </c>
      <c r="AA104" s="79">
        <v>0</v>
      </c>
      <c r="AB104" s="79">
        <v>0</v>
      </c>
      <c r="AC104" s="79">
        <v>0</v>
      </c>
      <c r="AD104" s="79">
        <v>80</v>
      </c>
      <c r="AE104" s="79">
        <v>0</v>
      </c>
      <c r="AF104" s="79">
        <v>0</v>
      </c>
      <c r="AG104" s="79">
        <v>0</v>
      </c>
      <c r="AH104" s="79">
        <v>0</v>
      </c>
      <c r="AI104" s="79">
        <v>0</v>
      </c>
      <c r="AJ104" s="79">
        <v>0</v>
      </c>
      <c r="AK104" s="79">
        <v>0</v>
      </c>
      <c r="AL104" s="79">
        <v>0</v>
      </c>
      <c r="AM104" s="79">
        <v>0</v>
      </c>
      <c r="AN104" s="79">
        <v>0</v>
      </c>
      <c r="AO104" s="79">
        <v>0</v>
      </c>
      <c r="AP104" s="79">
        <v>0</v>
      </c>
      <c r="AQ104" s="79">
        <v>0</v>
      </c>
      <c r="AR104" s="79">
        <v>0</v>
      </c>
      <c r="AS104" s="79">
        <v>80</v>
      </c>
      <c r="AT104" s="79">
        <v>0</v>
      </c>
      <c r="AU104" s="79">
        <v>0</v>
      </c>
      <c r="AV104" s="79">
        <v>0</v>
      </c>
      <c r="AW104" s="79">
        <v>0</v>
      </c>
      <c r="AX104" s="79">
        <v>0</v>
      </c>
      <c r="AY104" s="79">
        <v>0</v>
      </c>
      <c r="AZ104" s="79">
        <v>0</v>
      </c>
      <c r="BA104" s="79">
        <v>0</v>
      </c>
      <c r="BB104" s="79">
        <v>0</v>
      </c>
      <c r="BC104" s="79">
        <v>0</v>
      </c>
      <c r="BD104" s="79">
        <v>20</v>
      </c>
      <c r="BE104" s="79">
        <v>20</v>
      </c>
      <c r="BF104" s="79">
        <v>20</v>
      </c>
      <c r="BG104" s="79">
        <v>20</v>
      </c>
      <c r="BH104" s="79">
        <v>0</v>
      </c>
      <c r="BI104" s="79">
        <v>0</v>
      </c>
      <c r="BJ104" s="79">
        <v>0</v>
      </c>
      <c r="BK104" s="79">
        <v>0</v>
      </c>
      <c r="BL104" s="79">
        <v>0</v>
      </c>
      <c r="BM104" s="79">
        <v>0</v>
      </c>
      <c r="BN104" s="79">
        <v>0</v>
      </c>
      <c r="BO104" s="79">
        <v>0</v>
      </c>
      <c r="BP104" s="79">
        <v>0</v>
      </c>
      <c r="BQ104" s="79">
        <v>0</v>
      </c>
      <c r="BR104" s="79">
        <v>0</v>
      </c>
    </row>
    <row r="105" spans="1:70" x14ac:dyDescent="0.25">
      <c r="A105" s="169">
        <v>32482092</v>
      </c>
      <c r="B105" s="170">
        <v>7506617</v>
      </c>
      <c r="C105" s="76">
        <v>0</v>
      </c>
      <c r="D105" s="76">
        <v>0</v>
      </c>
      <c r="E105" s="76">
        <v>0</v>
      </c>
      <c r="F105" s="76">
        <v>0</v>
      </c>
      <c r="G105" s="76">
        <v>0</v>
      </c>
      <c r="H105" s="76">
        <v>0</v>
      </c>
      <c r="I105" s="76">
        <v>0</v>
      </c>
      <c r="J105" s="76">
        <v>0</v>
      </c>
      <c r="K105" s="76">
        <v>0</v>
      </c>
      <c r="L105" s="76">
        <v>0</v>
      </c>
      <c r="M105" s="158">
        <v>0</v>
      </c>
      <c r="N105" s="76">
        <v>0</v>
      </c>
      <c r="O105" s="76">
        <v>0</v>
      </c>
      <c r="P105" s="76">
        <v>0</v>
      </c>
      <c r="Q105" s="76">
        <v>0</v>
      </c>
      <c r="R105" s="76">
        <v>0</v>
      </c>
      <c r="S105" s="76">
        <v>0</v>
      </c>
      <c r="T105" s="158">
        <v>0</v>
      </c>
      <c r="U105" s="158">
        <v>0</v>
      </c>
      <c r="V105" s="76">
        <v>0</v>
      </c>
      <c r="W105" s="76">
        <v>0</v>
      </c>
      <c r="X105" s="76">
        <v>0</v>
      </c>
      <c r="Y105" s="76">
        <v>0</v>
      </c>
      <c r="Z105" s="76">
        <v>0</v>
      </c>
      <c r="AA105" s="76">
        <v>0</v>
      </c>
      <c r="AB105" s="76">
        <v>0</v>
      </c>
      <c r="AC105" s="76">
        <v>0</v>
      </c>
      <c r="AD105" s="76">
        <v>0</v>
      </c>
      <c r="AE105" s="76">
        <v>0</v>
      </c>
      <c r="AF105" s="76">
        <v>0</v>
      </c>
      <c r="AG105" s="76">
        <v>0</v>
      </c>
      <c r="AH105" s="76">
        <v>0</v>
      </c>
      <c r="AI105" s="76">
        <v>0</v>
      </c>
      <c r="AJ105" s="76">
        <v>80</v>
      </c>
      <c r="AK105" s="76">
        <v>0</v>
      </c>
      <c r="AL105" s="76">
        <v>0</v>
      </c>
      <c r="AM105" s="76">
        <v>0</v>
      </c>
      <c r="AN105" s="76">
        <v>0</v>
      </c>
      <c r="AO105" s="76">
        <v>0</v>
      </c>
      <c r="AP105" s="76">
        <v>0</v>
      </c>
      <c r="AQ105" s="76">
        <v>0</v>
      </c>
      <c r="AR105" s="76">
        <v>0</v>
      </c>
      <c r="AS105" s="76">
        <v>0</v>
      </c>
      <c r="AT105" s="76">
        <v>0</v>
      </c>
      <c r="AU105" s="76">
        <v>0</v>
      </c>
      <c r="AV105" s="76">
        <v>80</v>
      </c>
      <c r="AW105" s="76">
        <v>0</v>
      </c>
      <c r="AX105" s="76">
        <v>0</v>
      </c>
      <c r="AY105" s="76">
        <v>0</v>
      </c>
      <c r="AZ105" s="76">
        <v>0</v>
      </c>
      <c r="BA105" s="76">
        <v>0</v>
      </c>
      <c r="BB105" s="76">
        <v>0</v>
      </c>
      <c r="BC105" s="76">
        <v>0</v>
      </c>
      <c r="BD105" s="76">
        <v>0</v>
      </c>
      <c r="BE105" s="76">
        <v>0</v>
      </c>
      <c r="BF105" s="76">
        <v>0</v>
      </c>
      <c r="BG105" s="76">
        <v>0</v>
      </c>
      <c r="BH105" s="76">
        <v>0</v>
      </c>
      <c r="BI105" s="76">
        <v>0</v>
      </c>
      <c r="BJ105" s="76">
        <v>0</v>
      </c>
      <c r="BK105" s="76">
        <v>0</v>
      </c>
      <c r="BL105" s="76">
        <v>20</v>
      </c>
      <c r="BM105" s="76">
        <v>20</v>
      </c>
      <c r="BN105" s="76">
        <v>20</v>
      </c>
      <c r="BO105" s="76">
        <v>20</v>
      </c>
      <c r="BP105" s="76">
        <v>0</v>
      </c>
      <c r="BQ105" s="76">
        <v>0</v>
      </c>
      <c r="BR105" s="76">
        <v>0</v>
      </c>
    </row>
    <row r="106" spans="1:70" x14ac:dyDescent="0.25">
      <c r="A106" s="169">
        <v>32482093</v>
      </c>
      <c r="B106" s="170">
        <v>7506626</v>
      </c>
      <c r="C106" s="76">
        <v>0</v>
      </c>
      <c r="D106" s="76">
        <v>0</v>
      </c>
      <c r="E106" s="76">
        <v>0</v>
      </c>
      <c r="F106" s="76">
        <v>0</v>
      </c>
      <c r="G106" s="76">
        <v>0</v>
      </c>
      <c r="H106" s="76">
        <v>0</v>
      </c>
      <c r="I106" s="76">
        <v>0</v>
      </c>
      <c r="J106" s="76">
        <v>0</v>
      </c>
      <c r="K106" s="76">
        <v>0</v>
      </c>
      <c r="L106" s="76">
        <v>0</v>
      </c>
      <c r="M106" s="158">
        <v>0</v>
      </c>
      <c r="N106" s="76">
        <v>0</v>
      </c>
      <c r="O106" s="76">
        <v>0</v>
      </c>
      <c r="P106" s="76">
        <v>0</v>
      </c>
      <c r="Q106" s="76">
        <v>0</v>
      </c>
      <c r="R106" s="76">
        <v>0</v>
      </c>
      <c r="S106" s="76">
        <v>0</v>
      </c>
      <c r="T106" s="158">
        <v>0</v>
      </c>
      <c r="U106" s="158">
        <v>0</v>
      </c>
      <c r="V106" s="76">
        <v>0</v>
      </c>
      <c r="W106" s="76">
        <v>0</v>
      </c>
      <c r="X106" s="76">
        <v>0</v>
      </c>
      <c r="Y106" s="76">
        <v>0</v>
      </c>
      <c r="Z106" s="76">
        <v>0</v>
      </c>
      <c r="AA106" s="76">
        <v>0</v>
      </c>
      <c r="AB106" s="76">
        <v>0</v>
      </c>
      <c r="AC106" s="76">
        <v>0</v>
      </c>
      <c r="AD106" s="76">
        <v>0</v>
      </c>
      <c r="AE106" s="76">
        <v>0</v>
      </c>
      <c r="AF106" s="76">
        <v>0</v>
      </c>
      <c r="AG106" s="76">
        <v>0</v>
      </c>
      <c r="AH106" s="76">
        <v>0</v>
      </c>
      <c r="AI106" s="76">
        <v>100</v>
      </c>
      <c r="AJ106" s="76">
        <v>0</v>
      </c>
      <c r="AK106" s="76">
        <v>0</v>
      </c>
      <c r="AL106" s="76">
        <v>0</v>
      </c>
      <c r="AM106" s="76">
        <v>0</v>
      </c>
      <c r="AN106" s="76">
        <v>0</v>
      </c>
      <c r="AO106" s="76">
        <v>0</v>
      </c>
      <c r="AP106" s="76">
        <v>0</v>
      </c>
      <c r="AQ106" s="76">
        <v>0</v>
      </c>
      <c r="AR106" s="76">
        <v>0</v>
      </c>
      <c r="AS106" s="76">
        <v>0</v>
      </c>
      <c r="AT106" s="76">
        <v>0</v>
      </c>
      <c r="AU106" s="76">
        <v>100</v>
      </c>
      <c r="AV106" s="76">
        <v>0</v>
      </c>
      <c r="AW106" s="76">
        <v>0</v>
      </c>
      <c r="AX106" s="76">
        <v>0</v>
      </c>
      <c r="AY106" s="76">
        <v>0</v>
      </c>
      <c r="AZ106" s="76">
        <v>0</v>
      </c>
      <c r="BA106" s="76">
        <v>0</v>
      </c>
      <c r="BB106" s="76">
        <v>0</v>
      </c>
      <c r="BC106" s="76">
        <v>0</v>
      </c>
      <c r="BD106" s="76">
        <v>0</v>
      </c>
      <c r="BE106" s="76">
        <v>0</v>
      </c>
      <c r="BF106" s="76">
        <v>0</v>
      </c>
      <c r="BG106" s="76">
        <v>0</v>
      </c>
      <c r="BH106" s="76">
        <v>0</v>
      </c>
      <c r="BI106" s="76">
        <v>0</v>
      </c>
      <c r="BJ106" s="76">
        <v>0</v>
      </c>
      <c r="BK106" s="76">
        <v>0</v>
      </c>
      <c r="BL106" s="76">
        <v>20</v>
      </c>
      <c r="BM106" s="76">
        <v>20</v>
      </c>
      <c r="BN106" s="76">
        <v>20</v>
      </c>
      <c r="BO106" s="76">
        <v>20</v>
      </c>
      <c r="BP106" s="76">
        <v>20</v>
      </c>
      <c r="BQ106" s="76">
        <v>0</v>
      </c>
      <c r="BR106" s="76">
        <v>0</v>
      </c>
    </row>
    <row r="107" spans="1:70" x14ac:dyDescent="0.25">
      <c r="A107" s="171">
        <v>32482094</v>
      </c>
      <c r="B107" s="172">
        <v>7506627</v>
      </c>
      <c r="C107" s="79">
        <v>0</v>
      </c>
      <c r="D107" s="79">
        <v>0</v>
      </c>
      <c r="E107" s="79">
        <v>0</v>
      </c>
      <c r="F107" s="79">
        <v>0</v>
      </c>
      <c r="G107" s="79">
        <v>0</v>
      </c>
      <c r="H107" s="79">
        <v>0</v>
      </c>
      <c r="I107" s="79">
        <v>0</v>
      </c>
      <c r="J107" s="79">
        <v>0</v>
      </c>
      <c r="K107" s="79">
        <v>0</v>
      </c>
      <c r="L107" s="79">
        <v>0</v>
      </c>
      <c r="M107" s="159">
        <v>0</v>
      </c>
      <c r="N107" s="79">
        <v>0</v>
      </c>
      <c r="O107" s="79">
        <v>0</v>
      </c>
      <c r="P107" s="79">
        <v>0</v>
      </c>
      <c r="Q107" s="79">
        <v>0</v>
      </c>
      <c r="R107" s="79">
        <v>0</v>
      </c>
      <c r="S107" s="79">
        <v>0</v>
      </c>
      <c r="T107" s="159">
        <v>0</v>
      </c>
      <c r="U107" s="159">
        <v>0</v>
      </c>
      <c r="V107" s="79">
        <v>0</v>
      </c>
      <c r="W107" s="79">
        <v>0</v>
      </c>
      <c r="X107" s="79">
        <v>0</v>
      </c>
      <c r="Y107" s="79">
        <v>0</v>
      </c>
      <c r="Z107" s="79">
        <v>0</v>
      </c>
      <c r="AA107" s="79">
        <v>0</v>
      </c>
      <c r="AB107" s="79">
        <v>0</v>
      </c>
      <c r="AC107" s="79">
        <v>0</v>
      </c>
      <c r="AD107" s="79">
        <v>0</v>
      </c>
      <c r="AE107" s="79">
        <v>0</v>
      </c>
      <c r="AF107" s="79">
        <v>0</v>
      </c>
      <c r="AG107" s="79">
        <v>0</v>
      </c>
      <c r="AH107" s="79">
        <v>0</v>
      </c>
      <c r="AI107" s="79">
        <v>80</v>
      </c>
      <c r="AJ107" s="79">
        <v>0</v>
      </c>
      <c r="AK107" s="79">
        <v>0</v>
      </c>
      <c r="AL107" s="79">
        <v>80</v>
      </c>
      <c r="AM107" s="79">
        <v>0</v>
      </c>
      <c r="AN107" s="79">
        <v>160</v>
      </c>
      <c r="AO107" s="79">
        <v>0</v>
      </c>
      <c r="AP107" s="79">
        <v>80</v>
      </c>
      <c r="AQ107" s="79">
        <v>80</v>
      </c>
      <c r="AR107" s="79">
        <v>0</v>
      </c>
      <c r="AS107" s="79">
        <v>80</v>
      </c>
      <c r="AT107" s="79">
        <v>80</v>
      </c>
      <c r="AU107" s="79">
        <v>0</v>
      </c>
      <c r="AV107" s="79">
        <v>80</v>
      </c>
      <c r="AW107" s="79">
        <v>0</v>
      </c>
      <c r="AX107" s="79">
        <v>0</v>
      </c>
      <c r="AY107" s="79">
        <v>0</v>
      </c>
      <c r="AZ107" s="79">
        <v>0</v>
      </c>
      <c r="BA107" s="79">
        <v>80</v>
      </c>
      <c r="BB107" s="79">
        <v>80</v>
      </c>
      <c r="BC107" s="79">
        <v>80</v>
      </c>
      <c r="BD107" s="79">
        <v>60</v>
      </c>
      <c r="BE107" s="79">
        <v>60</v>
      </c>
      <c r="BF107" s="79">
        <v>60</v>
      </c>
      <c r="BG107" s="79">
        <v>60</v>
      </c>
      <c r="BH107" s="79">
        <v>20</v>
      </c>
      <c r="BI107" s="79">
        <v>20</v>
      </c>
      <c r="BJ107" s="79">
        <v>20</v>
      </c>
      <c r="BK107" s="79">
        <v>20</v>
      </c>
      <c r="BL107" s="79">
        <v>50</v>
      </c>
      <c r="BM107" s="79">
        <v>50</v>
      </c>
      <c r="BN107" s="79">
        <v>50</v>
      </c>
      <c r="BO107" s="79">
        <v>50</v>
      </c>
      <c r="BP107" s="79">
        <v>40</v>
      </c>
      <c r="BQ107" s="79">
        <v>40</v>
      </c>
      <c r="BR107" s="79">
        <v>40</v>
      </c>
    </row>
    <row r="108" spans="1:70" x14ac:dyDescent="0.25">
      <c r="A108" s="91" t="s">
        <v>6</v>
      </c>
      <c r="B108" s="91"/>
      <c r="C108" s="80">
        <f>SUM(C3:C107)</f>
        <v>17080</v>
      </c>
      <c r="D108" s="80">
        <f t="shared" ref="D108:U108" si="0">SUM(D3:D107)</f>
        <v>13040</v>
      </c>
      <c r="E108" s="80">
        <f t="shared" si="0"/>
        <v>20280</v>
      </c>
      <c r="F108" s="80">
        <f t="shared" si="0"/>
        <v>17160</v>
      </c>
      <c r="G108" s="80">
        <f t="shared" si="0"/>
        <v>15780</v>
      </c>
      <c r="H108" s="80">
        <f t="shared" si="0"/>
        <v>16460</v>
      </c>
      <c r="I108" s="80">
        <f t="shared" si="0"/>
        <v>14920</v>
      </c>
      <c r="J108" s="80">
        <f t="shared" si="0"/>
        <v>13440</v>
      </c>
      <c r="K108" s="80">
        <f t="shared" si="0"/>
        <v>19020</v>
      </c>
      <c r="L108" s="80">
        <f t="shared" si="0"/>
        <v>26930</v>
      </c>
      <c r="M108" s="80">
        <f t="shared" si="0"/>
        <v>0</v>
      </c>
      <c r="N108" s="80">
        <f t="shared" si="0"/>
        <v>16860</v>
      </c>
      <c r="O108" s="80">
        <f t="shared" si="0"/>
        <v>16600</v>
      </c>
      <c r="P108" s="80">
        <f t="shared" si="0"/>
        <v>16500</v>
      </c>
      <c r="Q108" s="80">
        <f t="shared" si="0"/>
        <v>17600</v>
      </c>
      <c r="R108" s="80">
        <f t="shared" si="0"/>
        <v>20080</v>
      </c>
      <c r="S108" s="80">
        <f t="shared" si="0"/>
        <v>21100</v>
      </c>
      <c r="T108" s="80">
        <f t="shared" si="0"/>
        <v>0</v>
      </c>
      <c r="U108" s="80">
        <f t="shared" si="0"/>
        <v>0</v>
      </c>
      <c r="V108" s="80">
        <f t="shared" ref="V108:AA108" si="1">SUM(V3:V107)</f>
        <v>19760</v>
      </c>
      <c r="W108" s="80">
        <f t="shared" si="1"/>
        <v>18820</v>
      </c>
      <c r="X108" s="80">
        <f t="shared" si="1"/>
        <v>20360</v>
      </c>
      <c r="Y108" s="80">
        <f t="shared" si="1"/>
        <v>20660</v>
      </c>
      <c r="Z108" s="80">
        <f t="shared" si="1"/>
        <v>19060</v>
      </c>
      <c r="AA108" s="80">
        <f t="shared" si="1"/>
        <v>18340</v>
      </c>
      <c r="AB108" s="80">
        <f t="shared" ref="AB108:AE108" si="2">SUM(AB3:AB107)</f>
        <v>18220</v>
      </c>
      <c r="AC108" s="80">
        <f t="shared" si="2"/>
        <v>20020</v>
      </c>
      <c r="AD108" s="80">
        <f t="shared" si="2"/>
        <v>19340</v>
      </c>
      <c r="AE108" s="80">
        <f t="shared" si="2"/>
        <v>16620</v>
      </c>
      <c r="AF108" s="80">
        <f t="shared" ref="AF108:BQ108" si="3">SUM(AF3:AF107)</f>
        <v>10100</v>
      </c>
      <c r="AG108" s="80">
        <f t="shared" si="3"/>
        <v>34520</v>
      </c>
      <c r="AH108" s="80">
        <f t="shared" si="3"/>
        <v>0</v>
      </c>
      <c r="AI108" s="80">
        <f t="shared" si="3"/>
        <v>18720</v>
      </c>
      <c r="AJ108" s="80">
        <f t="shared" si="3"/>
        <v>19020</v>
      </c>
      <c r="AK108" s="80">
        <f t="shared" si="3"/>
        <v>13500</v>
      </c>
      <c r="AL108" s="80">
        <f t="shared" si="3"/>
        <v>18480</v>
      </c>
      <c r="AM108" s="80">
        <f t="shared" si="3"/>
        <v>11420</v>
      </c>
      <c r="AN108" s="80">
        <f t="shared" si="3"/>
        <v>32260</v>
      </c>
      <c r="AO108" s="80">
        <f t="shared" si="3"/>
        <v>0</v>
      </c>
      <c r="AP108" s="80">
        <f t="shared" si="3"/>
        <v>19860</v>
      </c>
      <c r="AQ108" s="80">
        <f t="shared" si="3"/>
        <v>21680</v>
      </c>
      <c r="AR108" s="80">
        <f t="shared" si="3"/>
        <v>21840</v>
      </c>
      <c r="AS108" s="80">
        <f t="shared" si="3"/>
        <v>18460</v>
      </c>
      <c r="AT108" s="80">
        <f t="shared" si="3"/>
        <v>22520</v>
      </c>
      <c r="AU108" s="80">
        <f t="shared" si="3"/>
        <v>17840</v>
      </c>
      <c r="AV108" s="80">
        <f t="shared" si="3"/>
        <v>31660</v>
      </c>
      <c r="AW108" s="80">
        <f t="shared" si="3"/>
        <v>0</v>
      </c>
      <c r="AX108" s="80">
        <f t="shared" si="3"/>
        <v>0</v>
      </c>
      <c r="AY108" s="185">
        <f t="shared" si="3"/>
        <v>0</v>
      </c>
      <c r="AZ108" s="185">
        <f t="shared" si="3"/>
        <v>0</v>
      </c>
      <c r="BA108" s="185">
        <f t="shared" si="3"/>
        <v>16720</v>
      </c>
      <c r="BB108" s="185">
        <f t="shared" si="3"/>
        <v>16680</v>
      </c>
      <c r="BC108" s="185">
        <f t="shared" si="3"/>
        <v>16920</v>
      </c>
      <c r="BD108" s="185">
        <f t="shared" si="3"/>
        <v>17110</v>
      </c>
      <c r="BE108" s="185">
        <f t="shared" si="3"/>
        <v>17110</v>
      </c>
      <c r="BF108" s="185">
        <f t="shared" si="3"/>
        <v>17110</v>
      </c>
      <c r="BG108" s="185">
        <f t="shared" si="3"/>
        <v>16990</v>
      </c>
      <c r="BH108" s="185">
        <f t="shared" si="3"/>
        <v>12980</v>
      </c>
      <c r="BI108" s="185">
        <f t="shared" si="3"/>
        <v>12980</v>
      </c>
      <c r="BJ108" s="185">
        <f t="shared" si="3"/>
        <v>12980</v>
      </c>
      <c r="BK108" s="185">
        <f t="shared" si="3"/>
        <v>12900</v>
      </c>
      <c r="BL108" s="185">
        <f t="shared" si="3"/>
        <v>17830</v>
      </c>
      <c r="BM108" s="185">
        <f t="shared" si="3"/>
        <v>17830</v>
      </c>
      <c r="BN108" s="185">
        <f t="shared" si="3"/>
        <v>17820</v>
      </c>
      <c r="BO108" s="185">
        <f t="shared" si="3"/>
        <v>17820</v>
      </c>
      <c r="BP108" s="185">
        <f t="shared" si="3"/>
        <v>17200</v>
      </c>
      <c r="BQ108" s="185">
        <f t="shared" si="3"/>
        <v>19720</v>
      </c>
      <c r="BR108" s="185">
        <f t="shared" ref="BR108" si="4">SUM(BR3:BR107)</f>
        <v>19720</v>
      </c>
    </row>
    <row r="109" spans="1:70" x14ac:dyDescent="0.25">
      <c r="R109">
        <f t="shared" ref="R109:AN109" si="5">Q109+1</f>
        <v>1</v>
      </c>
      <c r="S109">
        <f t="shared" si="5"/>
        <v>2</v>
      </c>
      <c r="T109">
        <f t="shared" si="5"/>
        <v>3</v>
      </c>
      <c r="U109">
        <f t="shared" si="5"/>
        <v>4</v>
      </c>
      <c r="V109">
        <f t="shared" si="5"/>
        <v>5</v>
      </c>
      <c r="W109">
        <f t="shared" si="5"/>
        <v>6</v>
      </c>
      <c r="X109">
        <f t="shared" si="5"/>
        <v>7</v>
      </c>
      <c r="Y109">
        <f t="shared" si="5"/>
        <v>8</v>
      </c>
      <c r="Z109">
        <f t="shared" si="5"/>
        <v>9</v>
      </c>
      <c r="AA109">
        <f t="shared" si="5"/>
        <v>10</v>
      </c>
      <c r="AB109">
        <f t="shared" si="5"/>
        <v>11</v>
      </c>
      <c r="AC109">
        <f t="shared" si="5"/>
        <v>12</v>
      </c>
      <c r="AD109">
        <f t="shared" si="5"/>
        <v>13</v>
      </c>
      <c r="AE109">
        <f t="shared" si="5"/>
        <v>14</v>
      </c>
      <c r="AF109">
        <f t="shared" si="5"/>
        <v>15</v>
      </c>
      <c r="AG109">
        <f t="shared" si="5"/>
        <v>16</v>
      </c>
      <c r="AH109">
        <f t="shared" si="5"/>
        <v>17</v>
      </c>
      <c r="AI109">
        <f t="shared" si="5"/>
        <v>18</v>
      </c>
      <c r="AJ109">
        <f t="shared" si="5"/>
        <v>19</v>
      </c>
      <c r="AK109">
        <f t="shared" si="5"/>
        <v>20</v>
      </c>
      <c r="AL109">
        <v>2</v>
      </c>
      <c r="AM109">
        <f t="shared" si="5"/>
        <v>3</v>
      </c>
      <c r="AN109">
        <f t="shared" si="5"/>
        <v>4</v>
      </c>
      <c r="AO109">
        <f t="shared" ref="AO109" si="6">AN109+1</f>
        <v>5</v>
      </c>
      <c r="AP109">
        <f t="shared" ref="AP109" si="7">AO109+1</f>
        <v>6</v>
      </c>
      <c r="AQ109">
        <f t="shared" ref="AQ109" si="8">AP109+1</f>
        <v>7</v>
      </c>
      <c r="AR109">
        <f t="shared" ref="AR109" si="9">AQ109+1</f>
        <v>8</v>
      </c>
      <c r="AS109">
        <f t="shared" ref="AS109" si="10">AR109+1</f>
        <v>9</v>
      </c>
      <c r="AT109">
        <f t="shared" ref="AT109" si="11">AS109+1</f>
        <v>10</v>
      </c>
      <c r="AU109">
        <f t="shared" ref="AU109" si="12">AT109+1</f>
        <v>11</v>
      </c>
      <c r="AV109">
        <f t="shared" ref="AV109" si="13">AU109+1</f>
        <v>12</v>
      </c>
      <c r="AW109">
        <f t="shared" ref="AW109" si="14">AV109+1</f>
        <v>13</v>
      </c>
      <c r="AX109">
        <f t="shared" ref="AX109" si="15">AW109+1</f>
        <v>14</v>
      </c>
      <c r="AY109">
        <f t="shared" ref="AY109" si="16">AX109+1</f>
        <v>15</v>
      </c>
      <c r="AZ109">
        <f t="shared" ref="AZ109" si="17">AY109+1</f>
        <v>16</v>
      </c>
      <c r="BA109">
        <f t="shared" ref="BA109" si="18">AZ109+1</f>
        <v>17</v>
      </c>
      <c r="BB109">
        <f t="shared" ref="BB109" si="19">BA109+1</f>
        <v>18</v>
      </c>
      <c r="BC109">
        <f t="shared" ref="BC109" si="20">BB109+1</f>
        <v>19</v>
      </c>
      <c r="BD109">
        <f t="shared" ref="BD109" si="21">BC109+1</f>
        <v>20</v>
      </c>
      <c r="BE109">
        <f t="shared" ref="BE109" si="22">BD109+1</f>
        <v>21</v>
      </c>
      <c r="BF109">
        <f t="shared" ref="BF109" si="23">BE109+1</f>
        <v>22</v>
      </c>
      <c r="BG109">
        <f t="shared" ref="BG109" si="24">BF109+1</f>
        <v>23</v>
      </c>
      <c r="BH109">
        <f t="shared" ref="BH109" si="25">BG109+1</f>
        <v>24</v>
      </c>
      <c r="BI109">
        <f t="shared" ref="BI109" si="26">BH109+1</f>
        <v>25</v>
      </c>
      <c r="BJ109">
        <f t="shared" ref="BJ109" si="27">BI109+1</f>
        <v>26</v>
      </c>
      <c r="BK109">
        <f t="shared" ref="BK109" si="28">BJ109+1</f>
        <v>27</v>
      </c>
      <c r="BL109">
        <f t="shared" ref="BL109" si="29">BK109+1</f>
        <v>28</v>
      </c>
      <c r="BM109">
        <f t="shared" ref="BM109" si="30">BL109+1</f>
        <v>29</v>
      </c>
      <c r="BN109">
        <f t="shared" ref="BN109" si="31">BM109+1</f>
        <v>30</v>
      </c>
      <c r="BO109">
        <f t="shared" ref="BO109" si="32">BN109+1</f>
        <v>31</v>
      </c>
      <c r="BP109">
        <f t="shared" ref="BP109" si="33">BO109+1</f>
        <v>32</v>
      </c>
      <c r="BQ109">
        <f t="shared" ref="BQ109:BR109" si="34">BP109+1</f>
        <v>33</v>
      </c>
      <c r="BR109">
        <f t="shared" si="34"/>
        <v>34</v>
      </c>
    </row>
  </sheetData>
  <mergeCells count="2">
    <mergeCell ref="A1:A2"/>
    <mergeCell ref="B1:B2"/>
  </mergeCells>
  <phoneticPr fontId="7" type="noConversion"/>
  <conditionalFormatting sqref="B1:B1048576">
    <cfRule type="duplicateValues" dxfId="1594"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558F-06FF-40B4-B862-63D1BA1FE744}">
  <sheetPr codeName="Sheet5">
    <tabColor rgb="FFD2E1FF"/>
  </sheetPr>
  <dimension ref="A1:AW13"/>
  <sheetViews>
    <sheetView showGridLines="0" zoomScaleNormal="100" workbookViewId="0">
      <pane xSplit="2" ySplit="2" topLeftCell="C3" activePane="bottomRight" state="frozen"/>
      <selection pane="topRight" activeCell="C1" sqref="C1"/>
      <selection pane="bottomLeft" activeCell="A3" sqref="A3"/>
      <selection pane="bottomRight" activeCell="AO24" sqref="AO24"/>
    </sheetView>
  </sheetViews>
  <sheetFormatPr defaultRowHeight="15" x14ac:dyDescent="0.25"/>
  <cols>
    <col min="1" max="1" width="18.140625" bestFit="1" customWidth="1"/>
    <col min="2" max="2" width="18.140625" customWidth="1"/>
    <col min="3" max="35" width="11.85546875" hidden="1" customWidth="1"/>
    <col min="36" max="38" width="11.85546875" customWidth="1"/>
    <col min="39" max="39" width="13.140625" bestFit="1" customWidth="1"/>
    <col min="40" max="49" width="10.7109375" bestFit="1" customWidth="1"/>
    <col min="261" max="261" width="18.140625" bestFit="1" customWidth="1"/>
    <col min="262" max="262" width="18.140625" customWidth="1"/>
    <col min="263" max="268" width="11.85546875" bestFit="1" customWidth="1"/>
    <col min="269" max="269" width="11.85546875" customWidth="1"/>
    <col min="270" max="274" width="11.85546875" bestFit="1" customWidth="1"/>
    <col min="275" max="276" width="11.85546875" customWidth="1"/>
    <col min="277" max="281" width="11.85546875" bestFit="1" customWidth="1"/>
    <col min="282" max="284" width="11.85546875" customWidth="1"/>
    <col min="285" max="285" width="11.85546875" bestFit="1" customWidth="1"/>
    <col min="286" max="289" width="11.85546875" customWidth="1"/>
    <col min="290" max="290" width="11.85546875" bestFit="1" customWidth="1"/>
    <col min="291" max="293" width="11.85546875" customWidth="1"/>
    <col min="294" max="294" width="13.140625" bestFit="1" customWidth="1"/>
    <col min="517" max="517" width="18.140625" bestFit="1" customWidth="1"/>
    <col min="518" max="518" width="18.140625" customWidth="1"/>
    <col min="519" max="524" width="11.85546875" bestFit="1" customWidth="1"/>
    <col min="525" max="525" width="11.85546875" customWidth="1"/>
    <col min="526" max="530" width="11.85546875" bestFit="1" customWidth="1"/>
    <col min="531" max="532" width="11.85546875" customWidth="1"/>
    <col min="533" max="537" width="11.85546875" bestFit="1" customWidth="1"/>
    <col min="538" max="540" width="11.85546875" customWidth="1"/>
    <col min="541" max="541" width="11.85546875" bestFit="1" customWidth="1"/>
    <col min="542" max="545" width="11.85546875" customWidth="1"/>
    <col min="546" max="546" width="11.85546875" bestFit="1" customWidth="1"/>
    <col min="547" max="549" width="11.85546875" customWidth="1"/>
    <col min="550" max="550" width="13.140625" bestFit="1" customWidth="1"/>
    <col min="773" max="773" width="18.140625" bestFit="1" customWidth="1"/>
    <col min="774" max="774" width="18.140625" customWidth="1"/>
    <col min="775" max="780" width="11.85546875" bestFit="1" customWidth="1"/>
    <col min="781" max="781" width="11.85546875" customWidth="1"/>
    <col min="782" max="786" width="11.85546875" bestFit="1" customWidth="1"/>
    <col min="787" max="788" width="11.85546875" customWidth="1"/>
    <col min="789" max="793" width="11.85546875" bestFit="1" customWidth="1"/>
    <col min="794" max="796" width="11.85546875" customWidth="1"/>
    <col min="797" max="797" width="11.85546875" bestFit="1" customWidth="1"/>
    <col min="798" max="801" width="11.85546875" customWidth="1"/>
    <col min="802" max="802" width="11.85546875" bestFit="1" customWidth="1"/>
    <col min="803" max="805" width="11.85546875" customWidth="1"/>
    <col min="806" max="806" width="13.140625" bestFit="1" customWidth="1"/>
    <col min="1029" max="1029" width="18.140625" bestFit="1" customWidth="1"/>
    <col min="1030" max="1030" width="18.140625" customWidth="1"/>
    <col min="1031" max="1036" width="11.85546875" bestFit="1" customWidth="1"/>
    <col min="1037" max="1037" width="11.85546875" customWidth="1"/>
    <col min="1038" max="1042" width="11.85546875" bestFit="1" customWidth="1"/>
    <col min="1043" max="1044" width="11.85546875" customWidth="1"/>
    <col min="1045" max="1049" width="11.85546875" bestFit="1" customWidth="1"/>
    <col min="1050" max="1052" width="11.85546875" customWidth="1"/>
    <col min="1053" max="1053" width="11.85546875" bestFit="1" customWidth="1"/>
    <col min="1054" max="1057" width="11.85546875" customWidth="1"/>
    <col min="1058" max="1058" width="11.85546875" bestFit="1" customWidth="1"/>
    <col min="1059" max="1061" width="11.85546875" customWidth="1"/>
    <col min="1062" max="1062" width="13.140625" bestFit="1" customWidth="1"/>
    <col min="1285" max="1285" width="18.140625" bestFit="1" customWidth="1"/>
    <col min="1286" max="1286" width="18.140625" customWidth="1"/>
    <col min="1287" max="1292" width="11.85546875" bestFit="1" customWidth="1"/>
    <col min="1293" max="1293" width="11.85546875" customWidth="1"/>
    <col min="1294" max="1298" width="11.85546875" bestFit="1" customWidth="1"/>
    <col min="1299" max="1300" width="11.85546875" customWidth="1"/>
    <col min="1301" max="1305" width="11.85546875" bestFit="1" customWidth="1"/>
    <col min="1306" max="1308" width="11.85546875" customWidth="1"/>
    <col min="1309" max="1309" width="11.85546875" bestFit="1" customWidth="1"/>
    <col min="1310" max="1313" width="11.85546875" customWidth="1"/>
    <col min="1314" max="1314" width="11.85546875" bestFit="1" customWidth="1"/>
    <col min="1315" max="1317" width="11.85546875" customWidth="1"/>
    <col min="1318" max="1318" width="13.140625" bestFit="1" customWidth="1"/>
    <col min="1541" max="1541" width="18.140625" bestFit="1" customWidth="1"/>
    <col min="1542" max="1542" width="18.140625" customWidth="1"/>
    <col min="1543" max="1548" width="11.85546875" bestFit="1" customWidth="1"/>
    <col min="1549" max="1549" width="11.85546875" customWidth="1"/>
    <col min="1550" max="1554" width="11.85546875" bestFit="1" customWidth="1"/>
    <col min="1555" max="1556" width="11.85546875" customWidth="1"/>
    <col min="1557" max="1561" width="11.85546875" bestFit="1" customWidth="1"/>
    <col min="1562" max="1564" width="11.85546875" customWidth="1"/>
    <col min="1565" max="1565" width="11.85546875" bestFit="1" customWidth="1"/>
    <col min="1566" max="1569" width="11.85546875" customWidth="1"/>
    <col min="1570" max="1570" width="11.85546875" bestFit="1" customWidth="1"/>
    <col min="1571" max="1573" width="11.85546875" customWidth="1"/>
    <col min="1574" max="1574" width="13.140625" bestFit="1" customWidth="1"/>
    <col min="1797" max="1797" width="18.140625" bestFit="1" customWidth="1"/>
    <col min="1798" max="1798" width="18.140625" customWidth="1"/>
    <col min="1799" max="1804" width="11.85546875" bestFit="1" customWidth="1"/>
    <col min="1805" max="1805" width="11.85546875" customWidth="1"/>
    <col min="1806" max="1810" width="11.85546875" bestFit="1" customWidth="1"/>
    <col min="1811" max="1812" width="11.85546875" customWidth="1"/>
    <col min="1813" max="1817" width="11.85546875" bestFit="1" customWidth="1"/>
    <col min="1818" max="1820" width="11.85546875" customWidth="1"/>
    <col min="1821" max="1821" width="11.85546875" bestFit="1" customWidth="1"/>
    <col min="1822" max="1825" width="11.85546875" customWidth="1"/>
    <col min="1826" max="1826" width="11.85546875" bestFit="1" customWidth="1"/>
    <col min="1827" max="1829" width="11.85546875" customWidth="1"/>
    <col min="1830" max="1830" width="13.140625" bestFit="1" customWidth="1"/>
    <col min="2053" max="2053" width="18.140625" bestFit="1" customWidth="1"/>
    <col min="2054" max="2054" width="18.140625" customWidth="1"/>
    <col min="2055" max="2060" width="11.85546875" bestFit="1" customWidth="1"/>
    <col min="2061" max="2061" width="11.85546875" customWidth="1"/>
    <col min="2062" max="2066" width="11.85546875" bestFit="1" customWidth="1"/>
    <col min="2067" max="2068" width="11.85546875" customWidth="1"/>
    <col min="2069" max="2073" width="11.85546875" bestFit="1" customWidth="1"/>
    <col min="2074" max="2076" width="11.85546875" customWidth="1"/>
    <col min="2077" max="2077" width="11.85546875" bestFit="1" customWidth="1"/>
    <col min="2078" max="2081" width="11.85546875" customWidth="1"/>
    <col min="2082" max="2082" width="11.85546875" bestFit="1" customWidth="1"/>
    <col min="2083" max="2085" width="11.85546875" customWidth="1"/>
    <col min="2086" max="2086" width="13.140625" bestFit="1" customWidth="1"/>
    <col min="2309" max="2309" width="18.140625" bestFit="1" customWidth="1"/>
    <col min="2310" max="2310" width="18.140625" customWidth="1"/>
    <col min="2311" max="2316" width="11.85546875" bestFit="1" customWidth="1"/>
    <col min="2317" max="2317" width="11.85546875" customWidth="1"/>
    <col min="2318" max="2322" width="11.85546875" bestFit="1" customWidth="1"/>
    <col min="2323" max="2324" width="11.85546875" customWidth="1"/>
    <col min="2325" max="2329" width="11.85546875" bestFit="1" customWidth="1"/>
    <col min="2330" max="2332" width="11.85546875" customWidth="1"/>
    <col min="2333" max="2333" width="11.85546875" bestFit="1" customWidth="1"/>
    <col min="2334" max="2337" width="11.85546875" customWidth="1"/>
    <col min="2338" max="2338" width="11.85546875" bestFit="1" customWidth="1"/>
    <col min="2339" max="2341" width="11.85546875" customWidth="1"/>
    <col min="2342" max="2342" width="13.140625" bestFit="1" customWidth="1"/>
    <col min="2565" max="2565" width="18.140625" bestFit="1" customWidth="1"/>
    <col min="2566" max="2566" width="18.140625" customWidth="1"/>
    <col min="2567" max="2572" width="11.85546875" bestFit="1" customWidth="1"/>
    <col min="2573" max="2573" width="11.85546875" customWidth="1"/>
    <col min="2574" max="2578" width="11.85546875" bestFit="1" customWidth="1"/>
    <col min="2579" max="2580" width="11.85546875" customWidth="1"/>
    <col min="2581" max="2585" width="11.85546875" bestFit="1" customWidth="1"/>
    <col min="2586" max="2588" width="11.85546875" customWidth="1"/>
    <col min="2589" max="2589" width="11.85546875" bestFit="1" customWidth="1"/>
    <col min="2590" max="2593" width="11.85546875" customWidth="1"/>
    <col min="2594" max="2594" width="11.85546875" bestFit="1" customWidth="1"/>
    <col min="2595" max="2597" width="11.85546875" customWidth="1"/>
    <col min="2598" max="2598" width="13.140625" bestFit="1" customWidth="1"/>
    <col min="2821" max="2821" width="18.140625" bestFit="1" customWidth="1"/>
    <col min="2822" max="2822" width="18.140625" customWidth="1"/>
    <col min="2823" max="2828" width="11.85546875" bestFit="1" customWidth="1"/>
    <col min="2829" max="2829" width="11.85546875" customWidth="1"/>
    <col min="2830" max="2834" width="11.85546875" bestFit="1" customWidth="1"/>
    <col min="2835" max="2836" width="11.85546875" customWidth="1"/>
    <col min="2837" max="2841" width="11.85546875" bestFit="1" customWidth="1"/>
    <col min="2842" max="2844" width="11.85546875" customWidth="1"/>
    <col min="2845" max="2845" width="11.85546875" bestFit="1" customWidth="1"/>
    <col min="2846" max="2849" width="11.85546875" customWidth="1"/>
    <col min="2850" max="2850" width="11.85546875" bestFit="1" customWidth="1"/>
    <col min="2851" max="2853" width="11.85546875" customWidth="1"/>
    <col min="2854" max="2854" width="13.140625" bestFit="1" customWidth="1"/>
    <col min="3077" max="3077" width="18.140625" bestFit="1" customWidth="1"/>
    <col min="3078" max="3078" width="18.140625" customWidth="1"/>
    <col min="3079" max="3084" width="11.85546875" bestFit="1" customWidth="1"/>
    <col min="3085" max="3085" width="11.85546875" customWidth="1"/>
    <col min="3086" max="3090" width="11.85546875" bestFit="1" customWidth="1"/>
    <col min="3091" max="3092" width="11.85546875" customWidth="1"/>
    <col min="3093" max="3097" width="11.85546875" bestFit="1" customWidth="1"/>
    <col min="3098" max="3100" width="11.85546875" customWidth="1"/>
    <col min="3101" max="3101" width="11.85546875" bestFit="1" customWidth="1"/>
    <col min="3102" max="3105" width="11.85546875" customWidth="1"/>
    <col min="3106" max="3106" width="11.85546875" bestFit="1" customWidth="1"/>
    <col min="3107" max="3109" width="11.85546875" customWidth="1"/>
    <col min="3110" max="3110" width="13.140625" bestFit="1" customWidth="1"/>
    <col min="3333" max="3333" width="18.140625" bestFit="1" customWidth="1"/>
    <col min="3334" max="3334" width="18.140625" customWidth="1"/>
    <col min="3335" max="3340" width="11.85546875" bestFit="1" customWidth="1"/>
    <col min="3341" max="3341" width="11.85546875" customWidth="1"/>
    <col min="3342" max="3346" width="11.85546875" bestFit="1" customWidth="1"/>
    <col min="3347" max="3348" width="11.85546875" customWidth="1"/>
    <col min="3349" max="3353" width="11.85546875" bestFit="1" customWidth="1"/>
    <col min="3354" max="3356" width="11.85546875" customWidth="1"/>
    <col min="3357" max="3357" width="11.85546875" bestFit="1" customWidth="1"/>
    <col min="3358" max="3361" width="11.85546875" customWidth="1"/>
    <col min="3362" max="3362" width="11.85546875" bestFit="1" customWidth="1"/>
    <col min="3363" max="3365" width="11.85546875" customWidth="1"/>
    <col min="3366" max="3366" width="13.140625" bestFit="1" customWidth="1"/>
    <col min="3589" max="3589" width="18.140625" bestFit="1" customWidth="1"/>
    <col min="3590" max="3590" width="18.140625" customWidth="1"/>
    <col min="3591" max="3596" width="11.85546875" bestFit="1" customWidth="1"/>
    <col min="3597" max="3597" width="11.85546875" customWidth="1"/>
    <col min="3598" max="3602" width="11.85546875" bestFit="1" customWidth="1"/>
    <col min="3603" max="3604" width="11.85546875" customWidth="1"/>
    <col min="3605" max="3609" width="11.85546875" bestFit="1" customWidth="1"/>
    <col min="3610" max="3612" width="11.85546875" customWidth="1"/>
    <col min="3613" max="3613" width="11.85546875" bestFit="1" customWidth="1"/>
    <col min="3614" max="3617" width="11.85546875" customWidth="1"/>
    <col min="3618" max="3618" width="11.85546875" bestFit="1" customWidth="1"/>
    <col min="3619" max="3621" width="11.85546875" customWidth="1"/>
    <col min="3622" max="3622" width="13.140625" bestFit="1" customWidth="1"/>
    <col min="3845" max="3845" width="18.140625" bestFit="1" customWidth="1"/>
    <col min="3846" max="3846" width="18.140625" customWidth="1"/>
    <col min="3847" max="3852" width="11.85546875" bestFit="1" customWidth="1"/>
    <col min="3853" max="3853" width="11.85546875" customWidth="1"/>
    <col min="3854" max="3858" width="11.85546875" bestFit="1" customWidth="1"/>
    <col min="3859" max="3860" width="11.85546875" customWidth="1"/>
    <col min="3861" max="3865" width="11.85546875" bestFit="1" customWidth="1"/>
    <col min="3866" max="3868" width="11.85546875" customWidth="1"/>
    <col min="3869" max="3869" width="11.85546875" bestFit="1" customWidth="1"/>
    <col min="3870" max="3873" width="11.85546875" customWidth="1"/>
    <col min="3874" max="3874" width="11.85546875" bestFit="1" customWidth="1"/>
    <col min="3875" max="3877" width="11.85546875" customWidth="1"/>
    <col min="3878" max="3878" width="13.140625" bestFit="1" customWidth="1"/>
    <col min="4101" max="4101" width="18.140625" bestFit="1" customWidth="1"/>
    <col min="4102" max="4102" width="18.140625" customWidth="1"/>
    <col min="4103" max="4108" width="11.85546875" bestFit="1" customWidth="1"/>
    <col min="4109" max="4109" width="11.85546875" customWidth="1"/>
    <col min="4110" max="4114" width="11.85546875" bestFit="1" customWidth="1"/>
    <col min="4115" max="4116" width="11.85546875" customWidth="1"/>
    <col min="4117" max="4121" width="11.85546875" bestFit="1" customWidth="1"/>
    <col min="4122" max="4124" width="11.85546875" customWidth="1"/>
    <col min="4125" max="4125" width="11.85546875" bestFit="1" customWidth="1"/>
    <col min="4126" max="4129" width="11.85546875" customWidth="1"/>
    <col min="4130" max="4130" width="11.85546875" bestFit="1" customWidth="1"/>
    <col min="4131" max="4133" width="11.85546875" customWidth="1"/>
    <col min="4134" max="4134" width="13.140625" bestFit="1" customWidth="1"/>
    <col min="4357" max="4357" width="18.140625" bestFit="1" customWidth="1"/>
    <col min="4358" max="4358" width="18.140625" customWidth="1"/>
    <col min="4359" max="4364" width="11.85546875" bestFit="1" customWidth="1"/>
    <col min="4365" max="4365" width="11.85546875" customWidth="1"/>
    <col min="4366" max="4370" width="11.85546875" bestFit="1" customWidth="1"/>
    <col min="4371" max="4372" width="11.85546875" customWidth="1"/>
    <col min="4373" max="4377" width="11.85546875" bestFit="1" customWidth="1"/>
    <col min="4378" max="4380" width="11.85546875" customWidth="1"/>
    <col min="4381" max="4381" width="11.85546875" bestFit="1" customWidth="1"/>
    <col min="4382" max="4385" width="11.85546875" customWidth="1"/>
    <col min="4386" max="4386" width="11.85546875" bestFit="1" customWidth="1"/>
    <col min="4387" max="4389" width="11.85546875" customWidth="1"/>
    <col min="4390" max="4390" width="13.140625" bestFit="1" customWidth="1"/>
    <col min="4613" max="4613" width="18.140625" bestFit="1" customWidth="1"/>
    <col min="4614" max="4614" width="18.140625" customWidth="1"/>
    <col min="4615" max="4620" width="11.85546875" bestFit="1" customWidth="1"/>
    <col min="4621" max="4621" width="11.85546875" customWidth="1"/>
    <col min="4622" max="4626" width="11.85546875" bestFit="1" customWidth="1"/>
    <col min="4627" max="4628" width="11.85546875" customWidth="1"/>
    <col min="4629" max="4633" width="11.85546875" bestFit="1" customWidth="1"/>
    <col min="4634" max="4636" width="11.85546875" customWidth="1"/>
    <col min="4637" max="4637" width="11.85546875" bestFit="1" customWidth="1"/>
    <col min="4638" max="4641" width="11.85546875" customWidth="1"/>
    <col min="4642" max="4642" width="11.85546875" bestFit="1" customWidth="1"/>
    <col min="4643" max="4645" width="11.85546875" customWidth="1"/>
    <col min="4646" max="4646" width="13.140625" bestFit="1" customWidth="1"/>
    <col min="4869" max="4869" width="18.140625" bestFit="1" customWidth="1"/>
    <col min="4870" max="4870" width="18.140625" customWidth="1"/>
    <col min="4871" max="4876" width="11.85546875" bestFit="1" customWidth="1"/>
    <col min="4877" max="4877" width="11.85546875" customWidth="1"/>
    <col min="4878" max="4882" width="11.85546875" bestFit="1" customWidth="1"/>
    <col min="4883" max="4884" width="11.85546875" customWidth="1"/>
    <col min="4885" max="4889" width="11.85546875" bestFit="1" customWidth="1"/>
    <col min="4890" max="4892" width="11.85546875" customWidth="1"/>
    <col min="4893" max="4893" width="11.85546875" bestFit="1" customWidth="1"/>
    <col min="4894" max="4897" width="11.85546875" customWidth="1"/>
    <col min="4898" max="4898" width="11.85546875" bestFit="1" customWidth="1"/>
    <col min="4899" max="4901" width="11.85546875" customWidth="1"/>
    <col min="4902" max="4902" width="13.140625" bestFit="1" customWidth="1"/>
    <col min="5125" max="5125" width="18.140625" bestFit="1" customWidth="1"/>
    <col min="5126" max="5126" width="18.140625" customWidth="1"/>
    <col min="5127" max="5132" width="11.85546875" bestFit="1" customWidth="1"/>
    <col min="5133" max="5133" width="11.85546875" customWidth="1"/>
    <col min="5134" max="5138" width="11.85546875" bestFit="1" customWidth="1"/>
    <col min="5139" max="5140" width="11.85546875" customWidth="1"/>
    <col min="5141" max="5145" width="11.85546875" bestFit="1" customWidth="1"/>
    <col min="5146" max="5148" width="11.85546875" customWidth="1"/>
    <col min="5149" max="5149" width="11.85546875" bestFit="1" customWidth="1"/>
    <col min="5150" max="5153" width="11.85546875" customWidth="1"/>
    <col min="5154" max="5154" width="11.85546875" bestFit="1" customWidth="1"/>
    <col min="5155" max="5157" width="11.85546875" customWidth="1"/>
    <col min="5158" max="5158" width="13.140625" bestFit="1" customWidth="1"/>
    <col min="5381" max="5381" width="18.140625" bestFit="1" customWidth="1"/>
    <col min="5382" max="5382" width="18.140625" customWidth="1"/>
    <col min="5383" max="5388" width="11.85546875" bestFit="1" customWidth="1"/>
    <col min="5389" max="5389" width="11.85546875" customWidth="1"/>
    <col min="5390" max="5394" width="11.85546875" bestFit="1" customWidth="1"/>
    <col min="5395" max="5396" width="11.85546875" customWidth="1"/>
    <col min="5397" max="5401" width="11.85546875" bestFit="1" customWidth="1"/>
    <col min="5402" max="5404" width="11.85546875" customWidth="1"/>
    <col min="5405" max="5405" width="11.85546875" bestFit="1" customWidth="1"/>
    <col min="5406" max="5409" width="11.85546875" customWidth="1"/>
    <col min="5410" max="5410" width="11.85546875" bestFit="1" customWidth="1"/>
    <col min="5411" max="5413" width="11.85546875" customWidth="1"/>
    <col min="5414" max="5414" width="13.140625" bestFit="1" customWidth="1"/>
    <col min="5637" max="5637" width="18.140625" bestFit="1" customWidth="1"/>
    <col min="5638" max="5638" width="18.140625" customWidth="1"/>
    <col min="5639" max="5644" width="11.85546875" bestFit="1" customWidth="1"/>
    <col min="5645" max="5645" width="11.85546875" customWidth="1"/>
    <col min="5646" max="5650" width="11.85546875" bestFit="1" customWidth="1"/>
    <col min="5651" max="5652" width="11.85546875" customWidth="1"/>
    <col min="5653" max="5657" width="11.85546875" bestFit="1" customWidth="1"/>
    <col min="5658" max="5660" width="11.85546875" customWidth="1"/>
    <col min="5661" max="5661" width="11.85546875" bestFit="1" customWidth="1"/>
    <col min="5662" max="5665" width="11.85546875" customWidth="1"/>
    <col min="5666" max="5666" width="11.85546875" bestFit="1" customWidth="1"/>
    <col min="5667" max="5669" width="11.85546875" customWidth="1"/>
    <col min="5670" max="5670" width="13.140625" bestFit="1" customWidth="1"/>
    <col min="5893" max="5893" width="18.140625" bestFit="1" customWidth="1"/>
    <col min="5894" max="5894" width="18.140625" customWidth="1"/>
    <col min="5895" max="5900" width="11.85546875" bestFit="1" customWidth="1"/>
    <col min="5901" max="5901" width="11.85546875" customWidth="1"/>
    <col min="5902" max="5906" width="11.85546875" bestFit="1" customWidth="1"/>
    <col min="5907" max="5908" width="11.85546875" customWidth="1"/>
    <col min="5909" max="5913" width="11.85546875" bestFit="1" customWidth="1"/>
    <col min="5914" max="5916" width="11.85546875" customWidth="1"/>
    <col min="5917" max="5917" width="11.85546875" bestFit="1" customWidth="1"/>
    <col min="5918" max="5921" width="11.85546875" customWidth="1"/>
    <col min="5922" max="5922" width="11.85546875" bestFit="1" customWidth="1"/>
    <col min="5923" max="5925" width="11.85546875" customWidth="1"/>
    <col min="5926" max="5926" width="13.140625" bestFit="1" customWidth="1"/>
    <col min="6149" max="6149" width="18.140625" bestFit="1" customWidth="1"/>
    <col min="6150" max="6150" width="18.140625" customWidth="1"/>
    <col min="6151" max="6156" width="11.85546875" bestFit="1" customWidth="1"/>
    <col min="6157" max="6157" width="11.85546875" customWidth="1"/>
    <col min="6158" max="6162" width="11.85546875" bestFit="1" customWidth="1"/>
    <col min="6163" max="6164" width="11.85546875" customWidth="1"/>
    <col min="6165" max="6169" width="11.85546875" bestFit="1" customWidth="1"/>
    <col min="6170" max="6172" width="11.85546875" customWidth="1"/>
    <col min="6173" max="6173" width="11.85546875" bestFit="1" customWidth="1"/>
    <col min="6174" max="6177" width="11.85546875" customWidth="1"/>
    <col min="6178" max="6178" width="11.85546875" bestFit="1" customWidth="1"/>
    <col min="6179" max="6181" width="11.85546875" customWidth="1"/>
    <col min="6182" max="6182" width="13.140625" bestFit="1" customWidth="1"/>
    <col min="6405" max="6405" width="18.140625" bestFit="1" customWidth="1"/>
    <col min="6406" max="6406" width="18.140625" customWidth="1"/>
    <col min="6407" max="6412" width="11.85546875" bestFit="1" customWidth="1"/>
    <col min="6413" max="6413" width="11.85546875" customWidth="1"/>
    <col min="6414" max="6418" width="11.85546875" bestFit="1" customWidth="1"/>
    <col min="6419" max="6420" width="11.85546875" customWidth="1"/>
    <col min="6421" max="6425" width="11.85546875" bestFit="1" customWidth="1"/>
    <col min="6426" max="6428" width="11.85546875" customWidth="1"/>
    <col min="6429" max="6429" width="11.85546875" bestFit="1" customWidth="1"/>
    <col min="6430" max="6433" width="11.85546875" customWidth="1"/>
    <col min="6434" max="6434" width="11.85546875" bestFit="1" customWidth="1"/>
    <col min="6435" max="6437" width="11.85546875" customWidth="1"/>
    <col min="6438" max="6438" width="13.140625" bestFit="1" customWidth="1"/>
    <col min="6661" max="6661" width="18.140625" bestFit="1" customWidth="1"/>
    <col min="6662" max="6662" width="18.140625" customWidth="1"/>
    <col min="6663" max="6668" width="11.85546875" bestFit="1" customWidth="1"/>
    <col min="6669" max="6669" width="11.85546875" customWidth="1"/>
    <col min="6670" max="6674" width="11.85546875" bestFit="1" customWidth="1"/>
    <col min="6675" max="6676" width="11.85546875" customWidth="1"/>
    <col min="6677" max="6681" width="11.85546875" bestFit="1" customWidth="1"/>
    <col min="6682" max="6684" width="11.85546875" customWidth="1"/>
    <col min="6685" max="6685" width="11.85546875" bestFit="1" customWidth="1"/>
    <col min="6686" max="6689" width="11.85546875" customWidth="1"/>
    <col min="6690" max="6690" width="11.85546875" bestFit="1" customWidth="1"/>
    <col min="6691" max="6693" width="11.85546875" customWidth="1"/>
    <col min="6694" max="6694" width="13.140625" bestFit="1" customWidth="1"/>
    <col min="6917" max="6917" width="18.140625" bestFit="1" customWidth="1"/>
    <col min="6918" max="6918" width="18.140625" customWidth="1"/>
    <col min="6919" max="6924" width="11.85546875" bestFit="1" customWidth="1"/>
    <col min="6925" max="6925" width="11.85546875" customWidth="1"/>
    <col min="6926" max="6930" width="11.85546875" bestFit="1" customWidth="1"/>
    <col min="6931" max="6932" width="11.85546875" customWidth="1"/>
    <col min="6933" max="6937" width="11.85546875" bestFit="1" customWidth="1"/>
    <col min="6938" max="6940" width="11.85546875" customWidth="1"/>
    <col min="6941" max="6941" width="11.85546875" bestFit="1" customWidth="1"/>
    <col min="6942" max="6945" width="11.85546875" customWidth="1"/>
    <col min="6946" max="6946" width="11.85546875" bestFit="1" customWidth="1"/>
    <col min="6947" max="6949" width="11.85546875" customWidth="1"/>
    <col min="6950" max="6950" width="13.140625" bestFit="1" customWidth="1"/>
    <col min="7173" max="7173" width="18.140625" bestFit="1" customWidth="1"/>
    <col min="7174" max="7174" width="18.140625" customWidth="1"/>
    <col min="7175" max="7180" width="11.85546875" bestFit="1" customWidth="1"/>
    <col min="7181" max="7181" width="11.85546875" customWidth="1"/>
    <col min="7182" max="7186" width="11.85546875" bestFit="1" customWidth="1"/>
    <col min="7187" max="7188" width="11.85546875" customWidth="1"/>
    <col min="7189" max="7193" width="11.85546875" bestFit="1" customWidth="1"/>
    <col min="7194" max="7196" width="11.85546875" customWidth="1"/>
    <col min="7197" max="7197" width="11.85546875" bestFit="1" customWidth="1"/>
    <col min="7198" max="7201" width="11.85546875" customWidth="1"/>
    <col min="7202" max="7202" width="11.85546875" bestFit="1" customWidth="1"/>
    <col min="7203" max="7205" width="11.85546875" customWidth="1"/>
    <col min="7206" max="7206" width="13.140625" bestFit="1" customWidth="1"/>
    <col min="7429" max="7429" width="18.140625" bestFit="1" customWidth="1"/>
    <col min="7430" max="7430" width="18.140625" customWidth="1"/>
    <col min="7431" max="7436" width="11.85546875" bestFit="1" customWidth="1"/>
    <col min="7437" max="7437" width="11.85546875" customWidth="1"/>
    <col min="7438" max="7442" width="11.85546875" bestFit="1" customWidth="1"/>
    <col min="7443" max="7444" width="11.85546875" customWidth="1"/>
    <col min="7445" max="7449" width="11.85546875" bestFit="1" customWidth="1"/>
    <col min="7450" max="7452" width="11.85546875" customWidth="1"/>
    <col min="7453" max="7453" width="11.85546875" bestFit="1" customWidth="1"/>
    <col min="7454" max="7457" width="11.85546875" customWidth="1"/>
    <col min="7458" max="7458" width="11.85546875" bestFit="1" customWidth="1"/>
    <col min="7459" max="7461" width="11.85546875" customWidth="1"/>
    <col min="7462" max="7462" width="13.140625" bestFit="1" customWidth="1"/>
    <col min="7685" max="7685" width="18.140625" bestFit="1" customWidth="1"/>
    <col min="7686" max="7686" width="18.140625" customWidth="1"/>
    <col min="7687" max="7692" width="11.85546875" bestFit="1" customWidth="1"/>
    <col min="7693" max="7693" width="11.85546875" customWidth="1"/>
    <col min="7694" max="7698" width="11.85546875" bestFit="1" customWidth="1"/>
    <col min="7699" max="7700" width="11.85546875" customWidth="1"/>
    <col min="7701" max="7705" width="11.85546875" bestFit="1" customWidth="1"/>
    <col min="7706" max="7708" width="11.85546875" customWidth="1"/>
    <col min="7709" max="7709" width="11.85546875" bestFit="1" customWidth="1"/>
    <col min="7710" max="7713" width="11.85546875" customWidth="1"/>
    <col min="7714" max="7714" width="11.85546875" bestFit="1" customWidth="1"/>
    <col min="7715" max="7717" width="11.85546875" customWidth="1"/>
    <col min="7718" max="7718" width="13.140625" bestFit="1" customWidth="1"/>
    <col min="7941" max="7941" width="18.140625" bestFit="1" customWidth="1"/>
    <col min="7942" max="7942" width="18.140625" customWidth="1"/>
    <col min="7943" max="7948" width="11.85546875" bestFit="1" customWidth="1"/>
    <col min="7949" max="7949" width="11.85546875" customWidth="1"/>
    <col min="7950" max="7954" width="11.85546875" bestFit="1" customWidth="1"/>
    <col min="7955" max="7956" width="11.85546875" customWidth="1"/>
    <col min="7957" max="7961" width="11.85546875" bestFit="1" customWidth="1"/>
    <col min="7962" max="7964" width="11.85546875" customWidth="1"/>
    <col min="7965" max="7965" width="11.85546875" bestFit="1" customWidth="1"/>
    <col min="7966" max="7969" width="11.85546875" customWidth="1"/>
    <col min="7970" max="7970" width="11.85546875" bestFit="1" customWidth="1"/>
    <col min="7971" max="7973" width="11.85546875" customWidth="1"/>
    <col min="7974" max="7974" width="13.140625" bestFit="1" customWidth="1"/>
    <col min="8197" max="8197" width="18.140625" bestFit="1" customWidth="1"/>
    <col min="8198" max="8198" width="18.140625" customWidth="1"/>
    <col min="8199" max="8204" width="11.85546875" bestFit="1" customWidth="1"/>
    <col min="8205" max="8205" width="11.85546875" customWidth="1"/>
    <col min="8206" max="8210" width="11.85546875" bestFit="1" customWidth="1"/>
    <col min="8211" max="8212" width="11.85546875" customWidth="1"/>
    <col min="8213" max="8217" width="11.85546875" bestFit="1" customWidth="1"/>
    <col min="8218" max="8220" width="11.85546875" customWidth="1"/>
    <col min="8221" max="8221" width="11.85546875" bestFit="1" customWidth="1"/>
    <col min="8222" max="8225" width="11.85546875" customWidth="1"/>
    <col min="8226" max="8226" width="11.85546875" bestFit="1" customWidth="1"/>
    <col min="8227" max="8229" width="11.85546875" customWidth="1"/>
    <col min="8230" max="8230" width="13.140625" bestFit="1" customWidth="1"/>
    <col min="8453" max="8453" width="18.140625" bestFit="1" customWidth="1"/>
    <col min="8454" max="8454" width="18.140625" customWidth="1"/>
    <col min="8455" max="8460" width="11.85546875" bestFit="1" customWidth="1"/>
    <col min="8461" max="8461" width="11.85546875" customWidth="1"/>
    <col min="8462" max="8466" width="11.85546875" bestFit="1" customWidth="1"/>
    <col min="8467" max="8468" width="11.85546875" customWidth="1"/>
    <col min="8469" max="8473" width="11.85546875" bestFit="1" customWidth="1"/>
    <col min="8474" max="8476" width="11.85546875" customWidth="1"/>
    <col min="8477" max="8477" width="11.85546875" bestFit="1" customWidth="1"/>
    <col min="8478" max="8481" width="11.85546875" customWidth="1"/>
    <col min="8482" max="8482" width="11.85546875" bestFit="1" customWidth="1"/>
    <col min="8483" max="8485" width="11.85546875" customWidth="1"/>
    <col min="8486" max="8486" width="13.140625" bestFit="1" customWidth="1"/>
    <col min="8709" max="8709" width="18.140625" bestFit="1" customWidth="1"/>
    <col min="8710" max="8710" width="18.140625" customWidth="1"/>
    <col min="8711" max="8716" width="11.85546875" bestFit="1" customWidth="1"/>
    <col min="8717" max="8717" width="11.85546875" customWidth="1"/>
    <col min="8718" max="8722" width="11.85546875" bestFit="1" customWidth="1"/>
    <col min="8723" max="8724" width="11.85546875" customWidth="1"/>
    <col min="8725" max="8729" width="11.85546875" bestFit="1" customWidth="1"/>
    <col min="8730" max="8732" width="11.85546875" customWidth="1"/>
    <col min="8733" max="8733" width="11.85546875" bestFit="1" customWidth="1"/>
    <col min="8734" max="8737" width="11.85546875" customWidth="1"/>
    <col min="8738" max="8738" width="11.85546875" bestFit="1" customWidth="1"/>
    <col min="8739" max="8741" width="11.85546875" customWidth="1"/>
    <col min="8742" max="8742" width="13.140625" bestFit="1" customWidth="1"/>
    <col min="8965" max="8965" width="18.140625" bestFit="1" customWidth="1"/>
    <col min="8966" max="8966" width="18.140625" customWidth="1"/>
    <col min="8967" max="8972" width="11.85546875" bestFit="1" customWidth="1"/>
    <col min="8973" max="8973" width="11.85546875" customWidth="1"/>
    <col min="8974" max="8978" width="11.85546875" bestFit="1" customWidth="1"/>
    <col min="8979" max="8980" width="11.85546875" customWidth="1"/>
    <col min="8981" max="8985" width="11.85546875" bestFit="1" customWidth="1"/>
    <col min="8986" max="8988" width="11.85546875" customWidth="1"/>
    <col min="8989" max="8989" width="11.85546875" bestFit="1" customWidth="1"/>
    <col min="8990" max="8993" width="11.85546875" customWidth="1"/>
    <col min="8994" max="8994" width="11.85546875" bestFit="1" customWidth="1"/>
    <col min="8995" max="8997" width="11.85546875" customWidth="1"/>
    <col min="8998" max="8998" width="13.140625" bestFit="1" customWidth="1"/>
    <col min="9221" max="9221" width="18.140625" bestFit="1" customWidth="1"/>
    <col min="9222" max="9222" width="18.140625" customWidth="1"/>
    <col min="9223" max="9228" width="11.85546875" bestFit="1" customWidth="1"/>
    <col min="9229" max="9229" width="11.85546875" customWidth="1"/>
    <col min="9230" max="9234" width="11.85546875" bestFit="1" customWidth="1"/>
    <col min="9235" max="9236" width="11.85546875" customWidth="1"/>
    <col min="9237" max="9241" width="11.85546875" bestFit="1" customWidth="1"/>
    <col min="9242" max="9244" width="11.85546875" customWidth="1"/>
    <col min="9245" max="9245" width="11.85546875" bestFit="1" customWidth="1"/>
    <col min="9246" max="9249" width="11.85546875" customWidth="1"/>
    <col min="9250" max="9250" width="11.85546875" bestFit="1" customWidth="1"/>
    <col min="9251" max="9253" width="11.85546875" customWidth="1"/>
    <col min="9254" max="9254" width="13.140625" bestFit="1" customWidth="1"/>
    <col min="9477" max="9477" width="18.140625" bestFit="1" customWidth="1"/>
    <col min="9478" max="9478" width="18.140625" customWidth="1"/>
    <col min="9479" max="9484" width="11.85546875" bestFit="1" customWidth="1"/>
    <col min="9485" max="9485" width="11.85546875" customWidth="1"/>
    <col min="9486" max="9490" width="11.85546875" bestFit="1" customWidth="1"/>
    <col min="9491" max="9492" width="11.85546875" customWidth="1"/>
    <col min="9493" max="9497" width="11.85546875" bestFit="1" customWidth="1"/>
    <col min="9498" max="9500" width="11.85546875" customWidth="1"/>
    <col min="9501" max="9501" width="11.85546875" bestFit="1" customWidth="1"/>
    <col min="9502" max="9505" width="11.85546875" customWidth="1"/>
    <col min="9506" max="9506" width="11.85546875" bestFit="1" customWidth="1"/>
    <col min="9507" max="9509" width="11.85546875" customWidth="1"/>
    <col min="9510" max="9510" width="13.140625" bestFit="1" customWidth="1"/>
    <col min="9733" max="9733" width="18.140625" bestFit="1" customWidth="1"/>
    <col min="9734" max="9734" width="18.140625" customWidth="1"/>
    <col min="9735" max="9740" width="11.85546875" bestFit="1" customWidth="1"/>
    <col min="9741" max="9741" width="11.85546875" customWidth="1"/>
    <col min="9742" max="9746" width="11.85546875" bestFit="1" customWidth="1"/>
    <col min="9747" max="9748" width="11.85546875" customWidth="1"/>
    <col min="9749" max="9753" width="11.85546875" bestFit="1" customWidth="1"/>
    <col min="9754" max="9756" width="11.85546875" customWidth="1"/>
    <col min="9757" max="9757" width="11.85546875" bestFit="1" customWidth="1"/>
    <col min="9758" max="9761" width="11.85546875" customWidth="1"/>
    <col min="9762" max="9762" width="11.85546875" bestFit="1" customWidth="1"/>
    <col min="9763" max="9765" width="11.85546875" customWidth="1"/>
    <col min="9766" max="9766" width="13.140625" bestFit="1" customWidth="1"/>
    <col min="9989" max="9989" width="18.140625" bestFit="1" customWidth="1"/>
    <col min="9990" max="9990" width="18.140625" customWidth="1"/>
    <col min="9991" max="9996" width="11.85546875" bestFit="1" customWidth="1"/>
    <col min="9997" max="9997" width="11.85546875" customWidth="1"/>
    <col min="9998" max="10002" width="11.85546875" bestFit="1" customWidth="1"/>
    <col min="10003" max="10004" width="11.85546875" customWidth="1"/>
    <col min="10005" max="10009" width="11.85546875" bestFit="1" customWidth="1"/>
    <col min="10010" max="10012" width="11.85546875" customWidth="1"/>
    <col min="10013" max="10013" width="11.85546875" bestFit="1" customWidth="1"/>
    <col min="10014" max="10017" width="11.85546875" customWidth="1"/>
    <col min="10018" max="10018" width="11.85546875" bestFit="1" customWidth="1"/>
    <col min="10019" max="10021" width="11.85546875" customWidth="1"/>
    <col min="10022" max="10022" width="13.140625" bestFit="1" customWidth="1"/>
    <col min="10245" max="10245" width="18.140625" bestFit="1" customWidth="1"/>
    <col min="10246" max="10246" width="18.140625" customWidth="1"/>
    <col min="10247" max="10252" width="11.85546875" bestFit="1" customWidth="1"/>
    <col min="10253" max="10253" width="11.85546875" customWidth="1"/>
    <col min="10254" max="10258" width="11.85546875" bestFit="1" customWidth="1"/>
    <col min="10259" max="10260" width="11.85546875" customWidth="1"/>
    <col min="10261" max="10265" width="11.85546875" bestFit="1" customWidth="1"/>
    <col min="10266" max="10268" width="11.85546875" customWidth="1"/>
    <col min="10269" max="10269" width="11.85546875" bestFit="1" customWidth="1"/>
    <col min="10270" max="10273" width="11.85546875" customWidth="1"/>
    <col min="10274" max="10274" width="11.85546875" bestFit="1" customWidth="1"/>
    <col min="10275" max="10277" width="11.85546875" customWidth="1"/>
    <col min="10278" max="10278" width="13.140625" bestFit="1" customWidth="1"/>
    <col min="10501" max="10501" width="18.140625" bestFit="1" customWidth="1"/>
    <col min="10502" max="10502" width="18.140625" customWidth="1"/>
    <col min="10503" max="10508" width="11.85546875" bestFit="1" customWidth="1"/>
    <col min="10509" max="10509" width="11.85546875" customWidth="1"/>
    <col min="10510" max="10514" width="11.85546875" bestFit="1" customWidth="1"/>
    <col min="10515" max="10516" width="11.85546875" customWidth="1"/>
    <col min="10517" max="10521" width="11.85546875" bestFit="1" customWidth="1"/>
    <col min="10522" max="10524" width="11.85546875" customWidth="1"/>
    <col min="10525" max="10525" width="11.85546875" bestFit="1" customWidth="1"/>
    <col min="10526" max="10529" width="11.85546875" customWidth="1"/>
    <col min="10530" max="10530" width="11.85546875" bestFit="1" customWidth="1"/>
    <col min="10531" max="10533" width="11.85546875" customWidth="1"/>
    <col min="10534" max="10534" width="13.140625" bestFit="1" customWidth="1"/>
    <col min="10757" max="10757" width="18.140625" bestFit="1" customWidth="1"/>
    <col min="10758" max="10758" width="18.140625" customWidth="1"/>
    <col min="10759" max="10764" width="11.85546875" bestFit="1" customWidth="1"/>
    <col min="10765" max="10765" width="11.85546875" customWidth="1"/>
    <col min="10766" max="10770" width="11.85546875" bestFit="1" customWidth="1"/>
    <col min="10771" max="10772" width="11.85546875" customWidth="1"/>
    <col min="10773" max="10777" width="11.85546875" bestFit="1" customWidth="1"/>
    <col min="10778" max="10780" width="11.85546875" customWidth="1"/>
    <col min="10781" max="10781" width="11.85546875" bestFit="1" customWidth="1"/>
    <col min="10782" max="10785" width="11.85546875" customWidth="1"/>
    <col min="10786" max="10786" width="11.85546875" bestFit="1" customWidth="1"/>
    <col min="10787" max="10789" width="11.85546875" customWidth="1"/>
    <col min="10790" max="10790" width="13.140625" bestFit="1" customWidth="1"/>
    <col min="11013" max="11013" width="18.140625" bestFit="1" customWidth="1"/>
    <col min="11014" max="11014" width="18.140625" customWidth="1"/>
    <col min="11015" max="11020" width="11.85546875" bestFit="1" customWidth="1"/>
    <col min="11021" max="11021" width="11.85546875" customWidth="1"/>
    <col min="11022" max="11026" width="11.85546875" bestFit="1" customWidth="1"/>
    <col min="11027" max="11028" width="11.85546875" customWidth="1"/>
    <col min="11029" max="11033" width="11.85546875" bestFit="1" customWidth="1"/>
    <col min="11034" max="11036" width="11.85546875" customWidth="1"/>
    <col min="11037" max="11037" width="11.85546875" bestFit="1" customWidth="1"/>
    <col min="11038" max="11041" width="11.85546875" customWidth="1"/>
    <col min="11042" max="11042" width="11.85546875" bestFit="1" customWidth="1"/>
    <col min="11043" max="11045" width="11.85546875" customWidth="1"/>
    <col min="11046" max="11046" width="13.140625" bestFit="1" customWidth="1"/>
    <col min="11269" max="11269" width="18.140625" bestFit="1" customWidth="1"/>
    <col min="11270" max="11270" width="18.140625" customWidth="1"/>
    <col min="11271" max="11276" width="11.85546875" bestFit="1" customWidth="1"/>
    <col min="11277" max="11277" width="11.85546875" customWidth="1"/>
    <col min="11278" max="11282" width="11.85546875" bestFit="1" customWidth="1"/>
    <col min="11283" max="11284" width="11.85546875" customWidth="1"/>
    <col min="11285" max="11289" width="11.85546875" bestFit="1" customWidth="1"/>
    <col min="11290" max="11292" width="11.85546875" customWidth="1"/>
    <col min="11293" max="11293" width="11.85546875" bestFit="1" customWidth="1"/>
    <col min="11294" max="11297" width="11.85546875" customWidth="1"/>
    <col min="11298" max="11298" width="11.85546875" bestFit="1" customWidth="1"/>
    <col min="11299" max="11301" width="11.85546875" customWidth="1"/>
    <col min="11302" max="11302" width="13.140625" bestFit="1" customWidth="1"/>
    <col min="11525" max="11525" width="18.140625" bestFit="1" customWidth="1"/>
    <col min="11526" max="11526" width="18.140625" customWidth="1"/>
    <col min="11527" max="11532" width="11.85546875" bestFit="1" customWidth="1"/>
    <col min="11533" max="11533" width="11.85546875" customWidth="1"/>
    <col min="11534" max="11538" width="11.85546875" bestFit="1" customWidth="1"/>
    <col min="11539" max="11540" width="11.85546875" customWidth="1"/>
    <col min="11541" max="11545" width="11.85546875" bestFit="1" customWidth="1"/>
    <col min="11546" max="11548" width="11.85546875" customWidth="1"/>
    <col min="11549" max="11549" width="11.85546875" bestFit="1" customWidth="1"/>
    <col min="11550" max="11553" width="11.85546875" customWidth="1"/>
    <col min="11554" max="11554" width="11.85546875" bestFit="1" customWidth="1"/>
    <col min="11555" max="11557" width="11.85546875" customWidth="1"/>
    <col min="11558" max="11558" width="13.140625" bestFit="1" customWidth="1"/>
    <col min="11781" max="11781" width="18.140625" bestFit="1" customWidth="1"/>
    <col min="11782" max="11782" width="18.140625" customWidth="1"/>
    <col min="11783" max="11788" width="11.85546875" bestFit="1" customWidth="1"/>
    <col min="11789" max="11789" width="11.85546875" customWidth="1"/>
    <col min="11790" max="11794" width="11.85546875" bestFit="1" customWidth="1"/>
    <col min="11795" max="11796" width="11.85546875" customWidth="1"/>
    <col min="11797" max="11801" width="11.85546875" bestFit="1" customWidth="1"/>
    <col min="11802" max="11804" width="11.85546875" customWidth="1"/>
    <col min="11805" max="11805" width="11.85546875" bestFit="1" customWidth="1"/>
    <col min="11806" max="11809" width="11.85546875" customWidth="1"/>
    <col min="11810" max="11810" width="11.85546875" bestFit="1" customWidth="1"/>
    <col min="11811" max="11813" width="11.85546875" customWidth="1"/>
    <col min="11814" max="11814" width="13.140625" bestFit="1" customWidth="1"/>
    <col min="12037" max="12037" width="18.140625" bestFit="1" customWidth="1"/>
    <col min="12038" max="12038" width="18.140625" customWidth="1"/>
    <col min="12039" max="12044" width="11.85546875" bestFit="1" customWidth="1"/>
    <col min="12045" max="12045" width="11.85546875" customWidth="1"/>
    <col min="12046" max="12050" width="11.85546875" bestFit="1" customWidth="1"/>
    <col min="12051" max="12052" width="11.85546875" customWidth="1"/>
    <col min="12053" max="12057" width="11.85546875" bestFit="1" customWidth="1"/>
    <col min="12058" max="12060" width="11.85546875" customWidth="1"/>
    <col min="12061" max="12061" width="11.85546875" bestFit="1" customWidth="1"/>
    <col min="12062" max="12065" width="11.85546875" customWidth="1"/>
    <col min="12066" max="12066" width="11.85546875" bestFit="1" customWidth="1"/>
    <col min="12067" max="12069" width="11.85546875" customWidth="1"/>
    <col min="12070" max="12070" width="13.140625" bestFit="1" customWidth="1"/>
    <col min="12293" max="12293" width="18.140625" bestFit="1" customWidth="1"/>
    <col min="12294" max="12294" width="18.140625" customWidth="1"/>
    <col min="12295" max="12300" width="11.85546875" bestFit="1" customWidth="1"/>
    <col min="12301" max="12301" width="11.85546875" customWidth="1"/>
    <col min="12302" max="12306" width="11.85546875" bestFit="1" customWidth="1"/>
    <col min="12307" max="12308" width="11.85546875" customWidth="1"/>
    <col min="12309" max="12313" width="11.85546875" bestFit="1" customWidth="1"/>
    <col min="12314" max="12316" width="11.85546875" customWidth="1"/>
    <col min="12317" max="12317" width="11.85546875" bestFit="1" customWidth="1"/>
    <col min="12318" max="12321" width="11.85546875" customWidth="1"/>
    <col min="12322" max="12322" width="11.85546875" bestFit="1" customWidth="1"/>
    <col min="12323" max="12325" width="11.85546875" customWidth="1"/>
    <col min="12326" max="12326" width="13.140625" bestFit="1" customWidth="1"/>
    <col min="12549" max="12549" width="18.140625" bestFit="1" customWidth="1"/>
    <col min="12550" max="12550" width="18.140625" customWidth="1"/>
    <col min="12551" max="12556" width="11.85546875" bestFit="1" customWidth="1"/>
    <col min="12557" max="12557" width="11.85546875" customWidth="1"/>
    <col min="12558" max="12562" width="11.85546875" bestFit="1" customWidth="1"/>
    <col min="12563" max="12564" width="11.85546875" customWidth="1"/>
    <col min="12565" max="12569" width="11.85546875" bestFit="1" customWidth="1"/>
    <col min="12570" max="12572" width="11.85546875" customWidth="1"/>
    <col min="12573" max="12573" width="11.85546875" bestFit="1" customWidth="1"/>
    <col min="12574" max="12577" width="11.85546875" customWidth="1"/>
    <col min="12578" max="12578" width="11.85546875" bestFit="1" customWidth="1"/>
    <col min="12579" max="12581" width="11.85546875" customWidth="1"/>
    <col min="12582" max="12582" width="13.140625" bestFit="1" customWidth="1"/>
    <col min="12805" max="12805" width="18.140625" bestFit="1" customWidth="1"/>
    <col min="12806" max="12806" width="18.140625" customWidth="1"/>
    <col min="12807" max="12812" width="11.85546875" bestFit="1" customWidth="1"/>
    <col min="12813" max="12813" width="11.85546875" customWidth="1"/>
    <col min="12814" max="12818" width="11.85546875" bestFit="1" customWidth="1"/>
    <col min="12819" max="12820" width="11.85546875" customWidth="1"/>
    <col min="12821" max="12825" width="11.85546875" bestFit="1" customWidth="1"/>
    <col min="12826" max="12828" width="11.85546875" customWidth="1"/>
    <col min="12829" max="12829" width="11.85546875" bestFit="1" customWidth="1"/>
    <col min="12830" max="12833" width="11.85546875" customWidth="1"/>
    <col min="12834" max="12834" width="11.85546875" bestFit="1" customWidth="1"/>
    <col min="12835" max="12837" width="11.85546875" customWidth="1"/>
    <col min="12838" max="12838" width="13.140625" bestFit="1" customWidth="1"/>
    <col min="13061" max="13061" width="18.140625" bestFit="1" customWidth="1"/>
    <col min="13062" max="13062" width="18.140625" customWidth="1"/>
    <col min="13063" max="13068" width="11.85546875" bestFit="1" customWidth="1"/>
    <col min="13069" max="13069" width="11.85546875" customWidth="1"/>
    <col min="13070" max="13074" width="11.85546875" bestFit="1" customWidth="1"/>
    <col min="13075" max="13076" width="11.85546875" customWidth="1"/>
    <col min="13077" max="13081" width="11.85546875" bestFit="1" customWidth="1"/>
    <col min="13082" max="13084" width="11.85546875" customWidth="1"/>
    <col min="13085" max="13085" width="11.85546875" bestFit="1" customWidth="1"/>
    <col min="13086" max="13089" width="11.85546875" customWidth="1"/>
    <col min="13090" max="13090" width="11.85546875" bestFit="1" customWidth="1"/>
    <col min="13091" max="13093" width="11.85546875" customWidth="1"/>
    <col min="13094" max="13094" width="13.140625" bestFit="1" customWidth="1"/>
    <col min="13317" max="13317" width="18.140625" bestFit="1" customWidth="1"/>
    <col min="13318" max="13318" width="18.140625" customWidth="1"/>
    <col min="13319" max="13324" width="11.85546875" bestFit="1" customWidth="1"/>
    <col min="13325" max="13325" width="11.85546875" customWidth="1"/>
    <col min="13326" max="13330" width="11.85546875" bestFit="1" customWidth="1"/>
    <col min="13331" max="13332" width="11.85546875" customWidth="1"/>
    <col min="13333" max="13337" width="11.85546875" bestFit="1" customWidth="1"/>
    <col min="13338" max="13340" width="11.85546875" customWidth="1"/>
    <col min="13341" max="13341" width="11.85546875" bestFit="1" customWidth="1"/>
    <col min="13342" max="13345" width="11.85546875" customWidth="1"/>
    <col min="13346" max="13346" width="11.85546875" bestFit="1" customWidth="1"/>
    <col min="13347" max="13349" width="11.85546875" customWidth="1"/>
    <col min="13350" max="13350" width="13.140625" bestFit="1" customWidth="1"/>
    <col min="13573" max="13573" width="18.140625" bestFit="1" customWidth="1"/>
    <col min="13574" max="13574" width="18.140625" customWidth="1"/>
    <col min="13575" max="13580" width="11.85546875" bestFit="1" customWidth="1"/>
    <col min="13581" max="13581" width="11.85546875" customWidth="1"/>
    <col min="13582" max="13586" width="11.85546875" bestFit="1" customWidth="1"/>
    <col min="13587" max="13588" width="11.85546875" customWidth="1"/>
    <col min="13589" max="13593" width="11.85546875" bestFit="1" customWidth="1"/>
    <col min="13594" max="13596" width="11.85546875" customWidth="1"/>
    <col min="13597" max="13597" width="11.85546875" bestFit="1" customWidth="1"/>
    <col min="13598" max="13601" width="11.85546875" customWidth="1"/>
    <col min="13602" max="13602" width="11.85546875" bestFit="1" customWidth="1"/>
    <col min="13603" max="13605" width="11.85546875" customWidth="1"/>
    <col min="13606" max="13606" width="13.140625" bestFit="1" customWidth="1"/>
    <col min="13829" max="13829" width="18.140625" bestFit="1" customWidth="1"/>
    <col min="13830" max="13830" width="18.140625" customWidth="1"/>
    <col min="13831" max="13836" width="11.85546875" bestFit="1" customWidth="1"/>
    <col min="13837" max="13837" width="11.85546875" customWidth="1"/>
    <col min="13838" max="13842" width="11.85546875" bestFit="1" customWidth="1"/>
    <col min="13843" max="13844" width="11.85546875" customWidth="1"/>
    <col min="13845" max="13849" width="11.85546875" bestFit="1" customWidth="1"/>
    <col min="13850" max="13852" width="11.85546875" customWidth="1"/>
    <col min="13853" max="13853" width="11.85546875" bestFit="1" customWidth="1"/>
    <col min="13854" max="13857" width="11.85546875" customWidth="1"/>
    <col min="13858" max="13858" width="11.85546875" bestFit="1" customWidth="1"/>
    <col min="13859" max="13861" width="11.85546875" customWidth="1"/>
    <col min="13862" max="13862" width="13.140625" bestFit="1" customWidth="1"/>
    <col min="14085" max="14085" width="18.140625" bestFit="1" customWidth="1"/>
    <col min="14086" max="14086" width="18.140625" customWidth="1"/>
    <col min="14087" max="14092" width="11.85546875" bestFit="1" customWidth="1"/>
    <col min="14093" max="14093" width="11.85546875" customWidth="1"/>
    <col min="14094" max="14098" width="11.85546875" bestFit="1" customWidth="1"/>
    <col min="14099" max="14100" width="11.85546875" customWidth="1"/>
    <col min="14101" max="14105" width="11.85546875" bestFit="1" customWidth="1"/>
    <col min="14106" max="14108" width="11.85546875" customWidth="1"/>
    <col min="14109" max="14109" width="11.85546875" bestFit="1" customWidth="1"/>
    <col min="14110" max="14113" width="11.85546875" customWidth="1"/>
    <col min="14114" max="14114" width="11.85546875" bestFit="1" customWidth="1"/>
    <col min="14115" max="14117" width="11.85546875" customWidth="1"/>
    <col min="14118" max="14118" width="13.140625" bestFit="1" customWidth="1"/>
    <col min="14341" max="14341" width="18.140625" bestFit="1" customWidth="1"/>
    <col min="14342" max="14342" width="18.140625" customWidth="1"/>
    <col min="14343" max="14348" width="11.85546875" bestFit="1" customWidth="1"/>
    <col min="14349" max="14349" width="11.85546875" customWidth="1"/>
    <col min="14350" max="14354" width="11.85546875" bestFit="1" customWidth="1"/>
    <col min="14355" max="14356" width="11.85546875" customWidth="1"/>
    <col min="14357" max="14361" width="11.85546875" bestFit="1" customWidth="1"/>
    <col min="14362" max="14364" width="11.85546875" customWidth="1"/>
    <col min="14365" max="14365" width="11.85546875" bestFit="1" customWidth="1"/>
    <col min="14366" max="14369" width="11.85546875" customWidth="1"/>
    <col min="14370" max="14370" width="11.85546875" bestFit="1" customWidth="1"/>
    <col min="14371" max="14373" width="11.85546875" customWidth="1"/>
    <col min="14374" max="14374" width="13.140625" bestFit="1" customWidth="1"/>
    <col min="14597" max="14597" width="18.140625" bestFit="1" customWidth="1"/>
    <col min="14598" max="14598" width="18.140625" customWidth="1"/>
    <col min="14599" max="14604" width="11.85546875" bestFit="1" customWidth="1"/>
    <col min="14605" max="14605" width="11.85546875" customWidth="1"/>
    <col min="14606" max="14610" width="11.85546875" bestFit="1" customWidth="1"/>
    <col min="14611" max="14612" width="11.85546875" customWidth="1"/>
    <col min="14613" max="14617" width="11.85546875" bestFit="1" customWidth="1"/>
    <col min="14618" max="14620" width="11.85546875" customWidth="1"/>
    <col min="14621" max="14621" width="11.85546875" bestFit="1" customWidth="1"/>
    <col min="14622" max="14625" width="11.85546875" customWidth="1"/>
    <col min="14626" max="14626" width="11.85546875" bestFit="1" customWidth="1"/>
    <col min="14627" max="14629" width="11.85546875" customWidth="1"/>
    <col min="14630" max="14630" width="13.140625" bestFit="1" customWidth="1"/>
    <col min="14853" max="14853" width="18.140625" bestFit="1" customWidth="1"/>
    <col min="14854" max="14854" width="18.140625" customWidth="1"/>
    <col min="14855" max="14860" width="11.85546875" bestFit="1" customWidth="1"/>
    <col min="14861" max="14861" width="11.85546875" customWidth="1"/>
    <col min="14862" max="14866" width="11.85546875" bestFit="1" customWidth="1"/>
    <col min="14867" max="14868" width="11.85546875" customWidth="1"/>
    <col min="14869" max="14873" width="11.85546875" bestFit="1" customWidth="1"/>
    <col min="14874" max="14876" width="11.85546875" customWidth="1"/>
    <col min="14877" max="14877" width="11.85546875" bestFit="1" customWidth="1"/>
    <col min="14878" max="14881" width="11.85546875" customWidth="1"/>
    <col min="14882" max="14882" width="11.85546875" bestFit="1" customWidth="1"/>
    <col min="14883" max="14885" width="11.85546875" customWidth="1"/>
    <col min="14886" max="14886" width="13.140625" bestFit="1" customWidth="1"/>
    <col min="15109" max="15109" width="18.140625" bestFit="1" customWidth="1"/>
    <col min="15110" max="15110" width="18.140625" customWidth="1"/>
    <col min="15111" max="15116" width="11.85546875" bestFit="1" customWidth="1"/>
    <col min="15117" max="15117" width="11.85546875" customWidth="1"/>
    <col min="15118" max="15122" width="11.85546875" bestFit="1" customWidth="1"/>
    <col min="15123" max="15124" width="11.85546875" customWidth="1"/>
    <col min="15125" max="15129" width="11.85546875" bestFit="1" customWidth="1"/>
    <col min="15130" max="15132" width="11.85546875" customWidth="1"/>
    <col min="15133" max="15133" width="11.85546875" bestFit="1" customWidth="1"/>
    <col min="15134" max="15137" width="11.85546875" customWidth="1"/>
    <col min="15138" max="15138" width="11.85546875" bestFit="1" customWidth="1"/>
    <col min="15139" max="15141" width="11.85546875" customWidth="1"/>
    <col min="15142" max="15142" width="13.140625" bestFit="1" customWidth="1"/>
    <col min="15365" max="15365" width="18.140625" bestFit="1" customWidth="1"/>
    <col min="15366" max="15366" width="18.140625" customWidth="1"/>
    <col min="15367" max="15372" width="11.85546875" bestFit="1" customWidth="1"/>
    <col min="15373" max="15373" width="11.85546875" customWidth="1"/>
    <col min="15374" max="15378" width="11.85546875" bestFit="1" customWidth="1"/>
    <col min="15379" max="15380" width="11.85546875" customWidth="1"/>
    <col min="15381" max="15385" width="11.85546875" bestFit="1" customWidth="1"/>
    <col min="15386" max="15388" width="11.85546875" customWidth="1"/>
    <col min="15389" max="15389" width="11.85546875" bestFit="1" customWidth="1"/>
    <col min="15390" max="15393" width="11.85546875" customWidth="1"/>
    <col min="15394" max="15394" width="11.85546875" bestFit="1" customWidth="1"/>
    <col min="15395" max="15397" width="11.85546875" customWidth="1"/>
    <col min="15398" max="15398" width="13.140625" bestFit="1" customWidth="1"/>
    <col min="15621" max="15621" width="18.140625" bestFit="1" customWidth="1"/>
    <col min="15622" max="15622" width="18.140625" customWidth="1"/>
    <col min="15623" max="15628" width="11.85546875" bestFit="1" customWidth="1"/>
    <col min="15629" max="15629" width="11.85546875" customWidth="1"/>
    <col min="15630" max="15634" width="11.85546875" bestFit="1" customWidth="1"/>
    <col min="15635" max="15636" width="11.85546875" customWidth="1"/>
    <col min="15637" max="15641" width="11.85546875" bestFit="1" customWidth="1"/>
    <col min="15642" max="15644" width="11.85546875" customWidth="1"/>
    <col min="15645" max="15645" width="11.85546875" bestFit="1" customWidth="1"/>
    <col min="15646" max="15649" width="11.85546875" customWidth="1"/>
    <col min="15650" max="15650" width="11.85546875" bestFit="1" customWidth="1"/>
    <col min="15651" max="15653" width="11.85546875" customWidth="1"/>
    <col min="15654" max="15654" width="13.140625" bestFit="1" customWidth="1"/>
    <col min="15877" max="15877" width="18.140625" bestFit="1" customWidth="1"/>
    <col min="15878" max="15878" width="18.140625" customWidth="1"/>
    <col min="15879" max="15884" width="11.85546875" bestFit="1" customWidth="1"/>
    <col min="15885" max="15885" width="11.85546875" customWidth="1"/>
    <col min="15886" max="15890" width="11.85546875" bestFit="1" customWidth="1"/>
    <col min="15891" max="15892" width="11.85546875" customWidth="1"/>
    <col min="15893" max="15897" width="11.85546875" bestFit="1" customWidth="1"/>
    <col min="15898" max="15900" width="11.85546875" customWidth="1"/>
    <col min="15901" max="15901" width="11.85546875" bestFit="1" customWidth="1"/>
    <col min="15902" max="15905" width="11.85546875" customWidth="1"/>
    <col min="15906" max="15906" width="11.85546875" bestFit="1" customWidth="1"/>
    <col min="15907" max="15909" width="11.85546875" customWidth="1"/>
    <col min="15910" max="15910" width="13.140625" bestFit="1" customWidth="1"/>
    <col min="16133" max="16133" width="18.140625" bestFit="1" customWidth="1"/>
    <col min="16134" max="16134" width="18.140625" customWidth="1"/>
    <col min="16135" max="16140" width="11.85546875" bestFit="1" customWidth="1"/>
    <col min="16141" max="16141" width="11.85546875" customWidth="1"/>
    <col min="16142" max="16146" width="11.85546875" bestFit="1" customWidth="1"/>
    <col min="16147" max="16148" width="11.85546875" customWidth="1"/>
    <col min="16149" max="16153" width="11.85546875" bestFit="1" customWidth="1"/>
    <col min="16154" max="16156" width="11.85546875" customWidth="1"/>
    <col min="16157" max="16157" width="11.85546875" bestFit="1" customWidth="1"/>
    <col min="16158" max="16161" width="11.85546875" customWidth="1"/>
    <col min="16162" max="16162" width="11.85546875" bestFit="1" customWidth="1"/>
    <col min="16163" max="16165" width="11.85546875" customWidth="1"/>
    <col min="16166" max="16166" width="13.140625" bestFit="1" customWidth="1"/>
  </cols>
  <sheetData>
    <row r="1" spans="1:49" x14ac:dyDescent="0.25">
      <c r="A1" s="231" t="s">
        <v>31</v>
      </c>
      <c r="B1" s="231" t="s">
        <v>32</v>
      </c>
      <c r="C1" s="66" t="s">
        <v>10</v>
      </c>
      <c r="D1" s="179" t="s">
        <v>65</v>
      </c>
      <c r="E1" s="179" t="s">
        <v>66</v>
      </c>
      <c r="F1" s="179" t="s">
        <v>67</v>
      </c>
      <c r="G1" s="179" t="s">
        <v>33</v>
      </c>
      <c r="H1" s="179" t="s">
        <v>34</v>
      </c>
      <c r="I1" s="179" t="s">
        <v>35</v>
      </c>
      <c r="J1" s="179" t="s">
        <v>36</v>
      </c>
      <c r="K1" s="179" t="s">
        <v>37</v>
      </c>
      <c r="L1" s="179" t="s">
        <v>38</v>
      </c>
      <c r="M1" s="179" t="s">
        <v>39</v>
      </c>
      <c r="N1" s="179" t="s">
        <v>40</v>
      </c>
      <c r="O1" s="179" t="s">
        <v>41</v>
      </c>
      <c r="P1" s="179" t="s">
        <v>42</v>
      </c>
      <c r="Q1" s="180" t="s">
        <v>43</v>
      </c>
      <c r="R1" s="180" t="s">
        <v>44</v>
      </c>
      <c r="S1" s="180" t="s">
        <v>45</v>
      </c>
      <c r="T1" s="180" t="s">
        <v>46</v>
      </c>
      <c r="U1" s="180" t="s">
        <v>47</v>
      </c>
      <c r="V1" s="180" t="s">
        <v>48</v>
      </c>
      <c r="W1" s="180" t="s">
        <v>49</v>
      </c>
      <c r="X1" s="180" t="s">
        <v>50</v>
      </c>
      <c r="Y1" s="180" t="s">
        <v>51</v>
      </c>
      <c r="Z1" s="180" t="s">
        <v>52</v>
      </c>
      <c r="AA1" s="180" t="s">
        <v>53</v>
      </c>
      <c r="AB1" s="180" t="s">
        <v>54</v>
      </c>
      <c r="AC1" s="180" t="s">
        <v>55</v>
      </c>
      <c r="AD1" s="180" t="s">
        <v>56</v>
      </c>
      <c r="AE1" s="180" t="s">
        <v>57</v>
      </c>
      <c r="AF1" s="180" t="s">
        <v>58</v>
      </c>
      <c r="AG1" s="180" t="s">
        <v>59</v>
      </c>
      <c r="AH1" s="180" t="s">
        <v>60</v>
      </c>
      <c r="AI1" s="180" t="s">
        <v>61</v>
      </c>
      <c r="AJ1" s="180" t="s">
        <v>62</v>
      </c>
      <c r="AK1" s="67" t="s">
        <v>63</v>
      </c>
      <c r="AL1" s="67" t="s">
        <v>64</v>
      </c>
      <c r="AM1" s="67" t="s">
        <v>86</v>
      </c>
      <c r="AN1" s="67" t="s">
        <v>87</v>
      </c>
      <c r="AO1" s="67" t="s">
        <v>88</v>
      </c>
      <c r="AP1" s="67" t="s">
        <v>89</v>
      </c>
      <c r="AQ1" s="67" t="s">
        <v>108</v>
      </c>
      <c r="AR1" s="67" t="s">
        <v>109</v>
      </c>
      <c r="AS1" s="67" t="s">
        <v>110</v>
      </c>
      <c r="AT1" s="67" t="s">
        <v>111</v>
      </c>
      <c r="AU1" s="67" t="s">
        <v>112</v>
      </c>
      <c r="AV1" s="67" t="s">
        <v>129</v>
      </c>
      <c r="AW1" s="67" t="s">
        <v>130</v>
      </c>
    </row>
    <row r="2" spans="1:49" x14ac:dyDescent="0.25">
      <c r="A2" s="231"/>
      <c r="B2" s="231"/>
      <c r="C2" s="68">
        <v>45901</v>
      </c>
      <c r="D2" s="181">
        <v>45908</v>
      </c>
      <c r="E2" s="181">
        <v>45915</v>
      </c>
      <c r="F2" s="181">
        <v>45922</v>
      </c>
      <c r="G2" s="181">
        <v>45929</v>
      </c>
      <c r="H2" s="181">
        <v>45936</v>
      </c>
      <c r="I2" s="181">
        <v>45943</v>
      </c>
      <c r="J2" s="181">
        <v>45950</v>
      </c>
      <c r="K2" s="181">
        <v>45957</v>
      </c>
      <c r="L2" s="181">
        <v>45964</v>
      </c>
      <c r="M2" s="181">
        <v>45971</v>
      </c>
      <c r="N2" s="181">
        <v>45978</v>
      </c>
      <c r="O2" s="181">
        <v>45985</v>
      </c>
      <c r="P2" s="181">
        <v>45992</v>
      </c>
      <c r="Q2" s="181">
        <v>45999</v>
      </c>
      <c r="R2" s="181">
        <v>46006</v>
      </c>
      <c r="S2" s="181">
        <v>46013</v>
      </c>
      <c r="T2" s="181">
        <v>46020</v>
      </c>
      <c r="U2" s="181">
        <v>46027</v>
      </c>
      <c r="V2" s="181">
        <v>46034</v>
      </c>
      <c r="W2" s="181">
        <v>46041</v>
      </c>
      <c r="X2" s="181">
        <v>46048</v>
      </c>
      <c r="Y2" s="181">
        <v>46055</v>
      </c>
      <c r="Z2" s="181">
        <v>46062</v>
      </c>
      <c r="AA2" s="181">
        <v>46069</v>
      </c>
      <c r="AB2" s="181">
        <v>46076</v>
      </c>
      <c r="AC2" s="181">
        <v>46083</v>
      </c>
      <c r="AD2" s="181">
        <v>46090</v>
      </c>
      <c r="AE2" s="181">
        <v>46097</v>
      </c>
      <c r="AF2" s="181">
        <v>46104</v>
      </c>
      <c r="AG2" s="181">
        <v>46111</v>
      </c>
      <c r="AH2" s="181">
        <v>46118</v>
      </c>
      <c r="AI2" s="181">
        <v>46125</v>
      </c>
      <c r="AJ2" s="181">
        <v>46132</v>
      </c>
      <c r="AK2" s="69">
        <v>46139</v>
      </c>
      <c r="AL2" s="69">
        <v>46146</v>
      </c>
      <c r="AM2" s="69">
        <v>46153</v>
      </c>
      <c r="AN2" s="69">
        <v>46160</v>
      </c>
      <c r="AO2" s="69">
        <v>46167</v>
      </c>
      <c r="AP2" s="69">
        <v>46174</v>
      </c>
      <c r="AQ2" s="69">
        <v>46181</v>
      </c>
      <c r="AR2" s="69">
        <v>46188</v>
      </c>
      <c r="AS2" s="69">
        <v>46195</v>
      </c>
      <c r="AT2" s="69">
        <v>46202</v>
      </c>
      <c r="AU2" s="69">
        <v>46209</v>
      </c>
      <c r="AV2" s="69">
        <v>46216</v>
      </c>
      <c r="AW2" s="69">
        <v>46223</v>
      </c>
    </row>
    <row r="3" spans="1:49" x14ac:dyDescent="0.25">
      <c r="A3" s="70">
        <v>32272709</v>
      </c>
      <c r="B3" s="71">
        <v>4817101</v>
      </c>
      <c r="C3" s="72">
        <v>0</v>
      </c>
      <c r="D3" s="72">
        <v>0</v>
      </c>
      <c r="E3" s="72">
        <v>0</v>
      </c>
      <c r="F3" s="72">
        <v>0</v>
      </c>
      <c r="G3" s="72">
        <v>0</v>
      </c>
      <c r="H3" s="72">
        <v>0</v>
      </c>
      <c r="I3" s="72">
        <v>0</v>
      </c>
      <c r="J3" s="72">
        <v>0</v>
      </c>
      <c r="K3" s="73">
        <v>0</v>
      </c>
      <c r="L3" s="72">
        <v>0</v>
      </c>
      <c r="M3" s="72">
        <v>0</v>
      </c>
      <c r="N3" s="72">
        <v>0</v>
      </c>
      <c r="O3" s="72">
        <v>0</v>
      </c>
      <c r="P3" s="72">
        <v>0</v>
      </c>
      <c r="Q3" s="72">
        <v>0</v>
      </c>
      <c r="R3" s="72">
        <v>0</v>
      </c>
      <c r="S3" s="72">
        <v>0</v>
      </c>
      <c r="T3" s="72">
        <v>0</v>
      </c>
      <c r="U3" s="72">
        <v>0</v>
      </c>
      <c r="V3" s="72">
        <v>0</v>
      </c>
      <c r="W3" s="72">
        <v>0</v>
      </c>
      <c r="X3" s="72">
        <v>0</v>
      </c>
      <c r="Y3" s="72">
        <v>0</v>
      </c>
      <c r="Z3" s="72">
        <v>0</v>
      </c>
      <c r="AA3" s="72">
        <v>0</v>
      </c>
      <c r="AB3" s="72">
        <v>0</v>
      </c>
      <c r="AC3" s="72">
        <v>0</v>
      </c>
      <c r="AD3" s="72">
        <v>0</v>
      </c>
      <c r="AE3" s="72">
        <v>0</v>
      </c>
      <c r="AF3" s="72">
        <v>0</v>
      </c>
      <c r="AG3" s="72">
        <v>0</v>
      </c>
      <c r="AH3" s="72">
        <v>0</v>
      </c>
      <c r="AI3" s="72">
        <v>0</v>
      </c>
      <c r="AJ3" s="72">
        <v>0</v>
      </c>
      <c r="AK3" s="72">
        <v>0</v>
      </c>
      <c r="AL3" s="72">
        <v>0</v>
      </c>
      <c r="AM3" s="72">
        <v>0</v>
      </c>
      <c r="AN3" s="72">
        <v>0</v>
      </c>
      <c r="AO3" s="72">
        <v>0</v>
      </c>
      <c r="AP3" s="72">
        <v>0</v>
      </c>
      <c r="AQ3" s="72">
        <v>0</v>
      </c>
      <c r="AR3" s="72">
        <v>0</v>
      </c>
      <c r="AS3" s="72">
        <v>0</v>
      </c>
      <c r="AT3" s="72">
        <v>0</v>
      </c>
      <c r="AU3" s="72">
        <v>0</v>
      </c>
      <c r="AV3" s="72">
        <v>0</v>
      </c>
      <c r="AW3" s="72">
        <v>0</v>
      </c>
    </row>
    <row r="4" spans="1:49" x14ac:dyDescent="0.25">
      <c r="A4" s="74">
        <v>32272854</v>
      </c>
      <c r="B4" s="75">
        <v>5080285</v>
      </c>
      <c r="C4" s="76">
        <v>0</v>
      </c>
      <c r="D4" s="76">
        <v>0</v>
      </c>
      <c r="E4" s="76">
        <v>0</v>
      </c>
      <c r="F4" s="76">
        <v>0</v>
      </c>
      <c r="G4" s="76">
        <v>0</v>
      </c>
      <c r="H4" s="76">
        <v>0</v>
      </c>
      <c r="I4" s="76">
        <v>0</v>
      </c>
      <c r="J4" s="76">
        <v>0</v>
      </c>
      <c r="K4" s="76">
        <v>20</v>
      </c>
      <c r="L4" s="76">
        <v>0</v>
      </c>
      <c r="M4" s="76">
        <v>0</v>
      </c>
      <c r="N4" s="76">
        <v>0</v>
      </c>
      <c r="O4" s="76">
        <v>0</v>
      </c>
      <c r="P4" s="76">
        <v>0</v>
      </c>
      <c r="Q4" s="76">
        <v>0</v>
      </c>
      <c r="R4" s="76">
        <v>0</v>
      </c>
      <c r="S4" s="76">
        <v>0</v>
      </c>
      <c r="T4" s="76">
        <v>0</v>
      </c>
      <c r="U4" s="76">
        <v>0</v>
      </c>
      <c r="V4" s="76">
        <v>0</v>
      </c>
      <c r="W4" s="76">
        <v>0</v>
      </c>
      <c r="X4" s="76">
        <v>0</v>
      </c>
      <c r="Y4" s="76">
        <v>0</v>
      </c>
      <c r="Z4" s="76">
        <v>0</v>
      </c>
      <c r="AA4" s="76">
        <v>0</v>
      </c>
      <c r="AB4" s="76">
        <v>0</v>
      </c>
      <c r="AC4" s="76">
        <v>0</v>
      </c>
      <c r="AD4" s="76">
        <v>0</v>
      </c>
      <c r="AE4" s="76">
        <v>0</v>
      </c>
      <c r="AF4" s="76">
        <v>0</v>
      </c>
      <c r="AG4" s="76">
        <v>0</v>
      </c>
      <c r="AH4" s="76">
        <v>0</v>
      </c>
      <c r="AI4" s="76">
        <v>0</v>
      </c>
      <c r="AJ4" s="76">
        <v>0</v>
      </c>
      <c r="AK4" s="76">
        <v>0</v>
      </c>
      <c r="AL4" s="76">
        <v>0</v>
      </c>
      <c r="AM4" s="76">
        <v>0</v>
      </c>
      <c r="AN4" s="76">
        <v>0</v>
      </c>
      <c r="AO4" s="76">
        <v>0</v>
      </c>
      <c r="AP4" s="76">
        <v>0</v>
      </c>
      <c r="AQ4" s="76">
        <v>0</v>
      </c>
      <c r="AR4" s="76">
        <v>0</v>
      </c>
      <c r="AS4" s="76">
        <v>0</v>
      </c>
      <c r="AT4" s="76">
        <v>0</v>
      </c>
      <c r="AU4" s="76">
        <v>0</v>
      </c>
      <c r="AV4" s="76">
        <v>0</v>
      </c>
      <c r="AW4" s="76">
        <v>0</v>
      </c>
    </row>
    <row r="5" spans="1:49" x14ac:dyDescent="0.25">
      <c r="A5" s="74">
        <v>32272861</v>
      </c>
      <c r="B5" s="75">
        <v>5080263</v>
      </c>
      <c r="C5" s="76">
        <v>0</v>
      </c>
      <c r="D5" s="76">
        <v>40</v>
      </c>
      <c r="E5" s="76">
        <v>0</v>
      </c>
      <c r="F5" s="76">
        <v>0</v>
      </c>
      <c r="G5" s="76">
        <v>0</v>
      </c>
      <c r="H5" s="76">
        <v>0</v>
      </c>
      <c r="I5" s="76">
        <v>20</v>
      </c>
      <c r="J5" s="76">
        <v>0</v>
      </c>
      <c r="K5" s="76">
        <v>40</v>
      </c>
      <c r="L5" s="76">
        <v>0</v>
      </c>
      <c r="M5" s="76">
        <v>0</v>
      </c>
      <c r="N5" s="76">
        <v>0</v>
      </c>
      <c r="O5" s="76">
        <v>0</v>
      </c>
      <c r="P5" s="76">
        <v>0</v>
      </c>
      <c r="Q5" s="76">
        <v>0</v>
      </c>
      <c r="R5" s="76">
        <v>0</v>
      </c>
      <c r="S5" s="76">
        <v>0</v>
      </c>
      <c r="T5" s="76">
        <v>0</v>
      </c>
      <c r="U5" s="76">
        <v>0</v>
      </c>
      <c r="V5" s="76">
        <v>40</v>
      </c>
      <c r="W5" s="76">
        <v>0</v>
      </c>
      <c r="X5" s="76">
        <v>20</v>
      </c>
      <c r="Y5" s="76">
        <v>20</v>
      </c>
      <c r="Z5" s="76">
        <v>0</v>
      </c>
      <c r="AA5" s="76">
        <v>0</v>
      </c>
      <c r="AB5" s="76">
        <v>0</v>
      </c>
      <c r="AC5" s="76">
        <v>0</v>
      </c>
      <c r="AD5" s="76">
        <v>0</v>
      </c>
      <c r="AE5" s="76">
        <v>0</v>
      </c>
      <c r="AF5" s="76">
        <v>0</v>
      </c>
      <c r="AG5" s="76">
        <v>0</v>
      </c>
      <c r="AH5" s="76">
        <v>0</v>
      </c>
      <c r="AI5" s="76">
        <v>0</v>
      </c>
      <c r="AJ5" s="76">
        <v>0</v>
      </c>
      <c r="AK5" s="76">
        <v>0</v>
      </c>
      <c r="AL5" s="76">
        <v>0</v>
      </c>
      <c r="AM5" s="76">
        <v>0</v>
      </c>
      <c r="AN5" s="76">
        <v>0</v>
      </c>
      <c r="AO5" s="76">
        <v>0</v>
      </c>
      <c r="AP5" s="76">
        <v>0</v>
      </c>
      <c r="AQ5" s="76">
        <v>0</v>
      </c>
      <c r="AR5" s="76">
        <v>0</v>
      </c>
      <c r="AS5" s="76">
        <v>0</v>
      </c>
      <c r="AT5" s="76">
        <v>0</v>
      </c>
      <c r="AU5" s="76">
        <v>0</v>
      </c>
      <c r="AV5" s="76">
        <v>0</v>
      </c>
      <c r="AW5" s="76">
        <v>0</v>
      </c>
    </row>
    <row r="6" spans="1:49" x14ac:dyDescent="0.25">
      <c r="A6" s="74">
        <v>32272872</v>
      </c>
      <c r="B6" s="75">
        <v>5080431</v>
      </c>
      <c r="C6" s="76">
        <v>0</v>
      </c>
      <c r="D6" s="76">
        <v>20</v>
      </c>
      <c r="E6" s="76">
        <v>0</v>
      </c>
      <c r="F6" s="76">
        <v>0</v>
      </c>
      <c r="G6" s="76">
        <v>0</v>
      </c>
      <c r="H6" s="76">
        <v>0</v>
      </c>
      <c r="I6" s="76">
        <v>0</v>
      </c>
      <c r="J6" s="76">
        <v>0</v>
      </c>
      <c r="K6" s="76">
        <v>20</v>
      </c>
      <c r="L6" s="76">
        <v>0</v>
      </c>
      <c r="M6" s="76">
        <v>0</v>
      </c>
      <c r="N6" s="76">
        <v>0</v>
      </c>
      <c r="O6" s="76">
        <v>0</v>
      </c>
      <c r="P6" s="76">
        <v>0</v>
      </c>
      <c r="Q6" s="76">
        <v>0</v>
      </c>
      <c r="R6" s="76">
        <v>0</v>
      </c>
      <c r="S6" s="76">
        <v>0</v>
      </c>
      <c r="T6" s="76">
        <v>0</v>
      </c>
      <c r="U6" s="76">
        <v>0</v>
      </c>
      <c r="V6" s="76">
        <v>0</v>
      </c>
      <c r="W6" s="76">
        <v>0</v>
      </c>
      <c r="X6" s="76">
        <v>0</v>
      </c>
      <c r="Y6" s="76">
        <v>0</v>
      </c>
      <c r="Z6" s="76">
        <v>0</v>
      </c>
      <c r="AA6" s="76">
        <v>0</v>
      </c>
      <c r="AB6" s="76">
        <v>0</v>
      </c>
      <c r="AC6" s="76">
        <v>0</v>
      </c>
      <c r="AD6" s="76">
        <v>0</v>
      </c>
      <c r="AE6" s="76">
        <v>0</v>
      </c>
      <c r="AF6" s="76">
        <v>0</v>
      </c>
      <c r="AG6" s="76">
        <v>0</v>
      </c>
      <c r="AH6" s="76">
        <v>0</v>
      </c>
      <c r="AI6" s="76">
        <v>0</v>
      </c>
      <c r="AJ6" s="76">
        <v>0</v>
      </c>
      <c r="AK6" s="76">
        <v>0</v>
      </c>
      <c r="AL6" s="76">
        <v>0</v>
      </c>
      <c r="AM6" s="76">
        <v>0</v>
      </c>
      <c r="AN6" s="76">
        <v>0</v>
      </c>
      <c r="AO6" s="76">
        <v>0</v>
      </c>
      <c r="AP6" s="76">
        <v>0</v>
      </c>
      <c r="AQ6" s="76">
        <v>0</v>
      </c>
      <c r="AR6" s="76">
        <v>0</v>
      </c>
      <c r="AS6" s="76">
        <v>0</v>
      </c>
      <c r="AT6" s="76">
        <v>0</v>
      </c>
      <c r="AU6" s="76">
        <v>0</v>
      </c>
      <c r="AV6" s="76">
        <v>0</v>
      </c>
      <c r="AW6" s="76">
        <v>0</v>
      </c>
    </row>
    <row r="7" spans="1:49" x14ac:dyDescent="0.25">
      <c r="A7" s="74">
        <v>32272719</v>
      </c>
      <c r="B7" s="75">
        <v>4817130</v>
      </c>
      <c r="C7" s="76">
        <v>0</v>
      </c>
      <c r="D7" s="76">
        <v>0</v>
      </c>
      <c r="E7" s="76">
        <v>0</v>
      </c>
      <c r="F7" s="76">
        <v>0</v>
      </c>
      <c r="G7" s="76">
        <v>0</v>
      </c>
      <c r="H7" s="76">
        <v>0</v>
      </c>
      <c r="I7" s="76">
        <v>0</v>
      </c>
      <c r="J7" s="76">
        <v>0</v>
      </c>
      <c r="K7" s="76">
        <v>0</v>
      </c>
      <c r="L7" s="76">
        <v>0</v>
      </c>
      <c r="M7" s="76">
        <v>0</v>
      </c>
      <c r="N7" s="165">
        <v>20</v>
      </c>
      <c r="O7" s="76">
        <v>0</v>
      </c>
      <c r="P7" s="76">
        <v>0</v>
      </c>
      <c r="Q7" s="76">
        <v>0</v>
      </c>
      <c r="R7" s="76">
        <v>0</v>
      </c>
      <c r="S7" s="76">
        <v>0</v>
      </c>
      <c r="T7" s="76">
        <v>0</v>
      </c>
      <c r="U7" s="76">
        <v>0</v>
      </c>
      <c r="V7" s="76">
        <v>0</v>
      </c>
      <c r="W7" s="76">
        <v>0</v>
      </c>
      <c r="X7" s="76">
        <v>0</v>
      </c>
      <c r="Y7" s="76">
        <v>0</v>
      </c>
      <c r="Z7" s="76">
        <v>0</v>
      </c>
      <c r="AA7" s="76">
        <v>0</v>
      </c>
      <c r="AB7" s="76">
        <v>0</v>
      </c>
      <c r="AC7" s="76">
        <v>0</v>
      </c>
      <c r="AD7" s="76">
        <v>0</v>
      </c>
      <c r="AE7" s="76">
        <v>0</v>
      </c>
      <c r="AF7" s="76">
        <v>0</v>
      </c>
      <c r="AG7" s="76">
        <v>0</v>
      </c>
      <c r="AH7" s="76">
        <v>0</v>
      </c>
      <c r="AI7" s="76">
        <v>0</v>
      </c>
      <c r="AJ7" s="76">
        <v>0</v>
      </c>
      <c r="AK7" s="76">
        <v>0</v>
      </c>
      <c r="AL7" s="76">
        <v>0</v>
      </c>
      <c r="AM7" s="76">
        <v>0</v>
      </c>
      <c r="AN7" s="76">
        <v>0</v>
      </c>
      <c r="AO7" s="76">
        <v>0</v>
      </c>
      <c r="AP7" s="76">
        <v>0</v>
      </c>
      <c r="AQ7" s="76">
        <v>0</v>
      </c>
      <c r="AR7" s="76">
        <v>0</v>
      </c>
      <c r="AS7" s="76">
        <v>0</v>
      </c>
      <c r="AT7" s="76">
        <v>0</v>
      </c>
      <c r="AU7" s="76">
        <v>0</v>
      </c>
      <c r="AV7" s="76">
        <v>0</v>
      </c>
      <c r="AW7" s="76">
        <v>0</v>
      </c>
    </row>
    <row r="8" spans="1:49" x14ac:dyDescent="0.25">
      <c r="A8" s="74">
        <v>32272868</v>
      </c>
      <c r="B8" s="75">
        <v>5080417</v>
      </c>
      <c r="C8" s="76">
        <v>0</v>
      </c>
      <c r="D8" s="76">
        <v>0</v>
      </c>
      <c r="E8" s="76">
        <v>0</v>
      </c>
      <c r="F8" s="76">
        <v>0</v>
      </c>
      <c r="G8" s="76">
        <v>0</v>
      </c>
      <c r="H8" s="76">
        <v>0</v>
      </c>
      <c r="I8" s="76">
        <v>20</v>
      </c>
      <c r="J8" s="76">
        <v>0</v>
      </c>
      <c r="K8" s="76">
        <v>20</v>
      </c>
      <c r="L8" s="76">
        <v>0</v>
      </c>
      <c r="M8" s="76">
        <v>0</v>
      </c>
      <c r="N8" s="76">
        <v>0</v>
      </c>
      <c r="O8" s="76">
        <v>0</v>
      </c>
      <c r="P8" s="76">
        <v>20</v>
      </c>
      <c r="Q8" s="76">
        <v>0</v>
      </c>
      <c r="R8" s="76">
        <v>0</v>
      </c>
      <c r="S8" s="76">
        <v>0</v>
      </c>
      <c r="T8" s="76">
        <v>0</v>
      </c>
      <c r="U8" s="76">
        <v>0</v>
      </c>
      <c r="V8" s="76">
        <v>20</v>
      </c>
      <c r="W8" s="76">
        <v>0</v>
      </c>
      <c r="X8" s="76">
        <v>20</v>
      </c>
      <c r="Y8" s="76">
        <v>20</v>
      </c>
      <c r="Z8" s="76">
        <v>0</v>
      </c>
      <c r="AA8" s="76">
        <v>0</v>
      </c>
      <c r="AB8" s="76">
        <v>0</v>
      </c>
      <c r="AC8" s="76">
        <v>0</v>
      </c>
      <c r="AD8" s="76">
        <v>0</v>
      </c>
      <c r="AE8" s="76">
        <v>0</v>
      </c>
      <c r="AF8" s="76">
        <v>0</v>
      </c>
      <c r="AG8" s="76">
        <v>0</v>
      </c>
      <c r="AH8" s="76">
        <v>0</v>
      </c>
      <c r="AI8" s="76">
        <v>0</v>
      </c>
      <c r="AJ8" s="76">
        <v>0</v>
      </c>
      <c r="AK8" s="76">
        <v>0</v>
      </c>
      <c r="AL8" s="76">
        <v>0</v>
      </c>
      <c r="AM8" s="76">
        <v>0</v>
      </c>
      <c r="AN8" s="76">
        <v>0</v>
      </c>
      <c r="AO8" s="76">
        <v>0</v>
      </c>
      <c r="AP8" s="76">
        <v>0</v>
      </c>
      <c r="AQ8" s="76">
        <v>0</v>
      </c>
      <c r="AR8" s="76">
        <v>0</v>
      </c>
      <c r="AS8" s="76">
        <v>0</v>
      </c>
      <c r="AT8" s="76">
        <v>0</v>
      </c>
      <c r="AU8" s="76">
        <v>0</v>
      </c>
      <c r="AV8" s="76">
        <v>0</v>
      </c>
      <c r="AW8" s="76">
        <v>0</v>
      </c>
    </row>
    <row r="9" spans="1:49" x14ac:dyDescent="0.25">
      <c r="A9" s="74">
        <v>32272494</v>
      </c>
      <c r="B9" s="75">
        <v>4429351</v>
      </c>
      <c r="C9" s="76">
        <v>0</v>
      </c>
      <c r="D9" s="76">
        <v>60</v>
      </c>
      <c r="E9" s="76">
        <v>0</v>
      </c>
      <c r="F9" s="76">
        <v>0</v>
      </c>
      <c r="G9" s="76">
        <v>0</v>
      </c>
      <c r="H9" s="76">
        <v>0</v>
      </c>
      <c r="I9" s="76">
        <v>60</v>
      </c>
      <c r="J9" s="76">
        <v>0</v>
      </c>
      <c r="K9" s="76">
        <v>0</v>
      </c>
      <c r="L9" s="76">
        <v>0</v>
      </c>
      <c r="M9" s="76">
        <v>0</v>
      </c>
      <c r="N9" s="76">
        <v>60</v>
      </c>
      <c r="O9" s="76">
        <v>0</v>
      </c>
      <c r="P9" s="76">
        <v>0</v>
      </c>
      <c r="Q9" s="76">
        <v>0</v>
      </c>
      <c r="R9" s="76">
        <v>0</v>
      </c>
      <c r="S9" s="76">
        <v>0</v>
      </c>
      <c r="T9" s="76">
        <v>0</v>
      </c>
      <c r="U9" s="76">
        <v>0</v>
      </c>
      <c r="V9" s="76">
        <v>60</v>
      </c>
      <c r="W9" s="76">
        <v>0</v>
      </c>
      <c r="X9" s="76">
        <v>0</v>
      </c>
      <c r="Y9" s="76">
        <v>0</v>
      </c>
      <c r="Z9" s="76">
        <v>0</v>
      </c>
      <c r="AA9" s="76">
        <v>0</v>
      </c>
      <c r="AB9" s="76">
        <v>0</v>
      </c>
      <c r="AC9" s="76">
        <v>0</v>
      </c>
      <c r="AD9" s="76">
        <v>0</v>
      </c>
      <c r="AE9" s="76">
        <v>0</v>
      </c>
      <c r="AF9" s="76">
        <v>0</v>
      </c>
      <c r="AG9" s="76">
        <v>0</v>
      </c>
      <c r="AH9" s="76">
        <v>0</v>
      </c>
      <c r="AI9" s="76">
        <v>0</v>
      </c>
      <c r="AJ9" s="76">
        <v>0</v>
      </c>
      <c r="AK9" s="76">
        <v>0</v>
      </c>
      <c r="AL9" s="76">
        <v>0</v>
      </c>
      <c r="AM9" s="76">
        <v>0</v>
      </c>
      <c r="AN9" s="76">
        <v>0</v>
      </c>
      <c r="AO9" s="76">
        <v>0</v>
      </c>
      <c r="AP9" s="76">
        <v>0</v>
      </c>
      <c r="AQ9" s="76">
        <v>0</v>
      </c>
      <c r="AR9" s="76">
        <v>0</v>
      </c>
      <c r="AS9" s="76">
        <v>0</v>
      </c>
      <c r="AT9" s="76">
        <v>0</v>
      </c>
      <c r="AU9" s="76">
        <v>0</v>
      </c>
      <c r="AV9" s="76">
        <v>0</v>
      </c>
      <c r="AW9" s="76">
        <v>0</v>
      </c>
    </row>
    <row r="10" spans="1:49" x14ac:dyDescent="0.25">
      <c r="A10" s="74">
        <v>32272713</v>
      </c>
      <c r="B10" s="75">
        <v>4817111</v>
      </c>
      <c r="C10" s="76">
        <v>0</v>
      </c>
      <c r="D10" s="76">
        <v>0</v>
      </c>
      <c r="E10" s="76">
        <v>0</v>
      </c>
      <c r="F10" s="76">
        <v>0</v>
      </c>
      <c r="G10" s="76">
        <v>0</v>
      </c>
      <c r="H10" s="76">
        <v>0</v>
      </c>
      <c r="I10" s="76">
        <v>0</v>
      </c>
      <c r="J10" s="76">
        <v>0</v>
      </c>
      <c r="K10" s="76">
        <v>0</v>
      </c>
      <c r="L10" s="76">
        <v>0</v>
      </c>
      <c r="M10" s="76">
        <v>0</v>
      </c>
      <c r="N10" s="76">
        <v>0</v>
      </c>
      <c r="O10" s="76">
        <v>0</v>
      </c>
      <c r="P10" s="76">
        <v>0</v>
      </c>
      <c r="Q10" s="76">
        <v>0</v>
      </c>
      <c r="R10" s="76">
        <v>0</v>
      </c>
      <c r="S10" s="76">
        <v>0</v>
      </c>
      <c r="T10" s="76">
        <v>0</v>
      </c>
      <c r="U10" s="76">
        <v>0</v>
      </c>
      <c r="V10" s="76">
        <v>20</v>
      </c>
      <c r="W10" s="76">
        <v>0</v>
      </c>
      <c r="X10" s="76">
        <v>0</v>
      </c>
      <c r="Y10" s="76">
        <v>0</v>
      </c>
      <c r="Z10" s="76">
        <v>20</v>
      </c>
      <c r="AA10" s="76">
        <v>0</v>
      </c>
      <c r="AB10" s="76">
        <v>0</v>
      </c>
      <c r="AC10" s="76">
        <v>0</v>
      </c>
      <c r="AD10" s="76">
        <v>0</v>
      </c>
      <c r="AE10" s="76">
        <v>0</v>
      </c>
      <c r="AF10" s="76">
        <v>40</v>
      </c>
      <c r="AG10" s="76">
        <v>0</v>
      </c>
      <c r="AH10" s="76">
        <v>0</v>
      </c>
      <c r="AI10" s="76">
        <v>0</v>
      </c>
      <c r="AJ10" s="76">
        <v>0</v>
      </c>
      <c r="AK10" s="76">
        <v>0</v>
      </c>
      <c r="AL10" s="76">
        <v>0</v>
      </c>
      <c r="AM10" s="76">
        <v>0</v>
      </c>
      <c r="AN10" s="76">
        <v>0</v>
      </c>
      <c r="AO10" s="76">
        <v>0</v>
      </c>
      <c r="AP10" s="76">
        <v>0</v>
      </c>
      <c r="AQ10" s="76">
        <v>0</v>
      </c>
      <c r="AR10" s="76">
        <v>0</v>
      </c>
      <c r="AS10" s="76">
        <v>0</v>
      </c>
      <c r="AT10" s="76">
        <v>0</v>
      </c>
      <c r="AU10" s="76">
        <v>0</v>
      </c>
      <c r="AV10" s="76">
        <v>0</v>
      </c>
      <c r="AW10" s="76">
        <v>0</v>
      </c>
    </row>
    <row r="11" spans="1:49" x14ac:dyDescent="0.25">
      <c r="A11" s="74">
        <v>32272495</v>
      </c>
      <c r="B11" s="75">
        <v>4429352</v>
      </c>
      <c r="C11" s="76">
        <v>0</v>
      </c>
      <c r="D11" s="76">
        <v>60</v>
      </c>
      <c r="E11" s="76">
        <v>0</v>
      </c>
      <c r="F11" s="76">
        <v>0</v>
      </c>
      <c r="G11" s="76">
        <v>0</v>
      </c>
      <c r="H11" s="76">
        <v>60</v>
      </c>
      <c r="I11" s="76">
        <v>0</v>
      </c>
      <c r="J11" s="76">
        <v>0</v>
      </c>
      <c r="K11" s="76">
        <v>0</v>
      </c>
      <c r="L11" s="76">
        <v>0</v>
      </c>
      <c r="M11" s="76">
        <v>0</v>
      </c>
      <c r="N11" s="76">
        <v>0</v>
      </c>
      <c r="O11" s="76">
        <v>0</v>
      </c>
      <c r="P11" s="76">
        <v>0</v>
      </c>
      <c r="Q11" s="76">
        <v>0</v>
      </c>
      <c r="R11" s="76">
        <v>0</v>
      </c>
      <c r="S11" s="76">
        <v>0</v>
      </c>
      <c r="T11" s="76">
        <v>0</v>
      </c>
      <c r="U11" s="76">
        <v>0</v>
      </c>
      <c r="V11" s="76">
        <v>0</v>
      </c>
      <c r="W11" s="76">
        <v>0</v>
      </c>
      <c r="X11" s="76">
        <v>0</v>
      </c>
      <c r="Y11" s="76">
        <v>60</v>
      </c>
      <c r="Z11" s="76">
        <v>0</v>
      </c>
      <c r="AA11" s="76">
        <v>0</v>
      </c>
      <c r="AB11" s="76">
        <v>0</v>
      </c>
      <c r="AC11" s="76">
        <v>0</v>
      </c>
      <c r="AD11" s="76">
        <v>0</v>
      </c>
      <c r="AE11" s="76">
        <v>0</v>
      </c>
      <c r="AF11" s="76">
        <v>0</v>
      </c>
      <c r="AG11" s="76">
        <v>0</v>
      </c>
      <c r="AH11" s="76">
        <v>0</v>
      </c>
      <c r="AI11" s="76">
        <v>0</v>
      </c>
      <c r="AJ11" s="76">
        <v>0</v>
      </c>
      <c r="AK11" s="76">
        <v>0</v>
      </c>
      <c r="AL11" s="76">
        <v>0</v>
      </c>
      <c r="AM11" s="76">
        <v>0</v>
      </c>
      <c r="AN11" s="76">
        <v>0</v>
      </c>
      <c r="AO11" s="76">
        <v>0</v>
      </c>
      <c r="AP11" s="76">
        <v>0</v>
      </c>
      <c r="AQ11" s="76">
        <v>0</v>
      </c>
      <c r="AR11" s="76">
        <v>0</v>
      </c>
      <c r="AS11" s="76">
        <v>0</v>
      </c>
      <c r="AT11" s="76">
        <v>0</v>
      </c>
      <c r="AU11" s="76">
        <v>0</v>
      </c>
      <c r="AV11" s="76">
        <v>0</v>
      </c>
      <c r="AW11" s="76">
        <v>0</v>
      </c>
    </row>
    <row r="12" spans="1:49" x14ac:dyDescent="0.25">
      <c r="A12" s="91" t="s">
        <v>6</v>
      </c>
      <c r="B12" s="91"/>
      <c r="C12" s="80">
        <f t="shared" ref="C12:G12" si="0">SUM(C3:C11)</f>
        <v>0</v>
      </c>
      <c r="D12" s="80">
        <f>SUM(D3:D11)</f>
        <v>180</v>
      </c>
      <c r="E12" s="80">
        <f t="shared" si="0"/>
        <v>0</v>
      </c>
      <c r="F12" s="80">
        <f t="shared" si="0"/>
        <v>0</v>
      </c>
      <c r="G12" s="80">
        <f t="shared" si="0"/>
        <v>0</v>
      </c>
      <c r="H12" s="80">
        <f t="shared" ref="H12:AW12" si="1">SUM(H3:H11)</f>
        <v>60</v>
      </c>
      <c r="I12" s="80">
        <f t="shared" si="1"/>
        <v>100</v>
      </c>
      <c r="J12" s="80">
        <f t="shared" si="1"/>
        <v>0</v>
      </c>
      <c r="K12" s="80">
        <f t="shared" si="1"/>
        <v>100</v>
      </c>
      <c r="L12" s="80">
        <f t="shared" si="1"/>
        <v>0</v>
      </c>
      <c r="M12" s="80">
        <f t="shared" si="1"/>
        <v>0</v>
      </c>
      <c r="N12" s="80">
        <f t="shared" si="1"/>
        <v>80</v>
      </c>
      <c r="O12" s="80">
        <f t="shared" si="1"/>
        <v>0</v>
      </c>
      <c r="P12" s="80">
        <f t="shared" si="1"/>
        <v>20</v>
      </c>
      <c r="Q12" s="80">
        <f t="shared" si="1"/>
        <v>0</v>
      </c>
      <c r="R12" s="80">
        <f t="shared" si="1"/>
        <v>0</v>
      </c>
      <c r="S12" s="80">
        <f t="shared" si="1"/>
        <v>0</v>
      </c>
      <c r="T12" s="80">
        <f t="shared" si="1"/>
        <v>0</v>
      </c>
      <c r="U12" s="80">
        <f t="shared" si="1"/>
        <v>0</v>
      </c>
      <c r="V12" s="80">
        <f t="shared" si="1"/>
        <v>140</v>
      </c>
      <c r="W12" s="80">
        <f t="shared" si="1"/>
        <v>0</v>
      </c>
      <c r="X12" s="80">
        <f t="shared" si="1"/>
        <v>40</v>
      </c>
      <c r="Y12" s="80">
        <f t="shared" si="1"/>
        <v>100</v>
      </c>
      <c r="Z12" s="80">
        <f t="shared" si="1"/>
        <v>20</v>
      </c>
      <c r="AA12" s="80">
        <f t="shared" si="1"/>
        <v>0</v>
      </c>
      <c r="AB12" s="80">
        <f t="shared" si="1"/>
        <v>0</v>
      </c>
      <c r="AC12" s="80">
        <f t="shared" si="1"/>
        <v>0</v>
      </c>
      <c r="AD12" s="80">
        <f t="shared" si="1"/>
        <v>0</v>
      </c>
      <c r="AE12" s="80">
        <f t="shared" si="1"/>
        <v>0</v>
      </c>
      <c r="AF12" s="80">
        <f t="shared" si="1"/>
        <v>40</v>
      </c>
      <c r="AG12" s="80">
        <f t="shared" si="1"/>
        <v>0</v>
      </c>
      <c r="AH12" s="80">
        <f t="shared" si="1"/>
        <v>0</v>
      </c>
      <c r="AI12" s="80">
        <f t="shared" si="1"/>
        <v>0</v>
      </c>
      <c r="AJ12" s="80">
        <f t="shared" si="1"/>
        <v>0</v>
      </c>
      <c r="AK12" s="80">
        <f t="shared" si="1"/>
        <v>0</v>
      </c>
      <c r="AL12" s="80">
        <f t="shared" si="1"/>
        <v>0</v>
      </c>
      <c r="AM12" s="80">
        <f t="shared" si="1"/>
        <v>0</v>
      </c>
      <c r="AN12" s="80">
        <f t="shared" si="1"/>
        <v>0</v>
      </c>
      <c r="AO12" s="80">
        <f t="shared" si="1"/>
        <v>0</v>
      </c>
      <c r="AP12" s="80">
        <f t="shared" si="1"/>
        <v>0</v>
      </c>
      <c r="AQ12" s="80">
        <f t="shared" si="1"/>
        <v>0</v>
      </c>
      <c r="AR12" s="80">
        <f t="shared" si="1"/>
        <v>0</v>
      </c>
      <c r="AS12" s="80">
        <f t="shared" si="1"/>
        <v>0</v>
      </c>
      <c r="AT12" s="80">
        <f t="shared" si="1"/>
        <v>0</v>
      </c>
      <c r="AU12" s="80">
        <f t="shared" si="1"/>
        <v>0</v>
      </c>
      <c r="AV12" s="80">
        <f t="shared" si="1"/>
        <v>0</v>
      </c>
      <c r="AW12" s="80">
        <f t="shared" si="1"/>
        <v>0</v>
      </c>
    </row>
    <row r="13" spans="1:49" x14ac:dyDescent="0.25">
      <c r="J13" s="116">
        <v>2</v>
      </c>
      <c r="K13" s="116">
        <v>3</v>
      </c>
      <c r="L13" s="116">
        <v>4</v>
      </c>
      <c r="M13" s="116">
        <v>5</v>
      </c>
      <c r="N13" s="116">
        <v>6</v>
      </c>
      <c r="O13" s="116">
        <v>7</v>
      </c>
      <c r="P13" s="116">
        <v>8</v>
      </c>
      <c r="Q13" s="116">
        <v>9</v>
      </c>
      <c r="R13" s="116">
        <v>10</v>
      </c>
      <c r="S13" s="116">
        <v>11</v>
      </c>
      <c r="T13" s="116">
        <v>12</v>
      </c>
      <c r="U13" s="116">
        <v>2</v>
      </c>
      <c r="V13" s="116">
        <v>2</v>
      </c>
      <c r="W13" s="116">
        <f>V13+1</f>
        <v>3</v>
      </c>
      <c r="X13" s="116">
        <v>2</v>
      </c>
      <c r="Y13" s="116">
        <v>2</v>
      </c>
      <c r="Z13" s="116">
        <f t="shared" ref="Z13:AD13" si="2">Y13+1</f>
        <v>3</v>
      </c>
      <c r="AA13" s="116">
        <f t="shared" si="2"/>
        <v>4</v>
      </c>
      <c r="AB13" s="116">
        <f t="shared" si="2"/>
        <v>5</v>
      </c>
      <c r="AC13" s="116">
        <f t="shared" si="2"/>
        <v>6</v>
      </c>
      <c r="AD13" s="116">
        <f t="shared" si="2"/>
        <v>7</v>
      </c>
      <c r="AE13" s="116">
        <f t="shared" ref="AE13" si="3">AD13+1</f>
        <v>8</v>
      </c>
      <c r="AF13" s="116">
        <f t="shared" ref="AF13" si="4">AE13+1</f>
        <v>9</v>
      </c>
    </row>
  </sheetData>
  <mergeCells count="2">
    <mergeCell ref="A1:A2"/>
    <mergeCell ref="B1:B2"/>
  </mergeCells>
  <conditionalFormatting sqref="B1:B1048576">
    <cfRule type="duplicateValues" dxfId="1593" priority="1"/>
    <cfRule type="duplicateValues" dxfId="1592" priority="613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9749E-C143-4B69-862C-D8ABDAAD5165}">
  <sheetPr codeName="Sheet4">
    <tabColor rgb="FFFFD2D2"/>
  </sheetPr>
  <dimension ref="A1:BK36"/>
  <sheetViews>
    <sheetView showGridLines="0" workbookViewId="0">
      <pane xSplit="2" ySplit="2" topLeftCell="C3" activePane="bottomRight" state="frozen"/>
      <selection pane="topRight" activeCell="C1" sqref="C1"/>
      <selection pane="bottomLeft" activeCell="A3" sqref="A3"/>
      <selection pane="bottomRight" activeCell="AP31" sqref="AP31"/>
    </sheetView>
  </sheetViews>
  <sheetFormatPr defaultRowHeight="15" x14ac:dyDescent="0.25"/>
  <cols>
    <col min="1" max="1" width="18.140625" bestFit="1" customWidth="1"/>
    <col min="2" max="2" width="18.140625" customWidth="1"/>
    <col min="3" max="35" width="11.85546875" hidden="1" customWidth="1"/>
    <col min="36" max="45" width="11.85546875" customWidth="1"/>
    <col min="46" max="63" width="13.140625" bestFit="1" customWidth="1"/>
    <col min="268" max="268" width="18.140625" bestFit="1" customWidth="1"/>
    <col min="269" max="269" width="18.140625" customWidth="1"/>
    <col min="270" max="275" width="11.85546875" bestFit="1" customWidth="1"/>
    <col min="276" max="276" width="11.85546875" customWidth="1"/>
    <col min="277" max="281" width="11.85546875" bestFit="1" customWidth="1"/>
    <col min="282" max="283" width="11.85546875" customWidth="1"/>
    <col min="284" max="288" width="11.85546875" bestFit="1" customWidth="1"/>
    <col min="289" max="291" width="11.85546875" customWidth="1"/>
    <col min="292" max="292" width="11.85546875" bestFit="1" customWidth="1"/>
    <col min="293" max="296" width="11.85546875" customWidth="1"/>
    <col min="297" max="297" width="11.85546875" bestFit="1" customWidth="1"/>
    <col min="298" max="300" width="11.85546875" customWidth="1"/>
    <col min="301" max="301" width="13.140625" bestFit="1" customWidth="1"/>
    <col min="524" max="524" width="18.140625" bestFit="1" customWidth="1"/>
    <col min="525" max="525" width="18.140625" customWidth="1"/>
    <col min="526" max="531" width="11.85546875" bestFit="1" customWidth="1"/>
    <col min="532" max="532" width="11.85546875" customWidth="1"/>
    <col min="533" max="537" width="11.85546875" bestFit="1" customWidth="1"/>
    <col min="538" max="539" width="11.85546875" customWidth="1"/>
    <col min="540" max="544" width="11.85546875" bestFit="1" customWidth="1"/>
    <col min="545" max="547" width="11.85546875" customWidth="1"/>
    <col min="548" max="548" width="11.85546875" bestFit="1" customWidth="1"/>
    <col min="549" max="552" width="11.85546875" customWidth="1"/>
    <col min="553" max="553" width="11.85546875" bestFit="1" customWidth="1"/>
    <col min="554" max="556" width="11.85546875" customWidth="1"/>
    <col min="557" max="557" width="13.140625" bestFit="1" customWidth="1"/>
    <col min="780" max="780" width="18.140625" bestFit="1" customWidth="1"/>
    <col min="781" max="781" width="18.140625" customWidth="1"/>
    <col min="782" max="787" width="11.85546875" bestFit="1" customWidth="1"/>
    <col min="788" max="788" width="11.85546875" customWidth="1"/>
    <col min="789" max="793" width="11.85546875" bestFit="1" customWidth="1"/>
    <col min="794" max="795" width="11.85546875" customWidth="1"/>
    <col min="796" max="800" width="11.85546875" bestFit="1" customWidth="1"/>
    <col min="801" max="803" width="11.85546875" customWidth="1"/>
    <col min="804" max="804" width="11.85546875" bestFit="1" customWidth="1"/>
    <col min="805" max="808" width="11.85546875" customWidth="1"/>
    <col min="809" max="809" width="11.85546875" bestFit="1" customWidth="1"/>
    <col min="810" max="812" width="11.85546875" customWidth="1"/>
    <col min="813" max="813" width="13.140625" bestFit="1" customWidth="1"/>
    <col min="1036" max="1036" width="18.140625" bestFit="1" customWidth="1"/>
    <col min="1037" max="1037" width="18.140625" customWidth="1"/>
    <col min="1038" max="1043" width="11.85546875" bestFit="1" customWidth="1"/>
    <col min="1044" max="1044" width="11.85546875" customWidth="1"/>
    <col min="1045" max="1049" width="11.85546875" bestFit="1" customWidth="1"/>
    <col min="1050" max="1051" width="11.85546875" customWidth="1"/>
    <col min="1052" max="1056" width="11.85546875" bestFit="1" customWidth="1"/>
    <col min="1057" max="1059" width="11.85546875" customWidth="1"/>
    <col min="1060" max="1060" width="11.85546875" bestFit="1" customWidth="1"/>
    <col min="1061" max="1064" width="11.85546875" customWidth="1"/>
    <col min="1065" max="1065" width="11.85546875" bestFit="1" customWidth="1"/>
    <col min="1066" max="1068" width="11.85546875" customWidth="1"/>
    <col min="1069" max="1069" width="13.140625" bestFit="1" customWidth="1"/>
    <col min="1292" max="1292" width="18.140625" bestFit="1" customWidth="1"/>
    <col min="1293" max="1293" width="18.140625" customWidth="1"/>
    <col min="1294" max="1299" width="11.85546875" bestFit="1" customWidth="1"/>
    <col min="1300" max="1300" width="11.85546875" customWidth="1"/>
    <col min="1301" max="1305" width="11.85546875" bestFit="1" customWidth="1"/>
    <col min="1306" max="1307" width="11.85546875" customWidth="1"/>
    <col min="1308" max="1312" width="11.85546875" bestFit="1" customWidth="1"/>
    <col min="1313" max="1315" width="11.85546875" customWidth="1"/>
    <col min="1316" max="1316" width="11.85546875" bestFit="1" customWidth="1"/>
    <col min="1317" max="1320" width="11.85546875" customWidth="1"/>
    <col min="1321" max="1321" width="11.85546875" bestFit="1" customWidth="1"/>
    <col min="1322" max="1324" width="11.85546875" customWidth="1"/>
    <col min="1325" max="1325" width="13.140625" bestFit="1" customWidth="1"/>
    <col min="1548" max="1548" width="18.140625" bestFit="1" customWidth="1"/>
    <col min="1549" max="1549" width="18.140625" customWidth="1"/>
    <col min="1550" max="1555" width="11.85546875" bestFit="1" customWidth="1"/>
    <col min="1556" max="1556" width="11.85546875" customWidth="1"/>
    <col min="1557" max="1561" width="11.85546875" bestFit="1" customWidth="1"/>
    <col min="1562" max="1563" width="11.85546875" customWidth="1"/>
    <col min="1564" max="1568" width="11.85546875" bestFit="1" customWidth="1"/>
    <col min="1569" max="1571" width="11.85546875" customWidth="1"/>
    <col min="1572" max="1572" width="11.85546875" bestFit="1" customWidth="1"/>
    <col min="1573" max="1576" width="11.85546875" customWidth="1"/>
    <col min="1577" max="1577" width="11.85546875" bestFit="1" customWidth="1"/>
    <col min="1578" max="1580" width="11.85546875" customWidth="1"/>
    <col min="1581" max="1581" width="13.140625" bestFit="1" customWidth="1"/>
    <col min="1804" max="1804" width="18.140625" bestFit="1" customWidth="1"/>
    <col min="1805" max="1805" width="18.140625" customWidth="1"/>
    <col min="1806" max="1811" width="11.85546875" bestFit="1" customWidth="1"/>
    <col min="1812" max="1812" width="11.85546875" customWidth="1"/>
    <col min="1813" max="1817" width="11.85546875" bestFit="1" customWidth="1"/>
    <col min="1818" max="1819" width="11.85546875" customWidth="1"/>
    <col min="1820" max="1824" width="11.85546875" bestFit="1" customWidth="1"/>
    <col min="1825" max="1827" width="11.85546875" customWidth="1"/>
    <col min="1828" max="1828" width="11.85546875" bestFit="1" customWidth="1"/>
    <col min="1829" max="1832" width="11.85546875" customWidth="1"/>
    <col min="1833" max="1833" width="11.85546875" bestFit="1" customWidth="1"/>
    <col min="1834" max="1836" width="11.85546875" customWidth="1"/>
    <col min="1837" max="1837" width="13.140625" bestFit="1" customWidth="1"/>
    <col min="2060" max="2060" width="18.140625" bestFit="1" customWidth="1"/>
    <col min="2061" max="2061" width="18.140625" customWidth="1"/>
    <col min="2062" max="2067" width="11.85546875" bestFit="1" customWidth="1"/>
    <col min="2068" max="2068" width="11.85546875" customWidth="1"/>
    <col min="2069" max="2073" width="11.85546875" bestFit="1" customWidth="1"/>
    <col min="2074" max="2075" width="11.85546875" customWidth="1"/>
    <col min="2076" max="2080" width="11.85546875" bestFit="1" customWidth="1"/>
    <col min="2081" max="2083" width="11.85546875" customWidth="1"/>
    <col min="2084" max="2084" width="11.85546875" bestFit="1" customWidth="1"/>
    <col min="2085" max="2088" width="11.85546875" customWidth="1"/>
    <col min="2089" max="2089" width="11.85546875" bestFit="1" customWidth="1"/>
    <col min="2090" max="2092" width="11.85546875" customWidth="1"/>
    <col min="2093" max="2093" width="13.140625" bestFit="1" customWidth="1"/>
    <col min="2316" max="2316" width="18.140625" bestFit="1" customWidth="1"/>
    <col min="2317" max="2317" width="18.140625" customWidth="1"/>
    <col min="2318" max="2323" width="11.85546875" bestFit="1" customWidth="1"/>
    <col min="2324" max="2324" width="11.85546875" customWidth="1"/>
    <col min="2325" max="2329" width="11.85546875" bestFit="1" customWidth="1"/>
    <col min="2330" max="2331" width="11.85546875" customWidth="1"/>
    <col min="2332" max="2336" width="11.85546875" bestFit="1" customWidth="1"/>
    <col min="2337" max="2339" width="11.85546875" customWidth="1"/>
    <col min="2340" max="2340" width="11.85546875" bestFit="1" customWidth="1"/>
    <col min="2341" max="2344" width="11.85546875" customWidth="1"/>
    <col min="2345" max="2345" width="11.85546875" bestFit="1" customWidth="1"/>
    <col min="2346" max="2348" width="11.85546875" customWidth="1"/>
    <col min="2349" max="2349" width="13.140625" bestFit="1" customWidth="1"/>
    <col min="2572" max="2572" width="18.140625" bestFit="1" customWidth="1"/>
    <col min="2573" max="2573" width="18.140625" customWidth="1"/>
    <col min="2574" max="2579" width="11.85546875" bestFit="1" customWidth="1"/>
    <col min="2580" max="2580" width="11.85546875" customWidth="1"/>
    <col min="2581" max="2585" width="11.85546875" bestFit="1" customWidth="1"/>
    <col min="2586" max="2587" width="11.85546875" customWidth="1"/>
    <col min="2588" max="2592" width="11.85546875" bestFit="1" customWidth="1"/>
    <col min="2593" max="2595" width="11.85546875" customWidth="1"/>
    <col min="2596" max="2596" width="11.85546875" bestFit="1" customWidth="1"/>
    <col min="2597" max="2600" width="11.85546875" customWidth="1"/>
    <col min="2601" max="2601" width="11.85546875" bestFit="1" customWidth="1"/>
    <col min="2602" max="2604" width="11.85546875" customWidth="1"/>
    <col min="2605" max="2605" width="13.140625" bestFit="1" customWidth="1"/>
    <col min="2828" max="2828" width="18.140625" bestFit="1" customWidth="1"/>
    <col min="2829" max="2829" width="18.140625" customWidth="1"/>
    <col min="2830" max="2835" width="11.85546875" bestFit="1" customWidth="1"/>
    <col min="2836" max="2836" width="11.85546875" customWidth="1"/>
    <col min="2837" max="2841" width="11.85546875" bestFit="1" customWidth="1"/>
    <col min="2842" max="2843" width="11.85546875" customWidth="1"/>
    <col min="2844" max="2848" width="11.85546875" bestFit="1" customWidth="1"/>
    <col min="2849" max="2851" width="11.85546875" customWidth="1"/>
    <col min="2852" max="2852" width="11.85546875" bestFit="1" customWidth="1"/>
    <col min="2853" max="2856" width="11.85546875" customWidth="1"/>
    <col min="2857" max="2857" width="11.85546875" bestFit="1" customWidth="1"/>
    <col min="2858" max="2860" width="11.85546875" customWidth="1"/>
    <col min="2861" max="2861" width="13.140625" bestFit="1" customWidth="1"/>
    <col min="3084" max="3084" width="18.140625" bestFit="1" customWidth="1"/>
    <col min="3085" max="3085" width="18.140625" customWidth="1"/>
    <col min="3086" max="3091" width="11.85546875" bestFit="1" customWidth="1"/>
    <col min="3092" max="3092" width="11.85546875" customWidth="1"/>
    <col min="3093" max="3097" width="11.85546875" bestFit="1" customWidth="1"/>
    <col min="3098" max="3099" width="11.85546875" customWidth="1"/>
    <col min="3100" max="3104" width="11.85546875" bestFit="1" customWidth="1"/>
    <col min="3105" max="3107" width="11.85546875" customWidth="1"/>
    <col min="3108" max="3108" width="11.85546875" bestFit="1" customWidth="1"/>
    <col min="3109" max="3112" width="11.85546875" customWidth="1"/>
    <col min="3113" max="3113" width="11.85546875" bestFit="1" customWidth="1"/>
    <col min="3114" max="3116" width="11.85546875" customWidth="1"/>
    <col min="3117" max="3117" width="13.140625" bestFit="1" customWidth="1"/>
    <col min="3340" max="3340" width="18.140625" bestFit="1" customWidth="1"/>
    <col min="3341" max="3341" width="18.140625" customWidth="1"/>
    <col min="3342" max="3347" width="11.85546875" bestFit="1" customWidth="1"/>
    <col min="3348" max="3348" width="11.85546875" customWidth="1"/>
    <col min="3349" max="3353" width="11.85546875" bestFit="1" customWidth="1"/>
    <col min="3354" max="3355" width="11.85546875" customWidth="1"/>
    <col min="3356" max="3360" width="11.85546875" bestFit="1" customWidth="1"/>
    <col min="3361" max="3363" width="11.85546875" customWidth="1"/>
    <col min="3364" max="3364" width="11.85546875" bestFit="1" customWidth="1"/>
    <col min="3365" max="3368" width="11.85546875" customWidth="1"/>
    <col min="3369" max="3369" width="11.85546875" bestFit="1" customWidth="1"/>
    <col min="3370" max="3372" width="11.85546875" customWidth="1"/>
    <col min="3373" max="3373" width="13.140625" bestFit="1" customWidth="1"/>
    <col min="3596" max="3596" width="18.140625" bestFit="1" customWidth="1"/>
    <col min="3597" max="3597" width="18.140625" customWidth="1"/>
    <col min="3598" max="3603" width="11.85546875" bestFit="1" customWidth="1"/>
    <col min="3604" max="3604" width="11.85546875" customWidth="1"/>
    <col min="3605" max="3609" width="11.85546875" bestFit="1" customWidth="1"/>
    <col min="3610" max="3611" width="11.85546875" customWidth="1"/>
    <col min="3612" max="3616" width="11.85546875" bestFit="1" customWidth="1"/>
    <col min="3617" max="3619" width="11.85546875" customWidth="1"/>
    <col min="3620" max="3620" width="11.85546875" bestFit="1" customWidth="1"/>
    <col min="3621" max="3624" width="11.85546875" customWidth="1"/>
    <col min="3625" max="3625" width="11.85546875" bestFit="1" customWidth="1"/>
    <col min="3626" max="3628" width="11.85546875" customWidth="1"/>
    <col min="3629" max="3629" width="13.140625" bestFit="1" customWidth="1"/>
    <col min="3852" max="3852" width="18.140625" bestFit="1" customWidth="1"/>
    <col min="3853" max="3853" width="18.140625" customWidth="1"/>
    <col min="3854" max="3859" width="11.85546875" bestFit="1" customWidth="1"/>
    <col min="3860" max="3860" width="11.85546875" customWidth="1"/>
    <col min="3861" max="3865" width="11.85546875" bestFit="1" customWidth="1"/>
    <col min="3866" max="3867" width="11.85546875" customWidth="1"/>
    <col min="3868" max="3872" width="11.85546875" bestFit="1" customWidth="1"/>
    <col min="3873" max="3875" width="11.85546875" customWidth="1"/>
    <col min="3876" max="3876" width="11.85546875" bestFit="1" customWidth="1"/>
    <col min="3877" max="3880" width="11.85546875" customWidth="1"/>
    <col min="3881" max="3881" width="11.85546875" bestFit="1" customWidth="1"/>
    <col min="3882" max="3884" width="11.85546875" customWidth="1"/>
    <col min="3885" max="3885" width="13.140625" bestFit="1" customWidth="1"/>
    <col min="4108" max="4108" width="18.140625" bestFit="1" customWidth="1"/>
    <col min="4109" max="4109" width="18.140625" customWidth="1"/>
    <col min="4110" max="4115" width="11.85546875" bestFit="1" customWidth="1"/>
    <col min="4116" max="4116" width="11.85546875" customWidth="1"/>
    <col min="4117" max="4121" width="11.85546875" bestFit="1" customWidth="1"/>
    <col min="4122" max="4123" width="11.85546875" customWidth="1"/>
    <col min="4124" max="4128" width="11.85546875" bestFit="1" customWidth="1"/>
    <col min="4129" max="4131" width="11.85546875" customWidth="1"/>
    <col min="4132" max="4132" width="11.85546875" bestFit="1" customWidth="1"/>
    <col min="4133" max="4136" width="11.85546875" customWidth="1"/>
    <col min="4137" max="4137" width="11.85546875" bestFit="1" customWidth="1"/>
    <col min="4138" max="4140" width="11.85546875" customWidth="1"/>
    <col min="4141" max="4141" width="13.140625" bestFit="1" customWidth="1"/>
    <col min="4364" max="4364" width="18.140625" bestFit="1" customWidth="1"/>
    <col min="4365" max="4365" width="18.140625" customWidth="1"/>
    <col min="4366" max="4371" width="11.85546875" bestFit="1" customWidth="1"/>
    <col min="4372" max="4372" width="11.85546875" customWidth="1"/>
    <col min="4373" max="4377" width="11.85546875" bestFit="1" customWidth="1"/>
    <col min="4378" max="4379" width="11.85546875" customWidth="1"/>
    <col min="4380" max="4384" width="11.85546875" bestFit="1" customWidth="1"/>
    <col min="4385" max="4387" width="11.85546875" customWidth="1"/>
    <col min="4388" max="4388" width="11.85546875" bestFit="1" customWidth="1"/>
    <col min="4389" max="4392" width="11.85546875" customWidth="1"/>
    <col min="4393" max="4393" width="11.85546875" bestFit="1" customWidth="1"/>
    <col min="4394" max="4396" width="11.85546875" customWidth="1"/>
    <col min="4397" max="4397" width="13.140625" bestFit="1" customWidth="1"/>
    <col min="4620" max="4620" width="18.140625" bestFit="1" customWidth="1"/>
    <col min="4621" max="4621" width="18.140625" customWidth="1"/>
    <col min="4622" max="4627" width="11.85546875" bestFit="1" customWidth="1"/>
    <col min="4628" max="4628" width="11.85546875" customWidth="1"/>
    <col min="4629" max="4633" width="11.85546875" bestFit="1" customWidth="1"/>
    <col min="4634" max="4635" width="11.85546875" customWidth="1"/>
    <col min="4636" max="4640" width="11.85546875" bestFit="1" customWidth="1"/>
    <col min="4641" max="4643" width="11.85546875" customWidth="1"/>
    <col min="4644" max="4644" width="11.85546875" bestFit="1" customWidth="1"/>
    <col min="4645" max="4648" width="11.85546875" customWidth="1"/>
    <col min="4649" max="4649" width="11.85546875" bestFit="1" customWidth="1"/>
    <col min="4650" max="4652" width="11.85546875" customWidth="1"/>
    <col min="4653" max="4653" width="13.140625" bestFit="1" customWidth="1"/>
    <col min="4876" max="4876" width="18.140625" bestFit="1" customWidth="1"/>
    <col min="4877" max="4877" width="18.140625" customWidth="1"/>
    <col min="4878" max="4883" width="11.85546875" bestFit="1" customWidth="1"/>
    <col min="4884" max="4884" width="11.85546875" customWidth="1"/>
    <col min="4885" max="4889" width="11.85546875" bestFit="1" customWidth="1"/>
    <col min="4890" max="4891" width="11.85546875" customWidth="1"/>
    <col min="4892" max="4896" width="11.85546875" bestFit="1" customWidth="1"/>
    <col min="4897" max="4899" width="11.85546875" customWidth="1"/>
    <col min="4900" max="4900" width="11.85546875" bestFit="1" customWidth="1"/>
    <col min="4901" max="4904" width="11.85546875" customWidth="1"/>
    <col min="4905" max="4905" width="11.85546875" bestFit="1" customWidth="1"/>
    <col min="4906" max="4908" width="11.85546875" customWidth="1"/>
    <col min="4909" max="4909" width="13.140625" bestFit="1" customWidth="1"/>
    <col min="5132" max="5132" width="18.140625" bestFit="1" customWidth="1"/>
    <col min="5133" max="5133" width="18.140625" customWidth="1"/>
    <col min="5134" max="5139" width="11.85546875" bestFit="1" customWidth="1"/>
    <col min="5140" max="5140" width="11.85546875" customWidth="1"/>
    <col min="5141" max="5145" width="11.85546875" bestFit="1" customWidth="1"/>
    <col min="5146" max="5147" width="11.85546875" customWidth="1"/>
    <col min="5148" max="5152" width="11.85546875" bestFit="1" customWidth="1"/>
    <col min="5153" max="5155" width="11.85546875" customWidth="1"/>
    <col min="5156" max="5156" width="11.85546875" bestFit="1" customWidth="1"/>
    <col min="5157" max="5160" width="11.85546875" customWidth="1"/>
    <col min="5161" max="5161" width="11.85546875" bestFit="1" customWidth="1"/>
    <col min="5162" max="5164" width="11.85546875" customWidth="1"/>
    <col min="5165" max="5165" width="13.140625" bestFit="1" customWidth="1"/>
    <col min="5388" max="5388" width="18.140625" bestFit="1" customWidth="1"/>
    <col min="5389" max="5389" width="18.140625" customWidth="1"/>
    <col min="5390" max="5395" width="11.85546875" bestFit="1" customWidth="1"/>
    <col min="5396" max="5396" width="11.85546875" customWidth="1"/>
    <col min="5397" max="5401" width="11.85546875" bestFit="1" customWidth="1"/>
    <col min="5402" max="5403" width="11.85546875" customWidth="1"/>
    <col min="5404" max="5408" width="11.85546875" bestFit="1" customWidth="1"/>
    <col min="5409" max="5411" width="11.85546875" customWidth="1"/>
    <col min="5412" max="5412" width="11.85546875" bestFit="1" customWidth="1"/>
    <col min="5413" max="5416" width="11.85546875" customWidth="1"/>
    <col min="5417" max="5417" width="11.85546875" bestFit="1" customWidth="1"/>
    <col min="5418" max="5420" width="11.85546875" customWidth="1"/>
    <col min="5421" max="5421" width="13.140625" bestFit="1" customWidth="1"/>
    <col min="5644" max="5644" width="18.140625" bestFit="1" customWidth="1"/>
    <col min="5645" max="5645" width="18.140625" customWidth="1"/>
    <col min="5646" max="5651" width="11.85546875" bestFit="1" customWidth="1"/>
    <col min="5652" max="5652" width="11.85546875" customWidth="1"/>
    <col min="5653" max="5657" width="11.85546875" bestFit="1" customWidth="1"/>
    <col min="5658" max="5659" width="11.85546875" customWidth="1"/>
    <col min="5660" max="5664" width="11.85546875" bestFit="1" customWidth="1"/>
    <col min="5665" max="5667" width="11.85546875" customWidth="1"/>
    <col min="5668" max="5668" width="11.85546875" bestFit="1" customWidth="1"/>
    <col min="5669" max="5672" width="11.85546875" customWidth="1"/>
    <col min="5673" max="5673" width="11.85546875" bestFit="1" customWidth="1"/>
    <col min="5674" max="5676" width="11.85546875" customWidth="1"/>
    <col min="5677" max="5677" width="13.140625" bestFit="1" customWidth="1"/>
    <col min="5900" max="5900" width="18.140625" bestFit="1" customWidth="1"/>
    <col min="5901" max="5901" width="18.140625" customWidth="1"/>
    <col min="5902" max="5907" width="11.85546875" bestFit="1" customWidth="1"/>
    <col min="5908" max="5908" width="11.85546875" customWidth="1"/>
    <col min="5909" max="5913" width="11.85546875" bestFit="1" customWidth="1"/>
    <col min="5914" max="5915" width="11.85546875" customWidth="1"/>
    <col min="5916" max="5920" width="11.85546875" bestFit="1" customWidth="1"/>
    <col min="5921" max="5923" width="11.85546875" customWidth="1"/>
    <col min="5924" max="5924" width="11.85546875" bestFit="1" customWidth="1"/>
    <col min="5925" max="5928" width="11.85546875" customWidth="1"/>
    <col min="5929" max="5929" width="11.85546875" bestFit="1" customWidth="1"/>
    <col min="5930" max="5932" width="11.85546875" customWidth="1"/>
    <col min="5933" max="5933" width="13.140625" bestFit="1" customWidth="1"/>
    <col min="6156" max="6156" width="18.140625" bestFit="1" customWidth="1"/>
    <col min="6157" max="6157" width="18.140625" customWidth="1"/>
    <col min="6158" max="6163" width="11.85546875" bestFit="1" customWidth="1"/>
    <col min="6164" max="6164" width="11.85546875" customWidth="1"/>
    <col min="6165" max="6169" width="11.85546875" bestFit="1" customWidth="1"/>
    <col min="6170" max="6171" width="11.85546875" customWidth="1"/>
    <col min="6172" max="6176" width="11.85546875" bestFit="1" customWidth="1"/>
    <col min="6177" max="6179" width="11.85546875" customWidth="1"/>
    <col min="6180" max="6180" width="11.85546875" bestFit="1" customWidth="1"/>
    <col min="6181" max="6184" width="11.85546875" customWidth="1"/>
    <col min="6185" max="6185" width="11.85546875" bestFit="1" customWidth="1"/>
    <col min="6186" max="6188" width="11.85546875" customWidth="1"/>
    <col min="6189" max="6189" width="13.140625" bestFit="1" customWidth="1"/>
    <col min="6412" max="6412" width="18.140625" bestFit="1" customWidth="1"/>
    <col min="6413" max="6413" width="18.140625" customWidth="1"/>
    <col min="6414" max="6419" width="11.85546875" bestFit="1" customWidth="1"/>
    <col min="6420" max="6420" width="11.85546875" customWidth="1"/>
    <col min="6421" max="6425" width="11.85546875" bestFit="1" customWidth="1"/>
    <col min="6426" max="6427" width="11.85546875" customWidth="1"/>
    <col min="6428" max="6432" width="11.85546875" bestFit="1" customWidth="1"/>
    <col min="6433" max="6435" width="11.85546875" customWidth="1"/>
    <col min="6436" max="6436" width="11.85546875" bestFit="1" customWidth="1"/>
    <col min="6437" max="6440" width="11.85546875" customWidth="1"/>
    <col min="6441" max="6441" width="11.85546875" bestFit="1" customWidth="1"/>
    <col min="6442" max="6444" width="11.85546875" customWidth="1"/>
    <col min="6445" max="6445" width="13.140625" bestFit="1" customWidth="1"/>
    <col min="6668" max="6668" width="18.140625" bestFit="1" customWidth="1"/>
    <col min="6669" max="6669" width="18.140625" customWidth="1"/>
    <col min="6670" max="6675" width="11.85546875" bestFit="1" customWidth="1"/>
    <col min="6676" max="6676" width="11.85546875" customWidth="1"/>
    <col min="6677" max="6681" width="11.85546875" bestFit="1" customWidth="1"/>
    <col min="6682" max="6683" width="11.85546875" customWidth="1"/>
    <col min="6684" max="6688" width="11.85546875" bestFit="1" customWidth="1"/>
    <col min="6689" max="6691" width="11.85546875" customWidth="1"/>
    <col min="6692" max="6692" width="11.85546875" bestFit="1" customWidth="1"/>
    <col min="6693" max="6696" width="11.85546875" customWidth="1"/>
    <col min="6697" max="6697" width="11.85546875" bestFit="1" customWidth="1"/>
    <col min="6698" max="6700" width="11.85546875" customWidth="1"/>
    <col min="6701" max="6701" width="13.140625" bestFit="1" customWidth="1"/>
    <col min="6924" max="6924" width="18.140625" bestFit="1" customWidth="1"/>
    <col min="6925" max="6925" width="18.140625" customWidth="1"/>
    <col min="6926" max="6931" width="11.85546875" bestFit="1" customWidth="1"/>
    <col min="6932" max="6932" width="11.85546875" customWidth="1"/>
    <col min="6933" max="6937" width="11.85546875" bestFit="1" customWidth="1"/>
    <col min="6938" max="6939" width="11.85546875" customWidth="1"/>
    <col min="6940" max="6944" width="11.85546875" bestFit="1" customWidth="1"/>
    <col min="6945" max="6947" width="11.85546875" customWidth="1"/>
    <col min="6948" max="6948" width="11.85546875" bestFit="1" customWidth="1"/>
    <col min="6949" max="6952" width="11.85546875" customWidth="1"/>
    <col min="6953" max="6953" width="11.85546875" bestFit="1" customWidth="1"/>
    <col min="6954" max="6956" width="11.85546875" customWidth="1"/>
    <col min="6957" max="6957" width="13.140625" bestFit="1" customWidth="1"/>
    <col min="7180" max="7180" width="18.140625" bestFit="1" customWidth="1"/>
    <col min="7181" max="7181" width="18.140625" customWidth="1"/>
    <col min="7182" max="7187" width="11.85546875" bestFit="1" customWidth="1"/>
    <col min="7188" max="7188" width="11.85546875" customWidth="1"/>
    <col min="7189" max="7193" width="11.85546875" bestFit="1" customWidth="1"/>
    <col min="7194" max="7195" width="11.85546875" customWidth="1"/>
    <col min="7196" max="7200" width="11.85546875" bestFit="1" customWidth="1"/>
    <col min="7201" max="7203" width="11.85546875" customWidth="1"/>
    <col min="7204" max="7204" width="11.85546875" bestFit="1" customWidth="1"/>
    <col min="7205" max="7208" width="11.85546875" customWidth="1"/>
    <col min="7209" max="7209" width="11.85546875" bestFit="1" customWidth="1"/>
    <col min="7210" max="7212" width="11.85546875" customWidth="1"/>
    <col min="7213" max="7213" width="13.140625" bestFit="1" customWidth="1"/>
    <col min="7436" max="7436" width="18.140625" bestFit="1" customWidth="1"/>
    <col min="7437" max="7437" width="18.140625" customWidth="1"/>
    <col min="7438" max="7443" width="11.85546875" bestFit="1" customWidth="1"/>
    <col min="7444" max="7444" width="11.85546875" customWidth="1"/>
    <col min="7445" max="7449" width="11.85546875" bestFit="1" customWidth="1"/>
    <col min="7450" max="7451" width="11.85546875" customWidth="1"/>
    <col min="7452" max="7456" width="11.85546875" bestFit="1" customWidth="1"/>
    <col min="7457" max="7459" width="11.85546875" customWidth="1"/>
    <col min="7460" max="7460" width="11.85546875" bestFit="1" customWidth="1"/>
    <col min="7461" max="7464" width="11.85546875" customWidth="1"/>
    <col min="7465" max="7465" width="11.85546875" bestFit="1" customWidth="1"/>
    <col min="7466" max="7468" width="11.85546875" customWidth="1"/>
    <col min="7469" max="7469" width="13.140625" bestFit="1" customWidth="1"/>
    <col min="7692" max="7692" width="18.140625" bestFit="1" customWidth="1"/>
    <col min="7693" max="7693" width="18.140625" customWidth="1"/>
    <col min="7694" max="7699" width="11.85546875" bestFit="1" customWidth="1"/>
    <col min="7700" max="7700" width="11.85546875" customWidth="1"/>
    <col min="7701" max="7705" width="11.85546875" bestFit="1" customWidth="1"/>
    <col min="7706" max="7707" width="11.85546875" customWidth="1"/>
    <col min="7708" max="7712" width="11.85546875" bestFit="1" customWidth="1"/>
    <col min="7713" max="7715" width="11.85546875" customWidth="1"/>
    <col min="7716" max="7716" width="11.85546875" bestFit="1" customWidth="1"/>
    <col min="7717" max="7720" width="11.85546875" customWidth="1"/>
    <col min="7721" max="7721" width="11.85546875" bestFit="1" customWidth="1"/>
    <col min="7722" max="7724" width="11.85546875" customWidth="1"/>
    <col min="7725" max="7725" width="13.140625" bestFit="1" customWidth="1"/>
    <col min="7948" max="7948" width="18.140625" bestFit="1" customWidth="1"/>
    <col min="7949" max="7949" width="18.140625" customWidth="1"/>
    <col min="7950" max="7955" width="11.85546875" bestFit="1" customWidth="1"/>
    <col min="7956" max="7956" width="11.85546875" customWidth="1"/>
    <col min="7957" max="7961" width="11.85546875" bestFit="1" customWidth="1"/>
    <col min="7962" max="7963" width="11.85546875" customWidth="1"/>
    <col min="7964" max="7968" width="11.85546875" bestFit="1" customWidth="1"/>
    <col min="7969" max="7971" width="11.85546875" customWidth="1"/>
    <col min="7972" max="7972" width="11.85546875" bestFit="1" customWidth="1"/>
    <col min="7973" max="7976" width="11.85546875" customWidth="1"/>
    <col min="7977" max="7977" width="11.85546875" bestFit="1" customWidth="1"/>
    <col min="7978" max="7980" width="11.85546875" customWidth="1"/>
    <col min="7981" max="7981" width="13.140625" bestFit="1" customWidth="1"/>
    <col min="8204" max="8204" width="18.140625" bestFit="1" customWidth="1"/>
    <col min="8205" max="8205" width="18.140625" customWidth="1"/>
    <col min="8206" max="8211" width="11.85546875" bestFit="1" customWidth="1"/>
    <col min="8212" max="8212" width="11.85546875" customWidth="1"/>
    <col min="8213" max="8217" width="11.85546875" bestFit="1" customWidth="1"/>
    <col min="8218" max="8219" width="11.85546875" customWidth="1"/>
    <col min="8220" max="8224" width="11.85546875" bestFit="1" customWidth="1"/>
    <col min="8225" max="8227" width="11.85546875" customWidth="1"/>
    <col min="8228" max="8228" width="11.85546875" bestFit="1" customWidth="1"/>
    <col min="8229" max="8232" width="11.85546875" customWidth="1"/>
    <col min="8233" max="8233" width="11.85546875" bestFit="1" customWidth="1"/>
    <col min="8234" max="8236" width="11.85546875" customWidth="1"/>
    <col min="8237" max="8237" width="13.140625" bestFit="1" customWidth="1"/>
    <col min="8460" max="8460" width="18.140625" bestFit="1" customWidth="1"/>
    <col min="8461" max="8461" width="18.140625" customWidth="1"/>
    <col min="8462" max="8467" width="11.85546875" bestFit="1" customWidth="1"/>
    <col min="8468" max="8468" width="11.85546875" customWidth="1"/>
    <col min="8469" max="8473" width="11.85546875" bestFit="1" customWidth="1"/>
    <col min="8474" max="8475" width="11.85546875" customWidth="1"/>
    <col min="8476" max="8480" width="11.85546875" bestFit="1" customWidth="1"/>
    <col min="8481" max="8483" width="11.85546875" customWidth="1"/>
    <col min="8484" max="8484" width="11.85546875" bestFit="1" customWidth="1"/>
    <col min="8485" max="8488" width="11.85546875" customWidth="1"/>
    <col min="8489" max="8489" width="11.85546875" bestFit="1" customWidth="1"/>
    <col min="8490" max="8492" width="11.85546875" customWidth="1"/>
    <col min="8493" max="8493" width="13.140625" bestFit="1" customWidth="1"/>
    <col min="8716" max="8716" width="18.140625" bestFit="1" customWidth="1"/>
    <col min="8717" max="8717" width="18.140625" customWidth="1"/>
    <col min="8718" max="8723" width="11.85546875" bestFit="1" customWidth="1"/>
    <col min="8724" max="8724" width="11.85546875" customWidth="1"/>
    <col min="8725" max="8729" width="11.85546875" bestFit="1" customWidth="1"/>
    <col min="8730" max="8731" width="11.85546875" customWidth="1"/>
    <col min="8732" max="8736" width="11.85546875" bestFit="1" customWidth="1"/>
    <col min="8737" max="8739" width="11.85546875" customWidth="1"/>
    <col min="8740" max="8740" width="11.85546875" bestFit="1" customWidth="1"/>
    <col min="8741" max="8744" width="11.85546875" customWidth="1"/>
    <col min="8745" max="8745" width="11.85546875" bestFit="1" customWidth="1"/>
    <col min="8746" max="8748" width="11.85546875" customWidth="1"/>
    <col min="8749" max="8749" width="13.140625" bestFit="1" customWidth="1"/>
    <col min="8972" max="8972" width="18.140625" bestFit="1" customWidth="1"/>
    <col min="8973" max="8973" width="18.140625" customWidth="1"/>
    <col min="8974" max="8979" width="11.85546875" bestFit="1" customWidth="1"/>
    <col min="8980" max="8980" width="11.85546875" customWidth="1"/>
    <col min="8981" max="8985" width="11.85546875" bestFit="1" customWidth="1"/>
    <col min="8986" max="8987" width="11.85546875" customWidth="1"/>
    <col min="8988" max="8992" width="11.85546875" bestFit="1" customWidth="1"/>
    <col min="8993" max="8995" width="11.85546875" customWidth="1"/>
    <col min="8996" max="8996" width="11.85546875" bestFit="1" customWidth="1"/>
    <col min="8997" max="9000" width="11.85546875" customWidth="1"/>
    <col min="9001" max="9001" width="11.85546875" bestFit="1" customWidth="1"/>
    <col min="9002" max="9004" width="11.85546875" customWidth="1"/>
    <col min="9005" max="9005" width="13.140625" bestFit="1" customWidth="1"/>
    <col min="9228" max="9228" width="18.140625" bestFit="1" customWidth="1"/>
    <col min="9229" max="9229" width="18.140625" customWidth="1"/>
    <col min="9230" max="9235" width="11.85546875" bestFit="1" customWidth="1"/>
    <col min="9236" max="9236" width="11.85546875" customWidth="1"/>
    <col min="9237" max="9241" width="11.85546875" bestFit="1" customWidth="1"/>
    <col min="9242" max="9243" width="11.85546875" customWidth="1"/>
    <col min="9244" max="9248" width="11.85546875" bestFit="1" customWidth="1"/>
    <col min="9249" max="9251" width="11.85546875" customWidth="1"/>
    <col min="9252" max="9252" width="11.85546875" bestFit="1" customWidth="1"/>
    <col min="9253" max="9256" width="11.85546875" customWidth="1"/>
    <col min="9257" max="9257" width="11.85546875" bestFit="1" customWidth="1"/>
    <col min="9258" max="9260" width="11.85546875" customWidth="1"/>
    <col min="9261" max="9261" width="13.140625" bestFit="1" customWidth="1"/>
    <col min="9484" max="9484" width="18.140625" bestFit="1" customWidth="1"/>
    <col min="9485" max="9485" width="18.140625" customWidth="1"/>
    <col min="9486" max="9491" width="11.85546875" bestFit="1" customWidth="1"/>
    <col min="9492" max="9492" width="11.85546875" customWidth="1"/>
    <col min="9493" max="9497" width="11.85546875" bestFit="1" customWidth="1"/>
    <col min="9498" max="9499" width="11.85546875" customWidth="1"/>
    <col min="9500" max="9504" width="11.85546875" bestFit="1" customWidth="1"/>
    <col min="9505" max="9507" width="11.85546875" customWidth="1"/>
    <col min="9508" max="9508" width="11.85546875" bestFit="1" customWidth="1"/>
    <col min="9509" max="9512" width="11.85546875" customWidth="1"/>
    <col min="9513" max="9513" width="11.85546875" bestFit="1" customWidth="1"/>
    <col min="9514" max="9516" width="11.85546875" customWidth="1"/>
    <col min="9517" max="9517" width="13.140625" bestFit="1" customWidth="1"/>
    <col min="9740" max="9740" width="18.140625" bestFit="1" customWidth="1"/>
    <col min="9741" max="9741" width="18.140625" customWidth="1"/>
    <col min="9742" max="9747" width="11.85546875" bestFit="1" customWidth="1"/>
    <col min="9748" max="9748" width="11.85546875" customWidth="1"/>
    <col min="9749" max="9753" width="11.85546875" bestFit="1" customWidth="1"/>
    <col min="9754" max="9755" width="11.85546875" customWidth="1"/>
    <col min="9756" max="9760" width="11.85546875" bestFit="1" customWidth="1"/>
    <col min="9761" max="9763" width="11.85546875" customWidth="1"/>
    <col min="9764" max="9764" width="11.85546875" bestFit="1" customWidth="1"/>
    <col min="9765" max="9768" width="11.85546875" customWidth="1"/>
    <col min="9769" max="9769" width="11.85546875" bestFit="1" customWidth="1"/>
    <col min="9770" max="9772" width="11.85546875" customWidth="1"/>
    <col min="9773" max="9773" width="13.140625" bestFit="1" customWidth="1"/>
    <col min="9996" max="9996" width="18.140625" bestFit="1" customWidth="1"/>
    <col min="9997" max="9997" width="18.140625" customWidth="1"/>
    <col min="9998" max="10003" width="11.85546875" bestFit="1" customWidth="1"/>
    <col min="10004" max="10004" width="11.85546875" customWidth="1"/>
    <col min="10005" max="10009" width="11.85546875" bestFit="1" customWidth="1"/>
    <col min="10010" max="10011" width="11.85546875" customWidth="1"/>
    <col min="10012" max="10016" width="11.85546875" bestFit="1" customWidth="1"/>
    <col min="10017" max="10019" width="11.85546875" customWidth="1"/>
    <col min="10020" max="10020" width="11.85546875" bestFit="1" customWidth="1"/>
    <col min="10021" max="10024" width="11.85546875" customWidth="1"/>
    <col min="10025" max="10025" width="11.85546875" bestFit="1" customWidth="1"/>
    <col min="10026" max="10028" width="11.85546875" customWidth="1"/>
    <col min="10029" max="10029" width="13.140625" bestFit="1" customWidth="1"/>
    <col min="10252" max="10252" width="18.140625" bestFit="1" customWidth="1"/>
    <col min="10253" max="10253" width="18.140625" customWidth="1"/>
    <col min="10254" max="10259" width="11.85546875" bestFit="1" customWidth="1"/>
    <col min="10260" max="10260" width="11.85546875" customWidth="1"/>
    <col min="10261" max="10265" width="11.85546875" bestFit="1" customWidth="1"/>
    <col min="10266" max="10267" width="11.85546875" customWidth="1"/>
    <col min="10268" max="10272" width="11.85546875" bestFit="1" customWidth="1"/>
    <col min="10273" max="10275" width="11.85546875" customWidth="1"/>
    <col min="10276" max="10276" width="11.85546875" bestFit="1" customWidth="1"/>
    <col min="10277" max="10280" width="11.85546875" customWidth="1"/>
    <col min="10281" max="10281" width="11.85546875" bestFit="1" customWidth="1"/>
    <col min="10282" max="10284" width="11.85546875" customWidth="1"/>
    <col min="10285" max="10285" width="13.140625" bestFit="1" customWidth="1"/>
    <col min="10508" max="10508" width="18.140625" bestFit="1" customWidth="1"/>
    <col min="10509" max="10509" width="18.140625" customWidth="1"/>
    <col min="10510" max="10515" width="11.85546875" bestFit="1" customWidth="1"/>
    <col min="10516" max="10516" width="11.85546875" customWidth="1"/>
    <col min="10517" max="10521" width="11.85546875" bestFit="1" customWidth="1"/>
    <col min="10522" max="10523" width="11.85546875" customWidth="1"/>
    <col min="10524" max="10528" width="11.85546875" bestFit="1" customWidth="1"/>
    <col min="10529" max="10531" width="11.85546875" customWidth="1"/>
    <col min="10532" max="10532" width="11.85546875" bestFit="1" customWidth="1"/>
    <col min="10533" max="10536" width="11.85546875" customWidth="1"/>
    <col min="10537" max="10537" width="11.85546875" bestFit="1" customWidth="1"/>
    <col min="10538" max="10540" width="11.85546875" customWidth="1"/>
    <col min="10541" max="10541" width="13.140625" bestFit="1" customWidth="1"/>
    <col min="10764" max="10764" width="18.140625" bestFit="1" customWidth="1"/>
    <col min="10765" max="10765" width="18.140625" customWidth="1"/>
    <col min="10766" max="10771" width="11.85546875" bestFit="1" customWidth="1"/>
    <col min="10772" max="10772" width="11.85546875" customWidth="1"/>
    <col min="10773" max="10777" width="11.85546875" bestFit="1" customWidth="1"/>
    <col min="10778" max="10779" width="11.85546875" customWidth="1"/>
    <col min="10780" max="10784" width="11.85546875" bestFit="1" customWidth="1"/>
    <col min="10785" max="10787" width="11.85546875" customWidth="1"/>
    <col min="10788" max="10788" width="11.85546875" bestFit="1" customWidth="1"/>
    <col min="10789" max="10792" width="11.85546875" customWidth="1"/>
    <col min="10793" max="10793" width="11.85546875" bestFit="1" customWidth="1"/>
    <col min="10794" max="10796" width="11.85546875" customWidth="1"/>
    <col min="10797" max="10797" width="13.140625" bestFit="1" customWidth="1"/>
    <col min="11020" max="11020" width="18.140625" bestFit="1" customWidth="1"/>
    <col min="11021" max="11021" width="18.140625" customWidth="1"/>
    <col min="11022" max="11027" width="11.85546875" bestFit="1" customWidth="1"/>
    <col min="11028" max="11028" width="11.85546875" customWidth="1"/>
    <col min="11029" max="11033" width="11.85546875" bestFit="1" customWidth="1"/>
    <col min="11034" max="11035" width="11.85546875" customWidth="1"/>
    <col min="11036" max="11040" width="11.85546875" bestFit="1" customWidth="1"/>
    <col min="11041" max="11043" width="11.85546875" customWidth="1"/>
    <col min="11044" max="11044" width="11.85546875" bestFit="1" customWidth="1"/>
    <col min="11045" max="11048" width="11.85546875" customWidth="1"/>
    <col min="11049" max="11049" width="11.85546875" bestFit="1" customWidth="1"/>
    <col min="11050" max="11052" width="11.85546875" customWidth="1"/>
    <col min="11053" max="11053" width="13.140625" bestFit="1" customWidth="1"/>
    <col min="11276" max="11276" width="18.140625" bestFit="1" customWidth="1"/>
    <col min="11277" max="11277" width="18.140625" customWidth="1"/>
    <col min="11278" max="11283" width="11.85546875" bestFit="1" customWidth="1"/>
    <col min="11284" max="11284" width="11.85546875" customWidth="1"/>
    <col min="11285" max="11289" width="11.85546875" bestFit="1" customWidth="1"/>
    <col min="11290" max="11291" width="11.85546875" customWidth="1"/>
    <col min="11292" max="11296" width="11.85546875" bestFit="1" customWidth="1"/>
    <col min="11297" max="11299" width="11.85546875" customWidth="1"/>
    <col min="11300" max="11300" width="11.85546875" bestFit="1" customWidth="1"/>
    <col min="11301" max="11304" width="11.85546875" customWidth="1"/>
    <col min="11305" max="11305" width="11.85546875" bestFit="1" customWidth="1"/>
    <col min="11306" max="11308" width="11.85546875" customWidth="1"/>
    <col min="11309" max="11309" width="13.140625" bestFit="1" customWidth="1"/>
    <col min="11532" max="11532" width="18.140625" bestFit="1" customWidth="1"/>
    <col min="11533" max="11533" width="18.140625" customWidth="1"/>
    <col min="11534" max="11539" width="11.85546875" bestFit="1" customWidth="1"/>
    <col min="11540" max="11540" width="11.85546875" customWidth="1"/>
    <col min="11541" max="11545" width="11.85546875" bestFit="1" customWidth="1"/>
    <col min="11546" max="11547" width="11.85546875" customWidth="1"/>
    <col min="11548" max="11552" width="11.85546875" bestFit="1" customWidth="1"/>
    <col min="11553" max="11555" width="11.85546875" customWidth="1"/>
    <col min="11556" max="11556" width="11.85546875" bestFit="1" customWidth="1"/>
    <col min="11557" max="11560" width="11.85546875" customWidth="1"/>
    <col min="11561" max="11561" width="11.85546875" bestFit="1" customWidth="1"/>
    <col min="11562" max="11564" width="11.85546875" customWidth="1"/>
    <col min="11565" max="11565" width="13.140625" bestFit="1" customWidth="1"/>
    <col min="11788" max="11788" width="18.140625" bestFit="1" customWidth="1"/>
    <col min="11789" max="11789" width="18.140625" customWidth="1"/>
    <col min="11790" max="11795" width="11.85546875" bestFit="1" customWidth="1"/>
    <col min="11796" max="11796" width="11.85546875" customWidth="1"/>
    <col min="11797" max="11801" width="11.85546875" bestFit="1" customWidth="1"/>
    <col min="11802" max="11803" width="11.85546875" customWidth="1"/>
    <col min="11804" max="11808" width="11.85546875" bestFit="1" customWidth="1"/>
    <col min="11809" max="11811" width="11.85546875" customWidth="1"/>
    <col min="11812" max="11812" width="11.85546875" bestFit="1" customWidth="1"/>
    <col min="11813" max="11816" width="11.85546875" customWidth="1"/>
    <col min="11817" max="11817" width="11.85546875" bestFit="1" customWidth="1"/>
    <col min="11818" max="11820" width="11.85546875" customWidth="1"/>
    <col min="11821" max="11821" width="13.140625" bestFit="1" customWidth="1"/>
    <col min="12044" max="12044" width="18.140625" bestFit="1" customWidth="1"/>
    <col min="12045" max="12045" width="18.140625" customWidth="1"/>
    <col min="12046" max="12051" width="11.85546875" bestFit="1" customWidth="1"/>
    <col min="12052" max="12052" width="11.85546875" customWidth="1"/>
    <col min="12053" max="12057" width="11.85546875" bestFit="1" customWidth="1"/>
    <col min="12058" max="12059" width="11.85546875" customWidth="1"/>
    <col min="12060" max="12064" width="11.85546875" bestFit="1" customWidth="1"/>
    <col min="12065" max="12067" width="11.85546875" customWidth="1"/>
    <col min="12068" max="12068" width="11.85546875" bestFit="1" customWidth="1"/>
    <col min="12069" max="12072" width="11.85546875" customWidth="1"/>
    <col min="12073" max="12073" width="11.85546875" bestFit="1" customWidth="1"/>
    <col min="12074" max="12076" width="11.85546875" customWidth="1"/>
    <col min="12077" max="12077" width="13.140625" bestFit="1" customWidth="1"/>
    <col min="12300" max="12300" width="18.140625" bestFit="1" customWidth="1"/>
    <col min="12301" max="12301" width="18.140625" customWidth="1"/>
    <col min="12302" max="12307" width="11.85546875" bestFit="1" customWidth="1"/>
    <col min="12308" max="12308" width="11.85546875" customWidth="1"/>
    <col min="12309" max="12313" width="11.85546875" bestFit="1" customWidth="1"/>
    <col min="12314" max="12315" width="11.85546875" customWidth="1"/>
    <col min="12316" max="12320" width="11.85546875" bestFit="1" customWidth="1"/>
    <col min="12321" max="12323" width="11.85546875" customWidth="1"/>
    <col min="12324" max="12324" width="11.85546875" bestFit="1" customWidth="1"/>
    <col min="12325" max="12328" width="11.85546875" customWidth="1"/>
    <col min="12329" max="12329" width="11.85546875" bestFit="1" customWidth="1"/>
    <col min="12330" max="12332" width="11.85546875" customWidth="1"/>
    <col min="12333" max="12333" width="13.140625" bestFit="1" customWidth="1"/>
    <col min="12556" max="12556" width="18.140625" bestFit="1" customWidth="1"/>
    <col min="12557" max="12557" width="18.140625" customWidth="1"/>
    <col min="12558" max="12563" width="11.85546875" bestFit="1" customWidth="1"/>
    <col min="12564" max="12564" width="11.85546875" customWidth="1"/>
    <col min="12565" max="12569" width="11.85546875" bestFit="1" customWidth="1"/>
    <col min="12570" max="12571" width="11.85546875" customWidth="1"/>
    <col min="12572" max="12576" width="11.85546875" bestFit="1" customWidth="1"/>
    <col min="12577" max="12579" width="11.85546875" customWidth="1"/>
    <col min="12580" max="12580" width="11.85546875" bestFit="1" customWidth="1"/>
    <col min="12581" max="12584" width="11.85546875" customWidth="1"/>
    <col min="12585" max="12585" width="11.85546875" bestFit="1" customWidth="1"/>
    <col min="12586" max="12588" width="11.85546875" customWidth="1"/>
    <col min="12589" max="12589" width="13.140625" bestFit="1" customWidth="1"/>
    <col min="12812" max="12812" width="18.140625" bestFit="1" customWidth="1"/>
    <col min="12813" max="12813" width="18.140625" customWidth="1"/>
    <col min="12814" max="12819" width="11.85546875" bestFit="1" customWidth="1"/>
    <col min="12820" max="12820" width="11.85546875" customWidth="1"/>
    <col min="12821" max="12825" width="11.85546875" bestFit="1" customWidth="1"/>
    <col min="12826" max="12827" width="11.85546875" customWidth="1"/>
    <col min="12828" max="12832" width="11.85546875" bestFit="1" customWidth="1"/>
    <col min="12833" max="12835" width="11.85546875" customWidth="1"/>
    <col min="12836" max="12836" width="11.85546875" bestFit="1" customWidth="1"/>
    <col min="12837" max="12840" width="11.85546875" customWidth="1"/>
    <col min="12841" max="12841" width="11.85546875" bestFit="1" customWidth="1"/>
    <col min="12842" max="12844" width="11.85546875" customWidth="1"/>
    <col min="12845" max="12845" width="13.140625" bestFit="1" customWidth="1"/>
    <col min="13068" max="13068" width="18.140625" bestFit="1" customWidth="1"/>
    <col min="13069" max="13069" width="18.140625" customWidth="1"/>
    <col min="13070" max="13075" width="11.85546875" bestFit="1" customWidth="1"/>
    <col min="13076" max="13076" width="11.85546875" customWidth="1"/>
    <col min="13077" max="13081" width="11.85546875" bestFit="1" customWidth="1"/>
    <col min="13082" max="13083" width="11.85546875" customWidth="1"/>
    <col min="13084" max="13088" width="11.85546875" bestFit="1" customWidth="1"/>
    <col min="13089" max="13091" width="11.85546875" customWidth="1"/>
    <col min="13092" max="13092" width="11.85546875" bestFit="1" customWidth="1"/>
    <col min="13093" max="13096" width="11.85546875" customWidth="1"/>
    <col min="13097" max="13097" width="11.85546875" bestFit="1" customWidth="1"/>
    <col min="13098" max="13100" width="11.85546875" customWidth="1"/>
    <col min="13101" max="13101" width="13.140625" bestFit="1" customWidth="1"/>
    <col min="13324" max="13324" width="18.140625" bestFit="1" customWidth="1"/>
    <col min="13325" max="13325" width="18.140625" customWidth="1"/>
    <col min="13326" max="13331" width="11.85546875" bestFit="1" customWidth="1"/>
    <col min="13332" max="13332" width="11.85546875" customWidth="1"/>
    <col min="13333" max="13337" width="11.85546875" bestFit="1" customWidth="1"/>
    <col min="13338" max="13339" width="11.85546875" customWidth="1"/>
    <col min="13340" max="13344" width="11.85546875" bestFit="1" customWidth="1"/>
    <col min="13345" max="13347" width="11.85546875" customWidth="1"/>
    <col min="13348" max="13348" width="11.85546875" bestFit="1" customWidth="1"/>
    <col min="13349" max="13352" width="11.85546875" customWidth="1"/>
    <col min="13353" max="13353" width="11.85546875" bestFit="1" customWidth="1"/>
    <col min="13354" max="13356" width="11.85546875" customWidth="1"/>
    <col min="13357" max="13357" width="13.140625" bestFit="1" customWidth="1"/>
    <col min="13580" max="13580" width="18.140625" bestFit="1" customWidth="1"/>
    <col min="13581" max="13581" width="18.140625" customWidth="1"/>
    <col min="13582" max="13587" width="11.85546875" bestFit="1" customWidth="1"/>
    <col min="13588" max="13588" width="11.85546875" customWidth="1"/>
    <col min="13589" max="13593" width="11.85546875" bestFit="1" customWidth="1"/>
    <col min="13594" max="13595" width="11.85546875" customWidth="1"/>
    <col min="13596" max="13600" width="11.85546875" bestFit="1" customWidth="1"/>
    <col min="13601" max="13603" width="11.85546875" customWidth="1"/>
    <col min="13604" max="13604" width="11.85546875" bestFit="1" customWidth="1"/>
    <col min="13605" max="13608" width="11.85546875" customWidth="1"/>
    <col min="13609" max="13609" width="11.85546875" bestFit="1" customWidth="1"/>
    <col min="13610" max="13612" width="11.85546875" customWidth="1"/>
    <col min="13613" max="13613" width="13.140625" bestFit="1" customWidth="1"/>
    <col min="13836" max="13836" width="18.140625" bestFit="1" customWidth="1"/>
    <col min="13837" max="13837" width="18.140625" customWidth="1"/>
    <col min="13838" max="13843" width="11.85546875" bestFit="1" customWidth="1"/>
    <col min="13844" max="13844" width="11.85546875" customWidth="1"/>
    <col min="13845" max="13849" width="11.85546875" bestFit="1" customWidth="1"/>
    <col min="13850" max="13851" width="11.85546875" customWidth="1"/>
    <col min="13852" max="13856" width="11.85546875" bestFit="1" customWidth="1"/>
    <col min="13857" max="13859" width="11.85546875" customWidth="1"/>
    <col min="13860" max="13860" width="11.85546875" bestFit="1" customWidth="1"/>
    <col min="13861" max="13864" width="11.85546875" customWidth="1"/>
    <col min="13865" max="13865" width="11.85546875" bestFit="1" customWidth="1"/>
    <col min="13866" max="13868" width="11.85546875" customWidth="1"/>
    <col min="13869" max="13869" width="13.140625" bestFit="1" customWidth="1"/>
    <col min="14092" max="14092" width="18.140625" bestFit="1" customWidth="1"/>
    <col min="14093" max="14093" width="18.140625" customWidth="1"/>
    <col min="14094" max="14099" width="11.85546875" bestFit="1" customWidth="1"/>
    <col min="14100" max="14100" width="11.85546875" customWidth="1"/>
    <col min="14101" max="14105" width="11.85546875" bestFit="1" customWidth="1"/>
    <col min="14106" max="14107" width="11.85546875" customWidth="1"/>
    <col min="14108" max="14112" width="11.85546875" bestFit="1" customWidth="1"/>
    <col min="14113" max="14115" width="11.85546875" customWidth="1"/>
    <col min="14116" max="14116" width="11.85546875" bestFit="1" customWidth="1"/>
    <col min="14117" max="14120" width="11.85546875" customWidth="1"/>
    <col min="14121" max="14121" width="11.85546875" bestFit="1" customWidth="1"/>
    <col min="14122" max="14124" width="11.85546875" customWidth="1"/>
    <col min="14125" max="14125" width="13.140625" bestFit="1" customWidth="1"/>
    <col min="14348" max="14348" width="18.140625" bestFit="1" customWidth="1"/>
    <col min="14349" max="14349" width="18.140625" customWidth="1"/>
    <col min="14350" max="14355" width="11.85546875" bestFit="1" customWidth="1"/>
    <col min="14356" max="14356" width="11.85546875" customWidth="1"/>
    <col min="14357" max="14361" width="11.85546875" bestFit="1" customWidth="1"/>
    <col min="14362" max="14363" width="11.85546875" customWidth="1"/>
    <col min="14364" max="14368" width="11.85546875" bestFit="1" customWidth="1"/>
    <col min="14369" max="14371" width="11.85546875" customWidth="1"/>
    <col min="14372" max="14372" width="11.85546875" bestFit="1" customWidth="1"/>
    <col min="14373" max="14376" width="11.85546875" customWidth="1"/>
    <col min="14377" max="14377" width="11.85546875" bestFit="1" customWidth="1"/>
    <col min="14378" max="14380" width="11.85546875" customWidth="1"/>
    <col min="14381" max="14381" width="13.140625" bestFit="1" customWidth="1"/>
    <col min="14604" max="14604" width="18.140625" bestFit="1" customWidth="1"/>
    <col min="14605" max="14605" width="18.140625" customWidth="1"/>
    <col min="14606" max="14611" width="11.85546875" bestFit="1" customWidth="1"/>
    <col min="14612" max="14612" width="11.85546875" customWidth="1"/>
    <col min="14613" max="14617" width="11.85546875" bestFit="1" customWidth="1"/>
    <col min="14618" max="14619" width="11.85546875" customWidth="1"/>
    <col min="14620" max="14624" width="11.85546875" bestFit="1" customWidth="1"/>
    <col min="14625" max="14627" width="11.85546875" customWidth="1"/>
    <col min="14628" max="14628" width="11.85546875" bestFit="1" customWidth="1"/>
    <col min="14629" max="14632" width="11.85546875" customWidth="1"/>
    <col min="14633" max="14633" width="11.85546875" bestFit="1" customWidth="1"/>
    <col min="14634" max="14636" width="11.85546875" customWidth="1"/>
    <col min="14637" max="14637" width="13.140625" bestFit="1" customWidth="1"/>
    <col min="14860" max="14860" width="18.140625" bestFit="1" customWidth="1"/>
    <col min="14861" max="14861" width="18.140625" customWidth="1"/>
    <col min="14862" max="14867" width="11.85546875" bestFit="1" customWidth="1"/>
    <col min="14868" max="14868" width="11.85546875" customWidth="1"/>
    <col min="14869" max="14873" width="11.85546875" bestFit="1" customWidth="1"/>
    <col min="14874" max="14875" width="11.85546875" customWidth="1"/>
    <col min="14876" max="14880" width="11.85546875" bestFit="1" customWidth="1"/>
    <col min="14881" max="14883" width="11.85546875" customWidth="1"/>
    <col min="14884" max="14884" width="11.85546875" bestFit="1" customWidth="1"/>
    <col min="14885" max="14888" width="11.85546875" customWidth="1"/>
    <col min="14889" max="14889" width="11.85546875" bestFit="1" customWidth="1"/>
    <col min="14890" max="14892" width="11.85546875" customWidth="1"/>
    <col min="14893" max="14893" width="13.140625" bestFit="1" customWidth="1"/>
    <col min="15116" max="15116" width="18.140625" bestFit="1" customWidth="1"/>
    <col min="15117" max="15117" width="18.140625" customWidth="1"/>
    <col min="15118" max="15123" width="11.85546875" bestFit="1" customWidth="1"/>
    <col min="15124" max="15124" width="11.85546875" customWidth="1"/>
    <col min="15125" max="15129" width="11.85546875" bestFit="1" customWidth="1"/>
    <col min="15130" max="15131" width="11.85546875" customWidth="1"/>
    <col min="15132" max="15136" width="11.85546875" bestFit="1" customWidth="1"/>
    <col min="15137" max="15139" width="11.85546875" customWidth="1"/>
    <col min="15140" max="15140" width="11.85546875" bestFit="1" customWidth="1"/>
    <col min="15141" max="15144" width="11.85546875" customWidth="1"/>
    <col min="15145" max="15145" width="11.85546875" bestFit="1" customWidth="1"/>
    <col min="15146" max="15148" width="11.85546875" customWidth="1"/>
    <col min="15149" max="15149" width="13.140625" bestFit="1" customWidth="1"/>
    <col min="15372" max="15372" width="18.140625" bestFit="1" customWidth="1"/>
    <col min="15373" max="15373" width="18.140625" customWidth="1"/>
    <col min="15374" max="15379" width="11.85546875" bestFit="1" customWidth="1"/>
    <col min="15380" max="15380" width="11.85546875" customWidth="1"/>
    <col min="15381" max="15385" width="11.85546875" bestFit="1" customWidth="1"/>
    <col min="15386" max="15387" width="11.85546875" customWidth="1"/>
    <col min="15388" max="15392" width="11.85546875" bestFit="1" customWidth="1"/>
    <col min="15393" max="15395" width="11.85546875" customWidth="1"/>
    <col min="15396" max="15396" width="11.85546875" bestFit="1" customWidth="1"/>
    <col min="15397" max="15400" width="11.85546875" customWidth="1"/>
    <col min="15401" max="15401" width="11.85546875" bestFit="1" customWidth="1"/>
    <col min="15402" max="15404" width="11.85546875" customWidth="1"/>
    <col min="15405" max="15405" width="13.140625" bestFit="1" customWidth="1"/>
    <col min="15628" max="15628" width="18.140625" bestFit="1" customWidth="1"/>
    <col min="15629" max="15629" width="18.140625" customWidth="1"/>
    <col min="15630" max="15635" width="11.85546875" bestFit="1" customWidth="1"/>
    <col min="15636" max="15636" width="11.85546875" customWidth="1"/>
    <col min="15637" max="15641" width="11.85546875" bestFit="1" customWidth="1"/>
    <col min="15642" max="15643" width="11.85546875" customWidth="1"/>
    <col min="15644" max="15648" width="11.85546875" bestFit="1" customWidth="1"/>
    <col min="15649" max="15651" width="11.85546875" customWidth="1"/>
    <col min="15652" max="15652" width="11.85546875" bestFit="1" customWidth="1"/>
    <col min="15653" max="15656" width="11.85546875" customWidth="1"/>
    <col min="15657" max="15657" width="11.85546875" bestFit="1" customWidth="1"/>
    <col min="15658" max="15660" width="11.85546875" customWidth="1"/>
    <col min="15661" max="15661" width="13.140625" bestFit="1" customWidth="1"/>
    <col min="15884" max="15884" width="18.140625" bestFit="1" customWidth="1"/>
    <col min="15885" max="15885" width="18.140625" customWidth="1"/>
    <col min="15886" max="15891" width="11.85546875" bestFit="1" customWidth="1"/>
    <col min="15892" max="15892" width="11.85546875" customWidth="1"/>
    <col min="15893" max="15897" width="11.85546875" bestFit="1" customWidth="1"/>
    <col min="15898" max="15899" width="11.85546875" customWidth="1"/>
    <col min="15900" max="15904" width="11.85546875" bestFit="1" customWidth="1"/>
    <col min="15905" max="15907" width="11.85546875" customWidth="1"/>
    <col min="15908" max="15908" width="11.85546875" bestFit="1" customWidth="1"/>
    <col min="15909" max="15912" width="11.85546875" customWidth="1"/>
    <col min="15913" max="15913" width="11.85546875" bestFit="1" customWidth="1"/>
    <col min="15914" max="15916" width="11.85546875" customWidth="1"/>
    <col min="15917" max="15917" width="13.140625" bestFit="1" customWidth="1"/>
    <col min="16140" max="16140" width="18.140625" bestFit="1" customWidth="1"/>
    <col min="16141" max="16141" width="18.140625" customWidth="1"/>
    <col min="16142" max="16147" width="11.85546875" bestFit="1" customWidth="1"/>
    <col min="16148" max="16148" width="11.85546875" customWidth="1"/>
    <col min="16149" max="16153" width="11.85546875" bestFit="1" customWidth="1"/>
    <col min="16154" max="16155" width="11.85546875" customWidth="1"/>
    <col min="16156" max="16160" width="11.85546875" bestFit="1" customWidth="1"/>
    <col min="16161" max="16163" width="11.85546875" customWidth="1"/>
    <col min="16164" max="16164" width="11.85546875" bestFit="1" customWidth="1"/>
    <col min="16165" max="16168" width="11.85546875" customWidth="1"/>
    <col min="16169" max="16169" width="11.85546875" bestFit="1" customWidth="1"/>
    <col min="16170" max="16172" width="11.85546875" customWidth="1"/>
    <col min="16173" max="16173" width="13.140625" bestFit="1" customWidth="1"/>
  </cols>
  <sheetData>
    <row r="1" spans="1:63" x14ac:dyDescent="0.25">
      <c r="A1" s="231" t="s">
        <v>31</v>
      </c>
      <c r="B1" s="231" t="s">
        <v>32</v>
      </c>
      <c r="C1" s="66" t="s">
        <v>10</v>
      </c>
      <c r="D1" s="66" t="s">
        <v>65</v>
      </c>
      <c r="E1" s="66" t="s">
        <v>66</v>
      </c>
      <c r="F1" s="66" t="s">
        <v>67</v>
      </c>
      <c r="G1" s="66" t="s">
        <v>33</v>
      </c>
      <c r="H1" s="66" t="s">
        <v>34</v>
      </c>
      <c r="I1" s="66" t="s">
        <v>35</v>
      </c>
      <c r="J1" s="66" t="s">
        <v>36</v>
      </c>
      <c r="K1" s="66" t="s">
        <v>37</v>
      </c>
      <c r="L1" s="66" t="s">
        <v>38</v>
      </c>
      <c r="M1" s="66" t="s">
        <v>39</v>
      </c>
      <c r="N1" s="66" t="s">
        <v>40</v>
      </c>
      <c r="O1" s="66" t="s">
        <v>41</v>
      </c>
      <c r="P1" s="66" t="s">
        <v>42</v>
      </c>
      <c r="Q1" s="66" t="s">
        <v>43</v>
      </c>
      <c r="R1" s="179" t="s">
        <v>44</v>
      </c>
      <c r="S1" s="180" t="s">
        <v>45</v>
      </c>
      <c r="T1" s="180" t="s">
        <v>46</v>
      </c>
      <c r="U1" s="180" t="s">
        <v>47</v>
      </c>
      <c r="V1" s="180" t="s">
        <v>48</v>
      </c>
      <c r="W1" s="180" t="s">
        <v>49</v>
      </c>
      <c r="X1" s="180" t="s">
        <v>50</v>
      </c>
      <c r="Y1" s="180" t="s">
        <v>51</v>
      </c>
      <c r="Z1" s="180" t="s">
        <v>52</v>
      </c>
      <c r="AA1" s="180" t="s">
        <v>53</v>
      </c>
      <c r="AB1" s="180" t="s">
        <v>54</v>
      </c>
      <c r="AC1" s="180" t="s">
        <v>55</v>
      </c>
      <c r="AD1" s="180" t="s">
        <v>56</v>
      </c>
      <c r="AE1" s="180" t="s">
        <v>57</v>
      </c>
      <c r="AF1" s="180" t="s">
        <v>58</v>
      </c>
      <c r="AG1" s="180" t="s">
        <v>59</v>
      </c>
      <c r="AH1" s="194" t="s">
        <v>60</v>
      </c>
      <c r="AI1" s="194" t="s">
        <v>61</v>
      </c>
      <c r="AJ1" s="194" t="s">
        <v>62</v>
      </c>
      <c r="AK1" s="67" t="s">
        <v>63</v>
      </c>
      <c r="AL1" s="67" t="s">
        <v>64</v>
      </c>
      <c r="AM1" s="67" t="s">
        <v>86</v>
      </c>
      <c r="AN1" s="67" t="s">
        <v>87</v>
      </c>
      <c r="AO1" s="67" t="s">
        <v>88</v>
      </c>
      <c r="AP1" s="67" t="s">
        <v>89</v>
      </c>
      <c r="AQ1" s="67" t="s">
        <v>108</v>
      </c>
      <c r="AR1" s="67" t="s">
        <v>109</v>
      </c>
      <c r="AS1" s="67" t="s">
        <v>110</v>
      </c>
      <c r="AT1" s="67" t="s">
        <v>111</v>
      </c>
      <c r="AU1" s="67" t="s">
        <v>112</v>
      </c>
      <c r="AV1" s="67" t="s">
        <v>129</v>
      </c>
      <c r="AW1" s="67" t="s">
        <v>130</v>
      </c>
      <c r="AX1" s="67" t="s">
        <v>133</v>
      </c>
      <c r="AY1" s="67" t="s">
        <v>134</v>
      </c>
      <c r="AZ1" s="67" t="s">
        <v>146</v>
      </c>
      <c r="BA1" s="67" t="s">
        <v>147</v>
      </c>
      <c r="BB1" s="67" t="s">
        <v>148</v>
      </c>
      <c r="BC1" s="67" t="s">
        <v>10</v>
      </c>
      <c r="BD1" s="67" t="s">
        <v>65</v>
      </c>
      <c r="BE1" s="67" t="s">
        <v>66</v>
      </c>
      <c r="BF1" s="67" t="s">
        <v>67</v>
      </c>
      <c r="BG1" s="67" t="s">
        <v>33</v>
      </c>
      <c r="BH1" s="67" t="s">
        <v>34</v>
      </c>
      <c r="BI1" s="67" t="s">
        <v>35</v>
      </c>
      <c r="BJ1" s="67" t="s">
        <v>36</v>
      </c>
      <c r="BK1" s="67" t="s">
        <v>37</v>
      </c>
    </row>
    <row r="2" spans="1:63" x14ac:dyDescent="0.25">
      <c r="A2" s="231"/>
      <c r="B2" s="231"/>
      <c r="C2" s="68">
        <v>45901</v>
      </c>
      <c r="D2" s="68">
        <v>45908</v>
      </c>
      <c r="E2" s="68">
        <v>45915</v>
      </c>
      <c r="F2" s="68">
        <v>45922</v>
      </c>
      <c r="G2" s="68">
        <v>45929</v>
      </c>
      <c r="H2" s="68">
        <v>45936</v>
      </c>
      <c r="I2" s="68">
        <v>45943</v>
      </c>
      <c r="J2" s="68">
        <v>45950</v>
      </c>
      <c r="K2" s="68">
        <v>45957</v>
      </c>
      <c r="L2" s="68">
        <v>45964</v>
      </c>
      <c r="M2" s="68">
        <v>45971</v>
      </c>
      <c r="N2" s="68">
        <v>45978</v>
      </c>
      <c r="O2" s="68">
        <v>45985</v>
      </c>
      <c r="P2" s="68">
        <v>45992</v>
      </c>
      <c r="Q2" s="68">
        <v>45999</v>
      </c>
      <c r="R2" s="181">
        <v>46006</v>
      </c>
      <c r="S2" s="181">
        <v>46013</v>
      </c>
      <c r="T2" s="181">
        <v>46020</v>
      </c>
      <c r="U2" s="181">
        <v>46027</v>
      </c>
      <c r="V2" s="181">
        <v>46034</v>
      </c>
      <c r="W2" s="181">
        <v>46041</v>
      </c>
      <c r="X2" s="181">
        <v>46048</v>
      </c>
      <c r="Y2" s="181">
        <v>46055</v>
      </c>
      <c r="Z2" s="181">
        <v>46062</v>
      </c>
      <c r="AA2" s="181">
        <v>46069</v>
      </c>
      <c r="AB2" s="181">
        <v>46076</v>
      </c>
      <c r="AC2" s="181">
        <v>46083</v>
      </c>
      <c r="AD2" s="181">
        <v>46090</v>
      </c>
      <c r="AE2" s="181">
        <v>46097</v>
      </c>
      <c r="AF2" s="181">
        <v>46104</v>
      </c>
      <c r="AG2" s="181">
        <v>46111</v>
      </c>
      <c r="AH2" s="68">
        <v>46118</v>
      </c>
      <c r="AI2" s="68">
        <v>46125</v>
      </c>
      <c r="AJ2" s="68">
        <v>46132</v>
      </c>
      <c r="AK2" s="69">
        <v>46139</v>
      </c>
      <c r="AL2" s="69">
        <v>46146</v>
      </c>
      <c r="AM2" s="69">
        <v>46153</v>
      </c>
      <c r="AN2" s="69">
        <v>46160</v>
      </c>
      <c r="AO2" s="69">
        <v>46167</v>
      </c>
      <c r="AP2" s="69">
        <v>46174</v>
      </c>
      <c r="AQ2" s="69">
        <v>46181</v>
      </c>
      <c r="AR2" s="69">
        <v>46188</v>
      </c>
      <c r="AS2" s="69">
        <v>46195</v>
      </c>
      <c r="AT2" s="69">
        <v>46202</v>
      </c>
      <c r="AU2" s="69">
        <v>46209</v>
      </c>
      <c r="AV2" s="69">
        <v>46216</v>
      </c>
      <c r="AW2" s="69">
        <v>46223</v>
      </c>
      <c r="AX2" s="69">
        <v>46230</v>
      </c>
      <c r="AY2" s="69">
        <v>46237</v>
      </c>
      <c r="AZ2" s="69">
        <v>46244</v>
      </c>
      <c r="BA2" s="69">
        <v>46251</v>
      </c>
      <c r="BB2" s="69">
        <v>46258</v>
      </c>
      <c r="BC2" s="69">
        <v>46265</v>
      </c>
      <c r="BD2" s="69">
        <v>46266</v>
      </c>
      <c r="BE2" s="69">
        <v>46267</v>
      </c>
      <c r="BF2" s="69">
        <v>46268</v>
      </c>
      <c r="BG2" s="69">
        <v>46269</v>
      </c>
      <c r="BH2" s="69">
        <v>46270</v>
      </c>
      <c r="BI2" s="69">
        <v>46271</v>
      </c>
      <c r="BJ2" s="69">
        <v>46272</v>
      </c>
      <c r="BK2" s="69">
        <v>46273</v>
      </c>
    </row>
    <row r="3" spans="1:63" x14ac:dyDescent="0.25">
      <c r="A3" s="70">
        <v>32332630</v>
      </c>
      <c r="B3" s="71">
        <v>5180033</v>
      </c>
      <c r="C3" s="72">
        <v>0</v>
      </c>
      <c r="D3" s="72">
        <v>0</v>
      </c>
      <c r="E3" s="72">
        <v>0</v>
      </c>
      <c r="F3" s="72">
        <v>0</v>
      </c>
      <c r="G3" s="72">
        <v>0</v>
      </c>
      <c r="H3" s="72">
        <v>0</v>
      </c>
      <c r="I3" s="72">
        <v>0</v>
      </c>
      <c r="J3" s="72">
        <v>0</v>
      </c>
      <c r="K3" s="119">
        <v>0</v>
      </c>
      <c r="L3" s="72">
        <v>0</v>
      </c>
      <c r="M3" s="72">
        <v>0</v>
      </c>
      <c r="N3" s="72">
        <v>0</v>
      </c>
      <c r="O3" s="72">
        <v>0</v>
      </c>
      <c r="P3" s="72">
        <v>0</v>
      </c>
      <c r="Q3" s="72">
        <v>0</v>
      </c>
      <c r="R3" s="72">
        <v>0</v>
      </c>
      <c r="S3" s="72">
        <v>0</v>
      </c>
      <c r="T3" s="72">
        <v>0</v>
      </c>
      <c r="U3" s="72">
        <v>0</v>
      </c>
      <c r="V3" s="72">
        <v>0</v>
      </c>
      <c r="W3" s="72">
        <v>0</v>
      </c>
      <c r="X3" s="72">
        <v>0</v>
      </c>
      <c r="Y3" s="72">
        <v>0</v>
      </c>
      <c r="Z3" s="72">
        <v>0</v>
      </c>
      <c r="AA3" s="72">
        <v>0</v>
      </c>
      <c r="AB3" s="72">
        <v>0</v>
      </c>
      <c r="AC3" s="72">
        <v>0</v>
      </c>
      <c r="AD3" s="72">
        <v>0</v>
      </c>
      <c r="AE3" s="72">
        <v>0</v>
      </c>
      <c r="AF3" s="72">
        <v>0</v>
      </c>
      <c r="AG3" s="72">
        <v>0</v>
      </c>
      <c r="AH3" s="72">
        <v>0</v>
      </c>
      <c r="AI3" s="72">
        <v>0</v>
      </c>
      <c r="AJ3" s="72">
        <v>0</v>
      </c>
      <c r="AK3" s="72">
        <v>0</v>
      </c>
      <c r="AL3" s="72">
        <v>0</v>
      </c>
      <c r="AM3" s="72">
        <v>0</v>
      </c>
      <c r="AN3" s="72">
        <v>0</v>
      </c>
      <c r="AO3" s="72">
        <v>0</v>
      </c>
      <c r="AP3" s="72">
        <v>0</v>
      </c>
      <c r="AQ3" s="72">
        <v>0</v>
      </c>
      <c r="AR3" s="72">
        <v>0</v>
      </c>
      <c r="AS3" s="72">
        <v>0</v>
      </c>
      <c r="AT3" s="72">
        <v>0</v>
      </c>
      <c r="AU3" s="72">
        <v>0</v>
      </c>
      <c r="AV3" s="72">
        <v>0</v>
      </c>
      <c r="AW3" s="72">
        <v>0</v>
      </c>
      <c r="AX3" s="72">
        <v>0</v>
      </c>
      <c r="AY3" s="72">
        <v>0</v>
      </c>
      <c r="AZ3" s="72">
        <v>0</v>
      </c>
      <c r="BA3" s="72">
        <v>0</v>
      </c>
      <c r="BB3" s="72">
        <v>0</v>
      </c>
      <c r="BC3" s="72">
        <v>0</v>
      </c>
      <c r="BD3" s="72">
        <v>0</v>
      </c>
      <c r="BE3" s="72">
        <v>0</v>
      </c>
      <c r="BF3" s="72">
        <v>0</v>
      </c>
      <c r="BG3" s="72">
        <v>0</v>
      </c>
      <c r="BH3" s="72">
        <v>0</v>
      </c>
      <c r="BI3" s="72">
        <v>0</v>
      </c>
      <c r="BJ3" s="72">
        <v>0</v>
      </c>
      <c r="BK3" s="72">
        <v>0</v>
      </c>
    </row>
    <row r="4" spans="1:63" x14ac:dyDescent="0.25">
      <c r="A4" s="74">
        <v>32332629</v>
      </c>
      <c r="B4" s="75">
        <v>5180041</v>
      </c>
      <c r="C4" s="76">
        <v>0</v>
      </c>
      <c r="D4" s="76">
        <v>0</v>
      </c>
      <c r="E4" s="76">
        <v>0</v>
      </c>
      <c r="F4" s="76">
        <v>0</v>
      </c>
      <c r="G4" s="76">
        <v>0</v>
      </c>
      <c r="H4" s="76">
        <v>0</v>
      </c>
      <c r="I4" s="76">
        <v>0</v>
      </c>
      <c r="J4" s="76">
        <v>0</v>
      </c>
      <c r="K4" s="120">
        <v>0</v>
      </c>
      <c r="L4" s="76">
        <v>0</v>
      </c>
      <c r="M4" s="76">
        <v>0</v>
      </c>
      <c r="N4" s="76">
        <v>0</v>
      </c>
      <c r="O4" s="76">
        <v>0</v>
      </c>
      <c r="P4" s="76">
        <v>0</v>
      </c>
      <c r="Q4" s="76">
        <v>0</v>
      </c>
      <c r="R4" s="76">
        <v>0</v>
      </c>
      <c r="S4" s="76">
        <v>0</v>
      </c>
      <c r="T4" s="76">
        <v>0</v>
      </c>
      <c r="U4" s="76">
        <v>0</v>
      </c>
      <c r="V4" s="76">
        <v>0</v>
      </c>
      <c r="W4" s="76">
        <v>0</v>
      </c>
      <c r="X4" s="76">
        <v>0</v>
      </c>
      <c r="Y4" s="76">
        <v>0</v>
      </c>
      <c r="Z4" s="76">
        <v>0</v>
      </c>
      <c r="AA4" s="76">
        <v>0</v>
      </c>
      <c r="AB4" s="76">
        <v>0</v>
      </c>
      <c r="AC4" s="76">
        <v>0</v>
      </c>
      <c r="AD4" s="76">
        <v>0</v>
      </c>
      <c r="AE4" s="76">
        <v>0</v>
      </c>
      <c r="AF4" s="76">
        <v>0</v>
      </c>
      <c r="AG4" s="76">
        <v>0</v>
      </c>
      <c r="AH4" s="76">
        <v>0</v>
      </c>
      <c r="AI4" s="76">
        <v>0</v>
      </c>
      <c r="AJ4" s="76">
        <v>0</v>
      </c>
      <c r="AK4" s="76">
        <v>0</v>
      </c>
      <c r="AL4" s="76">
        <v>0</v>
      </c>
      <c r="AM4" s="76">
        <v>0</v>
      </c>
      <c r="AN4" s="76">
        <v>0</v>
      </c>
      <c r="AO4" s="76">
        <v>0</v>
      </c>
      <c r="AP4" s="76">
        <v>0</v>
      </c>
      <c r="AQ4" s="76">
        <v>0</v>
      </c>
      <c r="AR4" s="76">
        <v>0</v>
      </c>
      <c r="AS4" s="76">
        <v>0</v>
      </c>
      <c r="AT4" s="76">
        <v>0</v>
      </c>
      <c r="AU4" s="76">
        <v>0</v>
      </c>
      <c r="AV4" s="76">
        <v>0</v>
      </c>
      <c r="AW4" s="76">
        <v>0</v>
      </c>
      <c r="AX4" s="76">
        <v>0</v>
      </c>
      <c r="AY4" s="76">
        <v>0</v>
      </c>
      <c r="AZ4" s="76">
        <v>0</v>
      </c>
      <c r="BA4" s="76">
        <v>0</v>
      </c>
      <c r="BB4" s="76">
        <v>0</v>
      </c>
      <c r="BC4" s="76">
        <v>0</v>
      </c>
      <c r="BD4" s="76">
        <v>0</v>
      </c>
      <c r="BE4" s="76">
        <v>0</v>
      </c>
      <c r="BF4" s="76">
        <v>0</v>
      </c>
      <c r="BG4" s="76">
        <v>0</v>
      </c>
      <c r="BH4" s="76">
        <v>0</v>
      </c>
      <c r="BI4" s="76">
        <v>0</v>
      </c>
      <c r="BJ4" s="76">
        <v>0</v>
      </c>
      <c r="BK4" s="76">
        <v>0</v>
      </c>
    </row>
    <row r="5" spans="1:63" x14ac:dyDescent="0.25">
      <c r="A5" s="74">
        <v>32272861</v>
      </c>
      <c r="B5" s="75">
        <v>5080263</v>
      </c>
      <c r="C5" s="76">
        <v>0</v>
      </c>
      <c r="D5" s="76">
        <v>0</v>
      </c>
      <c r="E5" s="76">
        <v>0</v>
      </c>
      <c r="F5" s="76">
        <v>0</v>
      </c>
      <c r="G5" s="76">
        <v>0</v>
      </c>
      <c r="H5" s="76">
        <v>0</v>
      </c>
      <c r="I5" s="76">
        <v>0</v>
      </c>
      <c r="J5" s="76">
        <v>40</v>
      </c>
      <c r="K5" s="120">
        <v>20</v>
      </c>
      <c r="L5" s="76">
        <v>0</v>
      </c>
      <c r="M5" s="76">
        <v>0</v>
      </c>
      <c r="N5" s="76">
        <v>0</v>
      </c>
      <c r="O5" s="76">
        <v>40</v>
      </c>
      <c r="P5" s="76">
        <v>20</v>
      </c>
      <c r="Q5" s="76">
        <v>20</v>
      </c>
      <c r="R5" s="76">
        <v>40</v>
      </c>
      <c r="S5" s="76">
        <v>0</v>
      </c>
      <c r="T5" s="76">
        <v>0</v>
      </c>
      <c r="U5" s="76">
        <v>0</v>
      </c>
      <c r="V5" s="76">
        <v>20</v>
      </c>
      <c r="W5" s="76">
        <v>0</v>
      </c>
      <c r="X5" s="76">
        <v>0</v>
      </c>
      <c r="Y5" s="76">
        <v>0</v>
      </c>
      <c r="Z5" s="76">
        <v>0</v>
      </c>
      <c r="AA5" s="76">
        <v>0</v>
      </c>
      <c r="AB5" s="76">
        <v>0</v>
      </c>
      <c r="AC5" s="76">
        <v>0</v>
      </c>
      <c r="AD5" s="76">
        <v>0</v>
      </c>
      <c r="AE5" s="76">
        <v>0</v>
      </c>
      <c r="AF5" s="76">
        <v>20</v>
      </c>
      <c r="AG5" s="76">
        <v>20</v>
      </c>
      <c r="AH5" s="76">
        <v>0</v>
      </c>
      <c r="AI5" s="76">
        <v>40</v>
      </c>
      <c r="AJ5" s="76">
        <v>0</v>
      </c>
      <c r="AK5" s="76">
        <v>0</v>
      </c>
      <c r="AL5" s="76">
        <v>20</v>
      </c>
      <c r="AM5" s="76">
        <v>0</v>
      </c>
      <c r="AN5" s="76">
        <v>20</v>
      </c>
      <c r="AO5" s="76">
        <v>60</v>
      </c>
      <c r="AP5" s="76">
        <v>40</v>
      </c>
      <c r="AQ5" s="76">
        <v>51</v>
      </c>
      <c r="AR5" s="76">
        <v>0</v>
      </c>
      <c r="AS5" s="76">
        <v>0</v>
      </c>
      <c r="AT5" s="76">
        <v>0</v>
      </c>
      <c r="AU5" s="76">
        <v>0</v>
      </c>
      <c r="AV5" s="76">
        <v>0</v>
      </c>
      <c r="AW5" s="76">
        <v>0</v>
      </c>
      <c r="AX5" s="76">
        <v>0</v>
      </c>
      <c r="AY5" s="76">
        <v>0</v>
      </c>
      <c r="AZ5" s="76">
        <v>0</v>
      </c>
      <c r="BA5" s="76">
        <v>0</v>
      </c>
      <c r="BB5" s="76">
        <v>0</v>
      </c>
      <c r="BC5" s="76">
        <v>0</v>
      </c>
      <c r="BD5" s="76">
        <v>0</v>
      </c>
      <c r="BE5" s="76">
        <v>0</v>
      </c>
      <c r="BF5" s="76">
        <v>0</v>
      </c>
      <c r="BG5" s="76">
        <v>0</v>
      </c>
      <c r="BH5" s="76">
        <v>0</v>
      </c>
      <c r="BI5" s="76">
        <v>0</v>
      </c>
      <c r="BJ5" s="76">
        <v>0</v>
      </c>
      <c r="BK5" s="76">
        <v>0</v>
      </c>
    </row>
    <row r="6" spans="1:63" x14ac:dyDescent="0.25">
      <c r="A6" s="74">
        <v>32272854</v>
      </c>
      <c r="B6" s="75">
        <v>5080285</v>
      </c>
      <c r="C6" s="76">
        <v>0</v>
      </c>
      <c r="D6" s="76">
        <v>0</v>
      </c>
      <c r="E6" s="76">
        <v>0</v>
      </c>
      <c r="F6" s="76">
        <v>0</v>
      </c>
      <c r="G6" s="76">
        <v>0</v>
      </c>
      <c r="H6" s="76">
        <v>0</v>
      </c>
      <c r="I6" s="76">
        <v>0</v>
      </c>
      <c r="J6" s="76">
        <v>0</v>
      </c>
      <c r="K6" s="120">
        <v>0</v>
      </c>
      <c r="L6" s="76">
        <v>0</v>
      </c>
      <c r="M6" s="76">
        <v>0</v>
      </c>
      <c r="N6" s="76">
        <v>0</v>
      </c>
      <c r="O6" s="76">
        <v>0</v>
      </c>
      <c r="P6" s="76">
        <v>0</v>
      </c>
      <c r="Q6" s="76">
        <v>0</v>
      </c>
      <c r="R6" s="76">
        <v>0</v>
      </c>
      <c r="S6" s="76">
        <v>0</v>
      </c>
      <c r="T6" s="76">
        <v>0</v>
      </c>
      <c r="U6" s="76">
        <v>0</v>
      </c>
      <c r="V6" s="76">
        <v>0</v>
      </c>
      <c r="W6" s="76">
        <v>0</v>
      </c>
      <c r="X6" s="76">
        <v>0</v>
      </c>
      <c r="Y6" s="76">
        <v>0</v>
      </c>
      <c r="Z6" s="76">
        <v>0</v>
      </c>
      <c r="AA6" s="76">
        <v>0</v>
      </c>
      <c r="AB6" s="76">
        <v>0</v>
      </c>
      <c r="AC6" s="76">
        <v>0</v>
      </c>
      <c r="AD6" s="76">
        <v>0</v>
      </c>
      <c r="AE6" s="76">
        <v>0</v>
      </c>
      <c r="AF6" s="76">
        <v>0</v>
      </c>
      <c r="AG6" s="76">
        <v>0</v>
      </c>
      <c r="AH6" s="76">
        <v>0</v>
      </c>
      <c r="AI6" s="76">
        <v>0</v>
      </c>
      <c r="AJ6" s="76">
        <v>0</v>
      </c>
      <c r="AK6" s="76">
        <v>0</v>
      </c>
      <c r="AL6" s="76">
        <v>0</v>
      </c>
      <c r="AM6" s="76">
        <v>0</v>
      </c>
      <c r="AN6" s="76">
        <v>0</v>
      </c>
      <c r="AO6" s="76">
        <v>0</v>
      </c>
      <c r="AP6" s="76">
        <v>0</v>
      </c>
      <c r="AQ6" s="76">
        <v>0</v>
      </c>
      <c r="AR6" s="76">
        <v>0</v>
      </c>
      <c r="AS6" s="76">
        <v>0</v>
      </c>
      <c r="AT6" s="76">
        <v>0</v>
      </c>
      <c r="AU6" s="76">
        <v>0</v>
      </c>
      <c r="AV6" s="76">
        <v>0</v>
      </c>
      <c r="AW6" s="76">
        <v>0</v>
      </c>
      <c r="AX6" s="76">
        <v>0</v>
      </c>
      <c r="AY6" s="76">
        <v>0</v>
      </c>
      <c r="AZ6" s="76">
        <v>0</v>
      </c>
      <c r="BA6" s="76">
        <v>0</v>
      </c>
      <c r="BB6" s="76">
        <v>0</v>
      </c>
      <c r="BC6" s="76">
        <v>0</v>
      </c>
      <c r="BD6" s="76">
        <v>0</v>
      </c>
      <c r="BE6" s="76">
        <v>0</v>
      </c>
      <c r="BF6" s="76">
        <v>0</v>
      </c>
      <c r="BG6" s="76">
        <v>0</v>
      </c>
      <c r="BH6" s="76">
        <v>0</v>
      </c>
      <c r="BI6" s="76">
        <v>0</v>
      </c>
      <c r="BJ6" s="76">
        <v>0</v>
      </c>
      <c r="BK6" s="76">
        <v>0</v>
      </c>
    </row>
    <row r="7" spans="1:63" x14ac:dyDescent="0.25">
      <c r="A7" s="74">
        <v>32272868</v>
      </c>
      <c r="B7" s="75">
        <v>5080417</v>
      </c>
      <c r="C7" s="76">
        <v>0</v>
      </c>
      <c r="D7" s="76">
        <v>0</v>
      </c>
      <c r="E7" s="76">
        <v>0</v>
      </c>
      <c r="F7" s="76">
        <v>0</v>
      </c>
      <c r="G7" s="76">
        <v>0</v>
      </c>
      <c r="H7" s="76">
        <v>0</v>
      </c>
      <c r="I7" s="76">
        <v>0</v>
      </c>
      <c r="J7" s="76">
        <v>20</v>
      </c>
      <c r="K7" s="120">
        <v>40</v>
      </c>
      <c r="L7" s="76">
        <v>0</v>
      </c>
      <c r="M7" s="76">
        <v>0</v>
      </c>
      <c r="N7" s="76">
        <v>0</v>
      </c>
      <c r="O7" s="76">
        <v>40</v>
      </c>
      <c r="P7" s="76">
        <v>20</v>
      </c>
      <c r="Q7" s="76">
        <v>20</v>
      </c>
      <c r="R7" s="76">
        <v>40</v>
      </c>
      <c r="S7" s="76">
        <v>0</v>
      </c>
      <c r="T7" s="76">
        <v>0</v>
      </c>
      <c r="U7" s="76">
        <v>0</v>
      </c>
      <c r="V7" s="76">
        <v>20</v>
      </c>
      <c r="W7" s="76">
        <v>0</v>
      </c>
      <c r="X7" s="76">
        <v>0</v>
      </c>
      <c r="Y7" s="76">
        <v>0</v>
      </c>
      <c r="Z7" s="76">
        <v>0</v>
      </c>
      <c r="AA7" s="76">
        <v>0</v>
      </c>
      <c r="AB7" s="76">
        <v>0</v>
      </c>
      <c r="AC7" s="76">
        <v>0</v>
      </c>
      <c r="AD7" s="76">
        <v>0</v>
      </c>
      <c r="AE7" s="76">
        <v>0</v>
      </c>
      <c r="AF7" s="76">
        <v>20</v>
      </c>
      <c r="AG7" s="76">
        <v>20</v>
      </c>
      <c r="AH7" s="76">
        <v>0</v>
      </c>
      <c r="AI7" s="76">
        <v>40</v>
      </c>
      <c r="AJ7" s="76">
        <v>0</v>
      </c>
      <c r="AK7" s="76">
        <v>0</v>
      </c>
      <c r="AL7" s="76">
        <v>20</v>
      </c>
      <c r="AM7" s="76">
        <v>0</v>
      </c>
      <c r="AN7" s="76">
        <v>20</v>
      </c>
      <c r="AO7" s="76">
        <v>60</v>
      </c>
      <c r="AP7" s="76">
        <v>40</v>
      </c>
      <c r="AQ7" s="76">
        <v>49</v>
      </c>
      <c r="AR7" s="76">
        <v>0</v>
      </c>
      <c r="AS7" s="76">
        <v>0</v>
      </c>
      <c r="AT7" s="76">
        <v>0</v>
      </c>
      <c r="AU7" s="76">
        <v>0</v>
      </c>
      <c r="AV7" s="76">
        <v>0</v>
      </c>
      <c r="AW7" s="76">
        <v>0</v>
      </c>
      <c r="AX7" s="76">
        <v>0</v>
      </c>
      <c r="AY7" s="76">
        <v>0</v>
      </c>
      <c r="AZ7" s="76">
        <v>0</v>
      </c>
      <c r="BA7" s="76">
        <v>0</v>
      </c>
      <c r="BB7" s="76">
        <v>0</v>
      </c>
      <c r="BC7" s="76">
        <v>0</v>
      </c>
      <c r="BD7" s="76">
        <v>0</v>
      </c>
      <c r="BE7" s="76">
        <v>0</v>
      </c>
      <c r="BF7" s="76">
        <v>0</v>
      </c>
      <c r="BG7" s="76">
        <v>0</v>
      </c>
      <c r="BH7" s="76">
        <v>0</v>
      </c>
      <c r="BI7" s="76">
        <v>0</v>
      </c>
      <c r="BJ7" s="76">
        <v>0</v>
      </c>
      <c r="BK7" s="76">
        <v>0</v>
      </c>
    </row>
    <row r="8" spans="1:63" x14ac:dyDescent="0.25">
      <c r="A8" s="74">
        <v>32332627</v>
      </c>
      <c r="B8" s="75">
        <v>5180032</v>
      </c>
      <c r="C8" s="76">
        <v>0</v>
      </c>
      <c r="D8" s="76">
        <v>0</v>
      </c>
      <c r="E8" s="76">
        <v>0</v>
      </c>
      <c r="F8" s="76">
        <v>0</v>
      </c>
      <c r="G8" s="76">
        <v>0</v>
      </c>
      <c r="H8" s="76">
        <v>0</v>
      </c>
      <c r="I8" s="76">
        <v>0</v>
      </c>
      <c r="J8" s="76">
        <v>0</v>
      </c>
      <c r="K8" s="120">
        <v>0</v>
      </c>
      <c r="L8" s="76">
        <v>0</v>
      </c>
      <c r="M8" s="76">
        <v>0</v>
      </c>
      <c r="N8" s="76">
        <v>0</v>
      </c>
      <c r="O8" s="76">
        <v>0</v>
      </c>
      <c r="P8" s="76">
        <v>0</v>
      </c>
      <c r="Q8" s="76">
        <v>0</v>
      </c>
      <c r="R8" s="76">
        <v>0</v>
      </c>
      <c r="S8" s="76">
        <v>0</v>
      </c>
      <c r="T8" s="76">
        <v>0</v>
      </c>
      <c r="U8" s="76">
        <v>0</v>
      </c>
      <c r="V8" s="76">
        <v>0</v>
      </c>
      <c r="W8" s="76">
        <v>0</v>
      </c>
      <c r="X8" s="76">
        <v>0</v>
      </c>
      <c r="Y8" s="76">
        <v>0</v>
      </c>
      <c r="Z8" s="76">
        <v>0</v>
      </c>
      <c r="AA8" s="76">
        <v>0</v>
      </c>
      <c r="AB8" s="76">
        <v>0</v>
      </c>
      <c r="AC8" s="76">
        <v>0</v>
      </c>
      <c r="AD8" s="76">
        <v>0</v>
      </c>
      <c r="AE8" s="76">
        <v>0</v>
      </c>
      <c r="AF8" s="76">
        <v>0</v>
      </c>
      <c r="AG8" s="76">
        <v>0</v>
      </c>
      <c r="AH8" s="76">
        <v>0</v>
      </c>
      <c r="AI8" s="76">
        <v>0</v>
      </c>
      <c r="AJ8" s="76">
        <v>0</v>
      </c>
      <c r="AK8" s="76">
        <v>0</v>
      </c>
      <c r="AL8" s="76">
        <v>0</v>
      </c>
      <c r="AM8" s="76">
        <v>0</v>
      </c>
      <c r="AN8" s="76">
        <v>0</v>
      </c>
      <c r="AO8" s="76">
        <v>0</v>
      </c>
      <c r="AP8" s="76">
        <v>0</v>
      </c>
      <c r="AQ8" s="76">
        <v>0</v>
      </c>
      <c r="AR8" s="76">
        <v>0</v>
      </c>
      <c r="AS8" s="76">
        <v>0</v>
      </c>
      <c r="AT8" s="76">
        <v>0</v>
      </c>
      <c r="AU8" s="76">
        <v>0</v>
      </c>
      <c r="AV8" s="76">
        <v>0</v>
      </c>
      <c r="AW8" s="76">
        <v>0</v>
      </c>
      <c r="AX8" s="76">
        <v>0</v>
      </c>
      <c r="AY8" s="76">
        <v>0</v>
      </c>
      <c r="AZ8" s="76">
        <v>0</v>
      </c>
      <c r="BA8" s="76">
        <v>0</v>
      </c>
      <c r="BB8" s="76">
        <v>0</v>
      </c>
      <c r="BC8" s="76">
        <v>0</v>
      </c>
      <c r="BD8" s="76">
        <v>0</v>
      </c>
      <c r="BE8" s="76">
        <v>0</v>
      </c>
      <c r="BF8" s="76">
        <v>0</v>
      </c>
      <c r="BG8" s="76">
        <v>0</v>
      </c>
      <c r="BH8" s="76">
        <v>0</v>
      </c>
      <c r="BI8" s="76">
        <v>0</v>
      </c>
      <c r="BJ8" s="76">
        <v>0</v>
      </c>
      <c r="BK8" s="76">
        <v>0</v>
      </c>
    </row>
    <row r="9" spans="1:63" x14ac:dyDescent="0.25">
      <c r="A9" s="74">
        <v>32332628</v>
      </c>
      <c r="B9" s="75">
        <v>5180040</v>
      </c>
      <c r="C9" s="76">
        <v>0</v>
      </c>
      <c r="D9" s="76">
        <v>0</v>
      </c>
      <c r="E9" s="76">
        <v>0</v>
      </c>
      <c r="F9" s="76">
        <v>0</v>
      </c>
      <c r="G9" s="76">
        <v>0</v>
      </c>
      <c r="H9" s="76">
        <v>0</v>
      </c>
      <c r="I9" s="76">
        <v>0</v>
      </c>
      <c r="J9" s="76">
        <v>0</v>
      </c>
      <c r="K9" s="120">
        <v>0</v>
      </c>
      <c r="L9" s="76">
        <v>0</v>
      </c>
      <c r="M9" s="76">
        <v>0</v>
      </c>
      <c r="N9" s="76">
        <v>0</v>
      </c>
      <c r="O9" s="76">
        <v>0</v>
      </c>
      <c r="P9" s="76">
        <v>0</v>
      </c>
      <c r="Q9" s="76">
        <v>0</v>
      </c>
      <c r="R9" s="76">
        <v>0</v>
      </c>
      <c r="S9" s="76">
        <v>0</v>
      </c>
      <c r="T9" s="76">
        <v>0</v>
      </c>
      <c r="U9" s="76">
        <v>0</v>
      </c>
      <c r="V9" s="76">
        <v>0</v>
      </c>
      <c r="W9" s="76">
        <v>0</v>
      </c>
      <c r="X9" s="76">
        <v>0</v>
      </c>
      <c r="Y9" s="76">
        <v>0</v>
      </c>
      <c r="Z9" s="76">
        <v>0</v>
      </c>
      <c r="AA9" s="76">
        <v>0</v>
      </c>
      <c r="AB9" s="76">
        <v>0</v>
      </c>
      <c r="AC9" s="76">
        <v>0</v>
      </c>
      <c r="AD9" s="76">
        <v>0</v>
      </c>
      <c r="AE9" s="76">
        <v>0</v>
      </c>
      <c r="AF9" s="76">
        <v>0</v>
      </c>
      <c r="AG9" s="76">
        <v>0</v>
      </c>
      <c r="AH9" s="76">
        <v>0</v>
      </c>
      <c r="AI9" s="76">
        <v>0</v>
      </c>
      <c r="AJ9" s="76">
        <v>0</v>
      </c>
      <c r="AK9" s="76">
        <v>0</v>
      </c>
      <c r="AL9" s="76">
        <v>0</v>
      </c>
      <c r="AM9" s="76">
        <v>0</v>
      </c>
      <c r="AN9" s="76">
        <v>0</v>
      </c>
      <c r="AO9" s="76">
        <v>0</v>
      </c>
      <c r="AP9" s="76">
        <v>0</v>
      </c>
      <c r="AQ9" s="76">
        <v>0</v>
      </c>
      <c r="AR9" s="76">
        <v>0</v>
      </c>
      <c r="AS9" s="76">
        <v>0</v>
      </c>
      <c r="AT9" s="76">
        <v>0</v>
      </c>
      <c r="AU9" s="76">
        <v>0</v>
      </c>
      <c r="AV9" s="76">
        <v>0</v>
      </c>
      <c r="AW9" s="76">
        <v>0</v>
      </c>
      <c r="AX9" s="76">
        <v>0</v>
      </c>
      <c r="AY9" s="76">
        <v>0</v>
      </c>
      <c r="AZ9" s="76">
        <v>0</v>
      </c>
      <c r="BA9" s="76">
        <v>0</v>
      </c>
      <c r="BB9" s="76">
        <v>0</v>
      </c>
      <c r="BC9" s="76">
        <v>0</v>
      </c>
      <c r="BD9" s="76">
        <v>0</v>
      </c>
      <c r="BE9" s="76">
        <v>0</v>
      </c>
      <c r="BF9" s="76">
        <v>0</v>
      </c>
      <c r="BG9" s="76">
        <v>0</v>
      </c>
      <c r="BH9" s="76">
        <v>0</v>
      </c>
      <c r="BI9" s="76">
        <v>0</v>
      </c>
      <c r="BJ9" s="76">
        <v>0</v>
      </c>
      <c r="BK9" s="76">
        <v>0</v>
      </c>
    </row>
    <row r="10" spans="1:63" x14ac:dyDescent="0.25">
      <c r="A10" s="74">
        <v>32272872</v>
      </c>
      <c r="B10" s="75">
        <v>5080431</v>
      </c>
      <c r="C10" s="76">
        <v>0</v>
      </c>
      <c r="D10" s="76">
        <v>0</v>
      </c>
      <c r="E10" s="76">
        <v>0</v>
      </c>
      <c r="F10" s="76">
        <v>0</v>
      </c>
      <c r="G10" s="76">
        <v>0</v>
      </c>
      <c r="H10" s="76">
        <v>0</v>
      </c>
      <c r="I10" s="76">
        <v>0</v>
      </c>
      <c r="J10" s="76">
        <v>0</v>
      </c>
      <c r="K10" s="120">
        <v>0</v>
      </c>
      <c r="L10" s="76">
        <v>0</v>
      </c>
      <c r="M10" s="76">
        <v>0</v>
      </c>
      <c r="N10" s="76">
        <v>0</v>
      </c>
      <c r="O10" s="76">
        <v>0</v>
      </c>
      <c r="P10" s="76">
        <v>0</v>
      </c>
      <c r="Q10" s="76">
        <v>0</v>
      </c>
      <c r="R10" s="76">
        <v>0</v>
      </c>
      <c r="S10" s="76">
        <v>0</v>
      </c>
      <c r="T10" s="76">
        <v>0</v>
      </c>
      <c r="U10" s="76">
        <v>0</v>
      </c>
      <c r="V10" s="76">
        <v>0</v>
      </c>
      <c r="W10" s="76">
        <v>0</v>
      </c>
      <c r="X10" s="76">
        <v>0</v>
      </c>
      <c r="Y10" s="76">
        <v>0</v>
      </c>
      <c r="Z10" s="76">
        <v>0</v>
      </c>
      <c r="AA10" s="76">
        <v>0</v>
      </c>
      <c r="AB10" s="76">
        <v>0</v>
      </c>
      <c r="AC10" s="76">
        <v>0</v>
      </c>
      <c r="AD10" s="76">
        <v>0</v>
      </c>
      <c r="AE10" s="76">
        <v>0</v>
      </c>
      <c r="AF10" s="76">
        <v>0</v>
      </c>
      <c r="AG10" s="76">
        <v>0</v>
      </c>
      <c r="AH10" s="76">
        <v>0</v>
      </c>
      <c r="AI10" s="76">
        <v>0</v>
      </c>
      <c r="AJ10" s="76">
        <v>0</v>
      </c>
      <c r="AK10" s="76">
        <v>0</v>
      </c>
      <c r="AL10" s="76">
        <v>0</v>
      </c>
      <c r="AM10" s="76">
        <v>0</v>
      </c>
      <c r="AN10" s="76">
        <v>0</v>
      </c>
      <c r="AO10" s="76">
        <v>0</v>
      </c>
      <c r="AP10" s="76">
        <v>0</v>
      </c>
      <c r="AQ10" s="76">
        <v>0</v>
      </c>
      <c r="AR10" s="76">
        <v>0</v>
      </c>
      <c r="AS10" s="76">
        <v>0</v>
      </c>
      <c r="AT10" s="76">
        <v>0</v>
      </c>
      <c r="AU10" s="76">
        <v>0</v>
      </c>
      <c r="AV10" s="76">
        <v>0</v>
      </c>
      <c r="AW10" s="76">
        <v>0</v>
      </c>
      <c r="AX10" s="76">
        <v>0</v>
      </c>
      <c r="AY10" s="76">
        <v>0</v>
      </c>
      <c r="AZ10" s="76">
        <v>0</v>
      </c>
      <c r="BA10" s="76">
        <v>0</v>
      </c>
      <c r="BB10" s="76">
        <v>0</v>
      </c>
      <c r="BC10" s="76">
        <v>0</v>
      </c>
      <c r="BD10" s="76">
        <v>0</v>
      </c>
      <c r="BE10" s="76">
        <v>0</v>
      </c>
      <c r="BF10" s="76">
        <v>0</v>
      </c>
      <c r="BG10" s="76">
        <v>0</v>
      </c>
      <c r="BH10" s="76">
        <v>0</v>
      </c>
      <c r="BI10" s="76">
        <v>0</v>
      </c>
      <c r="BJ10" s="76">
        <v>0</v>
      </c>
      <c r="BK10" s="76">
        <v>0</v>
      </c>
    </row>
    <row r="11" spans="1:63" x14ac:dyDescent="0.25">
      <c r="A11" s="74">
        <v>32272863</v>
      </c>
      <c r="B11" s="75">
        <v>5080268</v>
      </c>
      <c r="C11" s="76">
        <v>0</v>
      </c>
      <c r="D11" s="76">
        <v>0</v>
      </c>
      <c r="E11" s="76">
        <v>0</v>
      </c>
      <c r="F11" s="76">
        <v>0</v>
      </c>
      <c r="G11" s="76">
        <v>0</v>
      </c>
      <c r="H11" s="76">
        <v>0</v>
      </c>
      <c r="I11" s="76">
        <v>0</v>
      </c>
      <c r="J11" s="76">
        <v>0</v>
      </c>
      <c r="K11" s="120">
        <v>0</v>
      </c>
      <c r="L11" s="76">
        <v>0</v>
      </c>
      <c r="M11" s="76">
        <v>0</v>
      </c>
      <c r="N11" s="76">
        <v>0</v>
      </c>
      <c r="O11" s="76">
        <v>0</v>
      </c>
      <c r="P11" s="76">
        <v>0</v>
      </c>
      <c r="Q11" s="76">
        <v>0</v>
      </c>
      <c r="R11" s="76">
        <v>0</v>
      </c>
      <c r="S11" s="76">
        <v>0</v>
      </c>
      <c r="T11" s="76">
        <v>0</v>
      </c>
      <c r="U11" s="76">
        <v>0</v>
      </c>
      <c r="V11" s="76">
        <v>0</v>
      </c>
      <c r="W11" s="76">
        <v>0</v>
      </c>
      <c r="X11" s="76">
        <v>0</v>
      </c>
      <c r="Y11" s="76">
        <v>0</v>
      </c>
      <c r="Z11" s="76">
        <v>0</v>
      </c>
      <c r="AA11" s="76">
        <v>0</v>
      </c>
      <c r="AB11" s="76">
        <v>0</v>
      </c>
      <c r="AC11" s="76">
        <v>0</v>
      </c>
      <c r="AD11" s="76">
        <v>0</v>
      </c>
      <c r="AE11" s="76">
        <v>0</v>
      </c>
      <c r="AF11" s="76">
        <v>0</v>
      </c>
      <c r="AG11" s="76">
        <v>0</v>
      </c>
      <c r="AH11" s="76">
        <v>0</v>
      </c>
      <c r="AI11" s="76">
        <v>0</v>
      </c>
      <c r="AJ11" s="76">
        <v>0</v>
      </c>
      <c r="AK11" s="76">
        <v>0</v>
      </c>
      <c r="AL11" s="76">
        <v>0</v>
      </c>
      <c r="AM11" s="76">
        <v>0</v>
      </c>
      <c r="AN11" s="76">
        <v>0</v>
      </c>
      <c r="AO11" s="76">
        <v>0</v>
      </c>
      <c r="AP11" s="76">
        <v>0</v>
      </c>
      <c r="AQ11" s="76">
        <v>0</v>
      </c>
      <c r="AR11" s="76">
        <v>0</v>
      </c>
      <c r="AS11" s="76">
        <v>0</v>
      </c>
      <c r="AT11" s="76">
        <v>0</v>
      </c>
      <c r="AU11" s="76">
        <v>0</v>
      </c>
      <c r="AV11" s="76">
        <v>0</v>
      </c>
      <c r="AW11" s="76">
        <v>0</v>
      </c>
      <c r="AX11" s="76">
        <v>0</v>
      </c>
      <c r="AY11" s="76">
        <v>0</v>
      </c>
      <c r="AZ11" s="76">
        <v>0</v>
      </c>
      <c r="BA11" s="76">
        <v>0</v>
      </c>
      <c r="BB11" s="76">
        <v>0</v>
      </c>
      <c r="BC11" s="76">
        <v>0</v>
      </c>
      <c r="BD11" s="76">
        <v>0</v>
      </c>
      <c r="BE11" s="76">
        <v>0</v>
      </c>
      <c r="BF11" s="76">
        <v>0</v>
      </c>
      <c r="BG11" s="76">
        <v>0</v>
      </c>
      <c r="BH11" s="76">
        <v>0</v>
      </c>
      <c r="BI11" s="76">
        <v>0</v>
      </c>
      <c r="BJ11" s="76">
        <v>0</v>
      </c>
      <c r="BK11" s="76">
        <v>0</v>
      </c>
    </row>
    <row r="12" spans="1:63" x14ac:dyDescent="0.25">
      <c r="A12" s="74">
        <v>32272865</v>
      </c>
      <c r="B12" s="75">
        <v>5080284</v>
      </c>
      <c r="C12" s="76">
        <v>0</v>
      </c>
      <c r="D12" s="76">
        <v>0</v>
      </c>
      <c r="E12" s="76">
        <v>0</v>
      </c>
      <c r="F12" s="76">
        <v>0</v>
      </c>
      <c r="G12" s="76">
        <v>0</v>
      </c>
      <c r="H12" s="76">
        <v>0</v>
      </c>
      <c r="I12" s="76">
        <v>0</v>
      </c>
      <c r="J12" s="76">
        <v>0</v>
      </c>
      <c r="K12" s="120">
        <v>0</v>
      </c>
      <c r="L12" s="76">
        <v>0</v>
      </c>
      <c r="M12" s="76">
        <v>0</v>
      </c>
      <c r="N12" s="76">
        <v>0</v>
      </c>
      <c r="O12" s="76">
        <v>0</v>
      </c>
      <c r="P12" s="76">
        <v>0</v>
      </c>
      <c r="Q12" s="76">
        <v>0</v>
      </c>
      <c r="R12" s="76">
        <v>0</v>
      </c>
      <c r="S12" s="76">
        <v>0</v>
      </c>
      <c r="T12" s="76">
        <v>0</v>
      </c>
      <c r="U12" s="76">
        <v>0</v>
      </c>
      <c r="V12" s="76">
        <v>0</v>
      </c>
      <c r="W12" s="76">
        <v>0</v>
      </c>
      <c r="X12" s="76">
        <v>0</v>
      </c>
      <c r="Y12" s="76">
        <v>0</v>
      </c>
      <c r="Z12" s="76">
        <v>0</v>
      </c>
      <c r="AA12" s="76">
        <v>0</v>
      </c>
      <c r="AB12" s="76">
        <v>0</v>
      </c>
      <c r="AC12" s="76">
        <v>0</v>
      </c>
      <c r="AD12" s="76">
        <v>0</v>
      </c>
      <c r="AE12" s="76">
        <v>0</v>
      </c>
      <c r="AF12" s="76">
        <v>0</v>
      </c>
      <c r="AG12" s="76">
        <v>0</v>
      </c>
      <c r="AH12" s="76">
        <v>0</v>
      </c>
      <c r="AI12" s="76">
        <v>0</v>
      </c>
      <c r="AJ12" s="76">
        <v>0</v>
      </c>
      <c r="AK12" s="76">
        <v>0</v>
      </c>
      <c r="AL12" s="76">
        <v>0</v>
      </c>
      <c r="AM12" s="76">
        <v>0</v>
      </c>
      <c r="AN12" s="76">
        <v>0</v>
      </c>
      <c r="AO12" s="76">
        <v>0</v>
      </c>
      <c r="AP12" s="76">
        <v>0</v>
      </c>
      <c r="AQ12" s="76">
        <v>0</v>
      </c>
      <c r="AR12" s="76">
        <v>0</v>
      </c>
      <c r="AS12" s="76">
        <v>0</v>
      </c>
      <c r="AT12" s="76">
        <v>0</v>
      </c>
      <c r="AU12" s="76">
        <v>0</v>
      </c>
      <c r="AV12" s="76">
        <v>0</v>
      </c>
      <c r="AW12" s="76">
        <v>0</v>
      </c>
      <c r="AX12" s="76">
        <v>0</v>
      </c>
      <c r="AY12" s="76">
        <v>0</v>
      </c>
      <c r="AZ12" s="76">
        <v>0</v>
      </c>
      <c r="BA12" s="76">
        <v>0</v>
      </c>
      <c r="BB12" s="76">
        <v>0</v>
      </c>
      <c r="BC12" s="76">
        <v>0</v>
      </c>
      <c r="BD12" s="76">
        <v>0</v>
      </c>
      <c r="BE12" s="76">
        <v>0</v>
      </c>
      <c r="BF12" s="76">
        <v>0</v>
      </c>
      <c r="BG12" s="76">
        <v>0</v>
      </c>
      <c r="BH12" s="76">
        <v>0</v>
      </c>
      <c r="BI12" s="76">
        <v>0</v>
      </c>
      <c r="BJ12" s="76">
        <v>0</v>
      </c>
      <c r="BK12" s="76">
        <v>0</v>
      </c>
    </row>
    <row r="13" spans="1:63" x14ac:dyDescent="0.25">
      <c r="A13" s="74">
        <v>32272875</v>
      </c>
      <c r="B13" s="75">
        <v>5080443</v>
      </c>
      <c r="C13" s="76">
        <v>0</v>
      </c>
      <c r="D13" s="76">
        <v>0</v>
      </c>
      <c r="E13" s="76">
        <v>0</v>
      </c>
      <c r="F13" s="76">
        <v>0</v>
      </c>
      <c r="G13" s="76">
        <v>0</v>
      </c>
      <c r="H13" s="76">
        <v>0</v>
      </c>
      <c r="I13" s="76">
        <v>0</v>
      </c>
      <c r="J13" s="76">
        <v>0</v>
      </c>
      <c r="K13" s="120">
        <v>0</v>
      </c>
      <c r="L13" s="76">
        <v>0</v>
      </c>
      <c r="M13" s="76">
        <v>0</v>
      </c>
      <c r="N13" s="76">
        <v>0</v>
      </c>
      <c r="O13" s="76">
        <v>0</v>
      </c>
      <c r="P13" s="76">
        <v>0</v>
      </c>
      <c r="Q13" s="76">
        <v>0</v>
      </c>
      <c r="R13" s="76">
        <v>0</v>
      </c>
      <c r="S13" s="76">
        <v>0</v>
      </c>
      <c r="T13" s="76">
        <v>0</v>
      </c>
      <c r="U13" s="76">
        <v>0</v>
      </c>
      <c r="V13" s="76">
        <v>0</v>
      </c>
      <c r="W13" s="76">
        <v>0</v>
      </c>
      <c r="X13" s="76">
        <v>0</v>
      </c>
      <c r="Y13" s="76">
        <v>0</v>
      </c>
      <c r="Z13" s="76">
        <v>0</v>
      </c>
      <c r="AA13" s="76">
        <v>0</v>
      </c>
      <c r="AB13" s="76">
        <v>0</v>
      </c>
      <c r="AC13" s="76">
        <v>0</v>
      </c>
      <c r="AD13" s="76">
        <v>0</v>
      </c>
      <c r="AE13" s="76">
        <v>0</v>
      </c>
      <c r="AF13" s="76">
        <v>0</v>
      </c>
      <c r="AG13" s="76">
        <v>0</v>
      </c>
      <c r="AH13" s="76">
        <v>0</v>
      </c>
      <c r="AI13" s="76">
        <v>0</v>
      </c>
      <c r="AJ13" s="76">
        <v>0</v>
      </c>
      <c r="AK13" s="76">
        <v>0</v>
      </c>
      <c r="AL13" s="76">
        <v>0</v>
      </c>
      <c r="AM13" s="76">
        <v>0</v>
      </c>
      <c r="AN13" s="76">
        <v>0</v>
      </c>
      <c r="AO13" s="76">
        <v>0</v>
      </c>
      <c r="AP13" s="76">
        <v>0</v>
      </c>
      <c r="AQ13" s="76">
        <v>0</v>
      </c>
      <c r="AR13" s="76">
        <v>0</v>
      </c>
      <c r="AS13" s="76">
        <v>0</v>
      </c>
      <c r="AT13" s="76">
        <v>0</v>
      </c>
      <c r="AU13" s="76">
        <v>0</v>
      </c>
      <c r="AV13" s="76">
        <v>0</v>
      </c>
      <c r="AW13" s="76">
        <v>0</v>
      </c>
      <c r="AX13" s="76">
        <v>0</v>
      </c>
      <c r="AY13" s="76">
        <v>0</v>
      </c>
      <c r="AZ13" s="76">
        <v>0</v>
      </c>
      <c r="BA13" s="76">
        <v>0</v>
      </c>
      <c r="BB13" s="76">
        <v>0</v>
      </c>
      <c r="BC13" s="76">
        <v>0</v>
      </c>
      <c r="BD13" s="76">
        <v>0</v>
      </c>
      <c r="BE13" s="76">
        <v>0</v>
      </c>
      <c r="BF13" s="76">
        <v>0</v>
      </c>
      <c r="BG13" s="76">
        <v>0</v>
      </c>
      <c r="BH13" s="76">
        <v>0</v>
      </c>
      <c r="BI13" s="76">
        <v>0</v>
      </c>
      <c r="BJ13" s="76">
        <v>0</v>
      </c>
      <c r="BK13" s="76">
        <v>0</v>
      </c>
    </row>
    <row r="14" spans="1:63" x14ac:dyDescent="0.25">
      <c r="A14" s="74">
        <v>32272877</v>
      </c>
      <c r="B14" s="75">
        <v>5080446</v>
      </c>
      <c r="C14" s="76">
        <v>0</v>
      </c>
      <c r="D14" s="76">
        <v>0</v>
      </c>
      <c r="E14" s="76">
        <v>0</v>
      </c>
      <c r="F14" s="76">
        <v>0</v>
      </c>
      <c r="G14" s="76">
        <v>0</v>
      </c>
      <c r="H14" s="76">
        <v>0</v>
      </c>
      <c r="I14" s="76">
        <v>0</v>
      </c>
      <c r="J14" s="76">
        <v>0</v>
      </c>
      <c r="K14" s="120">
        <v>0</v>
      </c>
      <c r="L14" s="76">
        <v>0</v>
      </c>
      <c r="M14" s="76">
        <v>0</v>
      </c>
      <c r="N14" s="76">
        <v>0</v>
      </c>
      <c r="O14" s="76">
        <v>0</v>
      </c>
      <c r="P14" s="76">
        <v>0</v>
      </c>
      <c r="Q14" s="76">
        <v>0</v>
      </c>
      <c r="R14" s="76">
        <v>0</v>
      </c>
      <c r="S14" s="76">
        <v>0</v>
      </c>
      <c r="T14" s="76">
        <v>0</v>
      </c>
      <c r="U14" s="76">
        <v>0</v>
      </c>
      <c r="V14" s="76">
        <v>0</v>
      </c>
      <c r="W14" s="76">
        <v>0</v>
      </c>
      <c r="X14" s="76">
        <v>0</v>
      </c>
      <c r="Y14" s="76">
        <v>0</v>
      </c>
      <c r="Z14" s="76">
        <v>0</v>
      </c>
      <c r="AA14" s="76">
        <v>0</v>
      </c>
      <c r="AB14" s="76">
        <v>0</v>
      </c>
      <c r="AC14" s="76">
        <v>0</v>
      </c>
      <c r="AD14" s="76">
        <v>0</v>
      </c>
      <c r="AE14" s="76">
        <v>0</v>
      </c>
      <c r="AF14" s="76">
        <v>0</v>
      </c>
      <c r="AG14" s="76">
        <v>0</v>
      </c>
      <c r="AH14" s="76">
        <v>0</v>
      </c>
      <c r="AI14" s="76">
        <v>0</v>
      </c>
      <c r="AJ14" s="76">
        <v>0</v>
      </c>
      <c r="AK14" s="76">
        <v>0</v>
      </c>
      <c r="AL14" s="76">
        <v>0</v>
      </c>
      <c r="AM14" s="76">
        <v>0</v>
      </c>
      <c r="AN14" s="76">
        <v>0</v>
      </c>
      <c r="AO14" s="76">
        <v>0</v>
      </c>
      <c r="AP14" s="76">
        <v>0</v>
      </c>
      <c r="AQ14" s="76">
        <v>0</v>
      </c>
      <c r="AR14" s="76">
        <v>0</v>
      </c>
      <c r="AS14" s="76">
        <v>0</v>
      </c>
      <c r="AT14" s="76">
        <v>0</v>
      </c>
      <c r="AU14" s="76">
        <v>0</v>
      </c>
      <c r="AV14" s="76">
        <v>0</v>
      </c>
      <c r="AW14" s="76">
        <v>0</v>
      </c>
      <c r="AX14" s="76">
        <v>0</v>
      </c>
      <c r="AY14" s="76">
        <v>0</v>
      </c>
      <c r="AZ14" s="76">
        <v>0</v>
      </c>
      <c r="BA14" s="76">
        <v>0</v>
      </c>
      <c r="BB14" s="76">
        <v>0</v>
      </c>
      <c r="BC14" s="76">
        <v>0</v>
      </c>
      <c r="BD14" s="76">
        <v>0</v>
      </c>
      <c r="BE14" s="76">
        <v>0</v>
      </c>
      <c r="BF14" s="76">
        <v>0</v>
      </c>
      <c r="BG14" s="76">
        <v>0</v>
      </c>
      <c r="BH14" s="76">
        <v>0</v>
      </c>
      <c r="BI14" s="76">
        <v>0</v>
      </c>
      <c r="BJ14" s="76">
        <v>0</v>
      </c>
      <c r="BK14" s="76">
        <v>0</v>
      </c>
    </row>
    <row r="15" spans="1:63" x14ac:dyDescent="0.25">
      <c r="A15" s="74">
        <v>32272860</v>
      </c>
      <c r="B15" s="75">
        <v>5080198</v>
      </c>
      <c r="C15" s="76">
        <v>0</v>
      </c>
      <c r="D15" s="76">
        <v>0</v>
      </c>
      <c r="E15" s="76">
        <v>0</v>
      </c>
      <c r="F15" s="76">
        <v>0</v>
      </c>
      <c r="G15" s="76">
        <v>0</v>
      </c>
      <c r="H15" s="76">
        <v>0</v>
      </c>
      <c r="I15" s="76">
        <v>0</v>
      </c>
      <c r="J15" s="76">
        <v>0</v>
      </c>
      <c r="K15" s="120">
        <v>0</v>
      </c>
      <c r="L15" s="76">
        <v>0</v>
      </c>
      <c r="M15" s="76">
        <v>0</v>
      </c>
      <c r="N15" s="76">
        <v>0</v>
      </c>
      <c r="O15" s="76">
        <v>0</v>
      </c>
      <c r="P15" s="76">
        <v>0</v>
      </c>
      <c r="Q15" s="76">
        <v>0</v>
      </c>
      <c r="R15" s="76">
        <v>0</v>
      </c>
      <c r="S15" s="76">
        <v>0</v>
      </c>
      <c r="T15" s="76">
        <v>0</v>
      </c>
      <c r="U15" s="76">
        <v>0</v>
      </c>
      <c r="V15" s="76">
        <v>0</v>
      </c>
      <c r="W15" s="76">
        <v>0</v>
      </c>
      <c r="X15" s="76">
        <v>0</v>
      </c>
      <c r="Y15" s="76">
        <v>0</v>
      </c>
      <c r="Z15" s="76">
        <v>0</v>
      </c>
      <c r="AA15" s="76">
        <v>0</v>
      </c>
      <c r="AB15" s="76">
        <v>0</v>
      </c>
      <c r="AC15" s="76">
        <v>0</v>
      </c>
      <c r="AD15" s="76">
        <v>0</v>
      </c>
      <c r="AE15" s="76">
        <v>0</v>
      </c>
      <c r="AF15" s="76">
        <v>0</v>
      </c>
      <c r="AG15" s="76">
        <v>0</v>
      </c>
      <c r="AH15" s="76">
        <v>0</v>
      </c>
      <c r="AI15" s="76">
        <v>0</v>
      </c>
      <c r="AJ15" s="76">
        <v>0</v>
      </c>
      <c r="AK15" s="76">
        <v>0</v>
      </c>
      <c r="AL15" s="76">
        <v>0</v>
      </c>
      <c r="AM15" s="76">
        <v>0</v>
      </c>
      <c r="AN15" s="76">
        <v>0</v>
      </c>
      <c r="AO15" s="76">
        <v>0</v>
      </c>
      <c r="AP15" s="76">
        <v>0</v>
      </c>
      <c r="AQ15" s="76">
        <v>0</v>
      </c>
      <c r="AR15" s="76">
        <v>0</v>
      </c>
      <c r="AS15" s="76">
        <v>0</v>
      </c>
      <c r="AT15" s="76">
        <v>0</v>
      </c>
      <c r="AU15" s="76">
        <v>0</v>
      </c>
      <c r="AV15" s="76">
        <v>0</v>
      </c>
      <c r="AW15" s="76">
        <v>0</v>
      </c>
      <c r="AX15" s="76">
        <v>0</v>
      </c>
      <c r="AY15" s="76">
        <v>0</v>
      </c>
      <c r="AZ15" s="76">
        <v>0</v>
      </c>
      <c r="BA15" s="76">
        <v>0</v>
      </c>
      <c r="BB15" s="76">
        <v>0</v>
      </c>
      <c r="BC15" s="76">
        <v>0</v>
      </c>
      <c r="BD15" s="76">
        <v>0</v>
      </c>
      <c r="BE15" s="76">
        <v>0</v>
      </c>
      <c r="BF15" s="76">
        <v>0</v>
      </c>
      <c r="BG15" s="76">
        <v>0</v>
      </c>
      <c r="BH15" s="76">
        <v>0</v>
      </c>
      <c r="BI15" s="76">
        <v>0</v>
      </c>
      <c r="BJ15" s="76">
        <v>0</v>
      </c>
      <c r="BK15" s="76">
        <v>0</v>
      </c>
    </row>
    <row r="16" spans="1:63" x14ac:dyDescent="0.25">
      <c r="A16" s="74">
        <v>32272862</v>
      </c>
      <c r="B16" s="75">
        <v>5080371</v>
      </c>
      <c r="C16" s="76">
        <v>0</v>
      </c>
      <c r="D16" s="76">
        <v>0</v>
      </c>
      <c r="E16" s="76">
        <v>0</v>
      </c>
      <c r="F16" s="76">
        <v>0</v>
      </c>
      <c r="G16" s="76">
        <v>0</v>
      </c>
      <c r="H16" s="76">
        <v>0</v>
      </c>
      <c r="I16" s="76">
        <v>0</v>
      </c>
      <c r="J16" s="76">
        <v>0</v>
      </c>
      <c r="K16" s="120">
        <v>0</v>
      </c>
      <c r="L16" s="76">
        <v>0</v>
      </c>
      <c r="M16" s="76">
        <v>0</v>
      </c>
      <c r="N16" s="76">
        <v>0</v>
      </c>
      <c r="O16" s="76">
        <v>0</v>
      </c>
      <c r="P16" s="76">
        <v>0</v>
      </c>
      <c r="Q16" s="76">
        <v>0</v>
      </c>
      <c r="R16" s="76">
        <v>0</v>
      </c>
      <c r="S16" s="76">
        <v>0</v>
      </c>
      <c r="T16" s="76">
        <v>0</v>
      </c>
      <c r="U16" s="76">
        <v>0</v>
      </c>
      <c r="V16" s="76">
        <v>0</v>
      </c>
      <c r="W16" s="76">
        <v>0</v>
      </c>
      <c r="X16" s="76">
        <v>0</v>
      </c>
      <c r="Y16" s="76">
        <v>0</v>
      </c>
      <c r="Z16" s="76">
        <v>0</v>
      </c>
      <c r="AA16" s="76">
        <v>0</v>
      </c>
      <c r="AB16" s="76">
        <v>0</v>
      </c>
      <c r="AC16" s="76">
        <v>0</v>
      </c>
      <c r="AD16" s="76">
        <v>0</v>
      </c>
      <c r="AE16" s="76">
        <v>0</v>
      </c>
      <c r="AF16" s="76">
        <v>0</v>
      </c>
      <c r="AG16" s="76">
        <v>0</v>
      </c>
      <c r="AH16" s="76">
        <v>0</v>
      </c>
      <c r="AI16" s="76">
        <v>0</v>
      </c>
      <c r="AJ16" s="76">
        <v>0</v>
      </c>
      <c r="AK16" s="76">
        <v>0</v>
      </c>
      <c r="AL16" s="76">
        <v>0</v>
      </c>
      <c r="AM16" s="76">
        <v>0</v>
      </c>
      <c r="AN16" s="76">
        <v>0</v>
      </c>
      <c r="AO16" s="76">
        <v>0</v>
      </c>
      <c r="AP16" s="76">
        <v>0</v>
      </c>
      <c r="AQ16" s="76">
        <v>0</v>
      </c>
      <c r="AR16" s="76">
        <v>0</v>
      </c>
      <c r="AS16" s="76">
        <v>0</v>
      </c>
      <c r="AT16" s="76">
        <v>0</v>
      </c>
      <c r="AU16" s="76">
        <v>0</v>
      </c>
      <c r="AV16" s="76">
        <v>0</v>
      </c>
      <c r="AW16" s="76">
        <v>0</v>
      </c>
      <c r="AX16" s="76">
        <v>0</v>
      </c>
      <c r="AY16" s="76">
        <v>0</v>
      </c>
      <c r="AZ16" s="76">
        <v>0</v>
      </c>
      <c r="BA16" s="76">
        <v>0</v>
      </c>
      <c r="BB16" s="76">
        <v>0</v>
      </c>
      <c r="BC16" s="76">
        <v>0</v>
      </c>
      <c r="BD16" s="76">
        <v>0</v>
      </c>
      <c r="BE16" s="76">
        <v>0</v>
      </c>
      <c r="BF16" s="76">
        <v>0</v>
      </c>
      <c r="BG16" s="76">
        <v>0</v>
      </c>
      <c r="BH16" s="76">
        <v>0</v>
      </c>
      <c r="BI16" s="76">
        <v>0</v>
      </c>
      <c r="BJ16" s="76">
        <v>0</v>
      </c>
      <c r="BK16" s="76">
        <v>0</v>
      </c>
    </row>
    <row r="17" spans="1:63" x14ac:dyDescent="0.25">
      <c r="A17" s="74">
        <v>32272864</v>
      </c>
      <c r="B17" s="75">
        <v>5080375</v>
      </c>
      <c r="C17" s="76">
        <v>0</v>
      </c>
      <c r="D17" s="76">
        <v>0</v>
      </c>
      <c r="E17" s="76">
        <v>0</v>
      </c>
      <c r="F17" s="76">
        <v>0</v>
      </c>
      <c r="G17" s="76">
        <v>0</v>
      </c>
      <c r="H17" s="76">
        <v>0</v>
      </c>
      <c r="I17" s="76">
        <v>0</v>
      </c>
      <c r="J17" s="76">
        <v>0</v>
      </c>
      <c r="K17" s="120">
        <v>0</v>
      </c>
      <c r="L17" s="76">
        <v>0</v>
      </c>
      <c r="M17" s="76">
        <v>0</v>
      </c>
      <c r="N17" s="76">
        <v>0</v>
      </c>
      <c r="O17" s="76">
        <v>0</v>
      </c>
      <c r="P17" s="76">
        <v>0</v>
      </c>
      <c r="Q17" s="76">
        <v>0</v>
      </c>
      <c r="R17" s="76">
        <v>0</v>
      </c>
      <c r="S17" s="76">
        <v>0</v>
      </c>
      <c r="T17" s="76">
        <v>0</v>
      </c>
      <c r="U17" s="76">
        <v>0</v>
      </c>
      <c r="V17" s="76">
        <v>0</v>
      </c>
      <c r="W17" s="76">
        <v>0</v>
      </c>
      <c r="X17" s="76">
        <v>0</v>
      </c>
      <c r="Y17" s="76">
        <v>0</v>
      </c>
      <c r="Z17" s="76">
        <v>0</v>
      </c>
      <c r="AA17" s="76">
        <v>0</v>
      </c>
      <c r="AB17" s="76">
        <v>0</v>
      </c>
      <c r="AC17" s="76">
        <v>0</v>
      </c>
      <c r="AD17" s="76">
        <v>0</v>
      </c>
      <c r="AE17" s="76">
        <v>0</v>
      </c>
      <c r="AF17" s="76">
        <v>0</v>
      </c>
      <c r="AG17" s="76">
        <v>0</v>
      </c>
      <c r="AH17" s="76">
        <v>0</v>
      </c>
      <c r="AI17" s="76">
        <v>0</v>
      </c>
      <c r="AJ17" s="76">
        <v>0</v>
      </c>
      <c r="AK17" s="76">
        <v>0</v>
      </c>
      <c r="AL17" s="76">
        <v>0</v>
      </c>
      <c r="AM17" s="76">
        <v>0</v>
      </c>
      <c r="AN17" s="76">
        <v>0</v>
      </c>
      <c r="AO17" s="76">
        <v>0</v>
      </c>
      <c r="AP17" s="76">
        <v>0</v>
      </c>
      <c r="AQ17" s="76">
        <v>0</v>
      </c>
      <c r="AR17" s="76">
        <v>0</v>
      </c>
      <c r="AS17" s="76">
        <v>0</v>
      </c>
      <c r="AT17" s="76">
        <v>0</v>
      </c>
      <c r="AU17" s="76">
        <v>0</v>
      </c>
      <c r="AV17" s="76">
        <v>0</v>
      </c>
      <c r="AW17" s="76">
        <v>0</v>
      </c>
      <c r="AX17" s="76">
        <v>0</v>
      </c>
      <c r="AY17" s="76">
        <v>0</v>
      </c>
      <c r="AZ17" s="76">
        <v>0</v>
      </c>
      <c r="BA17" s="76">
        <v>0</v>
      </c>
      <c r="BB17" s="76">
        <v>0</v>
      </c>
      <c r="BC17" s="76">
        <v>0</v>
      </c>
      <c r="BD17" s="76">
        <v>0</v>
      </c>
      <c r="BE17" s="76">
        <v>0</v>
      </c>
      <c r="BF17" s="76">
        <v>0</v>
      </c>
      <c r="BG17" s="76">
        <v>0</v>
      </c>
      <c r="BH17" s="76">
        <v>0</v>
      </c>
      <c r="BI17" s="76">
        <v>0</v>
      </c>
      <c r="BJ17" s="76">
        <v>0</v>
      </c>
      <c r="BK17" s="76">
        <v>0</v>
      </c>
    </row>
    <row r="18" spans="1:63" x14ac:dyDescent="0.25">
      <c r="A18" s="74">
        <v>32272866</v>
      </c>
      <c r="B18" s="75">
        <v>5080378</v>
      </c>
      <c r="C18" s="76">
        <v>0</v>
      </c>
      <c r="D18" s="76">
        <v>0</v>
      </c>
      <c r="E18" s="76">
        <v>0</v>
      </c>
      <c r="F18" s="76">
        <v>0</v>
      </c>
      <c r="G18" s="76">
        <v>0</v>
      </c>
      <c r="H18" s="76">
        <v>0</v>
      </c>
      <c r="I18" s="76">
        <v>0</v>
      </c>
      <c r="J18" s="76">
        <v>0</v>
      </c>
      <c r="K18" s="120">
        <v>0</v>
      </c>
      <c r="L18" s="76">
        <v>0</v>
      </c>
      <c r="M18" s="76">
        <v>0</v>
      </c>
      <c r="N18" s="76">
        <v>0</v>
      </c>
      <c r="O18" s="76">
        <v>0</v>
      </c>
      <c r="P18" s="76">
        <v>0</v>
      </c>
      <c r="Q18" s="76">
        <v>0</v>
      </c>
      <c r="R18" s="76">
        <v>0</v>
      </c>
      <c r="S18" s="76">
        <v>0</v>
      </c>
      <c r="T18" s="76">
        <v>0</v>
      </c>
      <c r="U18" s="76">
        <v>0</v>
      </c>
      <c r="V18" s="76">
        <v>0</v>
      </c>
      <c r="W18" s="76">
        <v>0</v>
      </c>
      <c r="X18" s="76">
        <v>0</v>
      </c>
      <c r="Y18" s="76">
        <v>0</v>
      </c>
      <c r="Z18" s="76">
        <v>0</v>
      </c>
      <c r="AA18" s="76">
        <v>0</v>
      </c>
      <c r="AB18" s="76">
        <v>0</v>
      </c>
      <c r="AC18" s="76">
        <v>0</v>
      </c>
      <c r="AD18" s="76">
        <v>0</v>
      </c>
      <c r="AE18" s="76">
        <v>0</v>
      </c>
      <c r="AF18" s="76">
        <v>0</v>
      </c>
      <c r="AG18" s="76">
        <v>0</v>
      </c>
      <c r="AH18" s="76">
        <v>0</v>
      </c>
      <c r="AI18" s="76">
        <v>0</v>
      </c>
      <c r="AJ18" s="76">
        <v>0</v>
      </c>
      <c r="AK18" s="76">
        <v>0</v>
      </c>
      <c r="AL18" s="76">
        <v>0</v>
      </c>
      <c r="AM18" s="76">
        <v>0</v>
      </c>
      <c r="AN18" s="76">
        <v>0</v>
      </c>
      <c r="AO18" s="76">
        <v>0</v>
      </c>
      <c r="AP18" s="76">
        <v>0</v>
      </c>
      <c r="AQ18" s="76">
        <v>0</v>
      </c>
      <c r="AR18" s="76">
        <v>0</v>
      </c>
      <c r="AS18" s="76">
        <v>0</v>
      </c>
      <c r="AT18" s="76">
        <v>0</v>
      </c>
      <c r="AU18" s="76">
        <v>0</v>
      </c>
      <c r="AV18" s="76">
        <v>0</v>
      </c>
      <c r="AW18" s="76">
        <v>0</v>
      </c>
      <c r="AX18" s="76">
        <v>0</v>
      </c>
      <c r="AY18" s="76">
        <v>0</v>
      </c>
      <c r="AZ18" s="76">
        <v>0</v>
      </c>
      <c r="BA18" s="76">
        <v>0</v>
      </c>
      <c r="BB18" s="76">
        <v>0</v>
      </c>
      <c r="BC18" s="76">
        <v>0</v>
      </c>
      <c r="BD18" s="76">
        <v>0</v>
      </c>
      <c r="BE18" s="76">
        <v>0</v>
      </c>
      <c r="BF18" s="76">
        <v>0</v>
      </c>
      <c r="BG18" s="76">
        <v>0</v>
      </c>
      <c r="BH18" s="76">
        <v>0</v>
      </c>
      <c r="BI18" s="76">
        <v>0</v>
      </c>
      <c r="BJ18" s="76">
        <v>0</v>
      </c>
      <c r="BK18" s="76">
        <v>0</v>
      </c>
    </row>
    <row r="19" spans="1:63" x14ac:dyDescent="0.25">
      <c r="A19" s="74">
        <v>32288786</v>
      </c>
      <c r="B19" s="75">
        <v>5073059</v>
      </c>
      <c r="C19" s="76">
        <v>0</v>
      </c>
      <c r="D19" s="76">
        <v>0</v>
      </c>
      <c r="E19" s="76">
        <v>0</v>
      </c>
      <c r="F19" s="76">
        <v>0</v>
      </c>
      <c r="G19" s="76">
        <v>0</v>
      </c>
      <c r="H19" s="76">
        <v>0</v>
      </c>
      <c r="I19" s="76">
        <v>0</v>
      </c>
      <c r="J19" s="76">
        <v>0</v>
      </c>
      <c r="K19" s="120">
        <v>0</v>
      </c>
      <c r="L19" s="76">
        <v>0</v>
      </c>
      <c r="M19" s="76">
        <v>0</v>
      </c>
      <c r="N19" s="76">
        <v>0</v>
      </c>
      <c r="O19" s="76">
        <v>0</v>
      </c>
      <c r="P19" s="76">
        <v>0</v>
      </c>
      <c r="Q19" s="76">
        <v>0</v>
      </c>
      <c r="R19" s="76">
        <v>0</v>
      </c>
      <c r="S19" s="76">
        <v>0</v>
      </c>
      <c r="T19" s="76">
        <v>0</v>
      </c>
      <c r="U19" s="76">
        <v>0</v>
      </c>
      <c r="V19" s="76">
        <v>0</v>
      </c>
      <c r="W19" s="76">
        <v>0</v>
      </c>
      <c r="X19" s="76">
        <v>0</v>
      </c>
      <c r="Y19" s="76">
        <v>0</v>
      </c>
      <c r="Z19" s="76">
        <v>0</v>
      </c>
      <c r="AA19" s="76">
        <v>0</v>
      </c>
      <c r="AB19" s="76">
        <v>0</v>
      </c>
      <c r="AC19" s="76">
        <v>0</v>
      </c>
      <c r="AD19" s="76">
        <v>0</v>
      </c>
      <c r="AE19" s="76">
        <v>0</v>
      </c>
      <c r="AF19" s="76">
        <v>0</v>
      </c>
      <c r="AG19" s="76">
        <v>0</v>
      </c>
      <c r="AH19" s="76">
        <v>0</v>
      </c>
      <c r="AI19" s="76">
        <v>0</v>
      </c>
      <c r="AJ19" s="76">
        <v>0</v>
      </c>
      <c r="AK19" s="76">
        <v>0</v>
      </c>
      <c r="AL19" s="76">
        <v>0</v>
      </c>
      <c r="AM19" s="76">
        <v>0</v>
      </c>
      <c r="AN19" s="76">
        <v>0</v>
      </c>
      <c r="AO19" s="76">
        <v>0</v>
      </c>
      <c r="AP19" s="76">
        <v>0</v>
      </c>
      <c r="AQ19" s="76">
        <v>0</v>
      </c>
      <c r="AR19" s="76">
        <v>0</v>
      </c>
      <c r="AS19" s="76">
        <v>0</v>
      </c>
      <c r="AT19" s="76">
        <v>0</v>
      </c>
      <c r="AU19" s="76">
        <v>0</v>
      </c>
      <c r="AV19" s="76">
        <v>0</v>
      </c>
      <c r="AW19" s="76">
        <v>0</v>
      </c>
      <c r="AX19" s="76">
        <v>0</v>
      </c>
      <c r="AY19" s="76">
        <v>0</v>
      </c>
      <c r="AZ19" s="76">
        <v>0</v>
      </c>
      <c r="BA19" s="76">
        <v>0</v>
      </c>
      <c r="BB19" s="76">
        <v>0</v>
      </c>
      <c r="BC19" s="76">
        <v>0</v>
      </c>
      <c r="BD19" s="76">
        <v>0</v>
      </c>
      <c r="BE19" s="76">
        <v>0</v>
      </c>
      <c r="BF19" s="76">
        <v>0</v>
      </c>
      <c r="BG19" s="76">
        <v>0</v>
      </c>
      <c r="BH19" s="76">
        <v>0</v>
      </c>
      <c r="BI19" s="76">
        <v>0</v>
      </c>
      <c r="BJ19" s="76">
        <v>0</v>
      </c>
      <c r="BK19" s="76">
        <v>0</v>
      </c>
    </row>
    <row r="20" spans="1:63" x14ac:dyDescent="0.25">
      <c r="A20" s="74">
        <v>32272722</v>
      </c>
      <c r="B20" s="75">
        <v>4817134</v>
      </c>
      <c r="C20" s="76">
        <v>0</v>
      </c>
      <c r="D20" s="76">
        <v>0</v>
      </c>
      <c r="E20" s="76">
        <v>0</v>
      </c>
      <c r="F20" s="76">
        <v>0</v>
      </c>
      <c r="G20" s="76">
        <v>0</v>
      </c>
      <c r="H20" s="76">
        <v>0</v>
      </c>
      <c r="I20" s="76">
        <v>0</v>
      </c>
      <c r="J20" s="76">
        <v>0</v>
      </c>
      <c r="K20" s="120">
        <v>0</v>
      </c>
      <c r="L20" s="76">
        <v>0</v>
      </c>
      <c r="M20" s="76">
        <v>0</v>
      </c>
      <c r="N20" s="76">
        <v>0</v>
      </c>
      <c r="O20" s="76">
        <v>0</v>
      </c>
      <c r="P20" s="76">
        <v>0</v>
      </c>
      <c r="Q20" s="76">
        <v>0</v>
      </c>
      <c r="R20" s="76">
        <v>0</v>
      </c>
      <c r="S20" s="76">
        <v>0</v>
      </c>
      <c r="T20" s="76">
        <v>0</v>
      </c>
      <c r="U20" s="76">
        <v>0</v>
      </c>
      <c r="V20" s="76">
        <v>0</v>
      </c>
      <c r="W20" s="76">
        <v>0</v>
      </c>
      <c r="X20" s="76">
        <v>0</v>
      </c>
      <c r="Y20" s="76">
        <v>0</v>
      </c>
      <c r="Z20" s="76">
        <v>0</v>
      </c>
      <c r="AA20" s="76">
        <v>0</v>
      </c>
      <c r="AB20" s="76">
        <v>0</v>
      </c>
      <c r="AC20" s="76">
        <v>0</v>
      </c>
      <c r="AD20" s="76">
        <v>0</v>
      </c>
      <c r="AE20" s="76">
        <v>0</v>
      </c>
      <c r="AF20" s="76">
        <v>0</v>
      </c>
      <c r="AG20" s="76">
        <v>0</v>
      </c>
      <c r="AH20" s="76">
        <v>0</v>
      </c>
      <c r="AI20" s="76">
        <v>0</v>
      </c>
      <c r="AJ20" s="76">
        <v>0</v>
      </c>
      <c r="AK20" s="76">
        <v>0</v>
      </c>
      <c r="AL20" s="76">
        <v>0</v>
      </c>
      <c r="AM20" s="76">
        <v>0</v>
      </c>
      <c r="AN20" s="76">
        <v>0</v>
      </c>
      <c r="AO20" s="76">
        <v>0</v>
      </c>
      <c r="AP20" s="76">
        <v>0</v>
      </c>
      <c r="AQ20" s="76">
        <v>0</v>
      </c>
      <c r="AR20" s="76">
        <v>0</v>
      </c>
      <c r="AS20" s="76">
        <v>0</v>
      </c>
      <c r="AT20" s="76">
        <v>0</v>
      </c>
      <c r="AU20" s="76">
        <v>0</v>
      </c>
      <c r="AV20" s="76">
        <v>0</v>
      </c>
      <c r="AW20" s="76">
        <v>0</v>
      </c>
      <c r="AX20" s="76">
        <v>0</v>
      </c>
      <c r="AY20" s="76">
        <v>0</v>
      </c>
      <c r="AZ20" s="76">
        <v>0</v>
      </c>
      <c r="BA20" s="76">
        <v>0</v>
      </c>
      <c r="BB20" s="76">
        <v>0</v>
      </c>
      <c r="BC20" s="76">
        <v>0</v>
      </c>
      <c r="BD20" s="76">
        <v>0</v>
      </c>
      <c r="BE20" s="76">
        <v>0</v>
      </c>
      <c r="BF20" s="76">
        <v>0</v>
      </c>
      <c r="BG20" s="76">
        <v>0</v>
      </c>
      <c r="BH20" s="76">
        <v>0</v>
      </c>
      <c r="BI20" s="76">
        <v>0</v>
      </c>
      <c r="BJ20" s="76">
        <v>0</v>
      </c>
      <c r="BK20" s="76">
        <v>0</v>
      </c>
    </row>
    <row r="21" spans="1:63" x14ac:dyDescent="0.25">
      <c r="A21" s="74">
        <v>32272723</v>
      </c>
      <c r="B21" s="75">
        <v>4817136</v>
      </c>
      <c r="C21" s="76">
        <v>0</v>
      </c>
      <c r="D21" s="76">
        <v>0</v>
      </c>
      <c r="E21" s="76">
        <v>0</v>
      </c>
      <c r="F21" s="76">
        <v>0</v>
      </c>
      <c r="G21" s="76">
        <v>0</v>
      </c>
      <c r="H21" s="76">
        <v>0</v>
      </c>
      <c r="I21" s="76">
        <v>0</v>
      </c>
      <c r="J21" s="76">
        <v>0</v>
      </c>
      <c r="K21" s="120">
        <v>0</v>
      </c>
      <c r="L21" s="76">
        <v>0</v>
      </c>
      <c r="M21" s="76">
        <v>0</v>
      </c>
      <c r="N21" s="76">
        <v>0</v>
      </c>
      <c r="O21" s="76">
        <v>0</v>
      </c>
      <c r="P21" s="76">
        <v>0</v>
      </c>
      <c r="Q21" s="76">
        <v>0</v>
      </c>
      <c r="R21" s="76">
        <v>0</v>
      </c>
      <c r="S21" s="76">
        <v>0</v>
      </c>
      <c r="T21" s="76">
        <v>0</v>
      </c>
      <c r="U21" s="76">
        <v>0</v>
      </c>
      <c r="V21" s="76">
        <v>0</v>
      </c>
      <c r="W21" s="76">
        <v>0</v>
      </c>
      <c r="X21" s="76">
        <v>0</v>
      </c>
      <c r="Y21" s="76">
        <v>0</v>
      </c>
      <c r="Z21" s="76">
        <v>0</v>
      </c>
      <c r="AA21" s="76">
        <v>0</v>
      </c>
      <c r="AB21" s="76">
        <v>0</v>
      </c>
      <c r="AC21" s="76">
        <v>0</v>
      </c>
      <c r="AD21" s="76">
        <v>0</v>
      </c>
      <c r="AE21" s="76">
        <v>0</v>
      </c>
      <c r="AF21" s="76">
        <v>0</v>
      </c>
      <c r="AG21" s="76">
        <v>0</v>
      </c>
      <c r="AH21" s="76">
        <v>0</v>
      </c>
      <c r="AI21" s="76">
        <v>0</v>
      </c>
      <c r="AJ21" s="76">
        <v>0</v>
      </c>
      <c r="AK21" s="76">
        <v>0</v>
      </c>
      <c r="AL21" s="76">
        <v>0</v>
      </c>
      <c r="AM21" s="76">
        <v>0</v>
      </c>
      <c r="AN21" s="76">
        <v>0</v>
      </c>
      <c r="AO21" s="76">
        <v>0</v>
      </c>
      <c r="AP21" s="76">
        <v>0</v>
      </c>
      <c r="AQ21" s="76">
        <v>0</v>
      </c>
      <c r="AR21" s="76">
        <v>0</v>
      </c>
      <c r="AS21" s="76">
        <v>0</v>
      </c>
      <c r="AT21" s="76">
        <v>0</v>
      </c>
      <c r="AU21" s="76">
        <v>0</v>
      </c>
      <c r="AV21" s="76">
        <v>0</v>
      </c>
      <c r="AW21" s="76">
        <v>0</v>
      </c>
      <c r="AX21" s="76">
        <v>0</v>
      </c>
      <c r="AY21" s="76">
        <v>0</v>
      </c>
      <c r="AZ21" s="76">
        <v>0</v>
      </c>
      <c r="BA21" s="76">
        <v>0</v>
      </c>
      <c r="BB21" s="76">
        <v>0</v>
      </c>
      <c r="BC21" s="76">
        <v>0</v>
      </c>
      <c r="BD21" s="76">
        <v>0</v>
      </c>
      <c r="BE21" s="76">
        <v>0</v>
      </c>
      <c r="BF21" s="76">
        <v>0</v>
      </c>
      <c r="BG21" s="76">
        <v>0</v>
      </c>
      <c r="BH21" s="76">
        <v>0</v>
      </c>
      <c r="BI21" s="76">
        <v>0</v>
      </c>
      <c r="BJ21" s="76">
        <v>0</v>
      </c>
      <c r="BK21" s="76">
        <v>0</v>
      </c>
    </row>
    <row r="22" spans="1:63" x14ac:dyDescent="0.25">
      <c r="A22" s="74">
        <v>32248184</v>
      </c>
      <c r="B22" s="75">
        <v>4172820</v>
      </c>
      <c r="C22" s="76">
        <v>0</v>
      </c>
      <c r="D22" s="76">
        <v>0</v>
      </c>
      <c r="E22" s="76">
        <v>0</v>
      </c>
      <c r="F22" s="76">
        <v>0</v>
      </c>
      <c r="G22" s="76">
        <v>0</v>
      </c>
      <c r="H22" s="76">
        <v>0</v>
      </c>
      <c r="I22" s="76">
        <v>0</v>
      </c>
      <c r="J22" s="76">
        <v>0</v>
      </c>
      <c r="K22" s="120">
        <v>0</v>
      </c>
      <c r="L22" s="76">
        <v>0</v>
      </c>
      <c r="M22" s="76">
        <v>0</v>
      </c>
      <c r="N22" s="76">
        <v>0</v>
      </c>
      <c r="O22" s="76">
        <v>0</v>
      </c>
      <c r="P22" s="76">
        <v>0</v>
      </c>
      <c r="Q22" s="76">
        <v>0</v>
      </c>
      <c r="R22" s="76">
        <v>0</v>
      </c>
      <c r="S22" s="76">
        <v>0</v>
      </c>
      <c r="T22" s="76">
        <v>0</v>
      </c>
      <c r="U22" s="76">
        <v>0</v>
      </c>
      <c r="V22" s="76">
        <v>0</v>
      </c>
      <c r="W22" s="76">
        <v>0</v>
      </c>
      <c r="X22" s="76">
        <v>0</v>
      </c>
      <c r="Y22" s="76">
        <v>0</v>
      </c>
      <c r="Z22" s="76">
        <v>0</v>
      </c>
      <c r="AA22" s="76">
        <v>0</v>
      </c>
      <c r="AB22" s="76">
        <v>0</v>
      </c>
      <c r="AC22" s="76">
        <v>0</v>
      </c>
      <c r="AD22" s="76">
        <v>0</v>
      </c>
      <c r="AE22" s="76">
        <v>0</v>
      </c>
      <c r="AF22" s="76">
        <v>0</v>
      </c>
      <c r="AG22" s="76">
        <v>0</v>
      </c>
      <c r="AH22" s="76">
        <v>0</v>
      </c>
      <c r="AI22" s="76">
        <v>0</v>
      </c>
      <c r="AJ22" s="76">
        <v>0</v>
      </c>
      <c r="AK22" s="76">
        <v>0</v>
      </c>
      <c r="AL22" s="76">
        <v>0</v>
      </c>
      <c r="AM22" s="76">
        <v>0</v>
      </c>
      <c r="AN22" s="76">
        <v>0</v>
      </c>
      <c r="AO22" s="76">
        <v>0</v>
      </c>
      <c r="AP22" s="76">
        <v>0</v>
      </c>
      <c r="AQ22" s="76">
        <v>0</v>
      </c>
      <c r="AR22" s="76">
        <v>0</v>
      </c>
      <c r="AS22" s="76">
        <v>0</v>
      </c>
      <c r="AT22" s="76">
        <v>0</v>
      </c>
      <c r="AU22" s="76">
        <v>0</v>
      </c>
      <c r="AV22" s="76">
        <v>0</v>
      </c>
      <c r="AW22" s="76">
        <v>0</v>
      </c>
      <c r="AX22" s="76">
        <v>0</v>
      </c>
      <c r="AY22" s="76">
        <v>0</v>
      </c>
      <c r="AZ22" s="76">
        <v>0</v>
      </c>
      <c r="BA22" s="76">
        <v>0</v>
      </c>
      <c r="BB22" s="76">
        <v>0</v>
      </c>
      <c r="BC22" s="76">
        <v>0</v>
      </c>
      <c r="BD22" s="76">
        <v>0</v>
      </c>
      <c r="BE22" s="76">
        <v>0</v>
      </c>
      <c r="BF22" s="76">
        <v>0</v>
      </c>
      <c r="BG22" s="76">
        <v>0</v>
      </c>
      <c r="BH22" s="76">
        <v>0</v>
      </c>
      <c r="BI22" s="76">
        <v>0</v>
      </c>
      <c r="BJ22" s="76">
        <v>0</v>
      </c>
      <c r="BK22" s="76">
        <v>0</v>
      </c>
    </row>
    <row r="23" spans="1:63" x14ac:dyDescent="0.25">
      <c r="A23" s="74">
        <v>32248186</v>
      </c>
      <c r="B23" s="75">
        <v>4172821</v>
      </c>
      <c r="C23" s="76">
        <v>0</v>
      </c>
      <c r="D23" s="76">
        <v>0</v>
      </c>
      <c r="E23" s="76">
        <v>0</v>
      </c>
      <c r="F23" s="76">
        <v>0</v>
      </c>
      <c r="G23" s="76">
        <v>0</v>
      </c>
      <c r="H23" s="76">
        <v>0</v>
      </c>
      <c r="I23" s="76">
        <v>0</v>
      </c>
      <c r="J23" s="76">
        <v>0</v>
      </c>
      <c r="K23" s="120">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6">
        <v>0</v>
      </c>
      <c r="AC23" s="76">
        <v>0</v>
      </c>
      <c r="AD23" s="76">
        <v>0</v>
      </c>
      <c r="AE23" s="76">
        <v>0</v>
      </c>
      <c r="AF23" s="76">
        <v>0</v>
      </c>
      <c r="AG23" s="76">
        <v>0</v>
      </c>
      <c r="AH23" s="76">
        <v>0</v>
      </c>
      <c r="AI23" s="76">
        <v>0</v>
      </c>
      <c r="AJ23" s="76">
        <v>0</v>
      </c>
      <c r="AK23" s="76">
        <v>0</v>
      </c>
      <c r="AL23" s="76">
        <v>0</v>
      </c>
      <c r="AM23" s="76">
        <v>0</v>
      </c>
      <c r="AN23" s="76">
        <v>0</v>
      </c>
      <c r="AO23" s="76">
        <v>0</v>
      </c>
      <c r="AP23" s="76">
        <v>0</v>
      </c>
      <c r="AQ23" s="76">
        <v>0</v>
      </c>
      <c r="AR23" s="76">
        <v>0</v>
      </c>
      <c r="AS23" s="76">
        <v>0</v>
      </c>
      <c r="AT23" s="76">
        <v>0</v>
      </c>
      <c r="AU23" s="76">
        <v>0</v>
      </c>
      <c r="AV23" s="76">
        <v>0</v>
      </c>
      <c r="AW23" s="76">
        <v>0</v>
      </c>
      <c r="AX23" s="76">
        <v>0</v>
      </c>
      <c r="AY23" s="76">
        <v>0</v>
      </c>
      <c r="AZ23" s="76">
        <v>0</v>
      </c>
      <c r="BA23" s="76">
        <v>0</v>
      </c>
      <c r="BB23" s="76">
        <v>0</v>
      </c>
      <c r="BC23" s="76">
        <v>0</v>
      </c>
      <c r="BD23" s="76">
        <v>0</v>
      </c>
      <c r="BE23" s="76">
        <v>0</v>
      </c>
      <c r="BF23" s="76">
        <v>0</v>
      </c>
      <c r="BG23" s="76">
        <v>0</v>
      </c>
      <c r="BH23" s="76">
        <v>0</v>
      </c>
      <c r="BI23" s="76">
        <v>0</v>
      </c>
      <c r="BJ23" s="76">
        <v>0</v>
      </c>
      <c r="BK23" s="76">
        <v>0</v>
      </c>
    </row>
    <row r="24" spans="1:63" x14ac:dyDescent="0.25">
      <c r="A24" s="74">
        <v>32288790</v>
      </c>
      <c r="B24" s="75">
        <v>5073064</v>
      </c>
      <c r="C24" s="76">
        <v>0</v>
      </c>
      <c r="D24" s="76">
        <v>0</v>
      </c>
      <c r="E24" s="76">
        <v>0</v>
      </c>
      <c r="F24" s="76">
        <v>0</v>
      </c>
      <c r="G24" s="76">
        <v>0</v>
      </c>
      <c r="H24" s="76">
        <v>0</v>
      </c>
      <c r="I24" s="76">
        <v>0</v>
      </c>
      <c r="J24" s="76">
        <v>0</v>
      </c>
      <c r="K24" s="120">
        <v>0</v>
      </c>
      <c r="L24" s="76">
        <v>0</v>
      </c>
      <c r="M24" s="76">
        <v>0</v>
      </c>
      <c r="N24" s="76">
        <v>0</v>
      </c>
      <c r="O24" s="76">
        <v>0</v>
      </c>
      <c r="P24" s="76">
        <v>0</v>
      </c>
      <c r="Q24" s="76">
        <v>0</v>
      </c>
      <c r="R24" s="76">
        <v>0</v>
      </c>
      <c r="S24" s="76">
        <v>0</v>
      </c>
      <c r="T24" s="76">
        <v>0</v>
      </c>
      <c r="U24" s="76">
        <v>0</v>
      </c>
      <c r="V24" s="76">
        <v>0</v>
      </c>
      <c r="W24" s="76">
        <v>0</v>
      </c>
      <c r="X24" s="76">
        <v>0</v>
      </c>
      <c r="Y24" s="76">
        <v>0</v>
      </c>
      <c r="Z24" s="76">
        <v>0</v>
      </c>
      <c r="AA24" s="76">
        <v>0</v>
      </c>
      <c r="AB24" s="76">
        <v>0</v>
      </c>
      <c r="AC24" s="76">
        <v>0</v>
      </c>
      <c r="AD24" s="76">
        <v>0</v>
      </c>
      <c r="AE24" s="76">
        <v>0</v>
      </c>
      <c r="AF24" s="76">
        <v>0</v>
      </c>
      <c r="AG24" s="76">
        <v>0</v>
      </c>
      <c r="AH24" s="76">
        <v>0</v>
      </c>
      <c r="AI24" s="76">
        <v>0</v>
      </c>
      <c r="AJ24" s="76">
        <v>0</v>
      </c>
      <c r="AK24" s="76">
        <v>0</v>
      </c>
      <c r="AL24" s="76">
        <v>0</v>
      </c>
      <c r="AM24" s="76">
        <v>0</v>
      </c>
      <c r="AN24" s="76">
        <v>0</v>
      </c>
      <c r="AO24" s="76">
        <v>0</v>
      </c>
      <c r="AP24" s="76">
        <v>0</v>
      </c>
      <c r="AQ24" s="76">
        <v>0</v>
      </c>
      <c r="AR24" s="76">
        <v>0</v>
      </c>
      <c r="AS24" s="76">
        <v>0</v>
      </c>
      <c r="AT24" s="76">
        <v>0</v>
      </c>
      <c r="AU24" s="76">
        <v>0</v>
      </c>
      <c r="AV24" s="76">
        <v>0</v>
      </c>
      <c r="AW24" s="76">
        <v>0</v>
      </c>
      <c r="AX24" s="76">
        <v>0</v>
      </c>
      <c r="AY24" s="76">
        <v>0</v>
      </c>
      <c r="AZ24" s="76">
        <v>0</v>
      </c>
      <c r="BA24" s="76">
        <v>0</v>
      </c>
      <c r="BB24" s="76">
        <v>0</v>
      </c>
      <c r="BC24" s="76">
        <v>0</v>
      </c>
      <c r="BD24" s="76">
        <v>0</v>
      </c>
      <c r="BE24" s="76">
        <v>0</v>
      </c>
      <c r="BF24" s="76">
        <v>0</v>
      </c>
      <c r="BG24" s="76">
        <v>0</v>
      </c>
      <c r="BH24" s="76">
        <v>0</v>
      </c>
      <c r="BI24" s="76">
        <v>0</v>
      </c>
      <c r="BJ24" s="76">
        <v>0</v>
      </c>
      <c r="BK24" s="76">
        <v>0</v>
      </c>
    </row>
    <row r="25" spans="1:63" x14ac:dyDescent="0.25">
      <c r="A25" s="74">
        <v>32288792</v>
      </c>
      <c r="B25" s="75">
        <v>5073065</v>
      </c>
      <c r="C25" s="76">
        <v>0</v>
      </c>
      <c r="D25" s="76">
        <v>0</v>
      </c>
      <c r="E25" s="76">
        <v>0</v>
      </c>
      <c r="F25" s="76">
        <v>0</v>
      </c>
      <c r="G25" s="76">
        <v>0</v>
      </c>
      <c r="H25" s="76">
        <v>0</v>
      </c>
      <c r="I25" s="76">
        <v>0</v>
      </c>
      <c r="J25" s="76">
        <v>0</v>
      </c>
      <c r="K25" s="120">
        <v>0</v>
      </c>
      <c r="L25" s="76">
        <v>0</v>
      </c>
      <c r="M25" s="76">
        <v>0</v>
      </c>
      <c r="N25" s="76">
        <v>0</v>
      </c>
      <c r="O25" s="76">
        <v>0</v>
      </c>
      <c r="P25" s="76">
        <v>0</v>
      </c>
      <c r="Q25" s="76">
        <v>0</v>
      </c>
      <c r="R25" s="76">
        <v>0</v>
      </c>
      <c r="S25" s="76">
        <v>0</v>
      </c>
      <c r="T25" s="76">
        <v>0</v>
      </c>
      <c r="U25" s="76">
        <v>0</v>
      </c>
      <c r="V25" s="76">
        <v>0</v>
      </c>
      <c r="W25" s="76">
        <v>0</v>
      </c>
      <c r="X25" s="76">
        <v>0</v>
      </c>
      <c r="Y25" s="76">
        <v>0</v>
      </c>
      <c r="Z25" s="76">
        <v>0</v>
      </c>
      <c r="AA25" s="76">
        <v>0</v>
      </c>
      <c r="AB25" s="76">
        <v>0</v>
      </c>
      <c r="AC25" s="76">
        <v>0</v>
      </c>
      <c r="AD25" s="76">
        <v>0</v>
      </c>
      <c r="AE25" s="76">
        <v>0</v>
      </c>
      <c r="AF25" s="76">
        <v>0</v>
      </c>
      <c r="AG25" s="76">
        <v>0</v>
      </c>
      <c r="AH25" s="76">
        <v>0</v>
      </c>
      <c r="AI25" s="76">
        <v>0</v>
      </c>
      <c r="AJ25" s="76">
        <v>0</v>
      </c>
      <c r="AK25" s="76">
        <v>0</v>
      </c>
      <c r="AL25" s="76">
        <v>0</v>
      </c>
      <c r="AM25" s="76">
        <v>0</v>
      </c>
      <c r="AN25" s="76">
        <v>0</v>
      </c>
      <c r="AO25" s="76">
        <v>0</v>
      </c>
      <c r="AP25" s="76">
        <v>0</v>
      </c>
      <c r="AQ25" s="76">
        <v>0</v>
      </c>
      <c r="AR25" s="76">
        <v>0</v>
      </c>
      <c r="AS25" s="76">
        <v>0</v>
      </c>
      <c r="AT25" s="76">
        <v>0</v>
      </c>
      <c r="AU25" s="76">
        <v>0</v>
      </c>
      <c r="AV25" s="76">
        <v>0</v>
      </c>
      <c r="AW25" s="76">
        <v>0</v>
      </c>
      <c r="AX25" s="76">
        <v>0</v>
      </c>
      <c r="AY25" s="76">
        <v>0</v>
      </c>
      <c r="AZ25" s="76">
        <v>0</v>
      </c>
      <c r="BA25" s="76">
        <v>0</v>
      </c>
      <c r="BB25" s="76">
        <v>0</v>
      </c>
      <c r="BC25" s="76">
        <v>0</v>
      </c>
      <c r="BD25" s="76">
        <v>0</v>
      </c>
      <c r="BE25" s="76">
        <v>0</v>
      </c>
      <c r="BF25" s="76">
        <v>0</v>
      </c>
      <c r="BG25" s="76">
        <v>0</v>
      </c>
      <c r="BH25" s="76">
        <v>0</v>
      </c>
      <c r="BI25" s="76">
        <v>0</v>
      </c>
      <c r="BJ25" s="76">
        <v>0</v>
      </c>
      <c r="BK25" s="76">
        <v>0</v>
      </c>
    </row>
    <row r="26" spans="1:63" x14ac:dyDescent="0.25">
      <c r="A26" s="74">
        <v>32248170</v>
      </c>
      <c r="B26" s="75">
        <v>4172749</v>
      </c>
      <c r="C26" s="76">
        <v>0</v>
      </c>
      <c r="D26" s="76">
        <v>0</v>
      </c>
      <c r="E26" s="76">
        <v>0</v>
      </c>
      <c r="F26" s="76">
        <v>0</v>
      </c>
      <c r="G26" s="76">
        <v>0</v>
      </c>
      <c r="H26" s="76">
        <v>0</v>
      </c>
      <c r="I26" s="76">
        <v>0</v>
      </c>
      <c r="J26" s="76">
        <v>0</v>
      </c>
      <c r="K26" s="120">
        <v>0</v>
      </c>
      <c r="L26" s="76">
        <v>0</v>
      </c>
      <c r="M26" s="76">
        <v>0</v>
      </c>
      <c r="N26" s="76">
        <v>0</v>
      </c>
      <c r="O26" s="76">
        <v>0</v>
      </c>
      <c r="P26" s="76">
        <v>0</v>
      </c>
      <c r="Q26" s="76">
        <v>0</v>
      </c>
      <c r="R26" s="76">
        <v>0</v>
      </c>
      <c r="S26" s="76">
        <v>0</v>
      </c>
      <c r="T26" s="76">
        <v>0</v>
      </c>
      <c r="U26" s="76">
        <v>0</v>
      </c>
      <c r="V26" s="76">
        <v>0</v>
      </c>
      <c r="W26" s="76">
        <v>0</v>
      </c>
      <c r="X26" s="76">
        <v>0</v>
      </c>
      <c r="Y26" s="76">
        <v>0</v>
      </c>
      <c r="Z26" s="76">
        <v>0</v>
      </c>
      <c r="AA26" s="76">
        <v>0</v>
      </c>
      <c r="AB26" s="76">
        <v>0</v>
      </c>
      <c r="AC26" s="76">
        <v>0</v>
      </c>
      <c r="AD26" s="76">
        <v>0</v>
      </c>
      <c r="AE26" s="76">
        <v>0</v>
      </c>
      <c r="AF26" s="76">
        <v>0</v>
      </c>
      <c r="AG26" s="76">
        <v>0</v>
      </c>
      <c r="AH26" s="76">
        <v>0</v>
      </c>
      <c r="AI26" s="76">
        <v>0</v>
      </c>
      <c r="AJ26" s="76">
        <v>0</v>
      </c>
      <c r="AK26" s="76">
        <v>0</v>
      </c>
      <c r="AL26" s="76">
        <v>0</v>
      </c>
      <c r="AM26" s="76">
        <v>0</v>
      </c>
      <c r="AN26" s="76">
        <v>0</v>
      </c>
      <c r="AO26" s="76">
        <v>0</v>
      </c>
      <c r="AP26" s="76">
        <v>0</v>
      </c>
      <c r="AQ26" s="76">
        <v>0</v>
      </c>
      <c r="AR26" s="76">
        <v>0</v>
      </c>
      <c r="AS26" s="76">
        <v>0</v>
      </c>
      <c r="AT26" s="76">
        <v>0</v>
      </c>
      <c r="AU26" s="76">
        <v>0</v>
      </c>
      <c r="AV26" s="76">
        <v>0</v>
      </c>
      <c r="AW26" s="76">
        <v>0</v>
      </c>
      <c r="AX26" s="76">
        <v>0</v>
      </c>
      <c r="AY26" s="76">
        <v>0</v>
      </c>
      <c r="AZ26" s="76">
        <v>0</v>
      </c>
      <c r="BA26" s="76">
        <v>0</v>
      </c>
      <c r="BB26" s="76">
        <v>0</v>
      </c>
      <c r="BC26" s="76">
        <v>0</v>
      </c>
      <c r="BD26" s="76">
        <v>0</v>
      </c>
      <c r="BE26" s="76">
        <v>0</v>
      </c>
      <c r="BF26" s="76">
        <v>0</v>
      </c>
      <c r="BG26" s="76">
        <v>0</v>
      </c>
      <c r="BH26" s="76">
        <v>0</v>
      </c>
      <c r="BI26" s="76">
        <v>0</v>
      </c>
      <c r="BJ26" s="76">
        <v>0</v>
      </c>
      <c r="BK26" s="76">
        <v>0</v>
      </c>
    </row>
    <row r="27" spans="1:63" x14ac:dyDescent="0.25">
      <c r="A27" s="74">
        <v>32248362</v>
      </c>
      <c r="B27" s="75">
        <v>4172750</v>
      </c>
      <c r="C27" s="76">
        <v>0</v>
      </c>
      <c r="D27" s="76">
        <v>0</v>
      </c>
      <c r="E27" s="76">
        <v>0</v>
      </c>
      <c r="F27" s="76">
        <v>0</v>
      </c>
      <c r="G27" s="76">
        <v>0</v>
      </c>
      <c r="H27" s="76">
        <v>0</v>
      </c>
      <c r="I27" s="76">
        <v>0</v>
      </c>
      <c r="J27" s="76">
        <v>0</v>
      </c>
      <c r="K27" s="120">
        <v>0</v>
      </c>
      <c r="L27" s="76">
        <v>0</v>
      </c>
      <c r="M27" s="76">
        <v>0</v>
      </c>
      <c r="N27" s="76">
        <v>0</v>
      </c>
      <c r="O27" s="76">
        <v>0</v>
      </c>
      <c r="P27" s="76">
        <v>0</v>
      </c>
      <c r="Q27" s="76">
        <v>0</v>
      </c>
      <c r="R27" s="76">
        <v>0</v>
      </c>
      <c r="S27" s="76">
        <v>0</v>
      </c>
      <c r="T27" s="76">
        <v>0</v>
      </c>
      <c r="U27" s="76">
        <v>0</v>
      </c>
      <c r="V27" s="76">
        <v>0</v>
      </c>
      <c r="W27" s="76">
        <v>0</v>
      </c>
      <c r="X27" s="76">
        <v>0</v>
      </c>
      <c r="Y27" s="76">
        <v>0</v>
      </c>
      <c r="Z27" s="76">
        <v>0</v>
      </c>
      <c r="AA27" s="76">
        <v>0</v>
      </c>
      <c r="AB27" s="76">
        <v>0</v>
      </c>
      <c r="AC27" s="76">
        <v>0</v>
      </c>
      <c r="AD27" s="76">
        <v>0</v>
      </c>
      <c r="AE27" s="76">
        <v>0</v>
      </c>
      <c r="AF27" s="76">
        <v>0</v>
      </c>
      <c r="AG27" s="76">
        <v>0</v>
      </c>
      <c r="AH27" s="76">
        <v>0</v>
      </c>
      <c r="AI27" s="76">
        <v>0</v>
      </c>
      <c r="AJ27" s="76">
        <v>0</v>
      </c>
      <c r="AK27" s="76">
        <v>0</v>
      </c>
      <c r="AL27" s="76">
        <v>0</v>
      </c>
      <c r="AM27" s="76">
        <v>0</v>
      </c>
      <c r="AN27" s="76">
        <v>0</v>
      </c>
      <c r="AO27" s="76">
        <v>0</v>
      </c>
      <c r="AP27" s="76">
        <v>0</v>
      </c>
      <c r="AQ27" s="76">
        <v>0</v>
      </c>
      <c r="AR27" s="76">
        <v>0</v>
      </c>
      <c r="AS27" s="76">
        <v>0</v>
      </c>
      <c r="AT27" s="76">
        <v>0</v>
      </c>
      <c r="AU27" s="76">
        <v>0</v>
      </c>
      <c r="AV27" s="76">
        <v>0</v>
      </c>
      <c r="AW27" s="76">
        <v>0</v>
      </c>
      <c r="AX27" s="76">
        <v>0</v>
      </c>
      <c r="AY27" s="76">
        <v>0</v>
      </c>
      <c r="AZ27" s="76">
        <v>0</v>
      </c>
      <c r="BA27" s="76">
        <v>0</v>
      </c>
      <c r="BB27" s="76">
        <v>0</v>
      </c>
      <c r="BC27" s="76">
        <v>0</v>
      </c>
      <c r="BD27" s="76">
        <v>0</v>
      </c>
      <c r="BE27" s="76">
        <v>0</v>
      </c>
      <c r="BF27" s="76">
        <v>0</v>
      </c>
      <c r="BG27" s="76">
        <v>0</v>
      </c>
      <c r="BH27" s="76">
        <v>0</v>
      </c>
      <c r="BI27" s="76">
        <v>0</v>
      </c>
      <c r="BJ27" s="76">
        <v>0</v>
      </c>
      <c r="BK27" s="76">
        <v>0</v>
      </c>
    </row>
    <row r="28" spans="1:63" x14ac:dyDescent="0.25">
      <c r="A28" s="74">
        <v>32288787</v>
      </c>
      <c r="B28" s="75">
        <v>5073058</v>
      </c>
      <c r="C28" s="76">
        <v>0</v>
      </c>
      <c r="D28" s="76">
        <v>0</v>
      </c>
      <c r="E28" s="76">
        <v>0</v>
      </c>
      <c r="F28" s="76">
        <v>0</v>
      </c>
      <c r="G28" s="76">
        <v>0</v>
      </c>
      <c r="H28" s="76">
        <v>0</v>
      </c>
      <c r="I28" s="76">
        <v>0</v>
      </c>
      <c r="J28" s="76">
        <v>0</v>
      </c>
      <c r="K28" s="120">
        <v>0</v>
      </c>
      <c r="L28" s="76">
        <v>0</v>
      </c>
      <c r="M28" s="76">
        <v>0</v>
      </c>
      <c r="N28" s="76">
        <v>0</v>
      </c>
      <c r="O28" s="76">
        <v>0</v>
      </c>
      <c r="P28" s="76">
        <v>0</v>
      </c>
      <c r="Q28" s="76">
        <v>0</v>
      </c>
      <c r="R28" s="76">
        <v>0</v>
      </c>
      <c r="S28" s="76">
        <v>0</v>
      </c>
      <c r="T28" s="76">
        <v>0</v>
      </c>
      <c r="U28" s="76">
        <v>0</v>
      </c>
      <c r="V28" s="76">
        <v>0</v>
      </c>
      <c r="W28" s="76">
        <v>0</v>
      </c>
      <c r="X28" s="76">
        <v>0</v>
      </c>
      <c r="Y28" s="76">
        <v>0</v>
      </c>
      <c r="Z28" s="76">
        <v>0</v>
      </c>
      <c r="AA28" s="76">
        <v>0</v>
      </c>
      <c r="AB28" s="76">
        <v>0</v>
      </c>
      <c r="AC28" s="76">
        <v>0</v>
      </c>
      <c r="AD28" s="76">
        <v>0</v>
      </c>
      <c r="AE28" s="76">
        <v>0</v>
      </c>
      <c r="AF28" s="76">
        <v>0</v>
      </c>
      <c r="AG28" s="76">
        <v>0</v>
      </c>
      <c r="AH28" s="76">
        <v>0</v>
      </c>
      <c r="AI28" s="76">
        <v>0</v>
      </c>
      <c r="AJ28" s="76">
        <v>0</v>
      </c>
      <c r="AK28" s="76">
        <v>0</v>
      </c>
      <c r="AL28" s="76">
        <v>0</v>
      </c>
      <c r="AM28" s="76">
        <v>0</v>
      </c>
      <c r="AN28" s="76">
        <v>0</v>
      </c>
      <c r="AO28" s="76">
        <v>0</v>
      </c>
      <c r="AP28" s="76">
        <v>0</v>
      </c>
      <c r="AQ28" s="76">
        <v>0</v>
      </c>
      <c r="AR28" s="76">
        <v>0</v>
      </c>
      <c r="AS28" s="76">
        <v>0</v>
      </c>
      <c r="AT28" s="76">
        <v>0</v>
      </c>
      <c r="AU28" s="76">
        <v>0</v>
      </c>
      <c r="AV28" s="76">
        <v>0</v>
      </c>
      <c r="AW28" s="76">
        <v>0</v>
      </c>
      <c r="AX28" s="76">
        <v>0</v>
      </c>
      <c r="AY28" s="76">
        <v>0</v>
      </c>
      <c r="AZ28" s="76">
        <v>0</v>
      </c>
      <c r="BA28" s="76">
        <v>0</v>
      </c>
      <c r="BB28" s="76">
        <v>0</v>
      </c>
      <c r="BC28" s="76">
        <v>0</v>
      </c>
      <c r="BD28" s="76">
        <v>0</v>
      </c>
      <c r="BE28" s="76">
        <v>0</v>
      </c>
      <c r="BF28" s="76">
        <v>0</v>
      </c>
      <c r="BG28" s="76">
        <v>0</v>
      </c>
      <c r="BH28" s="76">
        <v>0</v>
      </c>
      <c r="BI28" s="76">
        <v>0</v>
      </c>
      <c r="BJ28" s="76">
        <v>0</v>
      </c>
      <c r="BK28" s="76">
        <v>0</v>
      </c>
    </row>
    <row r="29" spans="1:63" x14ac:dyDescent="0.25">
      <c r="A29" s="74">
        <v>32272857</v>
      </c>
      <c r="B29" s="75">
        <v>5080294</v>
      </c>
      <c r="C29" s="76">
        <v>0</v>
      </c>
      <c r="D29" s="76">
        <v>0</v>
      </c>
      <c r="E29" s="76">
        <v>0</v>
      </c>
      <c r="F29" s="76">
        <v>0</v>
      </c>
      <c r="G29" s="76">
        <v>0</v>
      </c>
      <c r="H29" s="76">
        <v>0</v>
      </c>
      <c r="I29" s="76">
        <v>0</v>
      </c>
      <c r="J29" s="76">
        <v>0</v>
      </c>
      <c r="K29" s="120">
        <v>0</v>
      </c>
      <c r="L29" s="76">
        <v>0</v>
      </c>
      <c r="M29" s="76">
        <v>0</v>
      </c>
      <c r="N29" s="76">
        <v>0</v>
      </c>
      <c r="O29" s="76">
        <v>0</v>
      </c>
      <c r="P29" s="76">
        <v>0</v>
      </c>
      <c r="Q29" s="76">
        <v>0</v>
      </c>
      <c r="R29" s="76">
        <v>0</v>
      </c>
      <c r="S29" s="76">
        <v>0</v>
      </c>
      <c r="T29" s="76">
        <v>0</v>
      </c>
      <c r="U29" s="76">
        <v>0</v>
      </c>
      <c r="V29" s="76">
        <v>0</v>
      </c>
      <c r="W29" s="76">
        <v>0</v>
      </c>
      <c r="X29" s="76">
        <v>0</v>
      </c>
      <c r="Y29" s="76">
        <v>0</v>
      </c>
      <c r="Z29" s="76">
        <v>0</v>
      </c>
      <c r="AA29" s="76">
        <v>0</v>
      </c>
      <c r="AB29" s="76">
        <v>0</v>
      </c>
      <c r="AC29" s="76">
        <v>0</v>
      </c>
      <c r="AD29" s="76">
        <v>0</v>
      </c>
      <c r="AE29" s="76">
        <v>0</v>
      </c>
      <c r="AF29" s="76">
        <v>0</v>
      </c>
      <c r="AG29" s="76">
        <v>0</v>
      </c>
      <c r="AH29" s="76">
        <v>0</v>
      </c>
      <c r="AI29" s="76">
        <v>0</v>
      </c>
      <c r="AJ29" s="76">
        <v>0</v>
      </c>
      <c r="AK29" s="76">
        <v>0</v>
      </c>
      <c r="AL29" s="76">
        <v>0</v>
      </c>
      <c r="AM29" s="76">
        <v>0</v>
      </c>
      <c r="AN29" s="76">
        <v>0</v>
      </c>
      <c r="AO29" s="76">
        <v>0</v>
      </c>
      <c r="AP29" s="76">
        <v>0</v>
      </c>
      <c r="AQ29" s="76">
        <v>0</v>
      </c>
      <c r="AR29" s="76">
        <v>0</v>
      </c>
      <c r="AS29" s="76">
        <v>0</v>
      </c>
      <c r="AT29" s="76">
        <v>0</v>
      </c>
      <c r="AU29" s="76">
        <v>0</v>
      </c>
      <c r="AV29" s="76">
        <v>0</v>
      </c>
      <c r="AW29" s="76">
        <v>0</v>
      </c>
      <c r="AX29" s="76">
        <v>0</v>
      </c>
      <c r="AY29" s="76">
        <v>0</v>
      </c>
      <c r="AZ29" s="76">
        <v>0</v>
      </c>
      <c r="BA29" s="76">
        <v>0</v>
      </c>
      <c r="BB29" s="76">
        <v>0</v>
      </c>
      <c r="BC29" s="76">
        <v>0</v>
      </c>
      <c r="BD29" s="76">
        <v>0</v>
      </c>
      <c r="BE29" s="76">
        <v>0</v>
      </c>
      <c r="BF29" s="76">
        <v>0</v>
      </c>
      <c r="BG29" s="76">
        <v>0</v>
      </c>
      <c r="BH29" s="76">
        <v>0</v>
      </c>
      <c r="BI29" s="76">
        <v>0</v>
      </c>
      <c r="BJ29" s="76">
        <v>0</v>
      </c>
      <c r="BK29" s="76">
        <v>0</v>
      </c>
    </row>
    <row r="30" spans="1:63" x14ac:dyDescent="0.25">
      <c r="A30" s="74">
        <v>32272858</v>
      </c>
      <c r="B30" s="75">
        <v>5080299</v>
      </c>
      <c r="C30" s="76">
        <v>0</v>
      </c>
      <c r="D30" s="76">
        <v>0</v>
      </c>
      <c r="E30" s="76">
        <v>0</v>
      </c>
      <c r="F30" s="76">
        <v>0</v>
      </c>
      <c r="G30" s="76">
        <v>0</v>
      </c>
      <c r="H30" s="76">
        <v>0</v>
      </c>
      <c r="I30" s="76">
        <v>0</v>
      </c>
      <c r="J30" s="76">
        <v>0</v>
      </c>
      <c r="K30" s="120">
        <v>0</v>
      </c>
      <c r="L30" s="76">
        <v>0</v>
      </c>
      <c r="M30" s="76">
        <v>0</v>
      </c>
      <c r="N30" s="76">
        <v>0</v>
      </c>
      <c r="O30" s="76">
        <v>0</v>
      </c>
      <c r="P30" s="76">
        <v>0</v>
      </c>
      <c r="Q30" s="76">
        <v>0</v>
      </c>
      <c r="R30" s="76">
        <v>0</v>
      </c>
      <c r="S30" s="76">
        <v>0</v>
      </c>
      <c r="T30" s="76">
        <v>0</v>
      </c>
      <c r="U30" s="76">
        <v>0</v>
      </c>
      <c r="V30" s="76">
        <v>0</v>
      </c>
      <c r="W30" s="76">
        <v>0</v>
      </c>
      <c r="X30" s="76">
        <v>0</v>
      </c>
      <c r="Y30" s="76">
        <v>0</v>
      </c>
      <c r="Z30" s="76">
        <v>0</v>
      </c>
      <c r="AA30" s="76">
        <v>0</v>
      </c>
      <c r="AB30" s="76">
        <v>0</v>
      </c>
      <c r="AC30" s="76">
        <v>0</v>
      </c>
      <c r="AD30" s="76">
        <v>0</v>
      </c>
      <c r="AE30" s="76">
        <v>0</v>
      </c>
      <c r="AF30" s="76">
        <v>0</v>
      </c>
      <c r="AG30" s="76">
        <v>0</v>
      </c>
      <c r="AH30" s="76">
        <v>0</v>
      </c>
      <c r="AI30" s="76">
        <v>0</v>
      </c>
      <c r="AJ30" s="76">
        <v>0</v>
      </c>
      <c r="AK30" s="76">
        <v>0</v>
      </c>
      <c r="AL30" s="76">
        <v>0</v>
      </c>
      <c r="AM30" s="76">
        <v>0</v>
      </c>
      <c r="AN30" s="76">
        <v>0</v>
      </c>
      <c r="AO30" s="76">
        <v>0</v>
      </c>
      <c r="AP30" s="76">
        <v>0</v>
      </c>
      <c r="AQ30" s="76">
        <v>0</v>
      </c>
      <c r="AR30" s="76">
        <v>0</v>
      </c>
      <c r="AS30" s="76">
        <v>0</v>
      </c>
      <c r="AT30" s="76">
        <v>0</v>
      </c>
      <c r="AU30" s="76">
        <v>0</v>
      </c>
      <c r="AV30" s="76">
        <v>0</v>
      </c>
      <c r="AW30" s="76">
        <v>0</v>
      </c>
      <c r="AX30" s="76">
        <v>0</v>
      </c>
      <c r="AY30" s="76">
        <v>0</v>
      </c>
      <c r="AZ30" s="76">
        <v>0</v>
      </c>
      <c r="BA30" s="76">
        <v>0</v>
      </c>
      <c r="BB30" s="76">
        <v>0</v>
      </c>
      <c r="BC30" s="76">
        <v>0</v>
      </c>
      <c r="BD30" s="76">
        <v>0</v>
      </c>
      <c r="BE30" s="76">
        <v>0</v>
      </c>
      <c r="BF30" s="76">
        <v>0</v>
      </c>
      <c r="BG30" s="76">
        <v>0</v>
      </c>
      <c r="BH30" s="76">
        <v>0</v>
      </c>
      <c r="BI30" s="76">
        <v>0</v>
      </c>
      <c r="BJ30" s="76">
        <v>0</v>
      </c>
      <c r="BK30" s="76">
        <v>0</v>
      </c>
    </row>
    <row r="31" spans="1:63" x14ac:dyDescent="0.25">
      <c r="A31" s="74">
        <v>32248364</v>
      </c>
      <c r="B31" s="75">
        <v>4172788</v>
      </c>
      <c r="C31" s="76">
        <v>0</v>
      </c>
      <c r="D31" s="76">
        <v>0</v>
      </c>
      <c r="E31" s="76">
        <v>0</v>
      </c>
      <c r="F31" s="76">
        <v>0</v>
      </c>
      <c r="G31" s="76">
        <v>0</v>
      </c>
      <c r="H31" s="76">
        <v>0</v>
      </c>
      <c r="I31" s="76">
        <v>0</v>
      </c>
      <c r="J31" s="76">
        <v>0</v>
      </c>
      <c r="K31" s="120">
        <v>0</v>
      </c>
      <c r="L31" s="76">
        <v>0</v>
      </c>
      <c r="M31" s="76">
        <v>0</v>
      </c>
      <c r="N31" s="76">
        <v>0</v>
      </c>
      <c r="O31" s="76">
        <v>0</v>
      </c>
      <c r="P31" s="76">
        <v>0</v>
      </c>
      <c r="Q31" s="76">
        <v>0</v>
      </c>
      <c r="R31" s="76">
        <v>0</v>
      </c>
      <c r="S31" s="76">
        <v>0</v>
      </c>
      <c r="T31" s="76">
        <v>0</v>
      </c>
      <c r="U31" s="76">
        <v>0</v>
      </c>
      <c r="V31" s="76">
        <v>0</v>
      </c>
      <c r="W31" s="76">
        <v>0</v>
      </c>
      <c r="X31" s="76">
        <v>0</v>
      </c>
      <c r="Y31" s="76">
        <v>0</v>
      </c>
      <c r="Z31" s="76">
        <v>0</v>
      </c>
      <c r="AA31" s="76">
        <v>0</v>
      </c>
      <c r="AB31" s="76">
        <v>0</v>
      </c>
      <c r="AC31" s="76">
        <v>0</v>
      </c>
      <c r="AD31" s="76">
        <v>0</v>
      </c>
      <c r="AE31" s="76">
        <v>0</v>
      </c>
      <c r="AF31" s="76">
        <v>0</v>
      </c>
      <c r="AG31" s="76">
        <v>0</v>
      </c>
      <c r="AH31" s="76">
        <v>0</v>
      </c>
      <c r="AI31" s="76">
        <v>0</v>
      </c>
      <c r="AJ31" s="76">
        <v>0</v>
      </c>
      <c r="AK31" s="76">
        <v>0</v>
      </c>
      <c r="AL31" s="76">
        <v>0</v>
      </c>
      <c r="AM31" s="76">
        <v>0</v>
      </c>
      <c r="AN31" s="76">
        <v>0</v>
      </c>
      <c r="AO31" s="76">
        <v>0</v>
      </c>
      <c r="AP31" s="76">
        <v>0</v>
      </c>
      <c r="AQ31" s="76">
        <v>0</v>
      </c>
      <c r="AR31" s="76">
        <v>0</v>
      </c>
      <c r="AS31" s="76">
        <v>0</v>
      </c>
      <c r="AT31" s="76">
        <v>0</v>
      </c>
      <c r="AU31" s="76">
        <v>0</v>
      </c>
      <c r="AV31" s="76">
        <v>0</v>
      </c>
      <c r="AW31" s="76">
        <v>0</v>
      </c>
      <c r="AX31" s="76">
        <v>0</v>
      </c>
      <c r="AY31" s="76">
        <v>0</v>
      </c>
      <c r="AZ31" s="76">
        <v>0</v>
      </c>
      <c r="BA31" s="76">
        <v>0</v>
      </c>
      <c r="BB31" s="76">
        <v>0</v>
      </c>
      <c r="BC31" s="76">
        <v>0</v>
      </c>
      <c r="BD31" s="76">
        <v>0</v>
      </c>
      <c r="BE31" s="76">
        <v>0</v>
      </c>
      <c r="BF31" s="76">
        <v>0</v>
      </c>
      <c r="BG31" s="76">
        <v>0</v>
      </c>
      <c r="BH31" s="76">
        <v>0</v>
      </c>
      <c r="BI31" s="76">
        <v>0</v>
      </c>
      <c r="BJ31" s="76">
        <v>0</v>
      </c>
      <c r="BK31" s="76">
        <v>0</v>
      </c>
    </row>
    <row r="32" spans="1:63" x14ac:dyDescent="0.25">
      <c r="A32" s="74">
        <v>32248172</v>
      </c>
      <c r="B32" s="75">
        <v>4172784</v>
      </c>
      <c r="C32" s="76">
        <v>0</v>
      </c>
      <c r="D32" s="76">
        <v>0</v>
      </c>
      <c r="E32" s="76">
        <v>0</v>
      </c>
      <c r="F32" s="76">
        <v>0</v>
      </c>
      <c r="G32" s="76">
        <v>0</v>
      </c>
      <c r="H32" s="76">
        <v>0</v>
      </c>
      <c r="I32" s="76">
        <v>0</v>
      </c>
      <c r="J32" s="76">
        <v>0</v>
      </c>
      <c r="K32" s="120">
        <v>100</v>
      </c>
      <c r="L32" s="76">
        <v>0</v>
      </c>
      <c r="M32" s="76">
        <v>0</v>
      </c>
      <c r="N32" s="76">
        <v>0</v>
      </c>
      <c r="O32" s="76">
        <v>0</v>
      </c>
      <c r="P32" s="76">
        <v>0</v>
      </c>
      <c r="Q32" s="76">
        <v>0</v>
      </c>
      <c r="R32" s="76">
        <v>0</v>
      </c>
      <c r="S32" s="76">
        <v>0</v>
      </c>
      <c r="T32" s="76">
        <v>0</v>
      </c>
      <c r="U32" s="76">
        <v>0</v>
      </c>
      <c r="V32" s="76">
        <v>0</v>
      </c>
      <c r="W32" s="76">
        <v>0</v>
      </c>
      <c r="X32" s="76">
        <v>0</v>
      </c>
      <c r="Y32" s="76">
        <v>0</v>
      </c>
      <c r="Z32" s="76">
        <v>0</v>
      </c>
      <c r="AA32" s="76">
        <v>18</v>
      </c>
      <c r="AB32" s="76">
        <v>0</v>
      </c>
      <c r="AC32" s="76">
        <v>0</v>
      </c>
      <c r="AD32" s="76">
        <v>0</v>
      </c>
      <c r="AE32" s="76">
        <v>0</v>
      </c>
      <c r="AF32" s="76">
        <v>25</v>
      </c>
      <c r="AG32" s="76">
        <v>0</v>
      </c>
      <c r="AH32" s="76">
        <v>0</v>
      </c>
      <c r="AI32" s="76">
        <v>0</v>
      </c>
      <c r="AJ32" s="76">
        <v>0</v>
      </c>
      <c r="AK32" s="76">
        <v>0</v>
      </c>
      <c r="AL32" s="76">
        <v>0</v>
      </c>
      <c r="AM32" s="76">
        <v>0</v>
      </c>
      <c r="AN32" s="76">
        <v>0</v>
      </c>
      <c r="AO32" s="76">
        <v>0</v>
      </c>
      <c r="AP32" s="76">
        <v>0</v>
      </c>
      <c r="AQ32" s="76">
        <v>0</v>
      </c>
      <c r="AR32" s="76">
        <v>0</v>
      </c>
      <c r="AS32" s="76">
        <v>0</v>
      </c>
      <c r="AT32" s="76">
        <v>0</v>
      </c>
      <c r="AU32" s="76">
        <v>0</v>
      </c>
      <c r="AV32" s="76">
        <v>0</v>
      </c>
      <c r="AW32" s="76">
        <v>0</v>
      </c>
      <c r="AX32" s="76">
        <v>0</v>
      </c>
      <c r="AY32" s="76">
        <v>0</v>
      </c>
      <c r="AZ32" s="76">
        <v>0</v>
      </c>
      <c r="BA32" s="76">
        <v>0</v>
      </c>
      <c r="BB32" s="76">
        <v>0</v>
      </c>
      <c r="BC32" s="76">
        <v>0</v>
      </c>
      <c r="BD32" s="76">
        <v>0</v>
      </c>
      <c r="BE32" s="76">
        <v>0</v>
      </c>
      <c r="BF32" s="76">
        <v>0</v>
      </c>
      <c r="BG32" s="76">
        <v>0</v>
      </c>
      <c r="BH32" s="76">
        <v>0</v>
      </c>
      <c r="BI32" s="76">
        <v>0</v>
      </c>
      <c r="BJ32" s="76">
        <v>0</v>
      </c>
      <c r="BK32" s="76">
        <v>0</v>
      </c>
    </row>
    <row r="33" spans="1:63" x14ac:dyDescent="0.25">
      <c r="A33" s="74">
        <v>32272870</v>
      </c>
      <c r="B33" s="75">
        <v>5080421</v>
      </c>
      <c r="C33" s="76">
        <v>0</v>
      </c>
      <c r="D33" s="76">
        <v>0</v>
      </c>
      <c r="E33" s="76">
        <v>0</v>
      </c>
      <c r="F33" s="76">
        <v>0</v>
      </c>
      <c r="G33" s="76">
        <v>0</v>
      </c>
      <c r="H33" s="76">
        <v>0</v>
      </c>
      <c r="I33" s="76">
        <v>0</v>
      </c>
      <c r="J33" s="76">
        <v>0</v>
      </c>
      <c r="K33" s="120">
        <v>0</v>
      </c>
      <c r="L33" s="76">
        <v>0</v>
      </c>
      <c r="M33" s="76">
        <v>0</v>
      </c>
      <c r="N33" s="76">
        <v>0</v>
      </c>
      <c r="O33" s="76">
        <v>0</v>
      </c>
      <c r="P33" s="76">
        <v>0</v>
      </c>
      <c r="Q33" s="76">
        <v>0</v>
      </c>
      <c r="R33" s="76">
        <v>0</v>
      </c>
      <c r="S33" s="76">
        <v>0</v>
      </c>
      <c r="T33" s="76">
        <v>0</v>
      </c>
      <c r="U33" s="76">
        <v>0</v>
      </c>
      <c r="V33" s="76">
        <v>0</v>
      </c>
      <c r="W33" s="76">
        <v>0</v>
      </c>
      <c r="X33" s="76">
        <v>0</v>
      </c>
      <c r="Y33" s="76">
        <v>0</v>
      </c>
      <c r="Z33" s="76">
        <v>0</v>
      </c>
      <c r="AA33" s="76">
        <v>0</v>
      </c>
      <c r="AB33" s="76">
        <v>0</v>
      </c>
      <c r="AC33" s="76">
        <v>0</v>
      </c>
      <c r="AD33" s="76">
        <v>0</v>
      </c>
      <c r="AE33" s="76">
        <v>0</v>
      </c>
      <c r="AF33" s="76">
        <v>0</v>
      </c>
      <c r="AG33" s="76">
        <v>0</v>
      </c>
      <c r="AH33" s="76">
        <v>0</v>
      </c>
      <c r="AI33" s="76">
        <v>0</v>
      </c>
      <c r="AJ33" s="76">
        <v>0</v>
      </c>
      <c r="AK33" s="76">
        <v>0</v>
      </c>
      <c r="AL33" s="76">
        <v>0</v>
      </c>
      <c r="AM33" s="76">
        <v>0</v>
      </c>
      <c r="AN33" s="76">
        <v>0</v>
      </c>
      <c r="AO33" s="76">
        <v>0</v>
      </c>
      <c r="AP33" s="76">
        <v>0</v>
      </c>
      <c r="AQ33" s="76">
        <v>0</v>
      </c>
      <c r="AR33" s="76">
        <v>0</v>
      </c>
      <c r="AS33" s="76">
        <v>0</v>
      </c>
      <c r="AT33" s="76">
        <v>0</v>
      </c>
      <c r="AU33" s="76">
        <v>0</v>
      </c>
      <c r="AV33" s="76">
        <v>0</v>
      </c>
      <c r="AW33" s="76">
        <v>0</v>
      </c>
      <c r="AX33" s="76">
        <v>0</v>
      </c>
      <c r="AY33" s="76">
        <v>0</v>
      </c>
      <c r="AZ33" s="76">
        <v>0</v>
      </c>
      <c r="BA33" s="76">
        <v>0</v>
      </c>
      <c r="BB33" s="76">
        <v>0</v>
      </c>
      <c r="BC33" s="76">
        <v>0</v>
      </c>
      <c r="BD33" s="76">
        <v>0</v>
      </c>
      <c r="BE33" s="76">
        <v>0</v>
      </c>
      <c r="BF33" s="76">
        <v>0</v>
      </c>
      <c r="BG33" s="76">
        <v>0</v>
      </c>
      <c r="BH33" s="76">
        <v>0</v>
      </c>
      <c r="BI33" s="76">
        <v>0</v>
      </c>
      <c r="BJ33" s="76">
        <v>0</v>
      </c>
      <c r="BK33" s="76">
        <v>0</v>
      </c>
    </row>
    <row r="34" spans="1:63" x14ac:dyDescent="0.25">
      <c r="A34" s="77">
        <v>32272869</v>
      </c>
      <c r="B34" s="78">
        <v>5080420</v>
      </c>
      <c r="C34" s="79">
        <v>0</v>
      </c>
      <c r="D34" s="79">
        <v>0</v>
      </c>
      <c r="E34" s="79">
        <v>0</v>
      </c>
      <c r="F34" s="79">
        <v>0</v>
      </c>
      <c r="G34" s="79">
        <v>0</v>
      </c>
      <c r="H34" s="79">
        <v>0</v>
      </c>
      <c r="I34" s="79">
        <v>0</v>
      </c>
      <c r="J34" s="79">
        <v>0</v>
      </c>
      <c r="K34" s="121">
        <v>0</v>
      </c>
      <c r="L34" s="79">
        <v>0</v>
      </c>
      <c r="M34" s="79">
        <v>0</v>
      </c>
      <c r="N34" s="79">
        <v>0</v>
      </c>
      <c r="O34" s="79">
        <v>0</v>
      </c>
      <c r="P34" s="79">
        <v>0</v>
      </c>
      <c r="Q34" s="79">
        <v>0</v>
      </c>
      <c r="R34" s="79">
        <v>0</v>
      </c>
      <c r="S34" s="79">
        <v>0</v>
      </c>
      <c r="T34" s="79">
        <v>0</v>
      </c>
      <c r="U34" s="79">
        <v>0</v>
      </c>
      <c r="V34" s="79">
        <v>0</v>
      </c>
      <c r="W34" s="79">
        <v>0</v>
      </c>
      <c r="X34" s="79">
        <v>0</v>
      </c>
      <c r="Y34" s="79">
        <v>0</v>
      </c>
      <c r="Z34" s="79">
        <v>0</v>
      </c>
      <c r="AA34" s="79">
        <v>0</v>
      </c>
      <c r="AB34" s="79">
        <v>0</v>
      </c>
      <c r="AC34" s="79">
        <v>0</v>
      </c>
      <c r="AD34" s="79">
        <v>0</v>
      </c>
      <c r="AE34" s="79">
        <v>0</v>
      </c>
      <c r="AF34" s="79">
        <v>0</v>
      </c>
      <c r="AG34" s="79">
        <v>0</v>
      </c>
      <c r="AH34" s="79">
        <v>0</v>
      </c>
      <c r="AI34" s="79">
        <v>0</v>
      </c>
      <c r="AJ34" s="79">
        <v>0</v>
      </c>
      <c r="AK34" s="79">
        <v>0</v>
      </c>
      <c r="AL34" s="79">
        <v>0</v>
      </c>
      <c r="AM34" s="79">
        <v>0</v>
      </c>
      <c r="AN34" s="79">
        <v>0</v>
      </c>
      <c r="AO34" s="79">
        <v>0</v>
      </c>
      <c r="AP34" s="79">
        <v>0</v>
      </c>
      <c r="AQ34" s="79">
        <v>0</v>
      </c>
      <c r="AR34" s="79">
        <v>0</v>
      </c>
      <c r="AS34" s="79">
        <v>0</v>
      </c>
      <c r="AT34" s="79">
        <v>0</v>
      </c>
      <c r="AU34" s="79">
        <v>0</v>
      </c>
      <c r="AV34" s="79">
        <v>0</v>
      </c>
      <c r="AW34" s="79">
        <v>0</v>
      </c>
      <c r="AX34" s="79">
        <v>0</v>
      </c>
      <c r="AY34" s="79">
        <v>0</v>
      </c>
      <c r="AZ34" s="79">
        <v>0</v>
      </c>
      <c r="BA34" s="79">
        <v>0</v>
      </c>
      <c r="BB34" s="79">
        <v>0</v>
      </c>
      <c r="BC34" s="79">
        <v>0</v>
      </c>
      <c r="BD34" s="79">
        <v>0</v>
      </c>
      <c r="BE34" s="79">
        <v>0</v>
      </c>
      <c r="BF34" s="79">
        <v>0</v>
      </c>
      <c r="BG34" s="79">
        <v>0</v>
      </c>
      <c r="BH34" s="79">
        <v>0</v>
      </c>
      <c r="BI34" s="79">
        <v>0</v>
      </c>
      <c r="BJ34" s="79">
        <v>0</v>
      </c>
      <c r="BK34" s="79">
        <v>0</v>
      </c>
    </row>
    <row r="35" spans="1:63" x14ac:dyDescent="0.25">
      <c r="A35" s="91" t="s">
        <v>6</v>
      </c>
      <c r="B35" s="91"/>
      <c r="C35" s="80">
        <f>SUM(C3:C34)</f>
        <v>0</v>
      </c>
      <c r="D35" s="80">
        <f t="shared" ref="D35:N35" si="0">SUM(D3:D34)</f>
        <v>0</v>
      </c>
      <c r="E35" s="80">
        <f t="shared" si="0"/>
        <v>0</v>
      </c>
      <c r="F35" s="80">
        <f t="shared" si="0"/>
        <v>0</v>
      </c>
      <c r="G35" s="80">
        <f t="shared" si="0"/>
        <v>0</v>
      </c>
      <c r="H35" s="80">
        <f t="shared" si="0"/>
        <v>0</v>
      </c>
      <c r="I35" s="80">
        <f t="shared" si="0"/>
        <v>0</v>
      </c>
      <c r="J35" s="80">
        <f t="shared" si="0"/>
        <v>60</v>
      </c>
      <c r="K35" s="80">
        <f t="shared" si="0"/>
        <v>160</v>
      </c>
      <c r="L35" s="80">
        <f t="shared" si="0"/>
        <v>0</v>
      </c>
      <c r="M35" s="80">
        <f t="shared" si="0"/>
        <v>0</v>
      </c>
      <c r="N35" s="80">
        <f t="shared" si="0"/>
        <v>0</v>
      </c>
      <c r="O35" s="80">
        <f t="shared" ref="O35:AW35" si="1">SUM(O3:O34)</f>
        <v>80</v>
      </c>
      <c r="P35" s="80">
        <f t="shared" si="1"/>
        <v>40</v>
      </c>
      <c r="Q35" s="80">
        <f t="shared" si="1"/>
        <v>40</v>
      </c>
      <c r="R35" s="80">
        <f t="shared" si="1"/>
        <v>80</v>
      </c>
      <c r="S35" s="80">
        <f t="shared" si="1"/>
        <v>0</v>
      </c>
      <c r="T35" s="80">
        <f t="shared" si="1"/>
        <v>0</v>
      </c>
      <c r="U35" s="80">
        <f t="shared" si="1"/>
        <v>0</v>
      </c>
      <c r="V35" s="80">
        <f t="shared" si="1"/>
        <v>40</v>
      </c>
      <c r="W35" s="80">
        <f t="shared" si="1"/>
        <v>0</v>
      </c>
      <c r="X35" s="80">
        <f t="shared" si="1"/>
        <v>0</v>
      </c>
      <c r="Y35" s="80">
        <f t="shared" si="1"/>
        <v>0</v>
      </c>
      <c r="Z35" s="80">
        <f t="shared" si="1"/>
        <v>0</v>
      </c>
      <c r="AA35" s="80">
        <f t="shared" si="1"/>
        <v>18</v>
      </c>
      <c r="AB35" s="80">
        <f t="shared" si="1"/>
        <v>0</v>
      </c>
      <c r="AC35" s="80">
        <f t="shared" si="1"/>
        <v>0</v>
      </c>
      <c r="AD35" s="80">
        <f t="shared" si="1"/>
        <v>0</v>
      </c>
      <c r="AE35" s="80">
        <f t="shared" si="1"/>
        <v>0</v>
      </c>
      <c r="AF35" s="80">
        <f t="shared" si="1"/>
        <v>65</v>
      </c>
      <c r="AG35" s="80">
        <f t="shared" si="1"/>
        <v>40</v>
      </c>
      <c r="AH35" s="80">
        <f t="shared" si="1"/>
        <v>0</v>
      </c>
      <c r="AI35" s="80">
        <f t="shared" si="1"/>
        <v>80</v>
      </c>
      <c r="AJ35" s="80">
        <f t="shared" si="1"/>
        <v>0</v>
      </c>
      <c r="AK35" s="80">
        <f t="shared" si="1"/>
        <v>0</v>
      </c>
      <c r="AL35" s="80">
        <f t="shared" si="1"/>
        <v>40</v>
      </c>
      <c r="AM35" s="80">
        <f t="shared" si="1"/>
        <v>0</v>
      </c>
      <c r="AN35" s="80">
        <f t="shared" si="1"/>
        <v>40</v>
      </c>
      <c r="AO35" s="80">
        <f t="shared" si="1"/>
        <v>120</v>
      </c>
      <c r="AP35" s="80">
        <f t="shared" si="1"/>
        <v>80</v>
      </c>
      <c r="AQ35" s="80">
        <f t="shared" si="1"/>
        <v>100</v>
      </c>
      <c r="AR35" s="80">
        <f t="shared" si="1"/>
        <v>0</v>
      </c>
      <c r="AS35" s="80">
        <f t="shared" si="1"/>
        <v>0</v>
      </c>
      <c r="AT35" s="80">
        <f t="shared" si="1"/>
        <v>0</v>
      </c>
      <c r="AU35" s="80">
        <f t="shared" si="1"/>
        <v>0</v>
      </c>
      <c r="AV35" s="80">
        <f t="shared" si="1"/>
        <v>0</v>
      </c>
      <c r="AW35" s="80">
        <f t="shared" si="1"/>
        <v>0</v>
      </c>
      <c r="AX35" s="80">
        <f t="shared" ref="AX35:BC35" si="2">SUM(AX3:AX34)</f>
        <v>0</v>
      </c>
      <c r="AY35" s="80">
        <f t="shared" si="2"/>
        <v>0</v>
      </c>
      <c r="AZ35" s="80">
        <f t="shared" si="2"/>
        <v>0</v>
      </c>
      <c r="BA35" s="80">
        <f t="shared" si="2"/>
        <v>0</v>
      </c>
      <c r="BB35" s="80">
        <f t="shared" si="2"/>
        <v>0</v>
      </c>
      <c r="BC35" s="80">
        <f t="shared" si="2"/>
        <v>0</v>
      </c>
      <c r="BD35" s="80">
        <f t="shared" ref="BD35:BG35" si="3">SUM(BD3:BD34)</f>
        <v>0</v>
      </c>
      <c r="BE35" s="80">
        <f t="shared" si="3"/>
        <v>0</v>
      </c>
      <c r="BF35" s="80">
        <f t="shared" si="3"/>
        <v>0</v>
      </c>
      <c r="BG35" s="80">
        <f t="shared" si="3"/>
        <v>0</v>
      </c>
      <c r="BH35" s="80">
        <f t="shared" ref="BH35" si="4">SUM(BH3:BH34)</f>
        <v>0</v>
      </c>
      <c r="BI35" s="80">
        <f t="shared" ref="BI35:BK35" si="5">SUM(BI3:BI34)</f>
        <v>0</v>
      </c>
      <c r="BJ35" s="80">
        <f t="shared" si="5"/>
        <v>0</v>
      </c>
      <c r="BK35" s="80">
        <f t="shared" si="5"/>
        <v>0</v>
      </c>
    </row>
    <row r="36" spans="1:63" x14ac:dyDescent="0.25">
      <c r="K36" s="115"/>
      <c r="L36" s="116"/>
      <c r="M36" s="115"/>
      <c r="N36" s="115">
        <v>6</v>
      </c>
      <c r="O36" s="115">
        <v>6</v>
      </c>
      <c r="P36" s="115">
        <v>6</v>
      </c>
      <c r="Q36" s="115">
        <v>6</v>
      </c>
      <c r="R36" s="115">
        <v>6</v>
      </c>
      <c r="S36" s="115">
        <v>6</v>
      </c>
      <c r="T36" s="115">
        <v>6</v>
      </c>
      <c r="U36" s="115">
        <f t="shared" ref="U36" si="6">T36+1</f>
        <v>7</v>
      </c>
      <c r="V36" s="115">
        <v>6</v>
      </c>
      <c r="W36" s="115">
        <v>6</v>
      </c>
      <c r="X36" s="115">
        <v>6</v>
      </c>
      <c r="Y36" s="115">
        <v>6</v>
      </c>
      <c r="Z36" s="115">
        <v>6</v>
      </c>
      <c r="AA36" s="115">
        <f t="shared" ref="AA36" si="7">Z36+1</f>
        <v>7</v>
      </c>
      <c r="AB36" s="115">
        <v>6</v>
      </c>
      <c r="AC36" s="115">
        <v>6</v>
      </c>
      <c r="AD36" s="115">
        <v>6</v>
      </c>
      <c r="AE36" s="115">
        <v>6</v>
      </c>
      <c r="AF36" s="115">
        <f t="shared" ref="AF36" si="8">AE36+1</f>
        <v>7</v>
      </c>
      <c r="AG36" s="115">
        <v>6</v>
      </c>
      <c r="AH36" s="115">
        <f t="shared" ref="AH36" si="9">AG36+1</f>
        <v>7</v>
      </c>
      <c r="AI36" s="115">
        <v>6</v>
      </c>
      <c r="AJ36" s="115">
        <f t="shared" ref="AJ36" si="10">AI36+1</f>
        <v>7</v>
      </c>
      <c r="AK36" s="115">
        <f t="shared" ref="AK36" si="11">AJ36+1</f>
        <v>8</v>
      </c>
      <c r="AL36" s="115">
        <f t="shared" ref="AL36" si="12">AK36+1</f>
        <v>9</v>
      </c>
      <c r="AM36" s="115">
        <f t="shared" ref="AM36" si="13">AL36+1</f>
        <v>10</v>
      </c>
      <c r="AN36" s="115">
        <f t="shared" ref="AN36" si="14">AM36+1</f>
        <v>11</v>
      </c>
      <c r="AO36" s="115">
        <f t="shared" ref="AO36" si="15">AN36+1</f>
        <v>12</v>
      </c>
      <c r="AP36" s="115">
        <f t="shared" ref="AP36" si="16">AO36+1</f>
        <v>13</v>
      </c>
      <c r="AQ36" s="115">
        <f t="shared" ref="AQ36" si="17">AP36+1</f>
        <v>14</v>
      </c>
      <c r="AR36" s="115">
        <f t="shared" ref="AR36" si="18">AQ36+1</f>
        <v>15</v>
      </c>
      <c r="AS36" s="115">
        <f t="shared" ref="AS36" si="19">AR36+1</f>
        <v>16</v>
      </c>
      <c r="AT36" s="115">
        <f t="shared" ref="AT36" si="20">AS36+1</f>
        <v>17</v>
      </c>
      <c r="AU36" s="115">
        <f t="shared" ref="AU36" si="21">AT36+1</f>
        <v>18</v>
      </c>
      <c r="AV36" s="115">
        <f t="shared" ref="AV36" si="22">AU36+1</f>
        <v>19</v>
      </c>
      <c r="AW36" s="115">
        <f t="shared" ref="AW36" si="23">AV36+1</f>
        <v>20</v>
      </c>
      <c r="AX36" s="115">
        <f t="shared" ref="AX36" si="24">AW36+1</f>
        <v>21</v>
      </c>
      <c r="AY36" s="115">
        <f t="shared" ref="AY36" si="25">AX36+1</f>
        <v>22</v>
      </c>
      <c r="AZ36" s="115">
        <f t="shared" ref="AZ36" si="26">AY36+1</f>
        <v>23</v>
      </c>
      <c r="BA36" s="115">
        <f t="shared" ref="BA36" si="27">AZ36+1</f>
        <v>24</v>
      </c>
      <c r="BB36" s="115">
        <f t="shared" ref="BB36" si="28">BA36+1</f>
        <v>25</v>
      </c>
      <c r="BC36" s="115">
        <f t="shared" ref="BC36:BG36" si="29">BB36+1</f>
        <v>26</v>
      </c>
      <c r="BD36" s="115">
        <f t="shared" ref="BD36" si="30">BC36+1</f>
        <v>27</v>
      </c>
      <c r="BE36" s="115">
        <f t="shared" si="29"/>
        <v>28</v>
      </c>
      <c r="BF36" s="115">
        <f t="shared" si="29"/>
        <v>29</v>
      </c>
      <c r="BG36" s="115">
        <f t="shared" si="29"/>
        <v>30</v>
      </c>
      <c r="BH36" s="115">
        <f t="shared" ref="BH36" si="31">BG36+1</f>
        <v>31</v>
      </c>
      <c r="BI36" s="115">
        <f t="shared" ref="BI36" si="32">BH36+1</f>
        <v>32</v>
      </c>
      <c r="BJ36" s="115">
        <f t="shared" ref="BJ36" si="33">BI36+1</f>
        <v>33</v>
      </c>
      <c r="BK36" s="115">
        <f t="shared" ref="BK36" si="34">BJ36+1</f>
        <v>34</v>
      </c>
    </row>
  </sheetData>
  <mergeCells count="2">
    <mergeCell ref="A1:A2"/>
    <mergeCell ref="B1:B2"/>
  </mergeCells>
  <phoneticPr fontId="7" type="noConversion"/>
  <conditionalFormatting sqref="B1:B1048576">
    <cfRule type="duplicateValues" dxfId="1591"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9629-47CB-4CB5-AE29-805B5E126EA5}">
  <sheetPr codeName="Sheet3"/>
  <dimension ref="A3:B1659"/>
  <sheetViews>
    <sheetView workbookViewId="0">
      <pane ySplit="1" topLeftCell="A67" activePane="bottomLeft" state="frozen"/>
      <selection pane="bottomLeft" activeCell="D90" sqref="D90"/>
    </sheetView>
  </sheetViews>
  <sheetFormatPr defaultRowHeight="15" x14ac:dyDescent="0.25"/>
  <cols>
    <col min="1" max="1" width="21.28515625" bestFit="1" customWidth="1"/>
    <col min="2" max="2" width="19.5703125" bestFit="1" customWidth="1"/>
  </cols>
  <sheetData>
    <row r="3" spans="1:2" x14ac:dyDescent="0.25">
      <c r="A3" s="184" t="s">
        <v>157</v>
      </c>
      <c r="B3" t="s">
        <v>158</v>
      </c>
    </row>
    <row r="4" spans="1:2" x14ac:dyDescent="0.25">
      <c r="A4" s="183">
        <v>66514</v>
      </c>
      <c r="B4">
        <v>600</v>
      </c>
    </row>
    <row r="5" spans="1:2" x14ac:dyDescent="0.25">
      <c r="A5" s="183">
        <v>66515</v>
      </c>
      <c r="B5">
        <v>540</v>
      </c>
    </row>
    <row r="6" spans="1:2" x14ac:dyDescent="0.25">
      <c r="A6" s="183">
        <v>3481915</v>
      </c>
      <c r="B6">
        <v>9</v>
      </c>
    </row>
    <row r="7" spans="1:2" x14ac:dyDescent="0.25">
      <c r="A7" s="183">
        <v>3481927</v>
      </c>
      <c r="B7">
        <v>20</v>
      </c>
    </row>
    <row r="8" spans="1:2" x14ac:dyDescent="0.25">
      <c r="A8" s="183">
        <v>3482121</v>
      </c>
      <c r="B8">
        <v>40</v>
      </c>
    </row>
    <row r="9" spans="1:2" x14ac:dyDescent="0.25">
      <c r="A9" s="183">
        <v>3482174</v>
      </c>
      <c r="B9">
        <v>80</v>
      </c>
    </row>
    <row r="10" spans="1:2" x14ac:dyDescent="0.25">
      <c r="A10" s="183">
        <v>3671435</v>
      </c>
      <c r="B10">
        <v>5440</v>
      </c>
    </row>
    <row r="11" spans="1:2" x14ac:dyDescent="0.25">
      <c r="A11" s="183">
        <v>3671453</v>
      </c>
      <c r="B11">
        <v>1880</v>
      </c>
    </row>
    <row r="12" spans="1:2" x14ac:dyDescent="0.25">
      <c r="A12" s="183">
        <v>3756424</v>
      </c>
      <c r="B12">
        <v>560</v>
      </c>
    </row>
    <row r="13" spans="1:2" x14ac:dyDescent="0.25">
      <c r="A13" s="183">
        <v>3756429</v>
      </c>
      <c r="B13">
        <v>40</v>
      </c>
    </row>
    <row r="14" spans="1:2" x14ac:dyDescent="0.25">
      <c r="A14" s="183">
        <v>3756602</v>
      </c>
      <c r="B14">
        <v>20</v>
      </c>
    </row>
    <row r="15" spans="1:2" x14ac:dyDescent="0.25">
      <c r="A15" s="183">
        <v>3756618</v>
      </c>
      <c r="B15">
        <v>497</v>
      </c>
    </row>
    <row r="16" spans="1:2" x14ac:dyDescent="0.25">
      <c r="A16" s="183">
        <v>3756686</v>
      </c>
      <c r="B16">
        <v>40</v>
      </c>
    </row>
    <row r="17" spans="1:2" x14ac:dyDescent="0.25">
      <c r="A17" s="183">
        <v>3756714</v>
      </c>
      <c r="B17">
        <v>20</v>
      </c>
    </row>
    <row r="18" spans="1:2" x14ac:dyDescent="0.25">
      <c r="A18" s="183">
        <v>3757551</v>
      </c>
      <c r="B18">
        <v>560</v>
      </c>
    </row>
    <row r="19" spans="1:2" x14ac:dyDescent="0.25">
      <c r="A19" s="183">
        <v>3757556</v>
      </c>
      <c r="B19">
        <v>20</v>
      </c>
    </row>
    <row r="20" spans="1:2" x14ac:dyDescent="0.25">
      <c r="A20" s="183">
        <v>3757559</v>
      </c>
      <c r="B20">
        <v>460</v>
      </c>
    </row>
    <row r="21" spans="1:2" x14ac:dyDescent="0.25">
      <c r="A21" s="183">
        <v>3757563</v>
      </c>
      <c r="B21">
        <v>20</v>
      </c>
    </row>
    <row r="22" spans="1:2" x14ac:dyDescent="0.25">
      <c r="A22" s="183">
        <v>3757567</v>
      </c>
      <c r="B22">
        <v>180</v>
      </c>
    </row>
    <row r="23" spans="1:2" x14ac:dyDescent="0.25">
      <c r="A23" s="183">
        <v>3757574</v>
      </c>
      <c r="B23">
        <v>40</v>
      </c>
    </row>
    <row r="24" spans="1:2" x14ac:dyDescent="0.25">
      <c r="A24" s="183">
        <v>3757581</v>
      </c>
      <c r="B24">
        <v>100</v>
      </c>
    </row>
    <row r="25" spans="1:2" x14ac:dyDescent="0.25">
      <c r="A25" s="183">
        <v>3757583</v>
      </c>
      <c r="B25">
        <v>20</v>
      </c>
    </row>
    <row r="26" spans="1:2" x14ac:dyDescent="0.25">
      <c r="A26" s="183">
        <v>3757584</v>
      </c>
      <c r="B26">
        <v>80</v>
      </c>
    </row>
    <row r="27" spans="1:2" x14ac:dyDescent="0.25">
      <c r="A27" s="183">
        <v>3847649</v>
      </c>
      <c r="B27">
        <v>10620</v>
      </c>
    </row>
    <row r="28" spans="1:2" x14ac:dyDescent="0.25">
      <c r="A28" s="183">
        <v>3905868</v>
      </c>
      <c r="B28">
        <v>600</v>
      </c>
    </row>
    <row r="29" spans="1:2" x14ac:dyDescent="0.25">
      <c r="A29" s="183">
        <v>4115906</v>
      </c>
      <c r="B29">
        <v>6600</v>
      </c>
    </row>
    <row r="30" spans="1:2" x14ac:dyDescent="0.25">
      <c r="A30" s="183">
        <v>4139263</v>
      </c>
      <c r="B30">
        <v>720</v>
      </c>
    </row>
    <row r="31" spans="1:2" x14ac:dyDescent="0.25">
      <c r="A31" s="183">
        <v>4139264</v>
      </c>
      <c r="B31">
        <v>1800</v>
      </c>
    </row>
    <row r="32" spans="1:2" x14ac:dyDescent="0.25">
      <c r="A32" s="183">
        <v>4139265</v>
      </c>
      <c r="B32">
        <v>2680</v>
      </c>
    </row>
    <row r="33" spans="1:2" x14ac:dyDescent="0.25">
      <c r="A33" s="183">
        <v>4147728</v>
      </c>
      <c r="B33">
        <v>1880</v>
      </c>
    </row>
    <row r="34" spans="1:2" x14ac:dyDescent="0.25">
      <c r="A34" s="183">
        <v>4147729</v>
      </c>
      <c r="B34">
        <v>3440</v>
      </c>
    </row>
    <row r="35" spans="1:2" x14ac:dyDescent="0.25">
      <c r="A35" s="183">
        <v>4172749</v>
      </c>
      <c r="B35">
        <v>400</v>
      </c>
    </row>
    <row r="36" spans="1:2" x14ac:dyDescent="0.25">
      <c r="A36" s="183">
        <v>4172750</v>
      </c>
      <c r="B36">
        <v>320</v>
      </c>
    </row>
    <row r="37" spans="1:2" x14ac:dyDescent="0.25">
      <c r="A37" s="183">
        <v>4172753</v>
      </c>
      <c r="B37">
        <v>100</v>
      </c>
    </row>
    <row r="38" spans="1:2" x14ac:dyDescent="0.25">
      <c r="A38" s="183">
        <v>4172755</v>
      </c>
      <c r="B38">
        <v>240</v>
      </c>
    </row>
    <row r="39" spans="1:2" x14ac:dyDescent="0.25">
      <c r="A39" s="183">
        <v>4172759</v>
      </c>
      <c r="B39">
        <v>20</v>
      </c>
    </row>
    <row r="40" spans="1:2" x14ac:dyDescent="0.25">
      <c r="A40" s="183">
        <v>4172763</v>
      </c>
      <c r="B40">
        <v>100</v>
      </c>
    </row>
    <row r="41" spans="1:2" x14ac:dyDescent="0.25">
      <c r="A41" s="183">
        <v>4172771</v>
      </c>
      <c r="B41">
        <v>50</v>
      </c>
    </row>
    <row r="42" spans="1:2" x14ac:dyDescent="0.25">
      <c r="A42" s="183">
        <v>4172773</v>
      </c>
      <c r="B42">
        <v>1000</v>
      </c>
    </row>
    <row r="43" spans="1:2" x14ac:dyDescent="0.25">
      <c r="A43" s="183">
        <v>4172784</v>
      </c>
      <c r="B43">
        <v>657</v>
      </c>
    </row>
    <row r="44" spans="1:2" x14ac:dyDescent="0.25">
      <c r="A44" s="183">
        <v>4172789</v>
      </c>
      <c r="B44">
        <v>100</v>
      </c>
    </row>
    <row r="45" spans="1:2" x14ac:dyDescent="0.25">
      <c r="A45" s="183">
        <v>4172790</v>
      </c>
      <c r="B45">
        <v>40</v>
      </c>
    </row>
    <row r="46" spans="1:2" x14ac:dyDescent="0.25">
      <c r="A46" s="183">
        <v>4172800</v>
      </c>
      <c r="B46">
        <v>300</v>
      </c>
    </row>
    <row r="47" spans="1:2" x14ac:dyDescent="0.25">
      <c r="A47" s="183">
        <v>4172820</v>
      </c>
      <c r="B47">
        <v>340</v>
      </c>
    </row>
    <row r="48" spans="1:2" x14ac:dyDescent="0.25">
      <c r="A48" s="183">
        <v>4172821</v>
      </c>
      <c r="B48">
        <v>125</v>
      </c>
    </row>
    <row r="49" spans="1:2" x14ac:dyDescent="0.25">
      <c r="A49" s="183">
        <v>4172825</v>
      </c>
      <c r="B49">
        <v>1420</v>
      </c>
    </row>
    <row r="50" spans="1:2" x14ac:dyDescent="0.25">
      <c r="A50" s="183">
        <v>4172826</v>
      </c>
      <c r="B50">
        <v>1025</v>
      </c>
    </row>
    <row r="51" spans="1:2" x14ac:dyDescent="0.25">
      <c r="A51" s="183">
        <v>4176514</v>
      </c>
      <c r="B51">
        <v>540</v>
      </c>
    </row>
    <row r="52" spans="1:2" x14ac:dyDescent="0.25">
      <c r="A52" s="183">
        <v>4210465</v>
      </c>
      <c r="B52">
        <v>40</v>
      </c>
    </row>
    <row r="53" spans="1:2" x14ac:dyDescent="0.25">
      <c r="A53" s="183">
        <v>4210467</v>
      </c>
      <c r="B53">
        <v>20</v>
      </c>
    </row>
    <row r="54" spans="1:2" x14ac:dyDescent="0.25">
      <c r="A54" s="183">
        <v>4210468</v>
      </c>
      <c r="B54">
        <v>225</v>
      </c>
    </row>
    <row r="55" spans="1:2" x14ac:dyDescent="0.25">
      <c r="A55" s="183">
        <v>4264989</v>
      </c>
      <c r="B55">
        <v>100</v>
      </c>
    </row>
    <row r="56" spans="1:2" x14ac:dyDescent="0.25">
      <c r="A56" s="183">
        <v>4264992</v>
      </c>
      <c r="B56">
        <v>25</v>
      </c>
    </row>
    <row r="57" spans="1:2" x14ac:dyDescent="0.25">
      <c r="A57" s="183">
        <v>4264994</v>
      </c>
      <c r="B57">
        <v>100</v>
      </c>
    </row>
    <row r="58" spans="1:2" x14ac:dyDescent="0.25">
      <c r="A58" s="183">
        <v>4360036</v>
      </c>
      <c r="B58">
        <v>526</v>
      </c>
    </row>
    <row r="59" spans="1:2" x14ac:dyDescent="0.25">
      <c r="A59" s="183">
        <v>4360038</v>
      </c>
      <c r="B59">
        <v>5421</v>
      </c>
    </row>
    <row r="60" spans="1:2" x14ac:dyDescent="0.25">
      <c r="A60" s="183">
        <v>4360039</v>
      </c>
      <c r="B60">
        <v>1320</v>
      </c>
    </row>
    <row r="61" spans="1:2" x14ac:dyDescent="0.25">
      <c r="A61" s="183">
        <v>4360040</v>
      </c>
      <c r="B61">
        <v>11805</v>
      </c>
    </row>
    <row r="62" spans="1:2" x14ac:dyDescent="0.25">
      <c r="A62" s="183">
        <v>4360041</v>
      </c>
      <c r="B62">
        <v>5280</v>
      </c>
    </row>
    <row r="63" spans="1:2" x14ac:dyDescent="0.25">
      <c r="A63" s="183">
        <v>4360042</v>
      </c>
      <c r="B63">
        <v>910</v>
      </c>
    </row>
    <row r="64" spans="1:2" x14ac:dyDescent="0.25">
      <c r="A64" s="183">
        <v>4360043</v>
      </c>
      <c r="B64">
        <v>11062</v>
      </c>
    </row>
    <row r="65" spans="1:2" x14ac:dyDescent="0.25">
      <c r="A65" s="183">
        <v>4360044</v>
      </c>
      <c r="B65">
        <v>657</v>
      </c>
    </row>
    <row r="66" spans="1:2" x14ac:dyDescent="0.25">
      <c r="A66" s="183">
        <v>4383053</v>
      </c>
      <c r="B66">
        <v>20800</v>
      </c>
    </row>
    <row r="67" spans="1:2" x14ac:dyDescent="0.25">
      <c r="A67" s="183">
        <v>4429348</v>
      </c>
      <c r="B67">
        <v>4450</v>
      </c>
    </row>
    <row r="68" spans="1:2" x14ac:dyDescent="0.25">
      <c r="A68" s="183">
        <v>4429349</v>
      </c>
      <c r="B68">
        <v>4000</v>
      </c>
    </row>
    <row r="69" spans="1:2" x14ac:dyDescent="0.25">
      <c r="A69" s="183">
        <v>4429351</v>
      </c>
      <c r="B69">
        <v>3360</v>
      </c>
    </row>
    <row r="70" spans="1:2" x14ac:dyDescent="0.25">
      <c r="A70" s="183">
        <v>4429352</v>
      </c>
      <c r="B70">
        <v>3540</v>
      </c>
    </row>
    <row r="71" spans="1:2" x14ac:dyDescent="0.25">
      <c r="A71" s="183">
        <v>4429355</v>
      </c>
      <c r="B71">
        <v>3960</v>
      </c>
    </row>
    <row r="72" spans="1:2" x14ac:dyDescent="0.25">
      <c r="A72" s="183">
        <v>4429356</v>
      </c>
      <c r="B72">
        <v>2880</v>
      </c>
    </row>
    <row r="73" spans="1:2" x14ac:dyDescent="0.25">
      <c r="A73" s="183">
        <v>4429358</v>
      </c>
      <c r="B73">
        <v>10680</v>
      </c>
    </row>
    <row r="74" spans="1:2" x14ac:dyDescent="0.25">
      <c r="A74" s="183">
        <v>4433024</v>
      </c>
      <c r="B74">
        <v>5200</v>
      </c>
    </row>
    <row r="75" spans="1:2" x14ac:dyDescent="0.25">
      <c r="A75" s="183">
        <v>4754918</v>
      </c>
      <c r="B75">
        <v>1000</v>
      </c>
    </row>
    <row r="76" spans="1:2" x14ac:dyDescent="0.25">
      <c r="A76" s="183">
        <v>4755038</v>
      </c>
      <c r="B76">
        <v>400</v>
      </c>
    </row>
    <row r="77" spans="1:2" x14ac:dyDescent="0.25">
      <c r="A77" s="183">
        <v>4755081</v>
      </c>
      <c r="B77">
        <v>480</v>
      </c>
    </row>
    <row r="78" spans="1:2" x14ac:dyDescent="0.25">
      <c r="A78" s="183">
        <v>4755146</v>
      </c>
      <c r="B78">
        <v>380</v>
      </c>
    </row>
    <row r="79" spans="1:2" x14ac:dyDescent="0.25">
      <c r="A79" s="183">
        <v>4755147</v>
      </c>
      <c r="B79">
        <v>20</v>
      </c>
    </row>
    <row r="80" spans="1:2" x14ac:dyDescent="0.25">
      <c r="A80" s="183">
        <v>4817100</v>
      </c>
      <c r="B80">
        <v>800</v>
      </c>
    </row>
    <row r="81" spans="1:2" x14ac:dyDescent="0.25">
      <c r="A81" s="183">
        <v>4817101</v>
      </c>
      <c r="B81">
        <v>320</v>
      </c>
    </row>
    <row r="82" spans="1:2" x14ac:dyDescent="0.25">
      <c r="A82" s="183">
        <v>4817103</v>
      </c>
      <c r="B82">
        <v>880</v>
      </c>
    </row>
    <row r="83" spans="1:2" x14ac:dyDescent="0.25">
      <c r="A83" s="183">
        <v>4817111</v>
      </c>
      <c r="B83">
        <v>20</v>
      </c>
    </row>
    <row r="84" spans="1:2" x14ac:dyDescent="0.25">
      <c r="A84" s="183">
        <v>4817114</v>
      </c>
      <c r="B84">
        <v>340</v>
      </c>
    </row>
    <row r="85" spans="1:2" x14ac:dyDescent="0.25">
      <c r="A85" s="183">
        <v>4817124</v>
      </c>
      <c r="B85">
        <v>2140</v>
      </c>
    </row>
    <row r="86" spans="1:2" x14ac:dyDescent="0.25">
      <c r="A86" s="183">
        <v>4817125</v>
      </c>
      <c r="B86">
        <v>20</v>
      </c>
    </row>
    <row r="87" spans="1:2" x14ac:dyDescent="0.25">
      <c r="A87" s="183">
        <v>4817129</v>
      </c>
      <c r="B87">
        <v>480</v>
      </c>
    </row>
    <row r="88" spans="1:2" x14ac:dyDescent="0.25">
      <c r="A88" s="183">
        <v>4817130</v>
      </c>
      <c r="B88">
        <v>360</v>
      </c>
    </row>
    <row r="89" spans="1:2" x14ac:dyDescent="0.25">
      <c r="A89" s="183">
        <v>4817131</v>
      </c>
      <c r="B89">
        <v>1020</v>
      </c>
    </row>
    <row r="90" spans="1:2" x14ac:dyDescent="0.25">
      <c r="A90" s="183">
        <v>4817133</v>
      </c>
      <c r="B90">
        <v>100</v>
      </c>
    </row>
    <row r="91" spans="1:2" x14ac:dyDescent="0.25">
      <c r="A91" s="183">
        <v>4817134</v>
      </c>
      <c r="B91">
        <v>4542</v>
      </c>
    </row>
    <row r="92" spans="1:2" x14ac:dyDescent="0.25">
      <c r="A92" s="183">
        <v>4817136</v>
      </c>
      <c r="B92">
        <v>340</v>
      </c>
    </row>
    <row r="93" spans="1:2" x14ac:dyDescent="0.25">
      <c r="A93" s="183">
        <v>4898611</v>
      </c>
      <c r="B93">
        <v>60</v>
      </c>
    </row>
    <row r="94" spans="1:2" x14ac:dyDescent="0.25">
      <c r="A94" s="183">
        <v>4898626</v>
      </c>
      <c r="B94">
        <v>1600</v>
      </c>
    </row>
    <row r="95" spans="1:2" x14ac:dyDescent="0.25">
      <c r="A95" s="183">
        <v>4898628</v>
      </c>
      <c r="B95">
        <v>80</v>
      </c>
    </row>
    <row r="96" spans="1:2" x14ac:dyDescent="0.25">
      <c r="A96" s="183">
        <v>4898629</v>
      </c>
      <c r="B96">
        <v>1060</v>
      </c>
    </row>
    <row r="97" spans="1:2" x14ac:dyDescent="0.25">
      <c r="A97" s="183">
        <v>4898631</v>
      </c>
      <c r="B97">
        <v>3520</v>
      </c>
    </row>
    <row r="98" spans="1:2" x14ac:dyDescent="0.25">
      <c r="A98" s="183">
        <v>4898632</v>
      </c>
      <c r="B98">
        <v>940</v>
      </c>
    </row>
    <row r="99" spans="1:2" x14ac:dyDescent="0.25">
      <c r="A99" s="183">
        <v>4898638</v>
      </c>
      <c r="B99">
        <v>2200</v>
      </c>
    </row>
    <row r="100" spans="1:2" x14ac:dyDescent="0.25">
      <c r="A100" s="183">
        <v>4898640</v>
      </c>
      <c r="B100">
        <v>240</v>
      </c>
    </row>
    <row r="101" spans="1:2" x14ac:dyDescent="0.25">
      <c r="A101" s="183">
        <v>4898643</v>
      </c>
      <c r="B101">
        <v>4000</v>
      </c>
    </row>
    <row r="102" spans="1:2" x14ac:dyDescent="0.25">
      <c r="A102" s="183">
        <v>4898644</v>
      </c>
      <c r="B102">
        <v>840</v>
      </c>
    </row>
    <row r="103" spans="1:2" x14ac:dyDescent="0.25">
      <c r="A103" s="183">
        <v>4898645</v>
      </c>
      <c r="B103">
        <v>1340</v>
      </c>
    </row>
    <row r="104" spans="1:2" x14ac:dyDescent="0.25">
      <c r="A104" s="183">
        <v>4898647</v>
      </c>
      <c r="B104">
        <v>580</v>
      </c>
    </row>
    <row r="105" spans="1:2" x14ac:dyDescent="0.25">
      <c r="A105" s="183">
        <v>4898648</v>
      </c>
      <c r="B105">
        <v>340</v>
      </c>
    </row>
    <row r="106" spans="1:2" x14ac:dyDescent="0.25">
      <c r="A106" s="183">
        <v>4901370</v>
      </c>
      <c r="B106">
        <v>640</v>
      </c>
    </row>
    <row r="107" spans="1:2" x14ac:dyDescent="0.25">
      <c r="A107" s="183">
        <v>5073058</v>
      </c>
      <c r="B107">
        <v>200</v>
      </c>
    </row>
    <row r="108" spans="1:2" x14ac:dyDescent="0.25">
      <c r="A108" s="183">
        <v>5073059</v>
      </c>
      <c r="B108">
        <v>120</v>
      </c>
    </row>
    <row r="109" spans="1:2" x14ac:dyDescent="0.25">
      <c r="A109" s="183">
        <v>5073061</v>
      </c>
      <c r="B109">
        <v>120</v>
      </c>
    </row>
    <row r="110" spans="1:2" x14ac:dyDescent="0.25">
      <c r="A110" s="183">
        <v>5073064</v>
      </c>
      <c r="B110">
        <v>350</v>
      </c>
    </row>
    <row r="111" spans="1:2" x14ac:dyDescent="0.25">
      <c r="A111" s="183">
        <v>5080263</v>
      </c>
      <c r="B111">
        <v>460</v>
      </c>
    </row>
    <row r="112" spans="1:2" x14ac:dyDescent="0.25">
      <c r="A112" s="183">
        <v>5080268</v>
      </c>
      <c r="B112">
        <v>100</v>
      </c>
    </row>
    <row r="113" spans="1:2" x14ac:dyDescent="0.25">
      <c r="A113" s="183">
        <v>5080284</v>
      </c>
      <c r="B113">
        <v>25</v>
      </c>
    </row>
    <row r="114" spans="1:2" x14ac:dyDescent="0.25">
      <c r="A114" s="183">
        <v>5080285</v>
      </c>
      <c r="B114">
        <v>160</v>
      </c>
    </row>
    <row r="115" spans="1:2" x14ac:dyDescent="0.25">
      <c r="A115" s="183">
        <v>5080294</v>
      </c>
      <c r="B115">
        <v>75</v>
      </c>
    </row>
    <row r="116" spans="1:2" x14ac:dyDescent="0.25">
      <c r="A116" s="183">
        <v>5080417</v>
      </c>
      <c r="B116">
        <v>140</v>
      </c>
    </row>
    <row r="117" spans="1:2" x14ac:dyDescent="0.25">
      <c r="A117" s="183">
        <v>5080431</v>
      </c>
      <c r="B117">
        <v>100</v>
      </c>
    </row>
    <row r="118" spans="1:2" x14ac:dyDescent="0.25">
      <c r="A118" s="183">
        <v>5080443</v>
      </c>
      <c r="B118">
        <v>120</v>
      </c>
    </row>
    <row r="119" spans="1:2" x14ac:dyDescent="0.25">
      <c r="A119" s="183">
        <v>5080446</v>
      </c>
      <c r="B119">
        <v>525</v>
      </c>
    </row>
    <row r="120" spans="1:2" x14ac:dyDescent="0.25">
      <c r="A120" s="183">
        <v>5176088</v>
      </c>
      <c r="B120">
        <v>300</v>
      </c>
    </row>
    <row r="121" spans="1:2" x14ac:dyDescent="0.25">
      <c r="A121" s="183">
        <v>5180031</v>
      </c>
      <c r="B121">
        <v>90</v>
      </c>
    </row>
    <row r="122" spans="1:2" x14ac:dyDescent="0.25">
      <c r="A122" s="183">
        <v>5180032</v>
      </c>
      <c r="B122">
        <v>380</v>
      </c>
    </row>
    <row r="123" spans="1:2" x14ac:dyDescent="0.25">
      <c r="A123" s="183">
        <v>5180033</v>
      </c>
      <c r="B123">
        <v>220</v>
      </c>
    </row>
    <row r="124" spans="1:2" x14ac:dyDescent="0.25">
      <c r="A124" s="183">
        <v>5180039</v>
      </c>
      <c r="B124">
        <v>140</v>
      </c>
    </row>
    <row r="125" spans="1:2" x14ac:dyDescent="0.25">
      <c r="A125" s="183">
        <v>5180040</v>
      </c>
      <c r="B125">
        <v>120</v>
      </c>
    </row>
    <row r="126" spans="1:2" x14ac:dyDescent="0.25">
      <c r="A126" s="183">
        <v>5180041</v>
      </c>
      <c r="B126">
        <v>160</v>
      </c>
    </row>
    <row r="127" spans="1:2" x14ac:dyDescent="0.25">
      <c r="A127" s="183">
        <v>5278528</v>
      </c>
      <c r="B127">
        <v>630</v>
      </c>
    </row>
    <row r="128" spans="1:2" x14ac:dyDescent="0.25">
      <c r="A128" s="183">
        <v>5278732</v>
      </c>
      <c r="B128">
        <v>30</v>
      </c>
    </row>
    <row r="129" spans="1:2" x14ac:dyDescent="0.25">
      <c r="A129" s="183">
        <v>5328577</v>
      </c>
      <c r="B129">
        <v>9722</v>
      </c>
    </row>
    <row r="130" spans="1:2" x14ac:dyDescent="0.25">
      <c r="A130" s="183">
        <v>5410917</v>
      </c>
      <c r="B130">
        <v>19443</v>
      </c>
    </row>
    <row r="131" spans="1:2" x14ac:dyDescent="0.25">
      <c r="A131" s="183">
        <v>5459358</v>
      </c>
      <c r="B131">
        <v>270</v>
      </c>
    </row>
    <row r="132" spans="1:2" x14ac:dyDescent="0.25">
      <c r="A132" s="183">
        <v>5493141</v>
      </c>
      <c r="B132">
        <v>2800</v>
      </c>
    </row>
    <row r="133" spans="1:2" x14ac:dyDescent="0.25">
      <c r="A133" s="183">
        <v>5543428</v>
      </c>
      <c r="B133">
        <v>480</v>
      </c>
    </row>
    <row r="134" spans="1:2" x14ac:dyDescent="0.25">
      <c r="A134" s="183">
        <v>5597063</v>
      </c>
      <c r="B134">
        <v>9012</v>
      </c>
    </row>
    <row r="135" spans="1:2" x14ac:dyDescent="0.25">
      <c r="A135" s="183">
        <v>5755217</v>
      </c>
      <c r="B135">
        <v>720</v>
      </c>
    </row>
    <row r="136" spans="1:2" x14ac:dyDescent="0.25">
      <c r="A136" s="183">
        <v>5759549</v>
      </c>
      <c r="B136">
        <v>30</v>
      </c>
    </row>
    <row r="137" spans="1:2" x14ac:dyDescent="0.25">
      <c r="A137" s="183">
        <v>5848956</v>
      </c>
      <c r="B137">
        <v>5187</v>
      </c>
    </row>
    <row r="138" spans="1:2" x14ac:dyDescent="0.25">
      <c r="A138" s="183">
        <v>5848963</v>
      </c>
      <c r="B138">
        <v>833</v>
      </c>
    </row>
    <row r="139" spans="1:2" x14ac:dyDescent="0.25">
      <c r="A139" s="183">
        <v>5951382</v>
      </c>
      <c r="B139">
        <v>320</v>
      </c>
    </row>
    <row r="140" spans="1:2" x14ac:dyDescent="0.25">
      <c r="A140" s="183">
        <v>5951384</v>
      </c>
      <c r="B140">
        <v>1780</v>
      </c>
    </row>
    <row r="141" spans="1:2" x14ac:dyDescent="0.25">
      <c r="A141" s="183">
        <v>6167996</v>
      </c>
      <c r="B141">
        <v>420</v>
      </c>
    </row>
    <row r="142" spans="1:2" x14ac:dyDescent="0.25">
      <c r="A142" s="183">
        <v>6168001</v>
      </c>
      <c r="B142">
        <v>180</v>
      </c>
    </row>
    <row r="143" spans="1:2" x14ac:dyDescent="0.25">
      <c r="A143" s="183">
        <v>6188078</v>
      </c>
      <c r="B143">
        <v>1248</v>
      </c>
    </row>
    <row r="144" spans="1:2" x14ac:dyDescent="0.25">
      <c r="A144" s="183">
        <v>6188086</v>
      </c>
      <c r="B144">
        <v>1113</v>
      </c>
    </row>
    <row r="145" spans="1:2" x14ac:dyDescent="0.25">
      <c r="A145" s="183">
        <v>6188094</v>
      </c>
      <c r="B145">
        <v>2835</v>
      </c>
    </row>
    <row r="146" spans="1:2" x14ac:dyDescent="0.25">
      <c r="A146" s="183">
        <v>6188099</v>
      </c>
      <c r="B146">
        <v>5945</v>
      </c>
    </row>
    <row r="147" spans="1:2" x14ac:dyDescent="0.25">
      <c r="A147" s="183">
        <v>6188108</v>
      </c>
      <c r="B147">
        <v>1280</v>
      </c>
    </row>
    <row r="148" spans="1:2" x14ac:dyDescent="0.25">
      <c r="A148" s="183">
        <v>6188111</v>
      </c>
      <c r="B148">
        <v>870</v>
      </c>
    </row>
    <row r="149" spans="1:2" x14ac:dyDescent="0.25">
      <c r="A149" s="183">
        <v>6188127</v>
      </c>
      <c r="B149">
        <v>740</v>
      </c>
    </row>
    <row r="150" spans="1:2" x14ac:dyDescent="0.25">
      <c r="A150" s="183">
        <v>6188129</v>
      </c>
      <c r="B150">
        <v>360</v>
      </c>
    </row>
    <row r="151" spans="1:2" x14ac:dyDescent="0.25">
      <c r="A151" s="183">
        <v>6351551</v>
      </c>
      <c r="B151">
        <v>40</v>
      </c>
    </row>
    <row r="152" spans="1:2" x14ac:dyDescent="0.25">
      <c r="A152" s="183">
        <v>6351568</v>
      </c>
      <c r="B152">
        <v>690</v>
      </c>
    </row>
    <row r="153" spans="1:2" x14ac:dyDescent="0.25">
      <c r="A153" s="183">
        <v>6351569</v>
      </c>
      <c r="B153">
        <v>1040</v>
      </c>
    </row>
    <row r="154" spans="1:2" x14ac:dyDescent="0.25">
      <c r="A154" s="183">
        <v>6352813</v>
      </c>
      <c r="B154">
        <v>400</v>
      </c>
    </row>
    <row r="155" spans="1:2" x14ac:dyDescent="0.25">
      <c r="A155" s="183">
        <v>6352819</v>
      </c>
      <c r="B155">
        <v>200</v>
      </c>
    </row>
    <row r="156" spans="1:2" x14ac:dyDescent="0.25">
      <c r="A156" s="183">
        <v>6461432</v>
      </c>
      <c r="B156">
        <v>3720</v>
      </c>
    </row>
    <row r="157" spans="1:2" x14ac:dyDescent="0.25">
      <c r="A157" s="183">
        <v>6464892</v>
      </c>
      <c r="B157">
        <v>720</v>
      </c>
    </row>
    <row r="158" spans="1:2" x14ac:dyDescent="0.25">
      <c r="A158" s="183">
        <v>6465880</v>
      </c>
      <c r="B158">
        <v>320</v>
      </c>
    </row>
    <row r="159" spans="1:2" x14ac:dyDescent="0.25">
      <c r="A159" s="183">
        <v>6466023</v>
      </c>
      <c r="B159">
        <v>1625</v>
      </c>
    </row>
    <row r="160" spans="1:2" x14ac:dyDescent="0.25">
      <c r="A160" s="183">
        <v>6573123</v>
      </c>
      <c r="B160">
        <v>3044</v>
      </c>
    </row>
    <row r="161" spans="1:2" x14ac:dyDescent="0.25">
      <c r="A161" s="183">
        <v>6573124</v>
      </c>
      <c r="B161">
        <v>10168</v>
      </c>
    </row>
    <row r="162" spans="1:2" x14ac:dyDescent="0.25">
      <c r="A162" s="183">
        <v>6573125</v>
      </c>
      <c r="B162">
        <v>210</v>
      </c>
    </row>
    <row r="163" spans="1:2" x14ac:dyDescent="0.25">
      <c r="A163" s="183">
        <v>6573126</v>
      </c>
      <c r="B163">
        <v>1880</v>
      </c>
    </row>
    <row r="164" spans="1:2" x14ac:dyDescent="0.25">
      <c r="A164" s="183">
        <v>6599555</v>
      </c>
      <c r="B164">
        <v>480</v>
      </c>
    </row>
    <row r="165" spans="1:2" x14ac:dyDescent="0.25">
      <c r="A165" s="183">
        <v>6599559</v>
      </c>
      <c r="B165">
        <v>746</v>
      </c>
    </row>
    <row r="166" spans="1:2" x14ac:dyDescent="0.25">
      <c r="A166" s="183">
        <v>6718202</v>
      </c>
      <c r="B166">
        <v>520</v>
      </c>
    </row>
    <row r="167" spans="1:2" x14ac:dyDescent="0.25">
      <c r="A167" s="183">
        <v>6718207</v>
      </c>
      <c r="B167">
        <v>540</v>
      </c>
    </row>
    <row r="168" spans="1:2" x14ac:dyDescent="0.25">
      <c r="A168" s="183">
        <v>6718208</v>
      </c>
      <c r="B168">
        <v>90</v>
      </c>
    </row>
    <row r="169" spans="1:2" x14ac:dyDescent="0.25">
      <c r="A169" s="183">
        <v>6718211</v>
      </c>
      <c r="B169">
        <v>100</v>
      </c>
    </row>
    <row r="170" spans="1:2" x14ac:dyDescent="0.25">
      <c r="A170" s="183">
        <v>6718227</v>
      </c>
      <c r="B170">
        <v>285</v>
      </c>
    </row>
    <row r="171" spans="1:2" x14ac:dyDescent="0.25">
      <c r="A171" s="183">
        <v>6718233</v>
      </c>
      <c r="B171">
        <v>330</v>
      </c>
    </row>
    <row r="172" spans="1:2" x14ac:dyDescent="0.25">
      <c r="A172" s="183">
        <v>6718248</v>
      </c>
      <c r="B172">
        <v>105</v>
      </c>
    </row>
    <row r="173" spans="1:2" x14ac:dyDescent="0.25">
      <c r="A173" s="183">
        <v>6718251</v>
      </c>
      <c r="B173">
        <v>30</v>
      </c>
    </row>
    <row r="174" spans="1:2" x14ac:dyDescent="0.25">
      <c r="A174" s="183">
        <v>6737895</v>
      </c>
      <c r="B174">
        <v>60</v>
      </c>
    </row>
    <row r="175" spans="1:2" x14ac:dyDescent="0.25">
      <c r="A175" s="183">
        <v>6737904</v>
      </c>
      <c r="B175">
        <v>220</v>
      </c>
    </row>
    <row r="176" spans="1:2" x14ac:dyDescent="0.25">
      <c r="A176" s="183">
        <v>6737910</v>
      </c>
      <c r="B176">
        <v>60</v>
      </c>
    </row>
    <row r="177" spans="1:2" x14ac:dyDescent="0.25">
      <c r="A177" s="183">
        <v>6750832</v>
      </c>
      <c r="B177">
        <v>6150</v>
      </c>
    </row>
    <row r="178" spans="1:2" x14ac:dyDescent="0.25">
      <c r="A178" s="183">
        <v>6750841</v>
      </c>
      <c r="B178">
        <v>8370</v>
      </c>
    </row>
    <row r="179" spans="1:2" x14ac:dyDescent="0.25">
      <c r="A179" s="183">
        <v>6750844</v>
      </c>
      <c r="B179">
        <v>3250</v>
      </c>
    </row>
    <row r="180" spans="1:2" x14ac:dyDescent="0.25">
      <c r="A180" s="183">
        <v>6750849</v>
      </c>
      <c r="B180">
        <v>2950</v>
      </c>
    </row>
    <row r="181" spans="1:2" x14ac:dyDescent="0.25">
      <c r="A181" s="183">
        <v>7506616</v>
      </c>
      <c r="B181">
        <v>3</v>
      </c>
    </row>
    <row r="182" spans="1:2" x14ac:dyDescent="0.25">
      <c r="A182" s="183">
        <v>7506617</v>
      </c>
      <c r="B182">
        <v>123</v>
      </c>
    </row>
    <row r="183" spans="1:2" x14ac:dyDescent="0.25">
      <c r="A183" s="183">
        <v>7506626</v>
      </c>
      <c r="B183">
        <v>203</v>
      </c>
    </row>
    <row r="184" spans="1:2" x14ac:dyDescent="0.25">
      <c r="A184" s="183">
        <v>7506627</v>
      </c>
      <c r="B184">
        <v>320</v>
      </c>
    </row>
    <row r="185" spans="1:2" x14ac:dyDescent="0.25">
      <c r="A185" s="183">
        <v>7506629</v>
      </c>
      <c r="B185">
        <v>3</v>
      </c>
    </row>
    <row r="186" spans="1:2" x14ac:dyDescent="0.25">
      <c r="A186" s="183">
        <v>7506630</v>
      </c>
      <c r="B186">
        <v>3</v>
      </c>
    </row>
    <row r="187" spans="1:2" x14ac:dyDescent="0.25">
      <c r="A187" s="183">
        <v>8212106</v>
      </c>
      <c r="B187">
        <v>18</v>
      </c>
    </row>
    <row r="188" spans="1:2" x14ac:dyDescent="0.25">
      <c r="A188" s="183">
        <v>16452439</v>
      </c>
      <c r="B188">
        <v>2</v>
      </c>
    </row>
    <row r="189" spans="1:2" x14ac:dyDescent="0.25">
      <c r="A189" s="183">
        <v>16475139</v>
      </c>
      <c r="B189">
        <v>16</v>
      </c>
    </row>
    <row r="190" spans="1:2" x14ac:dyDescent="0.25">
      <c r="A190" s="183">
        <v>18114183</v>
      </c>
      <c r="B190">
        <v>96</v>
      </c>
    </row>
    <row r="191" spans="1:2" x14ac:dyDescent="0.25">
      <c r="A191" s="183">
        <v>18114184</v>
      </c>
      <c r="B191">
        <v>108</v>
      </c>
    </row>
    <row r="192" spans="1:2" x14ac:dyDescent="0.25">
      <c r="A192" s="183">
        <v>18114187</v>
      </c>
      <c r="B192">
        <v>12</v>
      </c>
    </row>
    <row r="193" spans="1:2" x14ac:dyDescent="0.25">
      <c r="A193" s="183">
        <v>18114190</v>
      </c>
      <c r="B193">
        <v>72</v>
      </c>
    </row>
    <row r="194" spans="1:2" x14ac:dyDescent="0.25">
      <c r="A194" s="183">
        <v>18114196</v>
      </c>
      <c r="B194">
        <v>36</v>
      </c>
    </row>
    <row r="195" spans="1:2" x14ac:dyDescent="0.25">
      <c r="A195" s="183">
        <v>18114200</v>
      </c>
      <c r="B195">
        <v>24</v>
      </c>
    </row>
    <row r="196" spans="1:2" x14ac:dyDescent="0.25">
      <c r="A196" s="183">
        <v>18114204</v>
      </c>
      <c r="B196">
        <v>12</v>
      </c>
    </row>
    <row r="197" spans="1:2" x14ac:dyDescent="0.25">
      <c r="A197" s="183">
        <v>18114208</v>
      </c>
      <c r="B197">
        <v>12</v>
      </c>
    </row>
    <row r="198" spans="1:2" x14ac:dyDescent="0.25">
      <c r="A198" s="183">
        <v>52401164</v>
      </c>
      <c r="B198">
        <v>10</v>
      </c>
    </row>
    <row r="199" spans="1:2" x14ac:dyDescent="0.25">
      <c r="A199" s="183">
        <v>52418412</v>
      </c>
      <c r="B199">
        <v>100</v>
      </c>
    </row>
    <row r="200" spans="1:2" x14ac:dyDescent="0.25">
      <c r="A200" s="183">
        <v>52418413</v>
      </c>
      <c r="B200">
        <v>300</v>
      </c>
    </row>
    <row r="201" spans="1:2" x14ac:dyDescent="0.25">
      <c r="A201" s="183">
        <v>52418414</v>
      </c>
      <c r="B201">
        <v>50</v>
      </c>
    </row>
    <row r="202" spans="1:2" x14ac:dyDescent="0.25">
      <c r="A202" s="183">
        <v>52418415</v>
      </c>
      <c r="B202">
        <v>50</v>
      </c>
    </row>
    <row r="203" spans="1:2" x14ac:dyDescent="0.25">
      <c r="A203" s="183">
        <v>52422968</v>
      </c>
      <c r="B203">
        <v>120</v>
      </c>
    </row>
    <row r="204" spans="1:2" x14ac:dyDescent="0.25">
      <c r="A204" s="183">
        <v>52422969</v>
      </c>
      <c r="B204">
        <v>90</v>
      </c>
    </row>
    <row r="205" spans="1:2" x14ac:dyDescent="0.25">
      <c r="A205" s="183">
        <v>52422972</v>
      </c>
      <c r="B205">
        <v>30</v>
      </c>
    </row>
    <row r="206" spans="1:2" x14ac:dyDescent="0.25">
      <c r="A206" s="183">
        <v>52422973</v>
      </c>
      <c r="B206">
        <v>60</v>
      </c>
    </row>
    <row r="207" spans="1:2" x14ac:dyDescent="0.25">
      <c r="A207" s="183">
        <v>52422974</v>
      </c>
      <c r="B207">
        <v>390</v>
      </c>
    </row>
    <row r="208" spans="1:2" x14ac:dyDescent="0.25">
      <c r="A208" s="183">
        <v>52422975</v>
      </c>
      <c r="B208">
        <v>60</v>
      </c>
    </row>
    <row r="209" spans="1:2" x14ac:dyDescent="0.25">
      <c r="A209" s="183">
        <v>52428032</v>
      </c>
      <c r="B209">
        <v>30</v>
      </c>
    </row>
    <row r="210" spans="1:2" x14ac:dyDescent="0.25">
      <c r="A210" s="183">
        <v>52429761</v>
      </c>
      <c r="B210">
        <v>120</v>
      </c>
    </row>
    <row r="211" spans="1:2" x14ac:dyDescent="0.25">
      <c r="A211" s="183">
        <v>52429763</v>
      </c>
      <c r="B211">
        <v>330</v>
      </c>
    </row>
    <row r="212" spans="1:2" x14ac:dyDescent="0.25">
      <c r="A212" s="183">
        <v>52434577</v>
      </c>
      <c r="B212">
        <v>30</v>
      </c>
    </row>
    <row r="213" spans="1:2" x14ac:dyDescent="0.25">
      <c r="A213" s="183">
        <v>605696551</v>
      </c>
      <c r="B213">
        <v>1800</v>
      </c>
    </row>
    <row r="214" spans="1:2" x14ac:dyDescent="0.25">
      <c r="A214" s="183">
        <v>632736553</v>
      </c>
      <c r="B214">
        <v>10500</v>
      </c>
    </row>
    <row r="215" spans="1:2" x14ac:dyDescent="0.25">
      <c r="A215" s="183">
        <v>908761300</v>
      </c>
      <c r="B215">
        <v>400</v>
      </c>
    </row>
    <row r="216" spans="1:2" x14ac:dyDescent="0.25">
      <c r="A216" s="183">
        <v>986846552</v>
      </c>
      <c r="B216">
        <v>4658</v>
      </c>
    </row>
    <row r="217" spans="1:2" x14ac:dyDescent="0.25">
      <c r="A217" s="183">
        <v>986846554</v>
      </c>
      <c r="B217">
        <v>2400</v>
      </c>
    </row>
    <row r="218" spans="1:2" x14ac:dyDescent="0.25">
      <c r="A218" s="183">
        <v>1100217002</v>
      </c>
      <c r="B218">
        <v>2500</v>
      </c>
    </row>
    <row r="219" spans="1:2" x14ac:dyDescent="0.25">
      <c r="A219" s="183">
        <v>1100766002</v>
      </c>
      <c r="B219">
        <v>2900</v>
      </c>
    </row>
    <row r="220" spans="1:2" x14ac:dyDescent="0.25">
      <c r="A220" s="183">
        <v>3619733101</v>
      </c>
      <c r="B220">
        <v>750</v>
      </c>
    </row>
    <row r="221" spans="1:2" x14ac:dyDescent="0.25">
      <c r="A221" s="183">
        <v>821140602000</v>
      </c>
      <c r="B221">
        <v>269</v>
      </c>
    </row>
    <row r="222" spans="1:2" x14ac:dyDescent="0.25">
      <c r="A222" s="183">
        <v>821140602100</v>
      </c>
      <c r="B222">
        <v>1210</v>
      </c>
    </row>
    <row r="223" spans="1:2" x14ac:dyDescent="0.25">
      <c r="A223" s="183">
        <v>821220209000</v>
      </c>
      <c r="B223">
        <v>52</v>
      </c>
    </row>
    <row r="224" spans="1:2" x14ac:dyDescent="0.25">
      <c r="A224" s="183">
        <v>821220226000</v>
      </c>
      <c r="B224">
        <v>1</v>
      </c>
    </row>
    <row r="225" spans="1:2" x14ac:dyDescent="0.25">
      <c r="A225" s="183">
        <v>821220508000</v>
      </c>
      <c r="B225">
        <v>27</v>
      </c>
    </row>
    <row r="226" spans="1:2" x14ac:dyDescent="0.25">
      <c r="A226" s="183">
        <v>821220509000</v>
      </c>
      <c r="B226">
        <v>90</v>
      </c>
    </row>
    <row r="227" spans="1:2" x14ac:dyDescent="0.25">
      <c r="A227" s="183">
        <v>821220511000</v>
      </c>
      <c r="B227">
        <v>83</v>
      </c>
    </row>
    <row r="228" spans="1:2" x14ac:dyDescent="0.25">
      <c r="A228" s="183">
        <v>821230227000</v>
      </c>
      <c r="B228">
        <v>78</v>
      </c>
    </row>
    <row r="229" spans="1:2" x14ac:dyDescent="0.25">
      <c r="A229" s="183">
        <v>821230228000</v>
      </c>
      <c r="B229">
        <v>161</v>
      </c>
    </row>
    <row r="230" spans="1:2" x14ac:dyDescent="0.25">
      <c r="A230" s="183">
        <v>821230242000</v>
      </c>
      <c r="B230">
        <v>82</v>
      </c>
    </row>
    <row r="231" spans="1:2" x14ac:dyDescent="0.25">
      <c r="A231" s="183">
        <v>821230527000</v>
      </c>
      <c r="B231">
        <v>20</v>
      </c>
    </row>
    <row r="232" spans="1:2" x14ac:dyDescent="0.25">
      <c r="A232" s="183">
        <v>821230529000</v>
      </c>
      <c r="B232">
        <v>35</v>
      </c>
    </row>
    <row r="233" spans="1:2" x14ac:dyDescent="0.25">
      <c r="A233" s="183">
        <v>821250205000</v>
      </c>
      <c r="B233">
        <v>6</v>
      </c>
    </row>
    <row r="234" spans="1:2" x14ac:dyDescent="0.25">
      <c r="A234" s="183">
        <v>821250232000</v>
      </c>
      <c r="B234">
        <v>40</v>
      </c>
    </row>
    <row r="235" spans="1:2" x14ac:dyDescent="0.25">
      <c r="A235" s="183">
        <v>821250502000</v>
      </c>
      <c r="B235">
        <v>44</v>
      </c>
    </row>
    <row r="236" spans="1:2" x14ac:dyDescent="0.25">
      <c r="A236" s="183">
        <v>821710522000</v>
      </c>
      <c r="B236">
        <v>20</v>
      </c>
    </row>
    <row r="237" spans="1:2" x14ac:dyDescent="0.25">
      <c r="A237" s="183">
        <v>821920506000</v>
      </c>
      <c r="B237">
        <v>50</v>
      </c>
    </row>
    <row r="238" spans="1:2" x14ac:dyDescent="0.25">
      <c r="A238" s="183">
        <v>822170601000</v>
      </c>
      <c r="B238">
        <v>400</v>
      </c>
    </row>
    <row r="239" spans="1:2" x14ac:dyDescent="0.25">
      <c r="A239" s="183">
        <v>822180601000</v>
      </c>
      <c r="B239">
        <v>1600</v>
      </c>
    </row>
    <row r="240" spans="1:2" x14ac:dyDescent="0.25">
      <c r="A240" s="183">
        <v>822840601000</v>
      </c>
      <c r="B240">
        <v>195</v>
      </c>
    </row>
    <row r="241" spans="1:2" x14ac:dyDescent="0.25">
      <c r="A241" s="183">
        <v>822840602000</v>
      </c>
      <c r="B241">
        <v>98</v>
      </c>
    </row>
    <row r="242" spans="1:2" x14ac:dyDescent="0.25">
      <c r="A242" s="183">
        <v>823452006000</v>
      </c>
      <c r="B242">
        <v>47</v>
      </c>
    </row>
    <row r="243" spans="1:2" x14ac:dyDescent="0.25">
      <c r="A243" s="183">
        <v>823453201000</v>
      </c>
      <c r="B243">
        <v>14</v>
      </c>
    </row>
    <row r="244" spans="1:2" x14ac:dyDescent="0.25">
      <c r="A244" s="183">
        <v>826662214000</v>
      </c>
      <c r="B244">
        <v>29</v>
      </c>
    </row>
    <row r="245" spans="1:2" x14ac:dyDescent="0.25">
      <c r="A245" s="183">
        <v>826665215000</v>
      </c>
      <c r="B245">
        <v>4</v>
      </c>
    </row>
    <row r="246" spans="1:2" x14ac:dyDescent="0.25">
      <c r="A246" s="183">
        <v>826695201000</v>
      </c>
      <c r="B246">
        <v>2</v>
      </c>
    </row>
    <row r="247" spans="1:2" x14ac:dyDescent="0.25">
      <c r="A247" s="183">
        <v>826735209000</v>
      </c>
      <c r="B247">
        <v>1</v>
      </c>
    </row>
    <row r="248" spans="1:2" x14ac:dyDescent="0.25">
      <c r="A248" s="183">
        <v>827112838000</v>
      </c>
      <c r="B248">
        <v>8</v>
      </c>
    </row>
    <row r="249" spans="1:2" x14ac:dyDescent="0.25">
      <c r="A249" s="183">
        <v>828150208000</v>
      </c>
      <c r="B249">
        <v>1</v>
      </c>
    </row>
    <row r="250" spans="1:2" x14ac:dyDescent="0.25">
      <c r="A250" s="183">
        <v>828155241000</v>
      </c>
      <c r="B250">
        <v>2</v>
      </c>
    </row>
    <row r="251" spans="1:2" x14ac:dyDescent="0.25">
      <c r="A251" s="183">
        <v>828170238000</v>
      </c>
      <c r="B251">
        <v>5</v>
      </c>
    </row>
    <row r="252" spans="1:2" x14ac:dyDescent="0.25">
      <c r="A252" s="183">
        <v>828170239000</v>
      </c>
      <c r="B252">
        <v>11</v>
      </c>
    </row>
    <row r="253" spans="1:2" x14ac:dyDescent="0.25">
      <c r="A253" s="183">
        <v>828170242000</v>
      </c>
      <c r="B253">
        <v>9</v>
      </c>
    </row>
    <row r="254" spans="1:2" x14ac:dyDescent="0.25">
      <c r="A254" s="183">
        <v>828170244000</v>
      </c>
      <c r="B254">
        <v>18</v>
      </c>
    </row>
    <row r="255" spans="1:2" x14ac:dyDescent="0.25">
      <c r="A255" s="183">
        <v>828170279000</v>
      </c>
      <c r="B255">
        <v>6</v>
      </c>
    </row>
    <row r="256" spans="1:2" x14ac:dyDescent="0.25">
      <c r="A256" s="183">
        <v>828170280000</v>
      </c>
      <c r="B256">
        <v>9</v>
      </c>
    </row>
    <row r="257" spans="1:2" x14ac:dyDescent="0.25">
      <c r="A257" s="183">
        <v>828175262000</v>
      </c>
      <c r="B257">
        <v>2</v>
      </c>
    </row>
    <row r="258" spans="1:2" x14ac:dyDescent="0.25">
      <c r="A258" s="183">
        <v>828175274000</v>
      </c>
      <c r="B258">
        <v>1</v>
      </c>
    </row>
    <row r="259" spans="1:2" x14ac:dyDescent="0.25">
      <c r="A259" s="183">
        <v>828210504000</v>
      </c>
      <c r="B259">
        <v>6</v>
      </c>
    </row>
    <row r="260" spans="1:2" x14ac:dyDescent="0.25">
      <c r="A260" s="183">
        <v>828211265000</v>
      </c>
      <c r="B260">
        <v>7</v>
      </c>
    </row>
    <row r="261" spans="1:2" x14ac:dyDescent="0.25">
      <c r="A261" s="183">
        <v>829910501000</v>
      </c>
      <c r="B261">
        <v>5</v>
      </c>
    </row>
    <row r="262" spans="1:2" x14ac:dyDescent="0.25">
      <c r="A262" s="183">
        <v>861010228000</v>
      </c>
      <c r="B262">
        <v>4215</v>
      </c>
    </row>
    <row r="263" spans="1:2" x14ac:dyDescent="0.25">
      <c r="A263" s="183">
        <v>861010231100</v>
      </c>
      <c r="B263">
        <v>80</v>
      </c>
    </row>
    <row r="264" spans="1:2" x14ac:dyDescent="0.25">
      <c r="A264" s="183">
        <v>861010248000</v>
      </c>
      <c r="B264">
        <v>4117</v>
      </c>
    </row>
    <row r="265" spans="1:2" x14ac:dyDescent="0.25">
      <c r="A265" s="183">
        <v>861010273000</v>
      </c>
      <c r="B265">
        <v>2022</v>
      </c>
    </row>
    <row r="266" spans="1:2" x14ac:dyDescent="0.25">
      <c r="A266" s="183">
        <v>861010274000</v>
      </c>
      <c r="B266">
        <v>2645</v>
      </c>
    </row>
    <row r="267" spans="1:2" x14ac:dyDescent="0.25">
      <c r="A267" s="183">
        <v>861010275000</v>
      </c>
      <c r="B267">
        <v>1617</v>
      </c>
    </row>
    <row r="268" spans="1:2" x14ac:dyDescent="0.25">
      <c r="A268" s="183">
        <v>861010276000</v>
      </c>
      <c r="B268">
        <v>2165</v>
      </c>
    </row>
    <row r="269" spans="1:2" x14ac:dyDescent="0.25">
      <c r="A269" s="183">
        <v>861010277000</v>
      </c>
      <c r="B269">
        <v>2165</v>
      </c>
    </row>
    <row r="270" spans="1:2" x14ac:dyDescent="0.25">
      <c r="A270" s="183">
        <v>868080206100</v>
      </c>
      <c r="B270">
        <v>2505</v>
      </c>
    </row>
    <row r="271" spans="1:2" x14ac:dyDescent="0.25">
      <c r="A271" s="183">
        <v>895160202000</v>
      </c>
      <c r="B271">
        <v>50</v>
      </c>
    </row>
    <row r="272" spans="1:2" x14ac:dyDescent="0.25">
      <c r="A272" s="183">
        <v>895160217000</v>
      </c>
      <c r="B272">
        <v>1335</v>
      </c>
    </row>
    <row r="273" spans="1:2" x14ac:dyDescent="0.25">
      <c r="A273" s="183">
        <v>895160218000</v>
      </c>
      <c r="B273">
        <v>54</v>
      </c>
    </row>
    <row r="274" spans="1:2" x14ac:dyDescent="0.25">
      <c r="A274" s="183">
        <v>900808204400</v>
      </c>
      <c r="B274">
        <v>213</v>
      </c>
    </row>
    <row r="275" spans="1:2" x14ac:dyDescent="0.25">
      <c r="A275" s="183">
        <v>900808204500</v>
      </c>
      <c r="B275">
        <v>194</v>
      </c>
    </row>
    <row r="276" spans="1:2" x14ac:dyDescent="0.25">
      <c r="A276" s="183">
        <v>900808204800</v>
      </c>
      <c r="B276">
        <v>380</v>
      </c>
    </row>
    <row r="277" spans="1:2" x14ac:dyDescent="0.25">
      <c r="A277" s="183">
        <v>900809812800</v>
      </c>
      <c r="B277">
        <v>17</v>
      </c>
    </row>
    <row r="278" spans="1:2" x14ac:dyDescent="0.25">
      <c r="A278" s="183">
        <v>3020960350000</v>
      </c>
      <c r="B278">
        <v>1000</v>
      </c>
    </row>
    <row r="279" spans="1:2" x14ac:dyDescent="0.25">
      <c r="A279" s="183">
        <v>3028929900000</v>
      </c>
      <c r="B279">
        <v>780</v>
      </c>
    </row>
    <row r="280" spans="1:2" x14ac:dyDescent="0.25">
      <c r="A280" s="183" t="s">
        <v>159</v>
      </c>
      <c r="B280">
        <v>100</v>
      </c>
    </row>
    <row r="281" spans="1:2" x14ac:dyDescent="0.25">
      <c r="A281" s="183" t="s">
        <v>160</v>
      </c>
      <c r="B281">
        <v>585</v>
      </c>
    </row>
    <row r="282" spans="1:2" x14ac:dyDescent="0.25">
      <c r="A282" s="183" t="s">
        <v>161</v>
      </c>
      <c r="B282">
        <v>55</v>
      </c>
    </row>
    <row r="283" spans="1:2" x14ac:dyDescent="0.25">
      <c r="A283" s="183" t="s">
        <v>162</v>
      </c>
      <c r="B283">
        <v>3</v>
      </c>
    </row>
    <row r="284" spans="1:2" x14ac:dyDescent="0.25">
      <c r="A284" s="183" t="s">
        <v>163</v>
      </c>
      <c r="B284">
        <v>560</v>
      </c>
    </row>
    <row r="285" spans="1:2" x14ac:dyDescent="0.25">
      <c r="A285" s="183" t="s">
        <v>164</v>
      </c>
      <c r="B285">
        <v>3</v>
      </c>
    </row>
    <row r="286" spans="1:2" x14ac:dyDescent="0.25">
      <c r="A286" s="183" t="s">
        <v>165</v>
      </c>
      <c r="B286">
        <v>157</v>
      </c>
    </row>
    <row r="287" spans="1:2" x14ac:dyDescent="0.25">
      <c r="A287" s="183" t="s">
        <v>166</v>
      </c>
      <c r="B287">
        <v>3</v>
      </c>
    </row>
    <row r="288" spans="1:2" x14ac:dyDescent="0.25">
      <c r="A288" s="183" t="s">
        <v>167</v>
      </c>
      <c r="B288">
        <v>8</v>
      </c>
    </row>
    <row r="289" spans="1:2" x14ac:dyDescent="0.25">
      <c r="A289" s="183" t="s">
        <v>168</v>
      </c>
      <c r="B289">
        <v>7</v>
      </c>
    </row>
    <row r="290" spans="1:2" x14ac:dyDescent="0.25">
      <c r="A290" s="183" t="s">
        <v>169</v>
      </c>
      <c r="B290">
        <v>15</v>
      </c>
    </row>
    <row r="291" spans="1:2" x14ac:dyDescent="0.25">
      <c r="A291" s="183" t="s">
        <v>170</v>
      </c>
      <c r="B291">
        <v>645</v>
      </c>
    </row>
    <row r="292" spans="1:2" x14ac:dyDescent="0.25">
      <c r="A292" s="183" t="s">
        <v>171</v>
      </c>
      <c r="B292">
        <v>150</v>
      </c>
    </row>
    <row r="293" spans="1:2" x14ac:dyDescent="0.25">
      <c r="A293" s="183" t="s">
        <v>172</v>
      </c>
      <c r="B293">
        <v>60</v>
      </c>
    </row>
    <row r="294" spans="1:2" x14ac:dyDescent="0.25">
      <c r="A294" s="183" t="s">
        <v>173</v>
      </c>
      <c r="B294">
        <v>530</v>
      </c>
    </row>
    <row r="295" spans="1:2" x14ac:dyDescent="0.25">
      <c r="A295" s="183" t="s">
        <v>174</v>
      </c>
      <c r="B295">
        <v>1</v>
      </c>
    </row>
    <row r="296" spans="1:2" x14ac:dyDescent="0.25">
      <c r="A296" s="183" t="s">
        <v>175</v>
      </c>
      <c r="B296">
        <v>127</v>
      </c>
    </row>
    <row r="297" spans="1:2" x14ac:dyDescent="0.25">
      <c r="A297" s="183" t="s">
        <v>176</v>
      </c>
      <c r="B297">
        <v>555</v>
      </c>
    </row>
    <row r="298" spans="1:2" x14ac:dyDescent="0.25">
      <c r="A298" s="183" t="s">
        <v>177</v>
      </c>
      <c r="B298">
        <v>1140</v>
      </c>
    </row>
    <row r="299" spans="1:2" x14ac:dyDescent="0.25">
      <c r="A299" s="183" t="s">
        <v>178</v>
      </c>
      <c r="B299">
        <v>1536</v>
      </c>
    </row>
    <row r="300" spans="1:2" x14ac:dyDescent="0.25">
      <c r="A300" s="183" t="s">
        <v>179</v>
      </c>
      <c r="B300">
        <v>1560</v>
      </c>
    </row>
    <row r="301" spans="1:2" x14ac:dyDescent="0.25">
      <c r="A301" s="183" t="s">
        <v>180</v>
      </c>
      <c r="B301">
        <v>1200</v>
      </c>
    </row>
    <row r="302" spans="1:2" x14ac:dyDescent="0.25">
      <c r="A302" s="183" t="s">
        <v>181</v>
      </c>
      <c r="B302">
        <v>600</v>
      </c>
    </row>
    <row r="303" spans="1:2" x14ac:dyDescent="0.25">
      <c r="A303" s="183" t="s">
        <v>182</v>
      </c>
      <c r="B303">
        <v>801</v>
      </c>
    </row>
    <row r="304" spans="1:2" x14ac:dyDescent="0.25">
      <c r="A304" s="183" t="s">
        <v>183</v>
      </c>
      <c r="B304">
        <v>2400</v>
      </c>
    </row>
    <row r="305" spans="1:2" x14ac:dyDescent="0.25">
      <c r="A305" s="183" t="s">
        <v>184</v>
      </c>
      <c r="B305">
        <v>1800</v>
      </c>
    </row>
    <row r="306" spans="1:2" x14ac:dyDescent="0.25">
      <c r="A306" s="183" t="s">
        <v>185</v>
      </c>
      <c r="B306">
        <v>1600</v>
      </c>
    </row>
    <row r="307" spans="1:2" x14ac:dyDescent="0.25">
      <c r="A307" s="183" t="s">
        <v>186</v>
      </c>
      <c r="B307">
        <v>1620</v>
      </c>
    </row>
    <row r="308" spans="1:2" x14ac:dyDescent="0.25">
      <c r="A308" s="183" t="s">
        <v>187</v>
      </c>
      <c r="B308">
        <v>5</v>
      </c>
    </row>
    <row r="309" spans="1:2" x14ac:dyDescent="0.25">
      <c r="A309" s="183" t="s">
        <v>188</v>
      </c>
      <c r="B309">
        <v>197</v>
      </c>
    </row>
    <row r="310" spans="1:2" x14ac:dyDescent="0.25">
      <c r="A310" s="183" t="s">
        <v>189</v>
      </c>
      <c r="B310">
        <v>560</v>
      </c>
    </row>
    <row r="311" spans="1:2" x14ac:dyDescent="0.25">
      <c r="A311" s="183" t="s">
        <v>190</v>
      </c>
      <c r="B311">
        <v>800</v>
      </c>
    </row>
    <row r="312" spans="1:2" x14ac:dyDescent="0.25">
      <c r="A312" s="183" t="s">
        <v>1545</v>
      </c>
      <c r="B312">
        <v>140</v>
      </c>
    </row>
    <row r="313" spans="1:2" x14ac:dyDescent="0.25">
      <c r="A313" s="183" t="s">
        <v>1546</v>
      </c>
      <c r="B313">
        <v>32</v>
      </c>
    </row>
    <row r="314" spans="1:2" x14ac:dyDescent="0.25">
      <c r="A314" s="183" t="s">
        <v>191</v>
      </c>
      <c r="B314">
        <v>6500</v>
      </c>
    </row>
    <row r="315" spans="1:2" x14ac:dyDescent="0.25">
      <c r="A315" s="183" t="s">
        <v>192</v>
      </c>
      <c r="B315">
        <v>75750</v>
      </c>
    </row>
    <row r="316" spans="1:2" x14ac:dyDescent="0.25">
      <c r="A316" s="183" t="s">
        <v>193</v>
      </c>
      <c r="B316">
        <v>415</v>
      </c>
    </row>
    <row r="317" spans="1:2" x14ac:dyDescent="0.25">
      <c r="A317" s="183" t="s">
        <v>194</v>
      </c>
      <c r="B317">
        <v>555</v>
      </c>
    </row>
    <row r="318" spans="1:2" x14ac:dyDescent="0.25">
      <c r="A318" s="183" t="s">
        <v>195</v>
      </c>
      <c r="B318">
        <v>15</v>
      </c>
    </row>
    <row r="319" spans="1:2" x14ac:dyDescent="0.25">
      <c r="A319" s="183" t="s">
        <v>196</v>
      </c>
      <c r="B319">
        <v>1</v>
      </c>
    </row>
    <row r="320" spans="1:2" x14ac:dyDescent="0.25">
      <c r="A320" s="183" t="s">
        <v>197</v>
      </c>
      <c r="B320">
        <v>8</v>
      </c>
    </row>
    <row r="321" spans="1:2" x14ac:dyDescent="0.25">
      <c r="A321" s="183" t="s">
        <v>198</v>
      </c>
      <c r="B321">
        <v>4</v>
      </c>
    </row>
    <row r="322" spans="1:2" x14ac:dyDescent="0.25">
      <c r="A322" s="183" t="s">
        <v>199</v>
      </c>
      <c r="B322">
        <v>6</v>
      </c>
    </row>
    <row r="323" spans="1:2" x14ac:dyDescent="0.25">
      <c r="A323" s="183" t="s">
        <v>200</v>
      </c>
      <c r="B323">
        <v>8</v>
      </c>
    </row>
    <row r="324" spans="1:2" x14ac:dyDescent="0.25">
      <c r="A324" s="183" t="s">
        <v>201</v>
      </c>
      <c r="B324">
        <v>11</v>
      </c>
    </row>
    <row r="325" spans="1:2" x14ac:dyDescent="0.25">
      <c r="A325" s="183" t="s">
        <v>202</v>
      </c>
      <c r="B325">
        <v>1</v>
      </c>
    </row>
    <row r="326" spans="1:2" x14ac:dyDescent="0.25">
      <c r="A326" s="183" t="s">
        <v>203</v>
      </c>
      <c r="B326">
        <v>23</v>
      </c>
    </row>
    <row r="327" spans="1:2" x14ac:dyDescent="0.25">
      <c r="A327" s="183" t="s">
        <v>204</v>
      </c>
      <c r="B327">
        <v>1</v>
      </c>
    </row>
    <row r="328" spans="1:2" x14ac:dyDescent="0.25">
      <c r="A328" s="183" t="s">
        <v>205</v>
      </c>
      <c r="B328">
        <v>1</v>
      </c>
    </row>
    <row r="329" spans="1:2" x14ac:dyDescent="0.25">
      <c r="A329" s="183" t="s">
        <v>206</v>
      </c>
      <c r="B329">
        <v>4</v>
      </c>
    </row>
    <row r="330" spans="1:2" x14ac:dyDescent="0.25">
      <c r="A330" s="183" t="s">
        <v>207</v>
      </c>
      <c r="B330">
        <v>1</v>
      </c>
    </row>
    <row r="331" spans="1:2" x14ac:dyDescent="0.25">
      <c r="A331" s="183" t="s">
        <v>208</v>
      </c>
      <c r="B331">
        <v>18</v>
      </c>
    </row>
    <row r="332" spans="1:2" x14ac:dyDescent="0.25">
      <c r="A332" s="183" t="s">
        <v>209</v>
      </c>
      <c r="B332">
        <v>1</v>
      </c>
    </row>
    <row r="333" spans="1:2" x14ac:dyDescent="0.25">
      <c r="A333" s="183" t="s">
        <v>210</v>
      </c>
      <c r="B333">
        <v>2</v>
      </c>
    </row>
    <row r="334" spans="1:2" x14ac:dyDescent="0.25">
      <c r="A334" s="183" t="s">
        <v>211</v>
      </c>
      <c r="B334">
        <v>6</v>
      </c>
    </row>
    <row r="335" spans="1:2" x14ac:dyDescent="0.25">
      <c r="A335" s="183" t="s">
        <v>212</v>
      </c>
      <c r="B335">
        <v>4</v>
      </c>
    </row>
    <row r="336" spans="1:2" x14ac:dyDescent="0.25">
      <c r="A336" s="183" t="s">
        <v>213</v>
      </c>
      <c r="B336">
        <v>2</v>
      </c>
    </row>
    <row r="337" spans="1:2" x14ac:dyDescent="0.25">
      <c r="A337" s="183" t="s">
        <v>214</v>
      </c>
      <c r="B337">
        <v>1</v>
      </c>
    </row>
    <row r="338" spans="1:2" x14ac:dyDescent="0.25">
      <c r="A338" s="183" t="s">
        <v>215</v>
      </c>
      <c r="B338">
        <v>6</v>
      </c>
    </row>
    <row r="339" spans="1:2" x14ac:dyDescent="0.25">
      <c r="A339" s="183" t="s">
        <v>216</v>
      </c>
      <c r="B339">
        <v>2</v>
      </c>
    </row>
    <row r="340" spans="1:2" x14ac:dyDescent="0.25">
      <c r="A340" s="183" t="s">
        <v>217</v>
      </c>
      <c r="B340">
        <v>1</v>
      </c>
    </row>
    <row r="341" spans="1:2" x14ac:dyDescent="0.25">
      <c r="A341" s="183" t="s">
        <v>218</v>
      </c>
      <c r="B341">
        <v>10</v>
      </c>
    </row>
    <row r="342" spans="1:2" x14ac:dyDescent="0.25">
      <c r="A342" s="183" t="s">
        <v>219</v>
      </c>
      <c r="B342">
        <v>1</v>
      </c>
    </row>
    <row r="343" spans="1:2" x14ac:dyDescent="0.25">
      <c r="A343" s="183" t="s">
        <v>220</v>
      </c>
      <c r="B343">
        <v>6</v>
      </c>
    </row>
    <row r="344" spans="1:2" x14ac:dyDescent="0.25">
      <c r="A344" s="183" t="s">
        <v>221</v>
      </c>
      <c r="B344">
        <v>4</v>
      </c>
    </row>
    <row r="345" spans="1:2" x14ac:dyDescent="0.25">
      <c r="A345" s="183" t="s">
        <v>222</v>
      </c>
      <c r="B345">
        <v>26</v>
      </c>
    </row>
    <row r="346" spans="1:2" x14ac:dyDescent="0.25">
      <c r="A346" s="183" t="s">
        <v>223</v>
      </c>
      <c r="B346">
        <v>2</v>
      </c>
    </row>
    <row r="347" spans="1:2" x14ac:dyDescent="0.25">
      <c r="A347" s="183" t="s">
        <v>224</v>
      </c>
      <c r="B347">
        <v>1</v>
      </c>
    </row>
    <row r="348" spans="1:2" x14ac:dyDescent="0.25">
      <c r="A348" s="183" t="s">
        <v>225</v>
      </c>
      <c r="B348">
        <v>71</v>
      </c>
    </row>
    <row r="349" spans="1:2" x14ac:dyDescent="0.25">
      <c r="A349" s="183" t="s">
        <v>226</v>
      </c>
      <c r="B349">
        <v>1</v>
      </c>
    </row>
    <row r="350" spans="1:2" x14ac:dyDescent="0.25">
      <c r="A350" s="183" t="s">
        <v>227</v>
      </c>
      <c r="B350">
        <v>1</v>
      </c>
    </row>
    <row r="351" spans="1:2" x14ac:dyDescent="0.25">
      <c r="A351" s="183" t="s">
        <v>228</v>
      </c>
      <c r="B351">
        <v>1</v>
      </c>
    </row>
    <row r="352" spans="1:2" x14ac:dyDescent="0.25">
      <c r="A352" s="183" t="s">
        <v>229</v>
      </c>
      <c r="B352">
        <v>5</v>
      </c>
    </row>
    <row r="353" spans="1:2" x14ac:dyDescent="0.25">
      <c r="A353" s="183" t="s">
        <v>230</v>
      </c>
      <c r="B353">
        <v>2</v>
      </c>
    </row>
    <row r="354" spans="1:2" x14ac:dyDescent="0.25">
      <c r="A354" s="183" t="s">
        <v>231</v>
      </c>
      <c r="B354">
        <v>8</v>
      </c>
    </row>
    <row r="355" spans="1:2" x14ac:dyDescent="0.25">
      <c r="A355" s="183" t="s">
        <v>232</v>
      </c>
      <c r="B355">
        <v>2</v>
      </c>
    </row>
    <row r="356" spans="1:2" x14ac:dyDescent="0.25">
      <c r="A356" s="183" t="s">
        <v>233</v>
      </c>
      <c r="B356">
        <v>5</v>
      </c>
    </row>
    <row r="357" spans="1:2" x14ac:dyDescent="0.25">
      <c r="A357" s="183" t="s">
        <v>234</v>
      </c>
      <c r="B357">
        <v>5</v>
      </c>
    </row>
    <row r="358" spans="1:2" x14ac:dyDescent="0.25">
      <c r="A358" s="183" t="s">
        <v>235</v>
      </c>
      <c r="B358">
        <v>3</v>
      </c>
    </row>
    <row r="359" spans="1:2" x14ac:dyDescent="0.25">
      <c r="A359" s="183" t="s">
        <v>236</v>
      </c>
      <c r="B359">
        <v>1</v>
      </c>
    </row>
    <row r="360" spans="1:2" x14ac:dyDescent="0.25">
      <c r="A360" s="183" t="s">
        <v>237</v>
      </c>
      <c r="B360">
        <v>2</v>
      </c>
    </row>
    <row r="361" spans="1:2" x14ac:dyDescent="0.25">
      <c r="A361" s="183" t="s">
        <v>238</v>
      </c>
      <c r="B361">
        <v>1</v>
      </c>
    </row>
    <row r="362" spans="1:2" x14ac:dyDescent="0.25">
      <c r="A362" s="183" t="s">
        <v>239</v>
      </c>
      <c r="B362">
        <v>2</v>
      </c>
    </row>
    <row r="363" spans="1:2" x14ac:dyDescent="0.25">
      <c r="A363" s="183" t="s">
        <v>240</v>
      </c>
      <c r="B363">
        <v>9</v>
      </c>
    </row>
    <row r="364" spans="1:2" x14ac:dyDescent="0.25">
      <c r="A364" s="183" t="s">
        <v>241</v>
      </c>
      <c r="B364">
        <v>3</v>
      </c>
    </row>
    <row r="365" spans="1:2" x14ac:dyDescent="0.25">
      <c r="A365" s="183" t="s">
        <v>242</v>
      </c>
      <c r="B365">
        <v>2</v>
      </c>
    </row>
    <row r="366" spans="1:2" x14ac:dyDescent="0.25">
      <c r="A366" s="183" t="s">
        <v>243</v>
      </c>
      <c r="B366">
        <v>1</v>
      </c>
    </row>
    <row r="367" spans="1:2" x14ac:dyDescent="0.25">
      <c r="A367" s="183" t="s">
        <v>244</v>
      </c>
      <c r="B367">
        <v>1</v>
      </c>
    </row>
    <row r="368" spans="1:2" x14ac:dyDescent="0.25">
      <c r="A368" s="183" t="s">
        <v>245</v>
      </c>
      <c r="B368">
        <v>1</v>
      </c>
    </row>
    <row r="369" spans="1:2" x14ac:dyDescent="0.25">
      <c r="A369" s="183" t="s">
        <v>246</v>
      </c>
      <c r="B369">
        <v>1</v>
      </c>
    </row>
    <row r="370" spans="1:2" x14ac:dyDescent="0.25">
      <c r="A370" s="183" t="s">
        <v>247</v>
      </c>
      <c r="B370">
        <v>1</v>
      </c>
    </row>
    <row r="371" spans="1:2" x14ac:dyDescent="0.25">
      <c r="A371" s="183" t="s">
        <v>248</v>
      </c>
      <c r="B371">
        <v>1</v>
      </c>
    </row>
    <row r="372" spans="1:2" x14ac:dyDescent="0.25">
      <c r="A372" s="183" t="s">
        <v>249</v>
      </c>
      <c r="B372">
        <v>1</v>
      </c>
    </row>
    <row r="373" spans="1:2" x14ac:dyDescent="0.25">
      <c r="A373" s="183" t="s">
        <v>250</v>
      </c>
      <c r="B373">
        <v>1</v>
      </c>
    </row>
    <row r="374" spans="1:2" x14ac:dyDescent="0.25">
      <c r="A374" s="183" t="s">
        <v>251</v>
      </c>
      <c r="B374">
        <v>1</v>
      </c>
    </row>
    <row r="375" spans="1:2" x14ac:dyDescent="0.25">
      <c r="A375" s="183" t="s">
        <v>252</v>
      </c>
      <c r="B375">
        <v>1</v>
      </c>
    </row>
    <row r="376" spans="1:2" x14ac:dyDescent="0.25">
      <c r="A376" s="183" t="s">
        <v>253</v>
      </c>
      <c r="B376">
        <v>1</v>
      </c>
    </row>
    <row r="377" spans="1:2" x14ac:dyDescent="0.25">
      <c r="A377" s="183" t="s">
        <v>254</v>
      </c>
      <c r="B377">
        <v>1</v>
      </c>
    </row>
    <row r="378" spans="1:2" x14ac:dyDescent="0.25">
      <c r="A378" s="183" t="s">
        <v>255</v>
      </c>
      <c r="B378">
        <v>2</v>
      </c>
    </row>
    <row r="379" spans="1:2" x14ac:dyDescent="0.25">
      <c r="A379" s="183" t="s">
        <v>256</v>
      </c>
      <c r="B379">
        <v>1</v>
      </c>
    </row>
    <row r="380" spans="1:2" x14ac:dyDescent="0.25">
      <c r="A380" s="183" t="s">
        <v>257</v>
      </c>
      <c r="B380">
        <v>1</v>
      </c>
    </row>
    <row r="381" spans="1:2" x14ac:dyDescent="0.25">
      <c r="A381" s="183" t="s">
        <v>258</v>
      </c>
      <c r="B381">
        <v>3</v>
      </c>
    </row>
    <row r="382" spans="1:2" x14ac:dyDescent="0.25">
      <c r="A382" s="183" t="s">
        <v>259</v>
      </c>
      <c r="B382">
        <v>4</v>
      </c>
    </row>
    <row r="383" spans="1:2" x14ac:dyDescent="0.25">
      <c r="A383" s="183" t="s">
        <v>260</v>
      </c>
      <c r="B383">
        <v>6</v>
      </c>
    </row>
    <row r="384" spans="1:2" x14ac:dyDescent="0.25">
      <c r="A384" s="183" t="s">
        <v>261</v>
      </c>
      <c r="B384">
        <v>20</v>
      </c>
    </row>
    <row r="385" spans="1:2" x14ac:dyDescent="0.25">
      <c r="A385" s="183" t="s">
        <v>262</v>
      </c>
      <c r="B385">
        <v>2</v>
      </c>
    </row>
    <row r="386" spans="1:2" x14ac:dyDescent="0.25">
      <c r="A386" s="183" t="s">
        <v>263</v>
      </c>
      <c r="B386">
        <v>24</v>
      </c>
    </row>
    <row r="387" spans="1:2" x14ac:dyDescent="0.25">
      <c r="A387" s="183" t="s">
        <v>264</v>
      </c>
      <c r="B387">
        <v>18</v>
      </c>
    </row>
    <row r="388" spans="1:2" x14ac:dyDescent="0.25">
      <c r="A388" s="183" t="s">
        <v>265</v>
      </c>
      <c r="B388">
        <v>21</v>
      </c>
    </row>
    <row r="389" spans="1:2" x14ac:dyDescent="0.25">
      <c r="A389" s="183" t="s">
        <v>266</v>
      </c>
      <c r="B389">
        <v>5</v>
      </c>
    </row>
    <row r="390" spans="1:2" x14ac:dyDescent="0.25">
      <c r="A390" s="183" t="s">
        <v>267</v>
      </c>
      <c r="B390">
        <v>1</v>
      </c>
    </row>
    <row r="391" spans="1:2" x14ac:dyDescent="0.25">
      <c r="A391" s="183" t="s">
        <v>268</v>
      </c>
      <c r="B391">
        <v>2</v>
      </c>
    </row>
    <row r="392" spans="1:2" x14ac:dyDescent="0.25">
      <c r="A392" s="183" t="s">
        <v>269</v>
      </c>
      <c r="B392">
        <v>19</v>
      </c>
    </row>
    <row r="393" spans="1:2" x14ac:dyDescent="0.25">
      <c r="A393" s="183" t="s">
        <v>270</v>
      </c>
      <c r="B393">
        <v>6</v>
      </c>
    </row>
    <row r="394" spans="1:2" x14ac:dyDescent="0.25">
      <c r="A394" s="183" t="s">
        <v>271</v>
      </c>
      <c r="B394">
        <v>2</v>
      </c>
    </row>
    <row r="395" spans="1:2" x14ac:dyDescent="0.25">
      <c r="A395" s="183" t="s">
        <v>272</v>
      </c>
      <c r="B395">
        <v>15</v>
      </c>
    </row>
    <row r="396" spans="1:2" x14ac:dyDescent="0.25">
      <c r="A396" s="183" t="s">
        <v>273</v>
      </c>
      <c r="B396">
        <v>1</v>
      </c>
    </row>
    <row r="397" spans="1:2" x14ac:dyDescent="0.25">
      <c r="A397" s="183" t="s">
        <v>274</v>
      </c>
      <c r="B397">
        <v>4</v>
      </c>
    </row>
    <row r="398" spans="1:2" x14ac:dyDescent="0.25">
      <c r="A398" s="183" t="s">
        <v>275</v>
      </c>
      <c r="B398">
        <v>1</v>
      </c>
    </row>
    <row r="399" spans="1:2" x14ac:dyDescent="0.25">
      <c r="A399" s="183" t="s">
        <v>276</v>
      </c>
      <c r="B399">
        <v>17</v>
      </c>
    </row>
    <row r="400" spans="1:2" x14ac:dyDescent="0.25">
      <c r="A400" s="183" t="s">
        <v>277</v>
      </c>
      <c r="B400">
        <v>1</v>
      </c>
    </row>
    <row r="401" spans="1:2" x14ac:dyDescent="0.25">
      <c r="A401" s="183" t="s">
        <v>278</v>
      </c>
      <c r="B401">
        <v>1</v>
      </c>
    </row>
    <row r="402" spans="1:2" x14ac:dyDescent="0.25">
      <c r="A402" s="183" t="s">
        <v>279</v>
      </c>
      <c r="B402">
        <v>3</v>
      </c>
    </row>
    <row r="403" spans="1:2" x14ac:dyDescent="0.25">
      <c r="A403" s="183" t="s">
        <v>280</v>
      </c>
      <c r="B403">
        <v>2</v>
      </c>
    </row>
    <row r="404" spans="1:2" x14ac:dyDescent="0.25">
      <c r="A404" s="183" t="s">
        <v>281</v>
      </c>
      <c r="B404">
        <v>4</v>
      </c>
    </row>
    <row r="405" spans="1:2" x14ac:dyDescent="0.25">
      <c r="A405" s="183" t="s">
        <v>282</v>
      </c>
      <c r="B405">
        <v>14</v>
      </c>
    </row>
    <row r="406" spans="1:2" x14ac:dyDescent="0.25">
      <c r="A406" s="183" t="s">
        <v>283</v>
      </c>
      <c r="B406">
        <v>1</v>
      </c>
    </row>
    <row r="407" spans="1:2" x14ac:dyDescent="0.25">
      <c r="A407" s="183" t="s">
        <v>284</v>
      </c>
      <c r="B407">
        <v>1</v>
      </c>
    </row>
    <row r="408" spans="1:2" x14ac:dyDescent="0.25">
      <c r="A408" s="183" t="s">
        <v>285</v>
      </c>
      <c r="B408">
        <v>10</v>
      </c>
    </row>
    <row r="409" spans="1:2" x14ac:dyDescent="0.25">
      <c r="A409" s="183" t="s">
        <v>286</v>
      </c>
      <c r="B409">
        <v>8</v>
      </c>
    </row>
    <row r="410" spans="1:2" x14ac:dyDescent="0.25">
      <c r="A410" s="183" t="s">
        <v>287</v>
      </c>
      <c r="B410">
        <v>1</v>
      </c>
    </row>
    <row r="411" spans="1:2" x14ac:dyDescent="0.25">
      <c r="A411" s="183" t="s">
        <v>288</v>
      </c>
      <c r="B411">
        <v>1</v>
      </c>
    </row>
    <row r="412" spans="1:2" x14ac:dyDescent="0.25">
      <c r="A412" s="183" t="s">
        <v>289</v>
      </c>
      <c r="B412">
        <v>2</v>
      </c>
    </row>
    <row r="413" spans="1:2" x14ac:dyDescent="0.25">
      <c r="A413" s="183" t="s">
        <v>290</v>
      </c>
      <c r="B413">
        <v>1</v>
      </c>
    </row>
    <row r="414" spans="1:2" x14ac:dyDescent="0.25">
      <c r="A414" s="183" t="s">
        <v>291</v>
      </c>
      <c r="B414">
        <v>5</v>
      </c>
    </row>
    <row r="415" spans="1:2" x14ac:dyDescent="0.25">
      <c r="A415" s="183" t="s">
        <v>292</v>
      </c>
      <c r="B415">
        <v>8</v>
      </c>
    </row>
    <row r="416" spans="1:2" x14ac:dyDescent="0.25">
      <c r="A416" s="183" t="s">
        <v>293</v>
      </c>
      <c r="B416">
        <v>17</v>
      </c>
    </row>
    <row r="417" spans="1:2" x14ac:dyDescent="0.25">
      <c r="A417" s="183" t="s">
        <v>294</v>
      </c>
      <c r="B417">
        <v>2</v>
      </c>
    </row>
    <row r="418" spans="1:2" x14ac:dyDescent="0.25">
      <c r="A418" s="183" t="s">
        <v>295</v>
      </c>
      <c r="B418">
        <v>4</v>
      </c>
    </row>
    <row r="419" spans="1:2" x14ac:dyDescent="0.25">
      <c r="A419" s="183" t="s">
        <v>296</v>
      </c>
      <c r="B419">
        <v>1</v>
      </c>
    </row>
    <row r="420" spans="1:2" x14ac:dyDescent="0.25">
      <c r="A420" s="183" t="s">
        <v>297</v>
      </c>
      <c r="B420">
        <v>2</v>
      </c>
    </row>
    <row r="421" spans="1:2" x14ac:dyDescent="0.25">
      <c r="A421" s="183" t="s">
        <v>298</v>
      </c>
      <c r="B421">
        <v>1</v>
      </c>
    </row>
    <row r="422" spans="1:2" x14ac:dyDescent="0.25">
      <c r="A422" s="183" t="s">
        <v>299</v>
      </c>
      <c r="B422">
        <v>25</v>
      </c>
    </row>
    <row r="423" spans="1:2" x14ac:dyDescent="0.25">
      <c r="A423" s="183" t="s">
        <v>300</v>
      </c>
      <c r="B423">
        <v>3</v>
      </c>
    </row>
    <row r="424" spans="1:2" x14ac:dyDescent="0.25">
      <c r="A424" s="183" t="s">
        <v>301</v>
      </c>
      <c r="B424">
        <v>9</v>
      </c>
    </row>
    <row r="425" spans="1:2" x14ac:dyDescent="0.25">
      <c r="A425" s="183" t="s">
        <v>302</v>
      </c>
      <c r="B425">
        <v>2</v>
      </c>
    </row>
    <row r="426" spans="1:2" x14ac:dyDescent="0.25">
      <c r="A426" s="183" t="s">
        <v>303</v>
      </c>
      <c r="B426">
        <v>3</v>
      </c>
    </row>
    <row r="427" spans="1:2" x14ac:dyDescent="0.25">
      <c r="A427" s="183" t="s">
        <v>304</v>
      </c>
      <c r="B427">
        <v>11</v>
      </c>
    </row>
    <row r="428" spans="1:2" x14ac:dyDescent="0.25">
      <c r="A428" s="183" t="s">
        <v>305</v>
      </c>
      <c r="B428">
        <v>21</v>
      </c>
    </row>
    <row r="429" spans="1:2" x14ac:dyDescent="0.25">
      <c r="A429" s="183" t="s">
        <v>306</v>
      </c>
      <c r="B429">
        <v>3</v>
      </c>
    </row>
    <row r="430" spans="1:2" x14ac:dyDescent="0.25">
      <c r="A430" s="183" t="s">
        <v>307</v>
      </c>
      <c r="B430">
        <v>3</v>
      </c>
    </row>
    <row r="431" spans="1:2" x14ac:dyDescent="0.25">
      <c r="A431" s="183" t="s">
        <v>308</v>
      </c>
      <c r="B431">
        <v>15</v>
      </c>
    </row>
    <row r="432" spans="1:2" x14ac:dyDescent="0.25">
      <c r="A432" s="183" t="s">
        <v>309</v>
      </c>
      <c r="B432">
        <v>14</v>
      </c>
    </row>
    <row r="433" spans="1:2" x14ac:dyDescent="0.25">
      <c r="A433" s="183" t="s">
        <v>1419</v>
      </c>
      <c r="B433">
        <v>2</v>
      </c>
    </row>
    <row r="434" spans="1:2" x14ac:dyDescent="0.25">
      <c r="A434" s="183" t="s">
        <v>310</v>
      </c>
      <c r="B434">
        <v>5</v>
      </c>
    </row>
    <row r="435" spans="1:2" x14ac:dyDescent="0.25">
      <c r="A435" s="183" t="s">
        <v>311</v>
      </c>
      <c r="B435">
        <v>2</v>
      </c>
    </row>
    <row r="436" spans="1:2" x14ac:dyDescent="0.25">
      <c r="A436" s="183" t="s">
        <v>312</v>
      </c>
      <c r="B436">
        <v>1</v>
      </c>
    </row>
    <row r="437" spans="1:2" x14ac:dyDescent="0.25">
      <c r="A437" s="183" t="s">
        <v>313</v>
      </c>
      <c r="B437">
        <v>10</v>
      </c>
    </row>
    <row r="438" spans="1:2" x14ac:dyDescent="0.25">
      <c r="A438" s="183" t="s">
        <v>314</v>
      </c>
      <c r="B438">
        <v>7</v>
      </c>
    </row>
    <row r="439" spans="1:2" x14ac:dyDescent="0.25">
      <c r="A439" s="183" t="s">
        <v>315</v>
      </c>
      <c r="B439">
        <v>3</v>
      </c>
    </row>
    <row r="440" spans="1:2" x14ac:dyDescent="0.25">
      <c r="A440" s="183" t="s">
        <v>316</v>
      </c>
      <c r="B440">
        <v>3</v>
      </c>
    </row>
    <row r="441" spans="1:2" x14ac:dyDescent="0.25">
      <c r="A441" s="183" t="s">
        <v>317</v>
      </c>
      <c r="B441">
        <v>18</v>
      </c>
    </row>
    <row r="442" spans="1:2" x14ac:dyDescent="0.25">
      <c r="A442" s="183" t="s">
        <v>318</v>
      </c>
      <c r="B442">
        <v>1</v>
      </c>
    </row>
    <row r="443" spans="1:2" x14ac:dyDescent="0.25">
      <c r="A443" s="183" t="s">
        <v>319</v>
      </c>
      <c r="B443">
        <v>1</v>
      </c>
    </row>
    <row r="444" spans="1:2" x14ac:dyDescent="0.25">
      <c r="A444" s="183" t="s">
        <v>320</v>
      </c>
      <c r="B444">
        <v>2</v>
      </c>
    </row>
    <row r="445" spans="1:2" x14ac:dyDescent="0.25">
      <c r="A445" s="183" t="s">
        <v>321</v>
      </c>
      <c r="B445">
        <v>4</v>
      </c>
    </row>
    <row r="446" spans="1:2" x14ac:dyDescent="0.25">
      <c r="A446" s="183" t="s">
        <v>322</v>
      </c>
      <c r="B446">
        <v>25</v>
      </c>
    </row>
    <row r="447" spans="1:2" x14ac:dyDescent="0.25">
      <c r="A447" s="183" t="s">
        <v>323</v>
      </c>
      <c r="B447">
        <v>61</v>
      </c>
    </row>
    <row r="448" spans="1:2" x14ac:dyDescent="0.25">
      <c r="A448" s="183" t="s">
        <v>324</v>
      </c>
      <c r="B448">
        <v>79</v>
      </c>
    </row>
    <row r="449" spans="1:2" x14ac:dyDescent="0.25">
      <c r="A449" s="183" t="s">
        <v>325</v>
      </c>
      <c r="B449">
        <v>4</v>
      </c>
    </row>
    <row r="450" spans="1:2" x14ac:dyDescent="0.25">
      <c r="A450" s="183" t="s">
        <v>326</v>
      </c>
      <c r="B450">
        <v>6</v>
      </c>
    </row>
    <row r="451" spans="1:2" x14ac:dyDescent="0.25">
      <c r="A451" s="183" t="s">
        <v>327</v>
      </c>
      <c r="B451">
        <v>1</v>
      </c>
    </row>
    <row r="452" spans="1:2" x14ac:dyDescent="0.25">
      <c r="A452" s="183" t="s">
        <v>328</v>
      </c>
      <c r="B452">
        <v>2</v>
      </c>
    </row>
    <row r="453" spans="1:2" x14ac:dyDescent="0.25">
      <c r="A453" s="183" t="s">
        <v>329</v>
      </c>
      <c r="B453">
        <v>6</v>
      </c>
    </row>
    <row r="454" spans="1:2" x14ac:dyDescent="0.25">
      <c r="A454" s="183" t="s">
        <v>330</v>
      </c>
      <c r="B454">
        <v>2</v>
      </c>
    </row>
    <row r="455" spans="1:2" x14ac:dyDescent="0.25">
      <c r="A455" s="183" t="s">
        <v>331</v>
      </c>
      <c r="B455">
        <v>2</v>
      </c>
    </row>
    <row r="456" spans="1:2" x14ac:dyDescent="0.25">
      <c r="A456" s="183" t="s">
        <v>332</v>
      </c>
      <c r="B456">
        <v>1</v>
      </c>
    </row>
    <row r="457" spans="1:2" x14ac:dyDescent="0.25">
      <c r="A457" s="183" t="s">
        <v>333</v>
      </c>
      <c r="B457">
        <v>1</v>
      </c>
    </row>
    <row r="458" spans="1:2" x14ac:dyDescent="0.25">
      <c r="A458" s="183" t="s">
        <v>334</v>
      </c>
      <c r="B458">
        <v>1</v>
      </c>
    </row>
    <row r="459" spans="1:2" x14ac:dyDescent="0.25">
      <c r="A459" s="183" t="s">
        <v>335</v>
      </c>
      <c r="B459">
        <v>3</v>
      </c>
    </row>
    <row r="460" spans="1:2" x14ac:dyDescent="0.25">
      <c r="A460" s="183" t="s">
        <v>336</v>
      </c>
      <c r="B460">
        <v>1</v>
      </c>
    </row>
    <row r="461" spans="1:2" x14ac:dyDescent="0.25">
      <c r="A461" s="183" t="s">
        <v>337</v>
      </c>
      <c r="B461">
        <v>7</v>
      </c>
    </row>
    <row r="462" spans="1:2" x14ac:dyDescent="0.25">
      <c r="A462" s="183" t="s">
        <v>338</v>
      </c>
      <c r="B462">
        <v>3</v>
      </c>
    </row>
    <row r="463" spans="1:2" x14ac:dyDescent="0.25">
      <c r="A463" s="183" t="s">
        <v>339</v>
      </c>
      <c r="B463">
        <v>1</v>
      </c>
    </row>
    <row r="464" spans="1:2" x14ac:dyDescent="0.25">
      <c r="A464" s="183" t="s">
        <v>340</v>
      </c>
      <c r="B464">
        <v>2</v>
      </c>
    </row>
    <row r="465" spans="1:2" x14ac:dyDescent="0.25">
      <c r="A465" s="183" t="s">
        <v>341</v>
      </c>
      <c r="B465">
        <v>8</v>
      </c>
    </row>
    <row r="466" spans="1:2" x14ac:dyDescent="0.25">
      <c r="A466" s="183" t="s">
        <v>1405</v>
      </c>
      <c r="B466">
        <v>4</v>
      </c>
    </row>
    <row r="467" spans="1:2" x14ac:dyDescent="0.25">
      <c r="A467" s="183" t="s">
        <v>342</v>
      </c>
      <c r="B467">
        <v>8</v>
      </c>
    </row>
    <row r="468" spans="1:2" x14ac:dyDescent="0.25">
      <c r="A468" s="183" t="s">
        <v>343</v>
      </c>
      <c r="B468">
        <v>4</v>
      </c>
    </row>
    <row r="469" spans="1:2" x14ac:dyDescent="0.25">
      <c r="A469" s="183" t="s">
        <v>344</v>
      </c>
      <c r="B469">
        <v>9</v>
      </c>
    </row>
    <row r="470" spans="1:2" x14ac:dyDescent="0.25">
      <c r="A470" s="183" t="s">
        <v>345</v>
      </c>
      <c r="B470">
        <v>4</v>
      </c>
    </row>
    <row r="471" spans="1:2" x14ac:dyDescent="0.25">
      <c r="A471" s="183" t="s">
        <v>346</v>
      </c>
      <c r="B471">
        <v>5</v>
      </c>
    </row>
    <row r="472" spans="1:2" x14ac:dyDescent="0.25">
      <c r="A472" s="183" t="s">
        <v>347</v>
      </c>
      <c r="B472">
        <v>4</v>
      </c>
    </row>
    <row r="473" spans="1:2" x14ac:dyDescent="0.25">
      <c r="A473" s="183" t="s">
        <v>348</v>
      </c>
      <c r="B473">
        <v>12</v>
      </c>
    </row>
    <row r="474" spans="1:2" x14ac:dyDescent="0.25">
      <c r="A474" s="183" t="s">
        <v>349</v>
      </c>
      <c r="B474">
        <v>4</v>
      </c>
    </row>
    <row r="475" spans="1:2" x14ac:dyDescent="0.25">
      <c r="A475" s="183" t="s">
        <v>350</v>
      </c>
      <c r="B475">
        <v>8</v>
      </c>
    </row>
    <row r="476" spans="1:2" x14ac:dyDescent="0.25">
      <c r="A476" s="183" t="s">
        <v>351</v>
      </c>
      <c r="B476">
        <v>35</v>
      </c>
    </row>
    <row r="477" spans="1:2" x14ac:dyDescent="0.25">
      <c r="A477" s="183" t="s">
        <v>352</v>
      </c>
      <c r="B477">
        <v>61</v>
      </c>
    </row>
    <row r="478" spans="1:2" x14ac:dyDescent="0.25">
      <c r="A478" s="183" t="s">
        <v>353</v>
      </c>
      <c r="B478">
        <v>15</v>
      </c>
    </row>
    <row r="479" spans="1:2" x14ac:dyDescent="0.25">
      <c r="A479" s="183" t="s">
        <v>354</v>
      </c>
      <c r="B479">
        <v>61</v>
      </c>
    </row>
    <row r="480" spans="1:2" x14ac:dyDescent="0.25">
      <c r="A480" s="183" t="s">
        <v>355</v>
      </c>
      <c r="B480">
        <v>8</v>
      </c>
    </row>
    <row r="481" spans="1:2" x14ac:dyDescent="0.25">
      <c r="A481" s="183" t="s">
        <v>356</v>
      </c>
      <c r="B481">
        <v>120</v>
      </c>
    </row>
    <row r="482" spans="1:2" x14ac:dyDescent="0.25">
      <c r="A482" s="183" t="s">
        <v>357</v>
      </c>
      <c r="B482">
        <v>2</v>
      </c>
    </row>
    <row r="483" spans="1:2" x14ac:dyDescent="0.25">
      <c r="A483" s="183" t="s">
        <v>358</v>
      </c>
      <c r="B483">
        <v>2</v>
      </c>
    </row>
    <row r="484" spans="1:2" x14ac:dyDescent="0.25">
      <c r="A484" s="183" t="s">
        <v>359</v>
      </c>
      <c r="B484">
        <v>1</v>
      </c>
    </row>
    <row r="485" spans="1:2" x14ac:dyDescent="0.25">
      <c r="A485" s="183" t="s">
        <v>360</v>
      </c>
      <c r="B485">
        <v>5</v>
      </c>
    </row>
    <row r="486" spans="1:2" x14ac:dyDescent="0.25">
      <c r="A486" s="183" t="s">
        <v>361</v>
      </c>
      <c r="B486">
        <v>9</v>
      </c>
    </row>
    <row r="487" spans="1:2" x14ac:dyDescent="0.25">
      <c r="A487" s="183" t="s">
        <v>362</v>
      </c>
      <c r="B487">
        <v>5</v>
      </c>
    </row>
    <row r="488" spans="1:2" x14ac:dyDescent="0.25">
      <c r="A488" s="183" t="s">
        <v>363</v>
      </c>
      <c r="B488">
        <v>6</v>
      </c>
    </row>
    <row r="489" spans="1:2" x14ac:dyDescent="0.25">
      <c r="A489" s="183" t="s">
        <v>364</v>
      </c>
      <c r="B489">
        <v>2</v>
      </c>
    </row>
    <row r="490" spans="1:2" x14ac:dyDescent="0.25">
      <c r="A490" s="183" t="s">
        <v>365</v>
      </c>
      <c r="B490">
        <v>21</v>
      </c>
    </row>
    <row r="491" spans="1:2" x14ac:dyDescent="0.25">
      <c r="A491" s="183" t="s">
        <v>366</v>
      </c>
      <c r="B491">
        <v>7</v>
      </c>
    </row>
    <row r="492" spans="1:2" x14ac:dyDescent="0.25">
      <c r="A492" s="183" t="s">
        <v>367</v>
      </c>
      <c r="B492">
        <v>7</v>
      </c>
    </row>
    <row r="493" spans="1:2" x14ac:dyDescent="0.25">
      <c r="A493" s="183" t="s">
        <v>368</v>
      </c>
      <c r="B493">
        <v>10</v>
      </c>
    </row>
    <row r="494" spans="1:2" x14ac:dyDescent="0.25">
      <c r="A494" s="183" t="s">
        <v>369</v>
      </c>
      <c r="B494">
        <v>36</v>
      </c>
    </row>
    <row r="495" spans="1:2" x14ac:dyDescent="0.25">
      <c r="A495" s="183" t="s">
        <v>370</v>
      </c>
      <c r="B495">
        <v>12</v>
      </c>
    </row>
    <row r="496" spans="1:2" x14ac:dyDescent="0.25">
      <c r="A496" s="183" t="s">
        <v>371</v>
      </c>
      <c r="B496">
        <v>10</v>
      </c>
    </row>
    <row r="497" spans="1:2" x14ac:dyDescent="0.25">
      <c r="A497" s="183" t="s">
        <v>372</v>
      </c>
      <c r="B497">
        <v>15</v>
      </c>
    </row>
    <row r="498" spans="1:2" x14ac:dyDescent="0.25">
      <c r="A498" s="183" t="s">
        <v>373</v>
      </c>
      <c r="B498">
        <v>19</v>
      </c>
    </row>
    <row r="499" spans="1:2" x14ac:dyDescent="0.25">
      <c r="A499" s="183" t="s">
        <v>374</v>
      </c>
      <c r="B499">
        <v>6</v>
      </c>
    </row>
    <row r="500" spans="1:2" x14ac:dyDescent="0.25">
      <c r="A500" s="183" t="s">
        <v>375</v>
      </c>
      <c r="B500">
        <v>717</v>
      </c>
    </row>
    <row r="501" spans="1:2" x14ac:dyDescent="0.25">
      <c r="A501" s="183" t="s">
        <v>376</v>
      </c>
      <c r="B501">
        <v>9</v>
      </c>
    </row>
    <row r="502" spans="1:2" x14ac:dyDescent="0.25">
      <c r="A502" s="183" t="s">
        <v>377</v>
      </c>
      <c r="B502">
        <v>6</v>
      </c>
    </row>
    <row r="503" spans="1:2" x14ac:dyDescent="0.25">
      <c r="A503" s="183" t="s">
        <v>378</v>
      </c>
      <c r="B503">
        <v>1</v>
      </c>
    </row>
    <row r="504" spans="1:2" x14ac:dyDescent="0.25">
      <c r="A504" s="183" t="s">
        <v>379</v>
      </c>
      <c r="B504">
        <v>31</v>
      </c>
    </row>
    <row r="505" spans="1:2" x14ac:dyDescent="0.25">
      <c r="A505" s="183" t="s">
        <v>380</v>
      </c>
      <c r="B505">
        <v>12</v>
      </c>
    </row>
    <row r="506" spans="1:2" x14ac:dyDescent="0.25">
      <c r="A506" s="183" t="s">
        <v>381</v>
      </c>
      <c r="B506">
        <v>13</v>
      </c>
    </row>
    <row r="507" spans="1:2" x14ac:dyDescent="0.25">
      <c r="A507" s="183" t="s">
        <v>382</v>
      </c>
      <c r="B507">
        <v>77</v>
      </c>
    </row>
    <row r="508" spans="1:2" x14ac:dyDescent="0.25">
      <c r="A508" s="183" t="s">
        <v>383</v>
      </c>
      <c r="B508">
        <v>47</v>
      </c>
    </row>
    <row r="509" spans="1:2" x14ac:dyDescent="0.25">
      <c r="A509" s="183" t="s">
        <v>384</v>
      </c>
      <c r="B509">
        <v>62</v>
      </c>
    </row>
    <row r="510" spans="1:2" x14ac:dyDescent="0.25">
      <c r="A510" s="183" t="s">
        <v>385</v>
      </c>
      <c r="B510">
        <v>179</v>
      </c>
    </row>
    <row r="511" spans="1:2" x14ac:dyDescent="0.25">
      <c r="A511" s="183" t="s">
        <v>386</v>
      </c>
      <c r="B511">
        <v>66</v>
      </c>
    </row>
    <row r="512" spans="1:2" x14ac:dyDescent="0.25">
      <c r="A512" s="183" t="s">
        <v>387</v>
      </c>
      <c r="B512">
        <v>557</v>
      </c>
    </row>
    <row r="513" spans="1:2" x14ac:dyDescent="0.25">
      <c r="A513" s="183" t="s">
        <v>388</v>
      </c>
      <c r="B513">
        <v>3</v>
      </c>
    </row>
    <row r="514" spans="1:2" x14ac:dyDescent="0.25">
      <c r="A514" s="183" t="s">
        <v>389</v>
      </c>
      <c r="B514">
        <v>22</v>
      </c>
    </row>
    <row r="515" spans="1:2" x14ac:dyDescent="0.25">
      <c r="A515" s="183" t="s">
        <v>390</v>
      </c>
      <c r="B515">
        <v>9</v>
      </c>
    </row>
    <row r="516" spans="1:2" x14ac:dyDescent="0.25">
      <c r="A516" s="183" t="s">
        <v>391</v>
      </c>
      <c r="B516">
        <v>88</v>
      </c>
    </row>
    <row r="517" spans="1:2" x14ac:dyDescent="0.25">
      <c r="A517" s="183" t="s">
        <v>392</v>
      </c>
      <c r="B517">
        <v>25</v>
      </c>
    </row>
    <row r="518" spans="1:2" x14ac:dyDescent="0.25">
      <c r="A518" s="183" t="s">
        <v>393</v>
      </c>
      <c r="B518">
        <v>49</v>
      </c>
    </row>
    <row r="519" spans="1:2" x14ac:dyDescent="0.25">
      <c r="A519" s="183" t="s">
        <v>394</v>
      </c>
      <c r="B519">
        <v>6</v>
      </c>
    </row>
    <row r="520" spans="1:2" x14ac:dyDescent="0.25">
      <c r="A520" s="183" t="s">
        <v>395</v>
      </c>
      <c r="B520">
        <v>7</v>
      </c>
    </row>
    <row r="521" spans="1:2" x14ac:dyDescent="0.25">
      <c r="A521" s="183" t="s">
        <v>396</v>
      </c>
      <c r="B521">
        <v>3</v>
      </c>
    </row>
    <row r="522" spans="1:2" x14ac:dyDescent="0.25">
      <c r="A522" s="183" t="s">
        <v>1420</v>
      </c>
      <c r="B522">
        <v>1</v>
      </c>
    </row>
    <row r="523" spans="1:2" x14ac:dyDescent="0.25">
      <c r="A523" s="183" t="s">
        <v>397</v>
      </c>
      <c r="B523">
        <v>21</v>
      </c>
    </row>
    <row r="524" spans="1:2" x14ac:dyDescent="0.25">
      <c r="A524" s="183" t="s">
        <v>398</v>
      </c>
      <c r="B524">
        <v>14</v>
      </c>
    </row>
    <row r="525" spans="1:2" x14ac:dyDescent="0.25">
      <c r="A525" s="183" t="s">
        <v>399</v>
      </c>
      <c r="B525">
        <v>2</v>
      </c>
    </row>
    <row r="526" spans="1:2" x14ac:dyDescent="0.25">
      <c r="A526" s="183" t="s">
        <v>400</v>
      </c>
      <c r="B526">
        <v>1</v>
      </c>
    </row>
    <row r="527" spans="1:2" x14ac:dyDescent="0.25">
      <c r="A527" s="183" t="s">
        <v>401</v>
      </c>
      <c r="B527">
        <v>6</v>
      </c>
    </row>
    <row r="528" spans="1:2" x14ac:dyDescent="0.25">
      <c r="A528" s="183" t="s">
        <v>402</v>
      </c>
      <c r="B528">
        <v>2</v>
      </c>
    </row>
    <row r="529" spans="1:2" x14ac:dyDescent="0.25">
      <c r="A529" s="183" t="s">
        <v>403</v>
      </c>
      <c r="B529">
        <v>1</v>
      </c>
    </row>
    <row r="530" spans="1:2" x14ac:dyDescent="0.25">
      <c r="A530" s="183" t="s">
        <v>1421</v>
      </c>
      <c r="B530">
        <v>2</v>
      </c>
    </row>
    <row r="531" spans="1:2" x14ac:dyDescent="0.25">
      <c r="A531" s="183" t="s">
        <v>404</v>
      </c>
      <c r="B531">
        <v>3</v>
      </c>
    </row>
    <row r="532" spans="1:2" x14ac:dyDescent="0.25">
      <c r="A532" s="183" t="s">
        <v>405</v>
      </c>
      <c r="B532">
        <v>1</v>
      </c>
    </row>
    <row r="533" spans="1:2" x14ac:dyDescent="0.25">
      <c r="A533" s="183" t="s">
        <v>406</v>
      </c>
      <c r="B533">
        <v>42</v>
      </c>
    </row>
    <row r="534" spans="1:2" x14ac:dyDescent="0.25">
      <c r="A534" s="183" t="s">
        <v>1422</v>
      </c>
      <c r="B534">
        <v>2</v>
      </c>
    </row>
    <row r="535" spans="1:2" x14ac:dyDescent="0.25">
      <c r="A535" s="183" t="s">
        <v>407</v>
      </c>
      <c r="B535">
        <v>18</v>
      </c>
    </row>
    <row r="536" spans="1:2" x14ac:dyDescent="0.25">
      <c r="A536" s="183" t="s">
        <v>408</v>
      </c>
      <c r="B536">
        <v>68</v>
      </c>
    </row>
    <row r="537" spans="1:2" x14ac:dyDescent="0.25">
      <c r="A537" s="183" t="s">
        <v>409</v>
      </c>
      <c r="B537">
        <v>78</v>
      </c>
    </row>
    <row r="538" spans="1:2" x14ac:dyDescent="0.25">
      <c r="A538" s="183" t="s">
        <v>410</v>
      </c>
      <c r="B538">
        <v>25</v>
      </c>
    </row>
    <row r="539" spans="1:2" x14ac:dyDescent="0.25">
      <c r="A539" s="183" t="s">
        <v>411</v>
      </c>
      <c r="B539">
        <v>2</v>
      </c>
    </row>
    <row r="540" spans="1:2" x14ac:dyDescent="0.25">
      <c r="A540" s="183" t="s">
        <v>412</v>
      </c>
      <c r="B540">
        <v>18</v>
      </c>
    </row>
    <row r="541" spans="1:2" x14ac:dyDescent="0.25">
      <c r="A541" s="183" t="s">
        <v>413</v>
      </c>
      <c r="B541">
        <v>5</v>
      </c>
    </row>
    <row r="542" spans="1:2" x14ac:dyDescent="0.25">
      <c r="A542" s="183" t="s">
        <v>414</v>
      </c>
      <c r="B542">
        <v>50</v>
      </c>
    </row>
    <row r="543" spans="1:2" x14ac:dyDescent="0.25">
      <c r="A543" s="183" t="s">
        <v>415</v>
      </c>
      <c r="B543">
        <v>2</v>
      </c>
    </row>
    <row r="544" spans="1:2" x14ac:dyDescent="0.25">
      <c r="A544" s="183" t="s">
        <v>416</v>
      </c>
      <c r="B544">
        <v>46</v>
      </c>
    </row>
    <row r="545" spans="1:2" x14ac:dyDescent="0.25">
      <c r="A545" s="183" t="s">
        <v>417</v>
      </c>
      <c r="B545">
        <v>10</v>
      </c>
    </row>
    <row r="546" spans="1:2" x14ac:dyDescent="0.25">
      <c r="A546" s="183" t="s">
        <v>418</v>
      </c>
      <c r="B546">
        <v>2</v>
      </c>
    </row>
    <row r="547" spans="1:2" x14ac:dyDescent="0.25">
      <c r="A547" s="183" t="s">
        <v>419</v>
      </c>
      <c r="B547">
        <v>16</v>
      </c>
    </row>
    <row r="548" spans="1:2" x14ac:dyDescent="0.25">
      <c r="A548" s="183" t="s">
        <v>420</v>
      </c>
      <c r="B548">
        <v>2</v>
      </c>
    </row>
    <row r="549" spans="1:2" x14ac:dyDescent="0.25">
      <c r="A549" s="183" t="s">
        <v>421</v>
      </c>
      <c r="B549">
        <v>4</v>
      </c>
    </row>
    <row r="550" spans="1:2" x14ac:dyDescent="0.25">
      <c r="A550" s="183" t="s">
        <v>422</v>
      </c>
      <c r="B550">
        <v>4</v>
      </c>
    </row>
    <row r="551" spans="1:2" x14ac:dyDescent="0.25">
      <c r="A551" s="183" t="s">
        <v>423</v>
      </c>
      <c r="B551">
        <v>2</v>
      </c>
    </row>
    <row r="552" spans="1:2" x14ac:dyDescent="0.25">
      <c r="A552" s="183" t="s">
        <v>424</v>
      </c>
      <c r="B552">
        <v>3</v>
      </c>
    </row>
    <row r="553" spans="1:2" x14ac:dyDescent="0.25">
      <c r="A553" s="183" t="s">
        <v>425</v>
      </c>
      <c r="B553">
        <v>6</v>
      </c>
    </row>
    <row r="554" spans="1:2" x14ac:dyDescent="0.25">
      <c r="A554" s="183" t="s">
        <v>426</v>
      </c>
      <c r="B554">
        <v>13</v>
      </c>
    </row>
    <row r="555" spans="1:2" x14ac:dyDescent="0.25">
      <c r="A555" s="183" t="s">
        <v>427</v>
      </c>
      <c r="B555">
        <v>10</v>
      </c>
    </row>
    <row r="556" spans="1:2" x14ac:dyDescent="0.25">
      <c r="A556" s="183" t="s">
        <v>428</v>
      </c>
      <c r="B556">
        <v>10</v>
      </c>
    </row>
    <row r="557" spans="1:2" x14ac:dyDescent="0.25">
      <c r="A557" s="183" t="s">
        <v>429</v>
      </c>
      <c r="B557">
        <v>30</v>
      </c>
    </row>
    <row r="558" spans="1:2" x14ac:dyDescent="0.25">
      <c r="A558" s="183" t="s">
        <v>430</v>
      </c>
      <c r="B558">
        <v>10</v>
      </c>
    </row>
    <row r="559" spans="1:2" x14ac:dyDescent="0.25">
      <c r="A559" s="183" t="s">
        <v>431</v>
      </c>
      <c r="B559">
        <v>13</v>
      </c>
    </row>
    <row r="560" spans="1:2" x14ac:dyDescent="0.25">
      <c r="A560" s="183" t="s">
        <v>432</v>
      </c>
      <c r="B560">
        <v>20</v>
      </c>
    </row>
    <row r="561" spans="1:2" x14ac:dyDescent="0.25">
      <c r="A561" s="183" t="s">
        <v>433</v>
      </c>
      <c r="B561">
        <v>35</v>
      </c>
    </row>
    <row r="562" spans="1:2" x14ac:dyDescent="0.25">
      <c r="A562" s="183" t="s">
        <v>434</v>
      </c>
      <c r="B562">
        <v>10</v>
      </c>
    </row>
    <row r="563" spans="1:2" x14ac:dyDescent="0.25">
      <c r="A563" s="183" t="s">
        <v>435</v>
      </c>
      <c r="B563">
        <v>132</v>
      </c>
    </row>
    <row r="564" spans="1:2" x14ac:dyDescent="0.25">
      <c r="A564" s="183" t="s">
        <v>436</v>
      </c>
      <c r="B564">
        <v>32</v>
      </c>
    </row>
    <row r="565" spans="1:2" x14ac:dyDescent="0.25">
      <c r="A565" s="183" t="s">
        <v>437</v>
      </c>
      <c r="B565">
        <v>40</v>
      </c>
    </row>
    <row r="566" spans="1:2" x14ac:dyDescent="0.25">
      <c r="A566" s="183" t="s">
        <v>438</v>
      </c>
      <c r="B566">
        <v>3</v>
      </c>
    </row>
    <row r="567" spans="1:2" x14ac:dyDescent="0.25">
      <c r="A567" s="183" t="s">
        <v>439</v>
      </c>
      <c r="B567">
        <v>5</v>
      </c>
    </row>
    <row r="568" spans="1:2" x14ac:dyDescent="0.25">
      <c r="A568" s="183" t="s">
        <v>440</v>
      </c>
      <c r="B568">
        <v>499</v>
      </c>
    </row>
    <row r="569" spans="1:2" x14ac:dyDescent="0.25">
      <c r="A569" s="183" t="s">
        <v>441</v>
      </c>
      <c r="B569">
        <v>9</v>
      </c>
    </row>
    <row r="570" spans="1:2" x14ac:dyDescent="0.25">
      <c r="A570" s="183" t="s">
        <v>442</v>
      </c>
      <c r="B570">
        <v>12</v>
      </c>
    </row>
    <row r="571" spans="1:2" x14ac:dyDescent="0.25">
      <c r="A571" s="183" t="s">
        <v>443</v>
      </c>
      <c r="B571">
        <v>8</v>
      </c>
    </row>
    <row r="572" spans="1:2" x14ac:dyDescent="0.25">
      <c r="A572" s="183" t="s">
        <v>444</v>
      </c>
      <c r="B572">
        <v>34</v>
      </c>
    </row>
    <row r="573" spans="1:2" x14ac:dyDescent="0.25">
      <c r="A573" s="183" t="s">
        <v>1423</v>
      </c>
      <c r="B573">
        <v>2</v>
      </c>
    </row>
    <row r="574" spans="1:2" x14ac:dyDescent="0.25">
      <c r="A574" s="183" t="s">
        <v>445</v>
      </c>
      <c r="B574">
        <v>27</v>
      </c>
    </row>
    <row r="575" spans="1:2" x14ac:dyDescent="0.25">
      <c r="A575" s="183" t="s">
        <v>446</v>
      </c>
      <c r="B575">
        <v>10</v>
      </c>
    </row>
    <row r="576" spans="1:2" x14ac:dyDescent="0.25">
      <c r="A576" s="183" t="s">
        <v>447</v>
      </c>
      <c r="B576">
        <v>2</v>
      </c>
    </row>
    <row r="577" spans="1:2" x14ac:dyDescent="0.25">
      <c r="A577" s="183" t="s">
        <v>448</v>
      </c>
      <c r="B577">
        <v>10</v>
      </c>
    </row>
    <row r="578" spans="1:2" x14ac:dyDescent="0.25">
      <c r="A578" s="183" t="s">
        <v>449</v>
      </c>
      <c r="B578">
        <v>6</v>
      </c>
    </row>
    <row r="579" spans="1:2" x14ac:dyDescent="0.25">
      <c r="A579" s="183" t="s">
        <v>450</v>
      </c>
      <c r="B579">
        <v>5</v>
      </c>
    </row>
    <row r="580" spans="1:2" x14ac:dyDescent="0.25">
      <c r="A580" s="183" t="s">
        <v>451</v>
      </c>
      <c r="B580">
        <v>1</v>
      </c>
    </row>
    <row r="581" spans="1:2" x14ac:dyDescent="0.25">
      <c r="A581" s="183" t="s">
        <v>452</v>
      </c>
      <c r="B581">
        <v>1</v>
      </c>
    </row>
    <row r="582" spans="1:2" x14ac:dyDescent="0.25">
      <c r="A582" s="183" t="s">
        <v>453</v>
      </c>
      <c r="B582">
        <v>1</v>
      </c>
    </row>
    <row r="583" spans="1:2" x14ac:dyDescent="0.25">
      <c r="A583" s="183" t="s">
        <v>454</v>
      </c>
      <c r="B583">
        <v>2</v>
      </c>
    </row>
    <row r="584" spans="1:2" x14ac:dyDescent="0.25">
      <c r="A584" s="183" t="s">
        <v>455</v>
      </c>
      <c r="B584">
        <v>26</v>
      </c>
    </row>
    <row r="585" spans="1:2" x14ac:dyDescent="0.25">
      <c r="A585" s="183" t="s">
        <v>456</v>
      </c>
      <c r="B585">
        <v>13</v>
      </c>
    </row>
    <row r="586" spans="1:2" x14ac:dyDescent="0.25">
      <c r="A586" s="183" t="s">
        <v>457</v>
      </c>
      <c r="B586">
        <v>1</v>
      </c>
    </row>
    <row r="587" spans="1:2" x14ac:dyDescent="0.25">
      <c r="A587" s="183" t="s">
        <v>458</v>
      </c>
      <c r="B587">
        <v>2</v>
      </c>
    </row>
    <row r="588" spans="1:2" x14ac:dyDescent="0.25">
      <c r="A588" s="183" t="s">
        <v>1424</v>
      </c>
      <c r="B588">
        <v>1</v>
      </c>
    </row>
    <row r="589" spans="1:2" x14ac:dyDescent="0.25">
      <c r="A589" s="183" t="s">
        <v>459</v>
      </c>
      <c r="B589">
        <v>4</v>
      </c>
    </row>
    <row r="590" spans="1:2" x14ac:dyDescent="0.25">
      <c r="A590" s="183" t="s">
        <v>460</v>
      </c>
      <c r="B590">
        <v>4</v>
      </c>
    </row>
    <row r="591" spans="1:2" x14ac:dyDescent="0.25">
      <c r="A591" s="183" t="s">
        <v>461</v>
      </c>
      <c r="B591">
        <v>2</v>
      </c>
    </row>
    <row r="592" spans="1:2" x14ac:dyDescent="0.25">
      <c r="A592" s="183" t="s">
        <v>462</v>
      </c>
      <c r="B592">
        <v>7</v>
      </c>
    </row>
    <row r="593" spans="1:2" x14ac:dyDescent="0.25">
      <c r="A593" s="183" t="s">
        <v>463</v>
      </c>
      <c r="B593">
        <v>14</v>
      </c>
    </row>
    <row r="594" spans="1:2" x14ac:dyDescent="0.25">
      <c r="A594" s="183" t="s">
        <v>464</v>
      </c>
      <c r="B594">
        <v>4</v>
      </c>
    </row>
    <row r="595" spans="1:2" x14ac:dyDescent="0.25">
      <c r="A595" s="183" t="s">
        <v>465</v>
      </c>
      <c r="B595">
        <v>4</v>
      </c>
    </row>
    <row r="596" spans="1:2" x14ac:dyDescent="0.25">
      <c r="A596" s="183" t="s">
        <v>466</v>
      </c>
      <c r="B596">
        <v>2</v>
      </c>
    </row>
    <row r="597" spans="1:2" x14ac:dyDescent="0.25">
      <c r="A597" s="183" t="s">
        <v>467</v>
      </c>
      <c r="B597">
        <v>3</v>
      </c>
    </row>
    <row r="598" spans="1:2" x14ac:dyDescent="0.25">
      <c r="A598" s="183" t="s">
        <v>468</v>
      </c>
      <c r="B598">
        <v>3</v>
      </c>
    </row>
    <row r="599" spans="1:2" x14ac:dyDescent="0.25">
      <c r="A599" s="183" t="s">
        <v>469</v>
      </c>
      <c r="B599">
        <v>2</v>
      </c>
    </row>
    <row r="600" spans="1:2" x14ac:dyDescent="0.25">
      <c r="A600" s="183" t="s">
        <v>470</v>
      </c>
      <c r="B600">
        <v>4</v>
      </c>
    </row>
    <row r="601" spans="1:2" x14ac:dyDescent="0.25">
      <c r="A601" s="183" t="s">
        <v>471</v>
      </c>
      <c r="B601">
        <v>3</v>
      </c>
    </row>
    <row r="602" spans="1:2" x14ac:dyDescent="0.25">
      <c r="A602" s="183" t="s">
        <v>472</v>
      </c>
      <c r="B602">
        <v>4</v>
      </c>
    </row>
    <row r="603" spans="1:2" x14ac:dyDescent="0.25">
      <c r="A603" s="183" t="s">
        <v>473</v>
      </c>
      <c r="B603">
        <v>4</v>
      </c>
    </row>
    <row r="604" spans="1:2" x14ac:dyDescent="0.25">
      <c r="A604" s="183" t="s">
        <v>474</v>
      </c>
      <c r="B604">
        <v>4</v>
      </c>
    </row>
    <row r="605" spans="1:2" x14ac:dyDescent="0.25">
      <c r="A605" s="183" t="s">
        <v>475</v>
      </c>
      <c r="B605">
        <v>4</v>
      </c>
    </row>
    <row r="606" spans="1:2" x14ac:dyDescent="0.25">
      <c r="A606" s="183" t="s">
        <v>476</v>
      </c>
      <c r="B606">
        <v>5</v>
      </c>
    </row>
    <row r="607" spans="1:2" x14ac:dyDescent="0.25">
      <c r="A607" s="183" t="s">
        <v>477</v>
      </c>
      <c r="B607">
        <v>2</v>
      </c>
    </row>
    <row r="608" spans="1:2" x14ac:dyDescent="0.25">
      <c r="A608" s="183" t="s">
        <v>478</v>
      </c>
      <c r="B608">
        <v>4</v>
      </c>
    </row>
    <row r="609" spans="1:2" x14ac:dyDescent="0.25">
      <c r="A609" s="183" t="s">
        <v>479</v>
      </c>
      <c r="B609">
        <v>4</v>
      </c>
    </row>
    <row r="610" spans="1:2" x14ac:dyDescent="0.25">
      <c r="A610" s="183" t="s">
        <v>480</v>
      </c>
      <c r="B610">
        <v>4</v>
      </c>
    </row>
    <row r="611" spans="1:2" x14ac:dyDescent="0.25">
      <c r="A611" s="183" t="s">
        <v>481</v>
      </c>
      <c r="B611">
        <v>4</v>
      </c>
    </row>
    <row r="612" spans="1:2" x14ac:dyDescent="0.25">
      <c r="A612" s="183" t="s">
        <v>482</v>
      </c>
      <c r="B612">
        <v>6</v>
      </c>
    </row>
    <row r="613" spans="1:2" x14ac:dyDescent="0.25">
      <c r="A613" s="183" t="s">
        <v>483</v>
      </c>
      <c r="B613">
        <v>1</v>
      </c>
    </row>
    <row r="614" spans="1:2" x14ac:dyDescent="0.25">
      <c r="A614" s="183" t="s">
        <v>484</v>
      </c>
      <c r="B614">
        <v>12</v>
      </c>
    </row>
    <row r="615" spans="1:2" x14ac:dyDescent="0.25">
      <c r="A615" s="183" t="s">
        <v>485</v>
      </c>
      <c r="B615">
        <v>2</v>
      </c>
    </row>
    <row r="616" spans="1:2" x14ac:dyDescent="0.25">
      <c r="A616" s="183" t="s">
        <v>486</v>
      </c>
      <c r="B616">
        <v>5</v>
      </c>
    </row>
    <row r="617" spans="1:2" x14ac:dyDescent="0.25">
      <c r="A617" s="183" t="s">
        <v>487</v>
      </c>
      <c r="B617">
        <v>2</v>
      </c>
    </row>
    <row r="618" spans="1:2" x14ac:dyDescent="0.25">
      <c r="A618" s="183" t="s">
        <v>488</v>
      </c>
      <c r="B618">
        <v>2</v>
      </c>
    </row>
    <row r="619" spans="1:2" x14ac:dyDescent="0.25">
      <c r="A619" s="183" t="s">
        <v>489</v>
      </c>
      <c r="B619">
        <v>7</v>
      </c>
    </row>
    <row r="620" spans="1:2" x14ac:dyDescent="0.25">
      <c r="A620" s="183" t="s">
        <v>490</v>
      </c>
      <c r="B620">
        <v>5</v>
      </c>
    </row>
    <row r="621" spans="1:2" x14ac:dyDescent="0.25">
      <c r="A621" s="183" t="s">
        <v>491</v>
      </c>
      <c r="B621">
        <v>5</v>
      </c>
    </row>
    <row r="622" spans="1:2" x14ac:dyDescent="0.25">
      <c r="A622" s="183" t="s">
        <v>492</v>
      </c>
      <c r="B622">
        <v>3</v>
      </c>
    </row>
    <row r="623" spans="1:2" x14ac:dyDescent="0.25">
      <c r="A623" s="183" t="s">
        <v>493</v>
      </c>
      <c r="B623">
        <v>8</v>
      </c>
    </row>
    <row r="624" spans="1:2" x14ac:dyDescent="0.25">
      <c r="A624" s="183" t="s">
        <v>494</v>
      </c>
      <c r="B624">
        <v>4</v>
      </c>
    </row>
    <row r="625" spans="1:2" x14ac:dyDescent="0.25">
      <c r="A625" s="183" t="s">
        <v>495</v>
      </c>
      <c r="B625">
        <v>4</v>
      </c>
    </row>
    <row r="626" spans="1:2" x14ac:dyDescent="0.25">
      <c r="A626" s="183" t="s">
        <v>496</v>
      </c>
      <c r="B626">
        <v>4</v>
      </c>
    </row>
    <row r="627" spans="1:2" x14ac:dyDescent="0.25">
      <c r="A627" s="183" t="s">
        <v>497</v>
      </c>
      <c r="B627">
        <v>4</v>
      </c>
    </row>
    <row r="628" spans="1:2" x14ac:dyDescent="0.25">
      <c r="A628" s="183" t="s">
        <v>498</v>
      </c>
      <c r="B628">
        <v>4</v>
      </c>
    </row>
    <row r="629" spans="1:2" x14ac:dyDescent="0.25">
      <c r="A629" s="183" t="s">
        <v>499</v>
      </c>
      <c r="B629">
        <v>2</v>
      </c>
    </row>
    <row r="630" spans="1:2" x14ac:dyDescent="0.25">
      <c r="A630" s="183" t="s">
        <v>500</v>
      </c>
      <c r="B630">
        <v>1</v>
      </c>
    </row>
    <row r="631" spans="1:2" x14ac:dyDescent="0.25">
      <c r="A631" s="183" t="s">
        <v>501</v>
      </c>
      <c r="B631">
        <v>1</v>
      </c>
    </row>
    <row r="632" spans="1:2" x14ac:dyDescent="0.25">
      <c r="A632" s="183" t="s">
        <v>502</v>
      </c>
      <c r="B632">
        <v>4</v>
      </c>
    </row>
    <row r="633" spans="1:2" x14ac:dyDescent="0.25">
      <c r="A633" s="183" t="s">
        <v>503</v>
      </c>
      <c r="B633">
        <v>6</v>
      </c>
    </row>
    <row r="634" spans="1:2" x14ac:dyDescent="0.25">
      <c r="A634" s="183" t="s">
        <v>504</v>
      </c>
      <c r="B634">
        <v>5</v>
      </c>
    </row>
    <row r="635" spans="1:2" x14ac:dyDescent="0.25">
      <c r="A635" s="183" t="s">
        <v>505</v>
      </c>
      <c r="B635">
        <v>1</v>
      </c>
    </row>
    <row r="636" spans="1:2" x14ac:dyDescent="0.25">
      <c r="A636" s="183" t="s">
        <v>506</v>
      </c>
      <c r="B636">
        <v>4</v>
      </c>
    </row>
    <row r="637" spans="1:2" x14ac:dyDescent="0.25">
      <c r="A637" s="183" t="s">
        <v>507</v>
      </c>
      <c r="B637">
        <v>1</v>
      </c>
    </row>
    <row r="638" spans="1:2" x14ac:dyDescent="0.25">
      <c r="A638" s="183" t="s">
        <v>508</v>
      </c>
      <c r="B638">
        <v>2</v>
      </c>
    </row>
    <row r="639" spans="1:2" x14ac:dyDescent="0.25">
      <c r="A639" s="183" t="s">
        <v>509</v>
      </c>
      <c r="B639">
        <v>1</v>
      </c>
    </row>
    <row r="640" spans="1:2" x14ac:dyDescent="0.25">
      <c r="A640" s="183" t="s">
        <v>510</v>
      </c>
      <c r="B640">
        <v>6</v>
      </c>
    </row>
    <row r="641" spans="1:2" x14ac:dyDescent="0.25">
      <c r="A641" s="183" t="s">
        <v>511</v>
      </c>
      <c r="B641">
        <v>6</v>
      </c>
    </row>
    <row r="642" spans="1:2" x14ac:dyDescent="0.25">
      <c r="A642" s="183" t="s">
        <v>512</v>
      </c>
      <c r="B642">
        <v>1</v>
      </c>
    </row>
    <row r="643" spans="1:2" x14ac:dyDescent="0.25">
      <c r="A643" s="183" t="s">
        <v>513</v>
      </c>
      <c r="B643">
        <v>6</v>
      </c>
    </row>
    <row r="644" spans="1:2" x14ac:dyDescent="0.25">
      <c r="A644" s="183" t="s">
        <v>514</v>
      </c>
      <c r="B644">
        <v>238</v>
      </c>
    </row>
    <row r="645" spans="1:2" x14ac:dyDescent="0.25">
      <c r="A645" s="183" t="s">
        <v>515</v>
      </c>
      <c r="B645">
        <v>33</v>
      </c>
    </row>
    <row r="646" spans="1:2" x14ac:dyDescent="0.25">
      <c r="A646" s="183" t="s">
        <v>516</v>
      </c>
      <c r="B646">
        <v>68</v>
      </c>
    </row>
    <row r="647" spans="1:2" x14ac:dyDescent="0.25">
      <c r="A647" s="183" t="s">
        <v>517</v>
      </c>
      <c r="B647">
        <v>7</v>
      </c>
    </row>
    <row r="648" spans="1:2" x14ac:dyDescent="0.25">
      <c r="A648" s="183" t="s">
        <v>518</v>
      </c>
      <c r="B648">
        <v>26</v>
      </c>
    </row>
    <row r="649" spans="1:2" x14ac:dyDescent="0.25">
      <c r="A649" s="183" t="s">
        <v>519</v>
      </c>
      <c r="B649">
        <v>2</v>
      </c>
    </row>
    <row r="650" spans="1:2" x14ac:dyDescent="0.25">
      <c r="A650" s="183" t="s">
        <v>520</v>
      </c>
      <c r="B650">
        <v>19</v>
      </c>
    </row>
    <row r="651" spans="1:2" x14ac:dyDescent="0.25">
      <c r="A651" s="183" t="s">
        <v>521</v>
      </c>
      <c r="B651">
        <v>6</v>
      </c>
    </row>
    <row r="652" spans="1:2" x14ac:dyDescent="0.25">
      <c r="A652" s="183" t="s">
        <v>522</v>
      </c>
      <c r="B652">
        <v>2</v>
      </c>
    </row>
    <row r="653" spans="1:2" x14ac:dyDescent="0.25">
      <c r="A653" s="183" t="s">
        <v>523</v>
      </c>
      <c r="B653">
        <v>3</v>
      </c>
    </row>
    <row r="654" spans="1:2" x14ac:dyDescent="0.25">
      <c r="A654" s="183" t="s">
        <v>524</v>
      </c>
      <c r="B654">
        <v>5</v>
      </c>
    </row>
    <row r="655" spans="1:2" x14ac:dyDescent="0.25">
      <c r="A655" s="183" t="s">
        <v>525</v>
      </c>
      <c r="B655">
        <v>6</v>
      </c>
    </row>
    <row r="656" spans="1:2" x14ac:dyDescent="0.25">
      <c r="A656" s="183" t="s">
        <v>526</v>
      </c>
      <c r="B656">
        <v>19</v>
      </c>
    </row>
    <row r="657" spans="1:2" x14ac:dyDescent="0.25">
      <c r="A657" s="183" t="s">
        <v>527</v>
      </c>
      <c r="B657">
        <v>4</v>
      </c>
    </row>
    <row r="658" spans="1:2" x14ac:dyDescent="0.25">
      <c r="A658" s="183" t="s">
        <v>528</v>
      </c>
      <c r="B658">
        <v>4</v>
      </c>
    </row>
    <row r="659" spans="1:2" x14ac:dyDescent="0.25">
      <c r="A659" s="183" t="s">
        <v>529</v>
      </c>
      <c r="B659">
        <v>6</v>
      </c>
    </row>
    <row r="660" spans="1:2" x14ac:dyDescent="0.25">
      <c r="A660" s="183" t="s">
        <v>530</v>
      </c>
      <c r="B660">
        <v>4</v>
      </c>
    </row>
    <row r="661" spans="1:2" x14ac:dyDescent="0.25">
      <c r="A661" s="183" t="s">
        <v>531</v>
      </c>
      <c r="B661">
        <v>2</v>
      </c>
    </row>
    <row r="662" spans="1:2" x14ac:dyDescent="0.25">
      <c r="A662" s="183" t="s">
        <v>532</v>
      </c>
      <c r="B662">
        <v>3</v>
      </c>
    </row>
    <row r="663" spans="1:2" x14ac:dyDescent="0.25">
      <c r="A663" s="183" t="s">
        <v>533</v>
      </c>
      <c r="B663">
        <v>4</v>
      </c>
    </row>
    <row r="664" spans="1:2" x14ac:dyDescent="0.25">
      <c r="A664" s="183" t="s">
        <v>534</v>
      </c>
      <c r="B664">
        <v>1</v>
      </c>
    </row>
    <row r="665" spans="1:2" x14ac:dyDescent="0.25">
      <c r="A665" s="183" t="s">
        <v>535</v>
      </c>
      <c r="B665">
        <v>6</v>
      </c>
    </row>
    <row r="666" spans="1:2" x14ac:dyDescent="0.25">
      <c r="A666" s="183" t="s">
        <v>536</v>
      </c>
      <c r="B666">
        <v>6</v>
      </c>
    </row>
    <row r="667" spans="1:2" x14ac:dyDescent="0.25">
      <c r="A667" s="183" t="s">
        <v>537</v>
      </c>
      <c r="B667">
        <v>2</v>
      </c>
    </row>
    <row r="668" spans="1:2" x14ac:dyDescent="0.25">
      <c r="A668" s="183" t="s">
        <v>538</v>
      </c>
      <c r="B668">
        <v>9</v>
      </c>
    </row>
    <row r="669" spans="1:2" x14ac:dyDescent="0.25">
      <c r="A669" s="183" t="s">
        <v>539</v>
      </c>
      <c r="B669">
        <v>2</v>
      </c>
    </row>
    <row r="670" spans="1:2" x14ac:dyDescent="0.25">
      <c r="A670" s="183" t="s">
        <v>540</v>
      </c>
      <c r="B670">
        <v>1</v>
      </c>
    </row>
    <row r="671" spans="1:2" x14ac:dyDescent="0.25">
      <c r="A671" s="183" t="s">
        <v>541</v>
      </c>
      <c r="B671">
        <v>4</v>
      </c>
    </row>
    <row r="672" spans="1:2" x14ac:dyDescent="0.25">
      <c r="A672" s="183" t="s">
        <v>542</v>
      </c>
      <c r="B672">
        <v>6</v>
      </c>
    </row>
    <row r="673" spans="1:2" x14ac:dyDescent="0.25">
      <c r="A673" s="183" t="s">
        <v>543</v>
      </c>
      <c r="B673">
        <v>1</v>
      </c>
    </row>
    <row r="674" spans="1:2" x14ac:dyDescent="0.25">
      <c r="A674" s="183" t="s">
        <v>544</v>
      </c>
      <c r="B674">
        <v>1</v>
      </c>
    </row>
    <row r="675" spans="1:2" x14ac:dyDescent="0.25">
      <c r="A675" s="183" t="s">
        <v>545</v>
      </c>
      <c r="B675">
        <v>6</v>
      </c>
    </row>
    <row r="676" spans="1:2" x14ac:dyDescent="0.25">
      <c r="A676" s="183" t="s">
        <v>546</v>
      </c>
      <c r="B676">
        <v>4</v>
      </c>
    </row>
    <row r="677" spans="1:2" x14ac:dyDescent="0.25">
      <c r="A677" s="183" t="s">
        <v>547</v>
      </c>
      <c r="B677">
        <v>3</v>
      </c>
    </row>
    <row r="678" spans="1:2" x14ac:dyDescent="0.25">
      <c r="A678" s="183" t="s">
        <v>548</v>
      </c>
      <c r="B678">
        <v>1</v>
      </c>
    </row>
    <row r="679" spans="1:2" x14ac:dyDescent="0.25">
      <c r="A679" s="183" t="s">
        <v>549</v>
      </c>
      <c r="B679">
        <v>3</v>
      </c>
    </row>
    <row r="680" spans="1:2" x14ac:dyDescent="0.25">
      <c r="A680" s="183" t="s">
        <v>550</v>
      </c>
      <c r="B680">
        <v>3</v>
      </c>
    </row>
    <row r="681" spans="1:2" x14ac:dyDescent="0.25">
      <c r="A681" s="183" t="s">
        <v>551</v>
      </c>
      <c r="B681">
        <v>4</v>
      </c>
    </row>
    <row r="682" spans="1:2" x14ac:dyDescent="0.25">
      <c r="A682" s="183" t="s">
        <v>552</v>
      </c>
      <c r="B682">
        <v>6</v>
      </c>
    </row>
    <row r="683" spans="1:2" x14ac:dyDescent="0.25">
      <c r="A683" s="183" t="s">
        <v>553</v>
      </c>
      <c r="B683">
        <v>3</v>
      </c>
    </row>
    <row r="684" spans="1:2" x14ac:dyDescent="0.25">
      <c r="A684" s="183" t="s">
        <v>554</v>
      </c>
      <c r="B684">
        <v>6</v>
      </c>
    </row>
    <row r="685" spans="1:2" x14ac:dyDescent="0.25">
      <c r="A685" s="183" t="s">
        <v>555</v>
      </c>
      <c r="B685">
        <v>6</v>
      </c>
    </row>
    <row r="686" spans="1:2" x14ac:dyDescent="0.25">
      <c r="A686" s="183" t="s">
        <v>556</v>
      </c>
      <c r="B686">
        <v>12</v>
      </c>
    </row>
    <row r="687" spans="1:2" x14ac:dyDescent="0.25">
      <c r="A687" s="183" t="s">
        <v>557</v>
      </c>
      <c r="B687">
        <v>10</v>
      </c>
    </row>
    <row r="688" spans="1:2" x14ac:dyDescent="0.25">
      <c r="A688" s="183" t="s">
        <v>558</v>
      </c>
      <c r="B688">
        <v>7</v>
      </c>
    </row>
    <row r="689" spans="1:2" x14ac:dyDescent="0.25">
      <c r="A689" s="183" t="s">
        <v>559</v>
      </c>
      <c r="B689">
        <v>4</v>
      </c>
    </row>
    <row r="690" spans="1:2" x14ac:dyDescent="0.25">
      <c r="A690" s="183" t="s">
        <v>560</v>
      </c>
      <c r="B690">
        <v>4</v>
      </c>
    </row>
    <row r="691" spans="1:2" x14ac:dyDescent="0.25">
      <c r="A691" s="183" t="s">
        <v>561</v>
      </c>
      <c r="B691">
        <v>7</v>
      </c>
    </row>
    <row r="692" spans="1:2" x14ac:dyDescent="0.25">
      <c r="A692" s="183" t="s">
        <v>562</v>
      </c>
      <c r="B692">
        <v>13</v>
      </c>
    </row>
    <row r="693" spans="1:2" x14ac:dyDescent="0.25">
      <c r="A693" s="183" t="s">
        <v>563</v>
      </c>
      <c r="B693">
        <v>2</v>
      </c>
    </row>
    <row r="694" spans="1:2" x14ac:dyDescent="0.25">
      <c r="A694" s="183" t="s">
        <v>564</v>
      </c>
      <c r="B694">
        <v>13</v>
      </c>
    </row>
    <row r="695" spans="1:2" x14ac:dyDescent="0.25">
      <c r="A695" s="183" t="s">
        <v>565</v>
      </c>
      <c r="B695">
        <v>1</v>
      </c>
    </row>
    <row r="696" spans="1:2" x14ac:dyDescent="0.25">
      <c r="A696" s="183" t="s">
        <v>566</v>
      </c>
      <c r="B696">
        <v>6</v>
      </c>
    </row>
    <row r="697" spans="1:2" x14ac:dyDescent="0.25">
      <c r="A697" s="183" t="s">
        <v>567</v>
      </c>
      <c r="B697">
        <v>2</v>
      </c>
    </row>
    <row r="698" spans="1:2" x14ac:dyDescent="0.25">
      <c r="A698" s="183" t="s">
        <v>568</v>
      </c>
      <c r="B698">
        <v>1</v>
      </c>
    </row>
    <row r="699" spans="1:2" x14ac:dyDescent="0.25">
      <c r="A699" s="183" t="s">
        <v>569</v>
      </c>
      <c r="B699">
        <v>5</v>
      </c>
    </row>
    <row r="700" spans="1:2" x14ac:dyDescent="0.25">
      <c r="A700" s="183" t="s">
        <v>570</v>
      </c>
      <c r="B700">
        <v>3</v>
      </c>
    </row>
    <row r="701" spans="1:2" x14ac:dyDescent="0.25">
      <c r="A701" s="183" t="s">
        <v>571</v>
      </c>
      <c r="B701">
        <v>2</v>
      </c>
    </row>
    <row r="702" spans="1:2" x14ac:dyDescent="0.25">
      <c r="A702" s="183" t="s">
        <v>572</v>
      </c>
      <c r="B702">
        <v>3</v>
      </c>
    </row>
    <row r="703" spans="1:2" x14ac:dyDescent="0.25">
      <c r="A703" s="183" t="s">
        <v>573</v>
      </c>
      <c r="B703">
        <v>6</v>
      </c>
    </row>
    <row r="704" spans="1:2" x14ac:dyDescent="0.25">
      <c r="A704" s="183" t="s">
        <v>574</v>
      </c>
      <c r="B704">
        <v>2</v>
      </c>
    </row>
    <row r="705" spans="1:2" x14ac:dyDescent="0.25">
      <c r="A705" s="183" t="s">
        <v>575</v>
      </c>
      <c r="B705">
        <v>10</v>
      </c>
    </row>
    <row r="706" spans="1:2" x14ac:dyDescent="0.25">
      <c r="A706" s="183" t="s">
        <v>576</v>
      </c>
      <c r="B706">
        <v>3</v>
      </c>
    </row>
    <row r="707" spans="1:2" x14ac:dyDescent="0.25">
      <c r="A707" s="183" t="s">
        <v>577</v>
      </c>
      <c r="B707">
        <v>2</v>
      </c>
    </row>
    <row r="708" spans="1:2" x14ac:dyDescent="0.25">
      <c r="A708" s="183" t="s">
        <v>578</v>
      </c>
      <c r="B708">
        <v>4</v>
      </c>
    </row>
    <row r="709" spans="1:2" x14ac:dyDescent="0.25">
      <c r="A709" s="183" t="s">
        <v>579</v>
      </c>
      <c r="B709">
        <v>4</v>
      </c>
    </row>
    <row r="710" spans="1:2" x14ac:dyDescent="0.25">
      <c r="A710" s="183" t="s">
        <v>580</v>
      </c>
      <c r="B710">
        <v>1</v>
      </c>
    </row>
    <row r="711" spans="1:2" x14ac:dyDescent="0.25">
      <c r="A711" s="183" t="s">
        <v>581</v>
      </c>
      <c r="B711">
        <v>4</v>
      </c>
    </row>
    <row r="712" spans="1:2" x14ac:dyDescent="0.25">
      <c r="A712" s="183" t="s">
        <v>582</v>
      </c>
      <c r="B712">
        <v>1</v>
      </c>
    </row>
    <row r="713" spans="1:2" x14ac:dyDescent="0.25">
      <c r="A713" s="183" t="s">
        <v>583</v>
      </c>
      <c r="B713">
        <v>2</v>
      </c>
    </row>
    <row r="714" spans="1:2" x14ac:dyDescent="0.25">
      <c r="A714" s="183" t="s">
        <v>584</v>
      </c>
      <c r="B714">
        <v>55</v>
      </c>
    </row>
    <row r="715" spans="1:2" x14ac:dyDescent="0.25">
      <c r="A715" s="183" t="s">
        <v>585</v>
      </c>
      <c r="B715">
        <v>4</v>
      </c>
    </row>
    <row r="716" spans="1:2" x14ac:dyDescent="0.25">
      <c r="A716" s="183" t="s">
        <v>586</v>
      </c>
      <c r="B716">
        <v>1</v>
      </c>
    </row>
    <row r="717" spans="1:2" x14ac:dyDescent="0.25">
      <c r="A717" s="183" t="s">
        <v>587</v>
      </c>
      <c r="B717">
        <v>2</v>
      </c>
    </row>
    <row r="718" spans="1:2" x14ac:dyDescent="0.25">
      <c r="A718" s="183" t="s">
        <v>1425</v>
      </c>
      <c r="B718">
        <v>2</v>
      </c>
    </row>
    <row r="719" spans="1:2" x14ac:dyDescent="0.25">
      <c r="A719" s="183" t="s">
        <v>588</v>
      </c>
      <c r="B719">
        <v>2</v>
      </c>
    </row>
    <row r="720" spans="1:2" x14ac:dyDescent="0.25">
      <c r="A720" s="183" t="s">
        <v>589</v>
      </c>
      <c r="B720">
        <v>17</v>
      </c>
    </row>
    <row r="721" spans="1:2" x14ac:dyDescent="0.25">
      <c r="A721" s="183" t="s">
        <v>590</v>
      </c>
      <c r="B721">
        <v>10</v>
      </c>
    </row>
    <row r="722" spans="1:2" x14ac:dyDescent="0.25">
      <c r="A722" s="183" t="s">
        <v>591</v>
      </c>
      <c r="B722">
        <v>7</v>
      </c>
    </row>
    <row r="723" spans="1:2" x14ac:dyDescent="0.25">
      <c r="A723" s="183" t="s">
        <v>592</v>
      </c>
      <c r="B723">
        <v>12</v>
      </c>
    </row>
    <row r="724" spans="1:2" x14ac:dyDescent="0.25">
      <c r="A724" s="183" t="s">
        <v>593</v>
      </c>
      <c r="B724">
        <v>12</v>
      </c>
    </row>
    <row r="725" spans="1:2" x14ac:dyDescent="0.25">
      <c r="A725" s="183" t="s">
        <v>594</v>
      </c>
      <c r="B725">
        <v>4</v>
      </c>
    </row>
    <row r="726" spans="1:2" x14ac:dyDescent="0.25">
      <c r="A726" s="183" t="s">
        <v>595</v>
      </c>
      <c r="B726">
        <v>6</v>
      </c>
    </row>
    <row r="727" spans="1:2" x14ac:dyDescent="0.25">
      <c r="A727" s="183" t="s">
        <v>596</v>
      </c>
      <c r="B727">
        <v>44</v>
      </c>
    </row>
    <row r="728" spans="1:2" x14ac:dyDescent="0.25">
      <c r="A728" s="183" t="s">
        <v>597</v>
      </c>
      <c r="B728">
        <v>2</v>
      </c>
    </row>
    <row r="729" spans="1:2" x14ac:dyDescent="0.25">
      <c r="A729" s="183" t="s">
        <v>598</v>
      </c>
      <c r="B729">
        <v>16</v>
      </c>
    </row>
    <row r="730" spans="1:2" x14ac:dyDescent="0.25">
      <c r="A730" s="183" t="s">
        <v>599</v>
      </c>
      <c r="B730">
        <v>9</v>
      </c>
    </row>
    <row r="731" spans="1:2" x14ac:dyDescent="0.25">
      <c r="A731" s="183" t="s">
        <v>600</v>
      </c>
      <c r="B731">
        <v>12</v>
      </c>
    </row>
    <row r="732" spans="1:2" x14ac:dyDescent="0.25">
      <c r="A732" s="183" t="s">
        <v>601</v>
      </c>
      <c r="B732">
        <v>6</v>
      </c>
    </row>
    <row r="733" spans="1:2" x14ac:dyDescent="0.25">
      <c r="A733" s="183" t="s">
        <v>602</v>
      </c>
      <c r="B733">
        <v>8</v>
      </c>
    </row>
    <row r="734" spans="1:2" x14ac:dyDescent="0.25">
      <c r="A734" s="183" t="s">
        <v>603</v>
      </c>
      <c r="B734">
        <v>6</v>
      </c>
    </row>
    <row r="735" spans="1:2" x14ac:dyDescent="0.25">
      <c r="A735" s="183" t="s">
        <v>604</v>
      </c>
      <c r="B735">
        <v>6</v>
      </c>
    </row>
    <row r="736" spans="1:2" x14ac:dyDescent="0.25">
      <c r="A736" s="183" t="s">
        <v>605</v>
      </c>
      <c r="B736">
        <v>2</v>
      </c>
    </row>
    <row r="737" spans="1:2" x14ac:dyDescent="0.25">
      <c r="A737" s="183" t="s">
        <v>606</v>
      </c>
      <c r="B737">
        <v>14</v>
      </c>
    </row>
    <row r="738" spans="1:2" x14ac:dyDescent="0.25">
      <c r="A738" s="183" t="s">
        <v>607</v>
      </c>
      <c r="B738">
        <v>5</v>
      </c>
    </row>
    <row r="739" spans="1:2" x14ac:dyDescent="0.25">
      <c r="A739" s="183" t="s">
        <v>608</v>
      </c>
      <c r="B739">
        <v>6</v>
      </c>
    </row>
    <row r="740" spans="1:2" x14ac:dyDescent="0.25">
      <c r="A740" s="183" t="s">
        <v>609</v>
      </c>
      <c r="B740">
        <v>1</v>
      </c>
    </row>
    <row r="741" spans="1:2" x14ac:dyDescent="0.25">
      <c r="A741" s="183" t="s">
        <v>610</v>
      </c>
      <c r="B741">
        <v>6</v>
      </c>
    </row>
    <row r="742" spans="1:2" x14ac:dyDescent="0.25">
      <c r="A742" s="183" t="s">
        <v>611</v>
      </c>
      <c r="B742">
        <v>6</v>
      </c>
    </row>
    <row r="743" spans="1:2" x14ac:dyDescent="0.25">
      <c r="A743" s="183" t="s">
        <v>612</v>
      </c>
      <c r="B743">
        <v>6</v>
      </c>
    </row>
    <row r="744" spans="1:2" x14ac:dyDescent="0.25">
      <c r="A744" s="183" t="s">
        <v>613</v>
      </c>
      <c r="B744">
        <v>2</v>
      </c>
    </row>
    <row r="745" spans="1:2" x14ac:dyDescent="0.25">
      <c r="A745" s="183" t="s">
        <v>614</v>
      </c>
      <c r="B745">
        <v>7</v>
      </c>
    </row>
    <row r="746" spans="1:2" x14ac:dyDescent="0.25">
      <c r="A746" s="183" t="s">
        <v>615</v>
      </c>
      <c r="B746">
        <v>13</v>
      </c>
    </row>
    <row r="747" spans="1:2" x14ac:dyDescent="0.25">
      <c r="A747" s="183" t="s">
        <v>616</v>
      </c>
      <c r="B747">
        <v>6</v>
      </c>
    </row>
    <row r="748" spans="1:2" x14ac:dyDescent="0.25">
      <c r="A748" s="183" t="s">
        <v>617</v>
      </c>
      <c r="B748">
        <v>7</v>
      </c>
    </row>
    <row r="749" spans="1:2" x14ac:dyDescent="0.25">
      <c r="A749" s="183" t="s">
        <v>618</v>
      </c>
      <c r="B749">
        <v>7</v>
      </c>
    </row>
    <row r="750" spans="1:2" x14ac:dyDescent="0.25">
      <c r="A750" s="183" t="s">
        <v>619</v>
      </c>
      <c r="B750">
        <v>4</v>
      </c>
    </row>
    <row r="751" spans="1:2" x14ac:dyDescent="0.25">
      <c r="A751" s="183" t="s">
        <v>620</v>
      </c>
      <c r="B751">
        <v>4</v>
      </c>
    </row>
    <row r="752" spans="1:2" x14ac:dyDescent="0.25">
      <c r="A752" s="183" t="s">
        <v>621</v>
      </c>
      <c r="B752">
        <v>6</v>
      </c>
    </row>
    <row r="753" spans="1:2" x14ac:dyDescent="0.25">
      <c r="A753" s="183" t="s">
        <v>622</v>
      </c>
      <c r="B753">
        <v>9</v>
      </c>
    </row>
    <row r="754" spans="1:2" x14ac:dyDescent="0.25">
      <c r="A754" s="183" t="s">
        <v>623</v>
      </c>
      <c r="B754">
        <v>45</v>
      </c>
    </row>
    <row r="755" spans="1:2" x14ac:dyDescent="0.25">
      <c r="A755" s="183" t="s">
        <v>624</v>
      </c>
      <c r="B755">
        <v>4</v>
      </c>
    </row>
    <row r="756" spans="1:2" x14ac:dyDescent="0.25">
      <c r="A756" s="183" t="s">
        <v>625</v>
      </c>
      <c r="B756">
        <v>26</v>
      </c>
    </row>
    <row r="757" spans="1:2" x14ac:dyDescent="0.25">
      <c r="A757" s="183" t="s">
        <v>626</v>
      </c>
      <c r="B757">
        <v>7</v>
      </c>
    </row>
    <row r="758" spans="1:2" x14ac:dyDescent="0.25">
      <c r="A758" s="183" t="s">
        <v>627</v>
      </c>
      <c r="B758">
        <v>8</v>
      </c>
    </row>
    <row r="759" spans="1:2" x14ac:dyDescent="0.25">
      <c r="A759" s="183" t="s">
        <v>628</v>
      </c>
      <c r="B759">
        <v>2</v>
      </c>
    </row>
    <row r="760" spans="1:2" x14ac:dyDescent="0.25">
      <c r="A760" s="183" t="s">
        <v>629</v>
      </c>
      <c r="B760">
        <v>6</v>
      </c>
    </row>
    <row r="761" spans="1:2" x14ac:dyDescent="0.25">
      <c r="A761" s="183" t="s">
        <v>630</v>
      </c>
      <c r="B761">
        <v>14</v>
      </c>
    </row>
    <row r="762" spans="1:2" x14ac:dyDescent="0.25">
      <c r="A762" s="183" t="s">
        <v>631</v>
      </c>
      <c r="B762">
        <v>2</v>
      </c>
    </row>
    <row r="763" spans="1:2" x14ac:dyDescent="0.25">
      <c r="A763" s="183" t="s">
        <v>632</v>
      </c>
      <c r="B763">
        <v>32</v>
      </c>
    </row>
    <row r="764" spans="1:2" x14ac:dyDescent="0.25">
      <c r="A764" s="183" t="s">
        <v>633</v>
      </c>
      <c r="B764">
        <v>9</v>
      </c>
    </row>
    <row r="765" spans="1:2" x14ac:dyDescent="0.25">
      <c r="A765" s="183" t="s">
        <v>634</v>
      </c>
      <c r="B765">
        <v>13</v>
      </c>
    </row>
    <row r="766" spans="1:2" x14ac:dyDescent="0.25">
      <c r="A766" s="183" t="s">
        <v>635</v>
      </c>
      <c r="B766">
        <v>5</v>
      </c>
    </row>
    <row r="767" spans="1:2" x14ac:dyDescent="0.25">
      <c r="A767" s="183" t="s">
        <v>636</v>
      </c>
      <c r="B767">
        <v>57</v>
      </c>
    </row>
    <row r="768" spans="1:2" x14ac:dyDescent="0.25">
      <c r="A768" s="183" t="s">
        <v>637</v>
      </c>
      <c r="B768">
        <v>336</v>
      </c>
    </row>
    <row r="769" spans="1:2" x14ac:dyDescent="0.25">
      <c r="A769" s="183" t="s">
        <v>638</v>
      </c>
      <c r="B769">
        <v>15</v>
      </c>
    </row>
    <row r="770" spans="1:2" x14ac:dyDescent="0.25">
      <c r="A770" s="183" t="s">
        <v>639</v>
      </c>
      <c r="B770">
        <v>45</v>
      </c>
    </row>
    <row r="771" spans="1:2" x14ac:dyDescent="0.25">
      <c r="A771" s="183" t="s">
        <v>640</v>
      </c>
      <c r="B771">
        <v>14</v>
      </c>
    </row>
    <row r="772" spans="1:2" x14ac:dyDescent="0.25">
      <c r="A772" s="183" t="s">
        <v>641</v>
      </c>
      <c r="B772">
        <v>30</v>
      </c>
    </row>
    <row r="773" spans="1:2" x14ac:dyDescent="0.25">
      <c r="A773" s="183" t="s">
        <v>642</v>
      </c>
      <c r="B773">
        <v>45</v>
      </c>
    </row>
    <row r="774" spans="1:2" x14ac:dyDescent="0.25">
      <c r="A774" s="183" t="s">
        <v>643</v>
      </c>
      <c r="B774">
        <v>75</v>
      </c>
    </row>
    <row r="775" spans="1:2" x14ac:dyDescent="0.25">
      <c r="A775" s="183" t="s">
        <v>644</v>
      </c>
      <c r="B775">
        <v>28</v>
      </c>
    </row>
    <row r="776" spans="1:2" x14ac:dyDescent="0.25">
      <c r="A776" s="183" t="s">
        <v>645</v>
      </c>
      <c r="B776">
        <v>128</v>
      </c>
    </row>
    <row r="777" spans="1:2" x14ac:dyDescent="0.25">
      <c r="A777" s="183" t="s">
        <v>646</v>
      </c>
      <c r="B777">
        <v>2</v>
      </c>
    </row>
    <row r="778" spans="1:2" x14ac:dyDescent="0.25">
      <c r="A778" s="183" t="s">
        <v>647</v>
      </c>
      <c r="B778">
        <v>1</v>
      </c>
    </row>
    <row r="779" spans="1:2" x14ac:dyDescent="0.25">
      <c r="A779" s="183" t="s">
        <v>648</v>
      </c>
      <c r="B779">
        <v>66</v>
      </c>
    </row>
    <row r="780" spans="1:2" x14ac:dyDescent="0.25">
      <c r="A780" s="183" t="s">
        <v>649</v>
      </c>
      <c r="B780">
        <v>20</v>
      </c>
    </row>
    <row r="781" spans="1:2" x14ac:dyDescent="0.25">
      <c r="A781" s="183" t="s">
        <v>650</v>
      </c>
      <c r="B781">
        <v>29</v>
      </c>
    </row>
    <row r="782" spans="1:2" x14ac:dyDescent="0.25">
      <c r="A782" s="183" t="s">
        <v>651</v>
      </c>
      <c r="B782">
        <v>120</v>
      </c>
    </row>
    <row r="783" spans="1:2" x14ac:dyDescent="0.25">
      <c r="A783" s="183" t="s">
        <v>652</v>
      </c>
      <c r="B783">
        <v>47</v>
      </c>
    </row>
    <row r="784" spans="1:2" x14ac:dyDescent="0.25">
      <c r="A784" s="183" t="s">
        <v>653</v>
      </c>
      <c r="B784">
        <v>5</v>
      </c>
    </row>
    <row r="785" spans="1:2" x14ac:dyDescent="0.25">
      <c r="A785" s="183" t="s">
        <v>654</v>
      </c>
      <c r="B785">
        <v>62</v>
      </c>
    </row>
    <row r="786" spans="1:2" x14ac:dyDescent="0.25">
      <c r="A786" s="183" t="s">
        <v>655</v>
      </c>
      <c r="B786">
        <v>65</v>
      </c>
    </row>
    <row r="787" spans="1:2" x14ac:dyDescent="0.25">
      <c r="A787" s="183" t="s">
        <v>656</v>
      </c>
      <c r="B787">
        <v>20</v>
      </c>
    </row>
    <row r="788" spans="1:2" x14ac:dyDescent="0.25">
      <c r="A788" s="183" t="s">
        <v>657</v>
      </c>
      <c r="B788">
        <v>18</v>
      </c>
    </row>
    <row r="789" spans="1:2" x14ac:dyDescent="0.25">
      <c r="A789" s="183" t="s">
        <v>658</v>
      </c>
      <c r="B789">
        <v>5</v>
      </c>
    </row>
    <row r="790" spans="1:2" x14ac:dyDescent="0.25">
      <c r="A790" s="183" t="s">
        <v>1426</v>
      </c>
      <c r="B790">
        <v>2</v>
      </c>
    </row>
    <row r="791" spans="1:2" x14ac:dyDescent="0.25">
      <c r="A791" s="183" t="s">
        <v>659</v>
      </c>
      <c r="B791">
        <v>11</v>
      </c>
    </row>
    <row r="792" spans="1:2" x14ac:dyDescent="0.25">
      <c r="A792" s="183" t="s">
        <v>660</v>
      </c>
      <c r="B792">
        <v>20</v>
      </c>
    </row>
    <row r="793" spans="1:2" x14ac:dyDescent="0.25">
      <c r="A793" s="183" t="s">
        <v>661</v>
      </c>
      <c r="B793">
        <v>5</v>
      </c>
    </row>
    <row r="794" spans="1:2" x14ac:dyDescent="0.25">
      <c r="A794" s="183" t="s">
        <v>662</v>
      </c>
      <c r="B794">
        <v>20</v>
      </c>
    </row>
    <row r="795" spans="1:2" x14ac:dyDescent="0.25">
      <c r="A795" s="183" t="s">
        <v>663</v>
      </c>
      <c r="B795">
        <v>16</v>
      </c>
    </row>
    <row r="796" spans="1:2" x14ac:dyDescent="0.25">
      <c r="A796" s="183" t="s">
        <v>664</v>
      </c>
      <c r="B796">
        <v>23</v>
      </c>
    </row>
    <row r="797" spans="1:2" x14ac:dyDescent="0.25">
      <c r="A797" s="183" t="s">
        <v>665</v>
      </c>
      <c r="B797">
        <v>30</v>
      </c>
    </row>
    <row r="798" spans="1:2" x14ac:dyDescent="0.25">
      <c r="A798" s="183" t="s">
        <v>666</v>
      </c>
      <c r="B798">
        <v>30</v>
      </c>
    </row>
    <row r="799" spans="1:2" x14ac:dyDescent="0.25">
      <c r="A799" s="183" t="s">
        <v>667</v>
      </c>
      <c r="B799">
        <v>5</v>
      </c>
    </row>
    <row r="800" spans="1:2" x14ac:dyDescent="0.25">
      <c r="A800" s="183" t="s">
        <v>668</v>
      </c>
      <c r="B800">
        <v>17</v>
      </c>
    </row>
    <row r="801" spans="1:2" x14ac:dyDescent="0.25">
      <c r="A801" s="183" t="s">
        <v>669</v>
      </c>
      <c r="B801">
        <v>5</v>
      </c>
    </row>
    <row r="802" spans="1:2" x14ac:dyDescent="0.25">
      <c r="A802" s="183" t="s">
        <v>670</v>
      </c>
      <c r="B802">
        <v>15</v>
      </c>
    </row>
    <row r="803" spans="1:2" x14ac:dyDescent="0.25">
      <c r="A803" s="183" t="s">
        <v>671</v>
      </c>
      <c r="B803">
        <v>4</v>
      </c>
    </row>
    <row r="804" spans="1:2" x14ac:dyDescent="0.25">
      <c r="A804" s="183" t="s">
        <v>672</v>
      </c>
      <c r="B804">
        <v>1</v>
      </c>
    </row>
    <row r="805" spans="1:2" x14ac:dyDescent="0.25">
      <c r="A805" s="183" t="s">
        <v>673</v>
      </c>
      <c r="B805">
        <v>3</v>
      </c>
    </row>
    <row r="806" spans="1:2" x14ac:dyDescent="0.25">
      <c r="A806" s="183" t="s">
        <v>1427</v>
      </c>
      <c r="B806">
        <v>1</v>
      </c>
    </row>
    <row r="807" spans="1:2" x14ac:dyDescent="0.25">
      <c r="A807" s="183" t="s">
        <v>674</v>
      </c>
      <c r="B807">
        <v>2</v>
      </c>
    </row>
    <row r="808" spans="1:2" x14ac:dyDescent="0.25">
      <c r="A808" s="183" t="s">
        <v>675</v>
      </c>
      <c r="B808">
        <v>97</v>
      </c>
    </row>
    <row r="809" spans="1:2" x14ac:dyDescent="0.25">
      <c r="A809" s="183" t="s">
        <v>676</v>
      </c>
      <c r="B809">
        <v>14</v>
      </c>
    </row>
    <row r="810" spans="1:2" x14ac:dyDescent="0.25">
      <c r="A810" s="183" t="s">
        <v>677</v>
      </c>
      <c r="B810">
        <v>25</v>
      </c>
    </row>
    <row r="811" spans="1:2" x14ac:dyDescent="0.25">
      <c r="A811" s="183" t="s">
        <v>678</v>
      </c>
      <c r="B811">
        <v>3</v>
      </c>
    </row>
    <row r="812" spans="1:2" x14ac:dyDescent="0.25">
      <c r="A812" s="183" t="s">
        <v>679</v>
      </c>
      <c r="B812">
        <v>533</v>
      </c>
    </row>
    <row r="813" spans="1:2" x14ac:dyDescent="0.25">
      <c r="A813" s="183" t="s">
        <v>680</v>
      </c>
      <c r="B813">
        <v>12</v>
      </c>
    </row>
    <row r="814" spans="1:2" x14ac:dyDescent="0.25">
      <c r="A814" s="183" t="s">
        <v>681</v>
      </c>
      <c r="B814">
        <v>32</v>
      </c>
    </row>
    <row r="815" spans="1:2" x14ac:dyDescent="0.25">
      <c r="A815" s="183" t="s">
        <v>682</v>
      </c>
      <c r="B815">
        <v>6</v>
      </c>
    </row>
    <row r="816" spans="1:2" x14ac:dyDescent="0.25">
      <c r="A816" s="183" t="s">
        <v>683</v>
      </c>
      <c r="B816">
        <v>22</v>
      </c>
    </row>
    <row r="817" spans="1:2" x14ac:dyDescent="0.25">
      <c r="A817" s="183" t="s">
        <v>684</v>
      </c>
      <c r="B817">
        <v>11</v>
      </c>
    </row>
    <row r="818" spans="1:2" x14ac:dyDescent="0.25">
      <c r="A818" s="183" t="s">
        <v>685</v>
      </c>
      <c r="B818">
        <v>19</v>
      </c>
    </row>
    <row r="819" spans="1:2" x14ac:dyDescent="0.25">
      <c r="A819" s="183" t="s">
        <v>686</v>
      </c>
      <c r="B819">
        <v>112</v>
      </c>
    </row>
    <row r="820" spans="1:2" x14ac:dyDescent="0.25">
      <c r="A820" s="183" t="s">
        <v>687</v>
      </c>
      <c r="B820">
        <v>16</v>
      </c>
    </row>
    <row r="821" spans="1:2" x14ac:dyDescent="0.25">
      <c r="A821" s="183" t="s">
        <v>688</v>
      </c>
      <c r="B821">
        <v>30</v>
      </c>
    </row>
    <row r="822" spans="1:2" x14ac:dyDescent="0.25">
      <c r="A822" s="183" t="s">
        <v>689</v>
      </c>
      <c r="B822">
        <v>15</v>
      </c>
    </row>
    <row r="823" spans="1:2" x14ac:dyDescent="0.25">
      <c r="A823" s="183" t="s">
        <v>690</v>
      </c>
      <c r="B823">
        <v>31</v>
      </c>
    </row>
    <row r="824" spans="1:2" x14ac:dyDescent="0.25">
      <c r="A824" s="183" t="s">
        <v>691</v>
      </c>
      <c r="B824">
        <v>43</v>
      </c>
    </row>
    <row r="825" spans="1:2" x14ac:dyDescent="0.25">
      <c r="A825" s="183" t="s">
        <v>692</v>
      </c>
      <c r="B825">
        <v>14</v>
      </c>
    </row>
    <row r="826" spans="1:2" x14ac:dyDescent="0.25">
      <c r="A826" s="183" t="s">
        <v>693</v>
      </c>
      <c r="B826">
        <v>21</v>
      </c>
    </row>
    <row r="827" spans="1:2" x14ac:dyDescent="0.25">
      <c r="A827" s="183" t="s">
        <v>694</v>
      </c>
      <c r="B827">
        <v>13</v>
      </c>
    </row>
    <row r="828" spans="1:2" x14ac:dyDescent="0.25">
      <c r="A828" s="183" t="s">
        <v>695</v>
      </c>
      <c r="B828">
        <v>10</v>
      </c>
    </row>
    <row r="829" spans="1:2" x14ac:dyDescent="0.25">
      <c r="A829" s="183" t="s">
        <v>696</v>
      </c>
      <c r="B829">
        <v>16</v>
      </c>
    </row>
    <row r="830" spans="1:2" x14ac:dyDescent="0.25">
      <c r="A830" s="183" t="s">
        <v>697</v>
      </c>
      <c r="B830">
        <v>15</v>
      </c>
    </row>
    <row r="831" spans="1:2" x14ac:dyDescent="0.25">
      <c r="A831" s="183" t="s">
        <v>698</v>
      </c>
      <c r="B831">
        <v>22</v>
      </c>
    </row>
    <row r="832" spans="1:2" x14ac:dyDescent="0.25">
      <c r="A832" s="183" t="s">
        <v>699</v>
      </c>
      <c r="B832">
        <v>10</v>
      </c>
    </row>
    <row r="833" spans="1:2" x14ac:dyDescent="0.25">
      <c r="A833" s="183" t="s">
        <v>700</v>
      </c>
      <c r="B833">
        <v>10</v>
      </c>
    </row>
    <row r="834" spans="1:2" x14ac:dyDescent="0.25">
      <c r="A834" s="183" t="s">
        <v>701</v>
      </c>
      <c r="B834">
        <v>10</v>
      </c>
    </row>
    <row r="835" spans="1:2" x14ac:dyDescent="0.25">
      <c r="A835" s="183" t="s">
        <v>702</v>
      </c>
      <c r="B835">
        <v>10</v>
      </c>
    </row>
    <row r="836" spans="1:2" x14ac:dyDescent="0.25">
      <c r="A836" s="183" t="s">
        <v>703</v>
      </c>
      <c r="B836">
        <v>10</v>
      </c>
    </row>
    <row r="837" spans="1:2" x14ac:dyDescent="0.25">
      <c r="A837" s="183" t="s">
        <v>704</v>
      </c>
      <c r="B837">
        <v>27</v>
      </c>
    </row>
    <row r="838" spans="1:2" x14ac:dyDescent="0.25">
      <c r="A838" s="183" t="s">
        <v>705</v>
      </c>
      <c r="B838">
        <v>10</v>
      </c>
    </row>
    <row r="839" spans="1:2" x14ac:dyDescent="0.25">
      <c r="A839" s="183" t="s">
        <v>706</v>
      </c>
      <c r="B839">
        <v>20</v>
      </c>
    </row>
    <row r="840" spans="1:2" x14ac:dyDescent="0.25">
      <c r="A840" s="183" t="s">
        <v>707</v>
      </c>
      <c r="B840">
        <v>20</v>
      </c>
    </row>
    <row r="841" spans="1:2" x14ac:dyDescent="0.25">
      <c r="A841" s="183" t="s">
        <v>708</v>
      </c>
      <c r="B841">
        <v>10</v>
      </c>
    </row>
    <row r="842" spans="1:2" x14ac:dyDescent="0.25">
      <c r="A842" s="183" t="s">
        <v>709</v>
      </c>
      <c r="B842">
        <v>10</v>
      </c>
    </row>
    <row r="843" spans="1:2" x14ac:dyDescent="0.25">
      <c r="A843" s="183" t="s">
        <v>710</v>
      </c>
      <c r="B843">
        <v>4</v>
      </c>
    </row>
    <row r="844" spans="1:2" x14ac:dyDescent="0.25">
      <c r="A844" s="183" t="s">
        <v>711</v>
      </c>
      <c r="B844">
        <v>2</v>
      </c>
    </row>
    <row r="845" spans="1:2" x14ac:dyDescent="0.25">
      <c r="A845" s="183" t="s">
        <v>712</v>
      </c>
      <c r="B845">
        <v>3</v>
      </c>
    </row>
    <row r="846" spans="1:2" x14ac:dyDescent="0.25">
      <c r="A846" s="183" t="s">
        <v>713</v>
      </c>
      <c r="B846">
        <v>99</v>
      </c>
    </row>
    <row r="847" spans="1:2" x14ac:dyDescent="0.25">
      <c r="A847" s="183" t="s">
        <v>714</v>
      </c>
      <c r="B847">
        <v>32</v>
      </c>
    </row>
    <row r="848" spans="1:2" x14ac:dyDescent="0.25">
      <c r="A848" s="183" t="s">
        <v>715</v>
      </c>
      <c r="B848">
        <v>337</v>
      </c>
    </row>
    <row r="849" spans="1:2" x14ac:dyDescent="0.25">
      <c r="A849" s="183" t="s">
        <v>716</v>
      </c>
      <c r="B849">
        <v>283</v>
      </c>
    </row>
    <row r="850" spans="1:2" x14ac:dyDescent="0.25">
      <c r="A850" s="183" t="s">
        <v>717</v>
      </c>
      <c r="B850">
        <v>6</v>
      </c>
    </row>
    <row r="851" spans="1:2" x14ac:dyDescent="0.25">
      <c r="A851" s="183" t="s">
        <v>718</v>
      </c>
      <c r="B851">
        <v>7</v>
      </c>
    </row>
    <row r="852" spans="1:2" x14ac:dyDescent="0.25">
      <c r="A852" s="183" t="s">
        <v>719</v>
      </c>
      <c r="B852">
        <v>273</v>
      </c>
    </row>
    <row r="853" spans="1:2" x14ac:dyDescent="0.25">
      <c r="A853" s="183" t="s">
        <v>720</v>
      </c>
      <c r="B853">
        <v>44</v>
      </c>
    </row>
    <row r="854" spans="1:2" x14ac:dyDescent="0.25">
      <c r="A854" s="183" t="s">
        <v>721</v>
      </c>
      <c r="B854">
        <v>79</v>
      </c>
    </row>
    <row r="855" spans="1:2" x14ac:dyDescent="0.25">
      <c r="A855" s="183" t="s">
        <v>722</v>
      </c>
      <c r="B855">
        <v>135</v>
      </c>
    </row>
    <row r="856" spans="1:2" x14ac:dyDescent="0.25">
      <c r="A856" s="183" t="s">
        <v>723</v>
      </c>
      <c r="B856">
        <v>46</v>
      </c>
    </row>
    <row r="857" spans="1:2" x14ac:dyDescent="0.25">
      <c r="A857" s="183" t="s">
        <v>724</v>
      </c>
      <c r="B857">
        <v>15</v>
      </c>
    </row>
    <row r="858" spans="1:2" x14ac:dyDescent="0.25">
      <c r="A858" s="183" t="s">
        <v>725</v>
      </c>
      <c r="B858">
        <v>30</v>
      </c>
    </row>
    <row r="859" spans="1:2" x14ac:dyDescent="0.25">
      <c r="A859" s="183" t="s">
        <v>726</v>
      </c>
      <c r="B859">
        <v>14</v>
      </c>
    </row>
    <row r="860" spans="1:2" x14ac:dyDescent="0.25">
      <c r="A860" s="183" t="s">
        <v>727</v>
      </c>
      <c r="B860">
        <v>60</v>
      </c>
    </row>
    <row r="861" spans="1:2" x14ac:dyDescent="0.25">
      <c r="A861" s="183" t="s">
        <v>728</v>
      </c>
      <c r="B861">
        <v>30</v>
      </c>
    </row>
    <row r="862" spans="1:2" x14ac:dyDescent="0.25">
      <c r="A862" s="183" t="s">
        <v>1428</v>
      </c>
      <c r="B862">
        <v>2</v>
      </c>
    </row>
    <row r="863" spans="1:2" x14ac:dyDescent="0.25">
      <c r="A863" s="183" t="s">
        <v>729</v>
      </c>
      <c r="B863">
        <v>1</v>
      </c>
    </row>
    <row r="864" spans="1:2" x14ac:dyDescent="0.25">
      <c r="A864" s="183" t="s">
        <v>730</v>
      </c>
      <c r="B864">
        <v>60</v>
      </c>
    </row>
    <row r="865" spans="1:2" x14ac:dyDescent="0.25">
      <c r="A865" s="183" t="s">
        <v>731</v>
      </c>
      <c r="B865">
        <v>20</v>
      </c>
    </row>
    <row r="866" spans="1:2" x14ac:dyDescent="0.25">
      <c r="A866" s="183" t="s">
        <v>732</v>
      </c>
      <c r="B866">
        <v>27</v>
      </c>
    </row>
    <row r="867" spans="1:2" x14ac:dyDescent="0.25">
      <c r="A867" s="183" t="s">
        <v>733</v>
      </c>
      <c r="B867">
        <v>80</v>
      </c>
    </row>
    <row r="868" spans="1:2" x14ac:dyDescent="0.25">
      <c r="A868" s="183" t="s">
        <v>734</v>
      </c>
      <c r="B868">
        <v>46</v>
      </c>
    </row>
    <row r="869" spans="1:2" x14ac:dyDescent="0.25">
      <c r="A869" s="183" t="s">
        <v>735</v>
      </c>
      <c r="B869">
        <v>10</v>
      </c>
    </row>
    <row r="870" spans="1:2" x14ac:dyDescent="0.25">
      <c r="A870" s="183" t="s">
        <v>736</v>
      </c>
      <c r="B870">
        <v>58</v>
      </c>
    </row>
    <row r="871" spans="1:2" x14ac:dyDescent="0.25">
      <c r="A871" s="183" t="s">
        <v>737</v>
      </c>
      <c r="B871">
        <v>7</v>
      </c>
    </row>
    <row r="872" spans="1:2" x14ac:dyDescent="0.25">
      <c r="A872" s="183" t="s">
        <v>738</v>
      </c>
      <c r="B872">
        <v>70</v>
      </c>
    </row>
    <row r="873" spans="1:2" x14ac:dyDescent="0.25">
      <c r="A873" s="183" t="s">
        <v>739</v>
      </c>
      <c r="B873">
        <v>80</v>
      </c>
    </row>
    <row r="874" spans="1:2" x14ac:dyDescent="0.25">
      <c r="A874" s="183" t="s">
        <v>740</v>
      </c>
      <c r="B874">
        <v>3</v>
      </c>
    </row>
    <row r="875" spans="1:2" x14ac:dyDescent="0.25">
      <c r="A875" s="183" t="s">
        <v>741</v>
      </c>
      <c r="B875">
        <v>5</v>
      </c>
    </row>
    <row r="876" spans="1:2" x14ac:dyDescent="0.25">
      <c r="A876" s="183" t="s">
        <v>742</v>
      </c>
      <c r="B876">
        <v>5</v>
      </c>
    </row>
    <row r="877" spans="1:2" x14ac:dyDescent="0.25">
      <c r="A877" s="183" t="s">
        <v>743</v>
      </c>
      <c r="B877">
        <v>5</v>
      </c>
    </row>
    <row r="878" spans="1:2" x14ac:dyDescent="0.25">
      <c r="A878" s="183" t="s">
        <v>744</v>
      </c>
      <c r="B878">
        <v>5</v>
      </c>
    </row>
    <row r="879" spans="1:2" x14ac:dyDescent="0.25">
      <c r="A879" s="183" t="s">
        <v>745</v>
      </c>
      <c r="B879">
        <v>13</v>
      </c>
    </row>
    <row r="880" spans="1:2" x14ac:dyDescent="0.25">
      <c r="A880" s="183" t="s">
        <v>746</v>
      </c>
      <c r="B880">
        <v>20</v>
      </c>
    </row>
    <row r="881" spans="1:2" x14ac:dyDescent="0.25">
      <c r="A881" s="183" t="s">
        <v>747</v>
      </c>
      <c r="B881">
        <v>5</v>
      </c>
    </row>
    <row r="882" spans="1:2" x14ac:dyDescent="0.25">
      <c r="A882" s="183" t="s">
        <v>748</v>
      </c>
      <c r="B882">
        <v>30</v>
      </c>
    </row>
    <row r="883" spans="1:2" x14ac:dyDescent="0.25">
      <c r="A883" s="183" t="s">
        <v>749</v>
      </c>
      <c r="B883">
        <v>37</v>
      </c>
    </row>
    <row r="884" spans="1:2" x14ac:dyDescent="0.25">
      <c r="A884" s="183" t="s">
        <v>750</v>
      </c>
      <c r="B884">
        <v>5</v>
      </c>
    </row>
    <row r="885" spans="1:2" x14ac:dyDescent="0.25">
      <c r="A885" s="183" t="s">
        <v>751</v>
      </c>
      <c r="B885">
        <v>43</v>
      </c>
    </row>
    <row r="886" spans="1:2" x14ac:dyDescent="0.25">
      <c r="A886" s="183" t="s">
        <v>752</v>
      </c>
      <c r="B886">
        <v>5</v>
      </c>
    </row>
    <row r="887" spans="1:2" x14ac:dyDescent="0.25">
      <c r="A887" s="183" t="s">
        <v>753</v>
      </c>
      <c r="B887">
        <v>1</v>
      </c>
    </row>
    <row r="888" spans="1:2" x14ac:dyDescent="0.25">
      <c r="A888" s="183" t="s">
        <v>754</v>
      </c>
      <c r="B888">
        <v>17</v>
      </c>
    </row>
    <row r="889" spans="1:2" x14ac:dyDescent="0.25">
      <c r="A889" s="183" t="s">
        <v>1429</v>
      </c>
      <c r="B889">
        <v>1</v>
      </c>
    </row>
    <row r="890" spans="1:2" x14ac:dyDescent="0.25">
      <c r="A890" s="183" t="s">
        <v>755</v>
      </c>
      <c r="B890">
        <v>30</v>
      </c>
    </row>
    <row r="891" spans="1:2" x14ac:dyDescent="0.25">
      <c r="A891" s="183" t="s">
        <v>756</v>
      </c>
      <c r="B891">
        <v>63</v>
      </c>
    </row>
    <row r="892" spans="1:2" x14ac:dyDescent="0.25">
      <c r="A892" s="183" t="s">
        <v>757</v>
      </c>
      <c r="B892">
        <v>15</v>
      </c>
    </row>
    <row r="893" spans="1:2" x14ac:dyDescent="0.25">
      <c r="A893" s="183" t="s">
        <v>758</v>
      </c>
      <c r="B893">
        <v>150</v>
      </c>
    </row>
    <row r="894" spans="1:2" x14ac:dyDescent="0.25">
      <c r="A894" s="183" t="s">
        <v>759</v>
      </c>
      <c r="B894">
        <v>15</v>
      </c>
    </row>
    <row r="895" spans="1:2" x14ac:dyDescent="0.25">
      <c r="A895" s="183" t="s">
        <v>760</v>
      </c>
      <c r="B895">
        <v>30</v>
      </c>
    </row>
    <row r="896" spans="1:2" x14ac:dyDescent="0.25">
      <c r="A896" s="183" t="s">
        <v>761</v>
      </c>
      <c r="B896">
        <v>15</v>
      </c>
    </row>
    <row r="897" spans="1:2" x14ac:dyDescent="0.25">
      <c r="A897" s="183" t="s">
        <v>762</v>
      </c>
      <c r="B897">
        <v>15</v>
      </c>
    </row>
    <row r="898" spans="1:2" x14ac:dyDescent="0.25">
      <c r="A898" s="183" t="s">
        <v>763</v>
      </c>
      <c r="B898">
        <v>100</v>
      </c>
    </row>
    <row r="899" spans="1:2" x14ac:dyDescent="0.25">
      <c r="A899" s="183" t="s">
        <v>764</v>
      </c>
      <c r="B899">
        <v>19</v>
      </c>
    </row>
    <row r="900" spans="1:2" x14ac:dyDescent="0.25">
      <c r="A900" s="183" t="s">
        <v>765</v>
      </c>
      <c r="B900">
        <v>3</v>
      </c>
    </row>
    <row r="901" spans="1:2" x14ac:dyDescent="0.25">
      <c r="A901" s="183" t="s">
        <v>766</v>
      </c>
      <c r="B901">
        <v>816</v>
      </c>
    </row>
    <row r="902" spans="1:2" x14ac:dyDescent="0.25">
      <c r="A902" s="183" t="s">
        <v>767</v>
      </c>
      <c r="B902">
        <v>25</v>
      </c>
    </row>
    <row r="903" spans="1:2" x14ac:dyDescent="0.25">
      <c r="A903" s="183" t="s">
        <v>768</v>
      </c>
      <c r="B903">
        <v>45</v>
      </c>
    </row>
    <row r="904" spans="1:2" x14ac:dyDescent="0.25">
      <c r="A904" s="183" t="s">
        <v>769</v>
      </c>
      <c r="B904">
        <v>41</v>
      </c>
    </row>
    <row r="905" spans="1:2" x14ac:dyDescent="0.25">
      <c r="A905" s="183" t="s">
        <v>770</v>
      </c>
      <c r="B905">
        <v>10</v>
      </c>
    </row>
    <row r="906" spans="1:2" x14ac:dyDescent="0.25">
      <c r="A906" s="183" t="s">
        <v>771</v>
      </c>
      <c r="B906">
        <v>10</v>
      </c>
    </row>
    <row r="907" spans="1:2" x14ac:dyDescent="0.25">
      <c r="A907" s="183" t="s">
        <v>772</v>
      </c>
      <c r="B907">
        <v>11</v>
      </c>
    </row>
    <row r="908" spans="1:2" x14ac:dyDescent="0.25">
      <c r="A908" s="183" t="s">
        <v>773</v>
      </c>
      <c r="B908">
        <v>10</v>
      </c>
    </row>
    <row r="909" spans="1:2" x14ac:dyDescent="0.25">
      <c r="A909" s="183" t="s">
        <v>774</v>
      </c>
      <c r="B909">
        <v>10</v>
      </c>
    </row>
    <row r="910" spans="1:2" x14ac:dyDescent="0.25">
      <c r="A910" s="183" t="s">
        <v>775</v>
      </c>
      <c r="B910">
        <v>10</v>
      </c>
    </row>
    <row r="911" spans="1:2" x14ac:dyDescent="0.25">
      <c r="A911" s="183" t="s">
        <v>776</v>
      </c>
      <c r="B911">
        <v>19</v>
      </c>
    </row>
    <row r="912" spans="1:2" x14ac:dyDescent="0.25">
      <c r="A912" s="183" t="s">
        <v>777</v>
      </c>
      <c r="B912">
        <v>16</v>
      </c>
    </row>
    <row r="913" spans="1:2" x14ac:dyDescent="0.25">
      <c r="A913" s="183" t="s">
        <v>778</v>
      </c>
      <c r="B913">
        <v>26</v>
      </c>
    </row>
    <row r="914" spans="1:2" x14ac:dyDescent="0.25">
      <c r="A914" s="183" t="s">
        <v>779</v>
      </c>
      <c r="B914">
        <v>18</v>
      </c>
    </row>
    <row r="915" spans="1:2" x14ac:dyDescent="0.25">
      <c r="A915" s="183" t="s">
        <v>780</v>
      </c>
      <c r="B915">
        <v>11</v>
      </c>
    </row>
    <row r="916" spans="1:2" x14ac:dyDescent="0.25">
      <c r="A916" s="183" t="s">
        <v>781</v>
      </c>
      <c r="B916">
        <v>10</v>
      </c>
    </row>
    <row r="917" spans="1:2" x14ac:dyDescent="0.25">
      <c r="A917" s="183" t="s">
        <v>782</v>
      </c>
      <c r="B917">
        <v>15</v>
      </c>
    </row>
    <row r="918" spans="1:2" x14ac:dyDescent="0.25">
      <c r="A918" s="183" t="s">
        <v>783</v>
      </c>
      <c r="B918">
        <v>10</v>
      </c>
    </row>
    <row r="919" spans="1:2" x14ac:dyDescent="0.25">
      <c r="A919" s="183" t="s">
        <v>784</v>
      </c>
      <c r="B919">
        <v>10</v>
      </c>
    </row>
    <row r="920" spans="1:2" x14ac:dyDescent="0.25">
      <c r="A920" s="183" t="s">
        <v>785</v>
      </c>
      <c r="B920">
        <v>10</v>
      </c>
    </row>
    <row r="921" spans="1:2" x14ac:dyDescent="0.25">
      <c r="A921" s="183" t="s">
        <v>786</v>
      </c>
      <c r="B921">
        <v>30</v>
      </c>
    </row>
    <row r="922" spans="1:2" x14ac:dyDescent="0.25">
      <c r="A922" s="183" t="s">
        <v>787</v>
      </c>
      <c r="B922">
        <v>25</v>
      </c>
    </row>
    <row r="923" spans="1:2" x14ac:dyDescent="0.25">
      <c r="A923" s="183" t="s">
        <v>788</v>
      </c>
      <c r="B923">
        <v>10</v>
      </c>
    </row>
    <row r="924" spans="1:2" x14ac:dyDescent="0.25">
      <c r="A924" s="183" t="s">
        <v>789</v>
      </c>
      <c r="B924">
        <v>10</v>
      </c>
    </row>
    <row r="925" spans="1:2" x14ac:dyDescent="0.25">
      <c r="A925" s="183" t="s">
        <v>790</v>
      </c>
      <c r="B925">
        <v>10</v>
      </c>
    </row>
    <row r="926" spans="1:2" x14ac:dyDescent="0.25">
      <c r="A926" s="183" t="s">
        <v>791</v>
      </c>
      <c r="B926">
        <v>10</v>
      </c>
    </row>
    <row r="927" spans="1:2" x14ac:dyDescent="0.25">
      <c r="A927" s="183" t="s">
        <v>792</v>
      </c>
      <c r="B927">
        <v>11</v>
      </c>
    </row>
    <row r="928" spans="1:2" x14ac:dyDescent="0.25">
      <c r="A928" s="183" t="s">
        <v>793</v>
      </c>
      <c r="B928">
        <v>90</v>
      </c>
    </row>
    <row r="929" spans="1:2" x14ac:dyDescent="0.25">
      <c r="A929" s="183" t="s">
        <v>794</v>
      </c>
      <c r="B929">
        <v>12</v>
      </c>
    </row>
    <row r="930" spans="1:2" x14ac:dyDescent="0.25">
      <c r="A930" s="183" t="s">
        <v>795</v>
      </c>
      <c r="B930">
        <v>168</v>
      </c>
    </row>
    <row r="931" spans="1:2" x14ac:dyDescent="0.25">
      <c r="A931" s="183" t="s">
        <v>796</v>
      </c>
      <c r="B931">
        <v>264</v>
      </c>
    </row>
    <row r="932" spans="1:2" x14ac:dyDescent="0.25">
      <c r="A932" s="183" t="s">
        <v>797</v>
      </c>
      <c r="B932">
        <v>59</v>
      </c>
    </row>
    <row r="933" spans="1:2" x14ac:dyDescent="0.25">
      <c r="A933" s="183" t="s">
        <v>798</v>
      </c>
      <c r="B933">
        <v>107</v>
      </c>
    </row>
    <row r="934" spans="1:2" x14ac:dyDescent="0.25">
      <c r="A934" s="183" t="s">
        <v>799</v>
      </c>
      <c r="B934">
        <v>85</v>
      </c>
    </row>
    <row r="935" spans="1:2" x14ac:dyDescent="0.25">
      <c r="A935" s="183" t="s">
        <v>800</v>
      </c>
      <c r="B935">
        <v>17</v>
      </c>
    </row>
    <row r="936" spans="1:2" x14ac:dyDescent="0.25">
      <c r="A936" s="183" t="s">
        <v>801</v>
      </c>
      <c r="B936">
        <v>14</v>
      </c>
    </row>
    <row r="937" spans="1:2" x14ac:dyDescent="0.25">
      <c r="A937" s="183" t="s">
        <v>802</v>
      </c>
      <c r="B937">
        <v>14</v>
      </c>
    </row>
    <row r="938" spans="1:2" x14ac:dyDescent="0.25">
      <c r="A938" s="183" t="s">
        <v>803</v>
      </c>
      <c r="B938">
        <v>14</v>
      </c>
    </row>
    <row r="939" spans="1:2" x14ac:dyDescent="0.25">
      <c r="A939" s="183" t="s">
        <v>804</v>
      </c>
      <c r="B939">
        <v>10</v>
      </c>
    </row>
    <row r="940" spans="1:2" x14ac:dyDescent="0.25">
      <c r="A940" s="183" t="s">
        <v>805</v>
      </c>
      <c r="B940">
        <v>23</v>
      </c>
    </row>
    <row r="941" spans="1:2" x14ac:dyDescent="0.25">
      <c r="A941" s="183" t="s">
        <v>806</v>
      </c>
      <c r="B941">
        <v>150</v>
      </c>
    </row>
    <row r="942" spans="1:2" x14ac:dyDescent="0.25">
      <c r="A942" s="183" t="s">
        <v>807</v>
      </c>
      <c r="B942">
        <v>5</v>
      </c>
    </row>
    <row r="943" spans="1:2" x14ac:dyDescent="0.25">
      <c r="A943" s="183" t="s">
        <v>1444</v>
      </c>
      <c r="B943">
        <v>24</v>
      </c>
    </row>
    <row r="944" spans="1:2" x14ac:dyDescent="0.25">
      <c r="A944" s="183" t="s">
        <v>808</v>
      </c>
      <c r="B944">
        <v>67</v>
      </c>
    </row>
    <row r="945" spans="1:2" x14ac:dyDescent="0.25">
      <c r="A945" s="183" t="s">
        <v>809</v>
      </c>
      <c r="B945">
        <v>5</v>
      </c>
    </row>
    <row r="946" spans="1:2" x14ac:dyDescent="0.25">
      <c r="A946" s="183" t="s">
        <v>810</v>
      </c>
      <c r="B946">
        <v>37</v>
      </c>
    </row>
    <row r="947" spans="1:2" x14ac:dyDescent="0.25">
      <c r="A947" s="183" t="s">
        <v>811</v>
      </c>
      <c r="B947">
        <v>100</v>
      </c>
    </row>
    <row r="948" spans="1:2" x14ac:dyDescent="0.25">
      <c r="A948" s="183" t="s">
        <v>812</v>
      </c>
      <c r="B948">
        <v>111</v>
      </c>
    </row>
    <row r="949" spans="1:2" x14ac:dyDescent="0.25">
      <c r="A949" s="183" t="s">
        <v>813</v>
      </c>
      <c r="B949">
        <v>78</v>
      </c>
    </row>
    <row r="950" spans="1:2" x14ac:dyDescent="0.25">
      <c r="A950" s="183" t="s">
        <v>814</v>
      </c>
      <c r="B950">
        <v>24</v>
      </c>
    </row>
    <row r="951" spans="1:2" x14ac:dyDescent="0.25">
      <c r="A951" s="183" t="s">
        <v>815</v>
      </c>
      <c r="B951">
        <v>39</v>
      </c>
    </row>
    <row r="952" spans="1:2" x14ac:dyDescent="0.25">
      <c r="A952" s="183" t="s">
        <v>816</v>
      </c>
      <c r="B952">
        <v>26</v>
      </c>
    </row>
    <row r="953" spans="1:2" x14ac:dyDescent="0.25">
      <c r="A953" s="183" t="s">
        <v>817</v>
      </c>
      <c r="B953">
        <v>13</v>
      </c>
    </row>
    <row r="954" spans="1:2" x14ac:dyDescent="0.25">
      <c r="A954" s="183" t="s">
        <v>818</v>
      </c>
      <c r="B954">
        <v>24</v>
      </c>
    </row>
    <row r="955" spans="1:2" x14ac:dyDescent="0.25">
      <c r="A955" s="183" t="s">
        <v>819</v>
      </c>
      <c r="B955">
        <v>19</v>
      </c>
    </row>
    <row r="956" spans="1:2" x14ac:dyDescent="0.25">
      <c r="A956" s="183" t="s">
        <v>820</v>
      </c>
      <c r="B956">
        <v>4</v>
      </c>
    </row>
    <row r="957" spans="1:2" x14ac:dyDescent="0.25">
      <c r="A957" s="183" t="s">
        <v>821</v>
      </c>
      <c r="B957">
        <v>43</v>
      </c>
    </row>
    <row r="958" spans="1:2" x14ac:dyDescent="0.25">
      <c r="A958" s="183" t="s">
        <v>822</v>
      </c>
      <c r="B958">
        <v>58</v>
      </c>
    </row>
    <row r="959" spans="1:2" x14ac:dyDescent="0.25">
      <c r="A959" s="183" t="s">
        <v>823</v>
      </c>
      <c r="B959">
        <v>34</v>
      </c>
    </row>
    <row r="960" spans="1:2" x14ac:dyDescent="0.25">
      <c r="A960" s="183" t="s">
        <v>824</v>
      </c>
      <c r="B960">
        <v>25</v>
      </c>
    </row>
    <row r="961" spans="1:2" x14ac:dyDescent="0.25">
      <c r="A961" s="183" t="s">
        <v>825</v>
      </c>
      <c r="B961">
        <v>21</v>
      </c>
    </row>
    <row r="962" spans="1:2" x14ac:dyDescent="0.25">
      <c r="A962" s="183" t="s">
        <v>826</v>
      </c>
      <c r="B962">
        <v>7</v>
      </c>
    </row>
    <row r="963" spans="1:2" x14ac:dyDescent="0.25">
      <c r="A963" s="183" t="s">
        <v>827</v>
      </c>
      <c r="B963">
        <v>21</v>
      </c>
    </row>
    <row r="964" spans="1:2" x14ac:dyDescent="0.25">
      <c r="A964" s="183" t="s">
        <v>828</v>
      </c>
      <c r="B964">
        <v>32</v>
      </c>
    </row>
    <row r="965" spans="1:2" x14ac:dyDescent="0.25">
      <c r="A965" s="183" t="s">
        <v>829</v>
      </c>
      <c r="B965">
        <v>4</v>
      </c>
    </row>
    <row r="966" spans="1:2" x14ac:dyDescent="0.25">
      <c r="A966" s="183" t="s">
        <v>830</v>
      </c>
      <c r="B966">
        <v>144</v>
      </c>
    </row>
    <row r="967" spans="1:2" x14ac:dyDescent="0.25">
      <c r="A967" s="183" t="s">
        <v>831</v>
      </c>
      <c r="B967">
        <v>20</v>
      </c>
    </row>
    <row r="968" spans="1:2" x14ac:dyDescent="0.25">
      <c r="A968" s="183" t="s">
        <v>1445</v>
      </c>
      <c r="B968">
        <v>26</v>
      </c>
    </row>
    <row r="969" spans="1:2" x14ac:dyDescent="0.25">
      <c r="A969" s="183" t="s">
        <v>832</v>
      </c>
      <c r="B969">
        <v>47</v>
      </c>
    </row>
    <row r="970" spans="1:2" x14ac:dyDescent="0.25">
      <c r="A970" s="183" t="s">
        <v>833</v>
      </c>
      <c r="B970">
        <v>20</v>
      </c>
    </row>
    <row r="971" spans="1:2" x14ac:dyDescent="0.25">
      <c r="A971" s="183" t="s">
        <v>834</v>
      </c>
      <c r="B971">
        <v>16</v>
      </c>
    </row>
    <row r="972" spans="1:2" x14ac:dyDescent="0.25">
      <c r="A972" s="183" t="s">
        <v>835</v>
      </c>
      <c r="B972">
        <v>26</v>
      </c>
    </row>
    <row r="973" spans="1:2" x14ac:dyDescent="0.25">
      <c r="A973" s="183" t="s">
        <v>836</v>
      </c>
      <c r="B973">
        <v>59</v>
      </c>
    </row>
    <row r="974" spans="1:2" x14ac:dyDescent="0.25">
      <c r="A974" s="183" t="s">
        <v>837</v>
      </c>
      <c r="B974">
        <v>26</v>
      </c>
    </row>
    <row r="975" spans="1:2" x14ac:dyDescent="0.25">
      <c r="A975" s="183" t="s">
        <v>838</v>
      </c>
      <c r="B975">
        <v>46</v>
      </c>
    </row>
    <row r="976" spans="1:2" x14ac:dyDescent="0.25">
      <c r="A976" s="183" t="s">
        <v>839</v>
      </c>
      <c r="B976">
        <v>43</v>
      </c>
    </row>
    <row r="977" spans="1:2" x14ac:dyDescent="0.25">
      <c r="A977" s="183" t="s">
        <v>840</v>
      </c>
      <c r="B977">
        <v>2</v>
      </c>
    </row>
    <row r="978" spans="1:2" x14ac:dyDescent="0.25">
      <c r="A978" s="183" t="s">
        <v>1430</v>
      </c>
      <c r="B978">
        <v>2</v>
      </c>
    </row>
    <row r="979" spans="1:2" x14ac:dyDescent="0.25">
      <c r="A979" s="183" t="s">
        <v>841</v>
      </c>
      <c r="B979">
        <v>4</v>
      </c>
    </row>
    <row r="980" spans="1:2" x14ac:dyDescent="0.25">
      <c r="A980" s="183" t="s">
        <v>842</v>
      </c>
      <c r="B980">
        <v>12</v>
      </c>
    </row>
    <row r="981" spans="1:2" x14ac:dyDescent="0.25">
      <c r="A981" s="183" t="s">
        <v>843</v>
      </c>
      <c r="B981">
        <v>25</v>
      </c>
    </row>
    <row r="982" spans="1:2" x14ac:dyDescent="0.25">
      <c r="A982" s="183" t="s">
        <v>844</v>
      </c>
      <c r="B982">
        <v>8</v>
      </c>
    </row>
    <row r="983" spans="1:2" x14ac:dyDescent="0.25">
      <c r="A983" s="183" t="s">
        <v>845</v>
      </c>
      <c r="B983">
        <v>19</v>
      </c>
    </row>
    <row r="984" spans="1:2" x14ac:dyDescent="0.25">
      <c r="A984" s="183" t="s">
        <v>846</v>
      </c>
      <c r="B984">
        <v>11</v>
      </c>
    </row>
    <row r="985" spans="1:2" x14ac:dyDescent="0.25">
      <c r="A985" s="183" t="s">
        <v>847</v>
      </c>
      <c r="B985">
        <v>5</v>
      </c>
    </row>
    <row r="986" spans="1:2" x14ac:dyDescent="0.25">
      <c r="A986" s="183" t="s">
        <v>848</v>
      </c>
      <c r="B986">
        <v>13</v>
      </c>
    </row>
    <row r="987" spans="1:2" x14ac:dyDescent="0.25">
      <c r="A987" s="183" t="s">
        <v>849</v>
      </c>
      <c r="B987">
        <v>2</v>
      </c>
    </row>
    <row r="988" spans="1:2" x14ac:dyDescent="0.25">
      <c r="A988" s="183" t="s">
        <v>850</v>
      </c>
      <c r="B988">
        <v>2</v>
      </c>
    </row>
    <row r="989" spans="1:2" x14ac:dyDescent="0.25">
      <c r="A989" s="183" t="s">
        <v>851</v>
      </c>
      <c r="B989">
        <v>3</v>
      </c>
    </row>
    <row r="990" spans="1:2" x14ac:dyDescent="0.25">
      <c r="A990" s="183" t="s">
        <v>852</v>
      </c>
      <c r="B990">
        <v>1</v>
      </c>
    </row>
    <row r="991" spans="1:2" x14ac:dyDescent="0.25">
      <c r="A991" s="183" t="s">
        <v>853</v>
      </c>
      <c r="B991">
        <v>14</v>
      </c>
    </row>
    <row r="992" spans="1:2" x14ac:dyDescent="0.25">
      <c r="A992" s="183" t="s">
        <v>854</v>
      </c>
      <c r="B992">
        <v>18</v>
      </c>
    </row>
    <row r="993" spans="1:2" x14ac:dyDescent="0.25">
      <c r="A993" s="183" t="s">
        <v>855</v>
      </c>
      <c r="B993">
        <v>3</v>
      </c>
    </row>
    <row r="994" spans="1:2" x14ac:dyDescent="0.25">
      <c r="A994" s="183" t="s">
        <v>856</v>
      </c>
      <c r="B994">
        <v>4</v>
      </c>
    </row>
    <row r="995" spans="1:2" x14ac:dyDescent="0.25">
      <c r="A995" s="183" t="s">
        <v>857</v>
      </c>
      <c r="B995">
        <v>5</v>
      </c>
    </row>
    <row r="996" spans="1:2" x14ac:dyDescent="0.25">
      <c r="A996" s="183" t="s">
        <v>858</v>
      </c>
      <c r="B996">
        <v>7</v>
      </c>
    </row>
    <row r="997" spans="1:2" x14ac:dyDescent="0.25">
      <c r="A997" s="183" t="s">
        <v>859</v>
      </c>
      <c r="B997">
        <v>14</v>
      </c>
    </row>
    <row r="998" spans="1:2" x14ac:dyDescent="0.25">
      <c r="A998" s="183" t="s">
        <v>860</v>
      </c>
      <c r="B998">
        <v>4</v>
      </c>
    </row>
    <row r="999" spans="1:2" x14ac:dyDescent="0.25">
      <c r="A999" s="183" t="s">
        <v>861</v>
      </c>
      <c r="B999">
        <v>2</v>
      </c>
    </row>
    <row r="1000" spans="1:2" x14ac:dyDescent="0.25">
      <c r="A1000" s="183" t="s">
        <v>862</v>
      </c>
      <c r="B1000">
        <v>4</v>
      </c>
    </row>
    <row r="1001" spans="1:2" x14ac:dyDescent="0.25">
      <c r="A1001" s="183" t="s">
        <v>863</v>
      </c>
      <c r="B1001">
        <v>4</v>
      </c>
    </row>
    <row r="1002" spans="1:2" x14ac:dyDescent="0.25">
      <c r="A1002" s="183" t="s">
        <v>864</v>
      </c>
      <c r="B1002">
        <v>10</v>
      </c>
    </row>
    <row r="1003" spans="1:2" x14ac:dyDescent="0.25">
      <c r="A1003" s="183" t="s">
        <v>865</v>
      </c>
      <c r="B1003">
        <v>2</v>
      </c>
    </row>
    <row r="1004" spans="1:2" x14ac:dyDescent="0.25">
      <c r="A1004" s="183" t="s">
        <v>866</v>
      </c>
      <c r="B1004">
        <v>4</v>
      </c>
    </row>
    <row r="1005" spans="1:2" x14ac:dyDescent="0.25">
      <c r="A1005" s="183" t="s">
        <v>867</v>
      </c>
      <c r="B1005">
        <v>9</v>
      </c>
    </row>
    <row r="1006" spans="1:2" x14ac:dyDescent="0.25">
      <c r="A1006" s="183" t="s">
        <v>868</v>
      </c>
      <c r="B1006">
        <v>2</v>
      </c>
    </row>
    <row r="1007" spans="1:2" x14ac:dyDescent="0.25">
      <c r="A1007" s="183" t="s">
        <v>869</v>
      </c>
      <c r="B1007">
        <v>3</v>
      </c>
    </row>
    <row r="1008" spans="1:2" x14ac:dyDescent="0.25">
      <c r="A1008" s="183" t="s">
        <v>870</v>
      </c>
      <c r="B1008">
        <v>2</v>
      </c>
    </row>
    <row r="1009" spans="1:2" x14ac:dyDescent="0.25">
      <c r="A1009" s="183" t="s">
        <v>871</v>
      </c>
      <c r="B1009">
        <v>27</v>
      </c>
    </row>
    <row r="1010" spans="1:2" x14ac:dyDescent="0.25">
      <c r="A1010" s="183" t="s">
        <v>872</v>
      </c>
      <c r="B1010">
        <v>13</v>
      </c>
    </row>
    <row r="1011" spans="1:2" x14ac:dyDescent="0.25">
      <c r="A1011" s="183" t="s">
        <v>873</v>
      </c>
      <c r="B1011">
        <v>38</v>
      </c>
    </row>
    <row r="1012" spans="1:2" x14ac:dyDescent="0.25">
      <c r="A1012" s="183" t="s">
        <v>874</v>
      </c>
      <c r="B1012">
        <v>33</v>
      </c>
    </row>
    <row r="1013" spans="1:2" x14ac:dyDescent="0.25">
      <c r="A1013" s="183" t="s">
        <v>875</v>
      </c>
      <c r="B1013">
        <v>9</v>
      </c>
    </row>
    <row r="1014" spans="1:2" x14ac:dyDescent="0.25">
      <c r="A1014" s="183" t="s">
        <v>876</v>
      </c>
      <c r="B1014">
        <v>17</v>
      </c>
    </row>
    <row r="1015" spans="1:2" x14ac:dyDescent="0.25">
      <c r="A1015" s="183" t="s">
        <v>877</v>
      </c>
      <c r="B1015">
        <v>7</v>
      </c>
    </row>
    <row r="1016" spans="1:2" x14ac:dyDescent="0.25">
      <c r="A1016" s="183" t="s">
        <v>878</v>
      </c>
      <c r="B1016">
        <v>9</v>
      </c>
    </row>
    <row r="1017" spans="1:2" x14ac:dyDescent="0.25">
      <c r="A1017" s="183" t="s">
        <v>879</v>
      </c>
      <c r="B1017">
        <v>8</v>
      </c>
    </row>
    <row r="1018" spans="1:2" x14ac:dyDescent="0.25">
      <c r="A1018" s="183" t="s">
        <v>880</v>
      </c>
      <c r="B1018">
        <v>1</v>
      </c>
    </row>
    <row r="1019" spans="1:2" x14ac:dyDescent="0.25">
      <c r="A1019" s="183" t="s">
        <v>881</v>
      </c>
      <c r="B1019">
        <v>6</v>
      </c>
    </row>
    <row r="1020" spans="1:2" x14ac:dyDescent="0.25">
      <c r="A1020" s="183" t="s">
        <v>882</v>
      </c>
      <c r="B1020">
        <v>75</v>
      </c>
    </row>
    <row r="1021" spans="1:2" x14ac:dyDescent="0.25">
      <c r="A1021" s="183" t="s">
        <v>883</v>
      </c>
      <c r="B1021">
        <v>18</v>
      </c>
    </row>
    <row r="1022" spans="1:2" x14ac:dyDescent="0.25">
      <c r="A1022" s="183" t="s">
        <v>884</v>
      </c>
      <c r="B1022">
        <v>13</v>
      </c>
    </row>
    <row r="1023" spans="1:2" x14ac:dyDescent="0.25">
      <c r="A1023" s="183" t="s">
        <v>885</v>
      </c>
      <c r="B1023">
        <v>7</v>
      </c>
    </row>
    <row r="1024" spans="1:2" x14ac:dyDescent="0.25">
      <c r="A1024" s="183" t="s">
        <v>886</v>
      </c>
      <c r="B1024">
        <v>2</v>
      </c>
    </row>
    <row r="1025" spans="1:2" x14ac:dyDescent="0.25">
      <c r="A1025" s="183" t="s">
        <v>887</v>
      </c>
      <c r="B1025">
        <v>5</v>
      </c>
    </row>
    <row r="1026" spans="1:2" x14ac:dyDescent="0.25">
      <c r="A1026" s="183" t="s">
        <v>888</v>
      </c>
      <c r="B1026">
        <v>3</v>
      </c>
    </row>
    <row r="1027" spans="1:2" x14ac:dyDescent="0.25">
      <c r="A1027" s="183" t="s">
        <v>889</v>
      </c>
      <c r="B1027">
        <v>19</v>
      </c>
    </row>
    <row r="1028" spans="1:2" x14ac:dyDescent="0.25">
      <c r="A1028" s="183" t="s">
        <v>890</v>
      </c>
      <c r="B1028">
        <v>2</v>
      </c>
    </row>
    <row r="1029" spans="1:2" x14ac:dyDescent="0.25">
      <c r="A1029" s="183" t="s">
        <v>891</v>
      </c>
      <c r="B1029">
        <v>4</v>
      </c>
    </row>
    <row r="1030" spans="1:2" x14ac:dyDescent="0.25">
      <c r="A1030" s="183" t="s">
        <v>892</v>
      </c>
      <c r="B1030">
        <v>7</v>
      </c>
    </row>
    <row r="1031" spans="1:2" x14ac:dyDescent="0.25">
      <c r="A1031" s="183" t="s">
        <v>893</v>
      </c>
      <c r="B1031">
        <v>4</v>
      </c>
    </row>
    <row r="1032" spans="1:2" x14ac:dyDescent="0.25">
      <c r="A1032" s="183" t="s">
        <v>894</v>
      </c>
      <c r="B1032">
        <v>9</v>
      </c>
    </row>
    <row r="1033" spans="1:2" x14ac:dyDescent="0.25">
      <c r="A1033" s="183" t="s">
        <v>895</v>
      </c>
      <c r="B1033">
        <v>7</v>
      </c>
    </row>
    <row r="1034" spans="1:2" x14ac:dyDescent="0.25">
      <c r="A1034" s="183" t="s">
        <v>896</v>
      </c>
      <c r="B1034">
        <v>2</v>
      </c>
    </row>
    <row r="1035" spans="1:2" x14ac:dyDescent="0.25">
      <c r="A1035" s="183" t="s">
        <v>897</v>
      </c>
      <c r="B1035">
        <v>3</v>
      </c>
    </row>
    <row r="1036" spans="1:2" x14ac:dyDescent="0.25">
      <c r="A1036" s="183" t="s">
        <v>898</v>
      </c>
      <c r="B1036">
        <v>3</v>
      </c>
    </row>
    <row r="1037" spans="1:2" x14ac:dyDescent="0.25">
      <c r="A1037" s="183" t="s">
        <v>899</v>
      </c>
      <c r="B1037">
        <v>2</v>
      </c>
    </row>
    <row r="1038" spans="1:2" x14ac:dyDescent="0.25">
      <c r="A1038" s="183" t="s">
        <v>900</v>
      </c>
      <c r="B1038">
        <v>2</v>
      </c>
    </row>
    <row r="1039" spans="1:2" x14ac:dyDescent="0.25">
      <c r="A1039" s="183" t="s">
        <v>901</v>
      </c>
      <c r="B1039">
        <v>2</v>
      </c>
    </row>
    <row r="1040" spans="1:2" x14ac:dyDescent="0.25">
      <c r="A1040" s="183" t="s">
        <v>902</v>
      </c>
      <c r="B1040">
        <v>5</v>
      </c>
    </row>
    <row r="1041" spans="1:2" x14ac:dyDescent="0.25">
      <c r="A1041" s="183" t="s">
        <v>903</v>
      </c>
      <c r="B1041">
        <v>1</v>
      </c>
    </row>
    <row r="1042" spans="1:2" x14ac:dyDescent="0.25">
      <c r="A1042" s="183" t="s">
        <v>904</v>
      </c>
      <c r="B1042">
        <v>11</v>
      </c>
    </row>
    <row r="1043" spans="1:2" x14ac:dyDescent="0.25">
      <c r="A1043" s="183" t="s">
        <v>905</v>
      </c>
      <c r="B1043">
        <v>10</v>
      </c>
    </row>
    <row r="1044" spans="1:2" x14ac:dyDescent="0.25">
      <c r="A1044" s="183" t="s">
        <v>906</v>
      </c>
      <c r="B1044">
        <v>6</v>
      </c>
    </row>
    <row r="1045" spans="1:2" x14ac:dyDescent="0.25">
      <c r="A1045" s="183" t="s">
        <v>907</v>
      </c>
      <c r="B1045">
        <v>23</v>
      </c>
    </row>
    <row r="1046" spans="1:2" x14ac:dyDescent="0.25">
      <c r="A1046" s="183" t="s">
        <v>908</v>
      </c>
      <c r="B1046">
        <v>1</v>
      </c>
    </row>
    <row r="1047" spans="1:2" x14ac:dyDescent="0.25">
      <c r="A1047" s="183" t="s">
        <v>909</v>
      </c>
      <c r="B1047">
        <v>1</v>
      </c>
    </row>
    <row r="1048" spans="1:2" x14ac:dyDescent="0.25">
      <c r="A1048" s="183" t="s">
        <v>910</v>
      </c>
      <c r="B1048">
        <v>3</v>
      </c>
    </row>
    <row r="1049" spans="1:2" x14ac:dyDescent="0.25">
      <c r="A1049" s="183" t="s">
        <v>911</v>
      </c>
      <c r="B1049">
        <v>11</v>
      </c>
    </row>
    <row r="1050" spans="1:2" x14ac:dyDescent="0.25">
      <c r="A1050" s="183" t="s">
        <v>912</v>
      </c>
      <c r="B1050">
        <v>12</v>
      </c>
    </row>
    <row r="1051" spans="1:2" x14ac:dyDescent="0.25">
      <c r="A1051" s="183" t="s">
        <v>913</v>
      </c>
      <c r="B1051">
        <v>15</v>
      </c>
    </row>
    <row r="1052" spans="1:2" x14ac:dyDescent="0.25">
      <c r="A1052" s="183" t="s">
        <v>914</v>
      </c>
      <c r="B1052">
        <v>13</v>
      </c>
    </row>
    <row r="1053" spans="1:2" x14ac:dyDescent="0.25">
      <c r="A1053" s="183" t="s">
        <v>915</v>
      </c>
      <c r="B1053">
        <v>25</v>
      </c>
    </row>
    <row r="1054" spans="1:2" x14ac:dyDescent="0.25">
      <c r="A1054" s="183" t="s">
        <v>916</v>
      </c>
      <c r="B1054">
        <v>39</v>
      </c>
    </row>
    <row r="1055" spans="1:2" x14ac:dyDescent="0.25">
      <c r="A1055" s="183" t="s">
        <v>917</v>
      </c>
      <c r="B1055">
        <v>16</v>
      </c>
    </row>
    <row r="1056" spans="1:2" x14ac:dyDescent="0.25">
      <c r="A1056" s="183" t="s">
        <v>918</v>
      </c>
      <c r="B1056">
        <v>3</v>
      </c>
    </row>
    <row r="1057" spans="1:2" x14ac:dyDescent="0.25">
      <c r="A1057" s="183" t="s">
        <v>919</v>
      </c>
      <c r="B1057">
        <v>1</v>
      </c>
    </row>
    <row r="1058" spans="1:2" x14ac:dyDescent="0.25">
      <c r="A1058" s="183" t="s">
        <v>920</v>
      </c>
      <c r="B1058">
        <v>2</v>
      </c>
    </row>
    <row r="1059" spans="1:2" x14ac:dyDescent="0.25">
      <c r="A1059" s="183" t="s">
        <v>921</v>
      </c>
      <c r="B1059">
        <v>6</v>
      </c>
    </row>
    <row r="1060" spans="1:2" x14ac:dyDescent="0.25">
      <c r="A1060" s="183" t="s">
        <v>922</v>
      </c>
      <c r="B1060">
        <v>4</v>
      </c>
    </row>
    <row r="1061" spans="1:2" x14ac:dyDescent="0.25">
      <c r="A1061" s="183" t="s">
        <v>923</v>
      </c>
      <c r="B1061">
        <v>15</v>
      </c>
    </row>
    <row r="1062" spans="1:2" x14ac:dyDescent="0.25">
      <c r="A1062" s="183" t="s">
        <v>924</v>
      </c>
      <c r="B1062">
        <v>1</v>
      </c>
    </row>
    <row r="1063" spans="1:2" x14ac:dyDescent="0.25">
      <c r="A1063" s="183" t="s">
        <v>925</v>
      </c>
      <c r="B1063">
        <v>6</v>
      </c>
    </row>
    <row r="1064" spans="1:2" x14ac:dyDescent="0.25">
      <c r="A1064" s="183" t="s">
        <v>926</v>
      </c>
      <c r="B1064">
        <v>2</v>
      </c>
    </row>
    <row r="1065" spans="1:2" x14ac:dyDescent="0.25">
      <c r="A1065" s="183" t="s">
        <v>927</v>
      </c>
      <c r="B1065">
        <v>3</v>
      </c>
    </row>
    <row r="1066" spans="1:2" x14ac:dyDescent="0.25">
      <c r="A1066" s="183" t="s">
        <v>928</v>
      </c>
      <c r="B1066">
        <v>2</v>
      </c>
    </row>
    <row r="1067" spans="1:2" x14ac:dyDescent="0.25">
      <c r="A1067" s="183" t="s">
        <v>929</v>
      </c>
      <c r="B1067">
        <v>17</v>
      </c>
    </row>
    <row r="1068" spans="1:2" x14ac:dyDescent="0.25">
      <c r="A1068" s="183" t="s">
        <v>930</v>
      </c>
      <c r="B1068">
        <v>2</v>
      </c>
    </row>
    <row r="1069" spans="1:2" x14ac:dyDescent="0.25">
      <c r="A1069" s="183" t="s">
        <v>931</v>
      </c>
      <c r="B1069">
        <v>4</v>
      </c>
    </row>
    <row r="1070" spans="1:2" x14ac:dyDescent="0.25">
      <c r="A1070" s="183" t="s">
        <v>932</v>
      </c>
      <c r="B1070">
        <v>7</v>
      </c>
    </row>
    <row r="1071" spans="1:2" x14ac:dyDescent="0.25">
      <c r="A1071" s="183" t="s">
        <v>933</v>
      </c>
      <c r="B1071">
        <v>57</v>
      </c>
    </row>
    <row r="1072" spans="1:2" x14ac:dyDescent="0.25">
      <c r="A1072" s="183" t="s">
        <v>934</v>
      </c>
      <c r="B1072">
        <v>3</v>
      </c>
    </row>
    <row r="1073" spans="1:2" x14ac:dyDescent="0.25">
      <c r="A1073" s="183" t="s">
        <v>935</v>
      </c>
      <c r="B1073">
        <v>15</v>
      </c>
    </row>
    <row r="1074" spans="1:2" x14ac:dyDescent="0.25">
      <c r="A1074" s="183" t="s">
        <v>936</v>
      </c>
      <c r="B1074">
        <v>2</v>
      </c>
    </row>
    <row r="1075" spans="1:2" x14ac:dyDescent="0.25">
      <c r="A1075" s="183" t="s">
        <v>937</v>
      </c>
      <c r="B1075">
        <v>17</v>
      </c>
    </row>
    <row r="1076" spans="1:2" x14ac:dyDescent="0.25">
      <c r="A1076" s="183" t="s">
        <v>938</v>
      </c>
      <c r="B1076">
        <v>8</v>
      </c>
    </row>
    <row r="1077" spans="1:2" x14ac:dyDescent="0.25">
      <c r="A1077" s="183" t="s">
        <v>939</v>
      </c>
      <c r="B1077">
        <v>5</v>
      </c>
    </row>
    <row r="1078" spans="1:2" x14ac:dyDescent="0.25">
      <c r="A1078" s="183" t="s">
        <v>940</v>
      </c>
      <c r="B1078">
        <v>6</v>
      </c>
    </row>
    <row r="1079" spans="1:2" x14ac:dyDescent="0.25">
      <c r="A1079" s="183" t="s">
        <v>941</v>
      </c>
      <c r="B1079">
        <v>30</v>
      </c>
    </row>
    <row r="1080" spans="1:2" x14ac:dyDescent="0.25">
      <c r="A1080" s="183" t="s">
        <v>942</v>
      </c>
      <c r="B1080">
        <v>41</v>
      </c>
    </row>
    <row r="1081" spans="1:2" x14ac:dyDescent="0.25">
      <c r="A1081" s="183" t="s">
        <v>943</v>
      </c>
      <c r="B1081">
        <v>6</v>
      </c>
    </row>
    <row r="1082" spans="1:2" x14ac:dyDescent="0.25">
      <c r="A1082" s="183" t="s">
        <v>944</v>
      </c>
      <c r="B1082">
        <v>6</v>
      </c>
    </row>
    <row r="1083" spans="1:2" x14ac:dyDescent="0.25">
      <c r="A1083" s="183" t="s">
        <v>945</v>
      </c>
      <c r="B1083">
        <v>9</v>
      </c>
    </row>
    <row r="1084" spans="1:2" x14ac:dyDescent="0.25">
      <c r="A1084" s="183" t="s">
        <v>946</v>
      </c>
      <c r="B1084">
        <v>9</v>
      </c>
    </row>
    <row r="1085" spans="1:2" x14ac:dyDescent="0.25">
      <c r="A1085" s="183" t="s">
        <v>947</v>
      </c>
      <c r="B1085">
        <v>15</v>
      </c>
    </row>
    <row r="1086" spans="1:2" x14ac:dyDescent="0.25">
      <c r="A1086" s="183" t="s">
        <v>948</v>
      </c>
      <c r="B1086">
        <v>65</v>
      </c>
    </row>
    <row r="1087" spans="1:2" x14ac:dyDescent="0.25">
      <c r="A1087" s="183" t="s">
        <v>949</v>
      </c>
      <c r="B1087">
        <v>2</v>
      </c>
    </row>
    <row r="1088" spans="1:2" x14ac:dyDescent="0.25">
      <c r="A1088" s="183" t="s">
        <v>950</v>
      </c>
      <c r="B1088">
        <v>11</v>
      </c>
    </row>
    <row r="1089" spans="1:2" x14ac:dyDescent="0.25">
      <c r="A1089" s="183" t="s">
        <v>951</v>
      </c>
      <c r="B1089">
        <v>6</v>
      </c>
    </row>
    <row r="1090" spans="1:2" x14ac:dyDescent="0.25">
      <c r="A1090" s="183" t="s">
        <v>952</v>
      </c>
      <c r="B1090">
        <v>45</v>
      </c>
    </row>
    <row r="1091" spans="1:2" x14ac:dyDescent="0.25">
      <c r="A1091" s="183" t="s">
        <v>953</v>
      </c>
      <c r="B1091">
        <v>2</v>
      </c>
    </row>
    <row r="1092" spans="1:2" x14ac:dyDescent="0.25">
      <c r="A1092" s="183" t="s">
        <v>954</v>
      </c>
      <c r="B1092">
        <v>2</v>
      </c>
    </row>
    <row r="1093" spans="1:2" x14ac:dyDescent="0.25">
      <c r="A1093" s="183" t="s">
        <v>955</v>
      </c>
      <c r="B1093">
        <v>44</v>
      </c>
    </row>
    <row r="1094" spans="1:2" x14ac:dyDescent="0.25">
      <c r="A1094" s="183" t="s">
        <v>956</v>
      </c>
      <c r="B1094">
        <v>3</v>
      </c>
    </row>
    <row r="1095" spans="1:2" x14ac:dyDescent="0.25">
      <c r="A1095" s="183" t="s">
        <v>957</v>
      </c>
      <c r="B1095">
        <v>17</v>
      </c>
    </row>
    <row r="1096" spans="1:2" x14ac:dyDescent="0.25">
      <c r="A1096" s="183" t="s">
        <v>958</v>
      </c>
      <c r="B1096">
        <v>7</v>
      </c>
    </row>
    <row r="1097" spans="1:2" x14ac:dyDescent="0.25">
      <c r="A1097" s="183" t="s">
        <v>959</v>
      </c>
      <c r="B1097">
        <v>9</v>
      </c>
    </row>
    <row r="1098" spans="1:2" x14ac:dyDescent="0.25">
      <c r="A1098" s="183" t="s">
        <v>960</v>
      </c>
      <c r="B1098">
        <v>66</v>
      </c>
    </row>
    <row r="1099" spans="1:2" x14ac:dyDescent="0.25">
      <c r="A1099" s="183" t="s">
        <v>961</v>
      </c>
      <c r="B1099">
        <v>9</v>
      </c>
    </row>
    <row r="1100" spans="1:2" x14ac:dyDescent="0.25">
      <c r="A1100" s="183" t="s">
        <v>962</v>
      </c>
      <c r="B1100">
        <v>3</v>
      </c>
    </row>
    <row r="1101" spans="1:2" x14ac:dyDescent="0.25">
      <c r="A1101" s="183" t="s">
        <v>963</v>
      </c>
      <c r="B1101">
        <v>1</v>
      </c>
    </row>
    <row r="1102" spans="1:2" x14ac:dyDescent="0.25">
      <c r="A1102" s="183" t="s">
        <v>964</v>
      </c>
      <c r="B1102">
        <v>29</v>
      </c>
    </row>
    <row r="1103" spans="1:2" x14ac:dyDescent="0.25">
      <c r="A1103" s="183" t="s">
        <v>965</v>
      </c>
      <c r="B1103">
        <v>3</v>
      </c>
    </row>
    <row r="1104" spans="1:2" x14ac:dyDescent="0.25">
      <c r="A1104" s="183" t="s">
        <v>966</v>
      </c>
      <c r="B1104">
        <v>10</v>
      </c>
    </row>
    <row r="1105" spans="1:2" x14ac:dyDescent="0.25">
      <c r="A1105" s="183" t="s">
        <v>967</v>
      </c>
      <c r="B1105">
        <v>4</v>
      </c>
    </row>
    <row r="1106" spans="1:2" x14ac:dyDescent="0.25">
      <c r="A1106" s="183" t="s">
        <v>968</v>
      </c>
      <c r="B1106">
        <v>1</v>
      </c>
    </row>
    <row r="1107" spans="1:2" x14ac:dyDescent="0.25">
      <c r="A1107" s="183" t="s">
        <v>969</v>
      </c>
      <c r="B1107">
        <v>3</v>
      </c>
    </row>
    <row r="1108" spans="1:2" x14ac:dyDescent="0.25">
      <c r="A1108" s="183" t="s">
        <v>970</v>
      </c>
      <c r="B1108">
        <v>3</v>
      </c>
    </row>
    <row r="1109" spans="1:2" x14ac:dyDescent="0.25">
      <c r="A1109" s="183" t="s">
        <v>971</v>
      </c>
      <c r="B1109">
        <v>12</v>
      </c>
    </row>
    <row r="1110" spans="1:2" x14ac:dyDescent="0.25">
      <c r="A1110" s="183" t="s">
        <v>972</v>
      </c>
      <c r="B1110">
        <v>12</v>
      </c>
    </row>
    <row r="1111" spans="1:2" x14ac:dyDescent="0.25">
      <c r="A1111" s="183" t="s">
        <v>973</v>
      </c>
      <c r="B1111">
        <v>8</v>
      </c>
    </row>
    <row r="1112" spans="1:2" x14ac:dyDescent="0.25">
      <c r="A1112" s="183" t="s">
        <v>974</v>
      </c>
      <c r="B1112">
        <v>16</v>
      </c>
    </row>
    <row r="1113" spans="1:2" x14ac:dyDescent="0.25">
      <c r="A1113" s="183" t="s">
        <v>975</v>
      </c>
      <c r="B1113">
        <v>18</v>
      </c>
    </row>
    <row r="1114" spans="1:2" x14ac:dyDescent="0.25">
      <c r="A1114" s="183" t="s">
        <v>976</v>
      </c>
      <c r="B1114">
        <v>14</v>
      </c>
    </row>
    <row r="1115" spans="1:2" x14ac:dyDescent="0.25">
      <c r="A1115" s="183" t="s">
        <v>977</v>
      </c>
      <c r="B1115">
        <v>51</v>
      </c>
    </row>
    <row r="1116" spans="1:2" x14ac:dyDescent="0.25">
      <c r="A1116" s="183" t="s">
        <v>978</v>
      </c>
      <c r="B1116">
        <v>4</v>
      </c>
    </row>
    <row r="1117" spans="1:2" x14ac:dyDescent="0.25">
      <c r="A1117" s="183" t="s">
        <v>979</v>
      </c>
      <c r="B1117">
        <v>24</v>
      </c>
    </row>
    <row r="1118" spans="1:2" x14ac:dyDescent="0.25">
      <c r="A1118" s="183" t="s">
        <v>980</v>
      </c>
      <c r="B1118">
        <v>6</v>
      </c>
    </row>
    <row r="1119" spans="1:2" x14ac:dyDescent="0.25">
      <c r="A1119" s="183" t="s">
        <v>981</v>
      </c>
      <c r="B1119">
        <v>2</v>
      </c>
    </row>
    <row r="1120" spans="1:2" x14ac:dyDescent="0.25">
      <c r="A1120" s="183" t="s">
        <v>982</v>
      </c>
      <c r="B1120">
        <v>8</v>
      </c>
    </row>
    <row r="1121" spans="1:2" x14ac:dyDescent="0.25">
      <c r="A1121" s="183" t="s">
        <v>983</v>
      </c>
      <c r="B1121">
        <v>11</v>
      </c>
    </row>
    <row r="1122" spans="1:2" x14ac:dyDescent="0.25">
      <c r="A1122" s="183" t="s">
        <v>984</v>
      </c>
      <c r="B1122">
        <v>18</v>
      </c>
    </row>
    <row r="1123" spans="1:2" x14ac:dyDescent="0.25">
      <c r="A1123" s="183" t="s">
        <v>985</v>
      </c>
      <c r="B1123">
        <v>12</v>
      </c>
    </row>
    <row r="1124" spans="1:2" x14ac:dyDescent="0.25">
      <c r="A1124" s="183" t="s">
        <v>986</v>
      </c>
      <c r="B1124">
        <v>30</v>
      </c>
    </row>
    <row r="1125" spans="1:2" x14ac:dyDescent="0.25">
      <c r="A1125" s="183" t="s">
        <v>987</v>
      </c>
      <c r="B1125">
        <v>4</v>
      </c>
    </row>
    <row r="1126" spans="1:2" x14ac:dyDescent="0.25">
      <c r="A1126" s="183" t="s">
        <v>1446</v>
      </c>
      <c r="B1126">
        <v>2</v>
      </c>
    </row>
    <row r="1127" spans="1:2" x14ac:dyDescent="0.25">
      <c r="A1127" s="183" t="s">
        <v>988</v>
      </c>
      <c r="B1127">
        <v>2</v>
      </c>
    </row>
    <row r="1128" spans="1:2" x14ac:dyDescent="0.25">
      <c r="A1128" s="183" t="s">
        <v>989</v>
      </c>
      <c r="B1128">
        <v>12</v>
      </c>
    </row>
    <row r="1129" spans="1:2" x14ac:dyDescent="0.25">
      <c r="A1129" s="183" t="s">
        <v>990</v>
      </c>
      <c r="B1129">
        <v>3</v>
      </c>
    </row>
    <row r="1130" spans="1:2" x14ac:dyDescent="0.25">
      <c r="A1130" s="183" t="s">
        <v>991</v>
      </c>
      <c r="B1130">
        <v>3</v>
      </c>
    </row>
    <row r="1131" spans="1:2" x14ac:dyDescent="0.25">
      <c r="A1131" s="183" t="s">
        <v>992</v>
      </c>
      <c r="B1131">
        <v>9</v>
      </c>
    </row>
    <row r="1132" spans="1:2" x14ac:dyDescent="0.25">
      <c r="A1132" s="183" t="s">
        <v>993</v>
      </c>
      <c r="B1132">
        <v>6</v>
      </c>
    </row>
    <row r="1133" spans="1:2" x14ac:dyDescent="0.25">
      <c r="A1133" s="183" t="s">
        <v>994</v>
      </c>
      <c r="B1133">
        <v>15</v>
      </c>
    </row>
    <row r="1134" spans="1:2" x14ac:dyDescent="0.25">
      <c r="A1134" s="183" t="s">
        <v>995</v>
      </c>
      <c r="B1134">
        <v>6</v>
      </c>
    </row>
    <row r="1135" spans="1:2" x14ac:dyDescent="0.25">
      <c r="A1135" s="183" t="s">
        <v>996</v>
      </c>
      <c r="B1135">
        <v>6</v>
      </c>
    </row>
    <row r="1136" spans="1:2" x14ac:dyDescent="0.25">
      <c r="A1136" s="183" t="s">
        <v>997</v>
      </c>
      <c r="B1136">
        <v>4</v>
      </c>
    </row>
    <row r="1137" spans="1:2" x14ac:dyDescent="0.25">
      <c r="A1137" s="183" t="s">
        <v>998</v>
      </c>
      <c r="B1137">
        <v>5</v>
      </c>
    </row>
    <row r="1138" spans="1:2" x14ac:dyDescent="0.25">
      <c r="A1138" s="183" t="s">
        <v>999</v>
      </c>
      <c r="B1138">
        <v>1</v>
      </c>
    </row>
    <row r="1139" spans="1:2" x14ac:dyDescent="0.25">
      <c r="A1139" s="183" t="s">
        <v>1000</v>
      </c>
      <c r="B1139">
        <v>3</v>
      </c>
    </row>
    <row r="1140" spans="1:2" x14ac:dyDescent="0.25">
      <c r="A1140" s="183" t="s">
        <v>1001</v>
      </c>
      <c r="B1140">
        <v>2</v>
      </c>
    </row>
    <row r="1141" spans="1:2" x14ac:dyDescent="0.25">
      <c r="A1141" s="183" t="s">
        <v>1002</v>
      </c>
      <c r="B1141">
        <v>29</v>
      </c>
    </row>
    <row r="1142" spans="1:2" x14ac:dyDescent="0.25">
      <c r="A1142" s="183" t="s">
        <v>1003</v>
      </c>
      <c r="B1142">
        <v>2</v>
      </c>
    </row>
    <row r="1143" spans="1:2" x14ac:dyDescent="0.25">
      <c r="A1143" s="183" t="s">
        <v>1004</v>
      </c>
      <c r="B1143">
        <v>3</v>
      </c>
    </row>
    <row r="1144" spans="1:2" x14ac:dyDescent="0.25">
      <c r="A1144" s="183" t="s">
        <v>1005</v>
      </c>
      <c r="B1144">
        <v>3</v>
      </c>
    </row>
    <row r="1145" spans="1:2" x14ac:dyDescent="0.25">
      <c r="A1145" s="183" t="s">
        <v>1006</v>
      </c>
      <c r="B1145">
        <v>2</v>
      </c>
    </row>
    <row r="1146" spans="1:2" x14ac:dyDescent="0.25">
      <c r="A1146" s="183" t="s">
        <v>1007</v>
      </c>
      <c r="B1146">
        <v>9</v>
      </c>
    </row>
    <row r="1147" spans="1:2" x14ac:dyDescent="0.25">
      <c r="A1147" s="183" t="s">
        <v>1008</v>
      </c>
      <c r="B1147">
        <v>12</v>
      </c>
    </row>
    <row r="1148" spans="1:2" x14ac:dyDescent="0.25">
      <c r="A1148" s="183" t="s">
        <v>1009</v>
      </c>
      <c r="B1148">
        <v>13</v>
      </c>
    </row>
    <row r="1149" spans="1:2" x14ac:dyDescent="0.25">
      <c r="A1149" s="183" t="s">
        <v>1010</v>
      </c>
      <c r="B1149">
        <v>5</v>
      </c>
    </row>
    <row r="1150" spans="1:2" x14ac:dyDescent="0.25">
      <c r="A1150" s="183" t="s">
        <v>1011</v>
      </c>
      <c r="B1150">
        <v>20</v>
      </c>
    </row>
    <row r="1151" spans="1:2" x14ac:dyDescent="0.25">
      <c r="A1151" s="183" t="s">
        <v>1012</v>
      </c>
      <c r="B1151">
        <v>5</v>
      </c>
    </row>
    <row r="1152" spans="1:2" x14ac:dyDescent="0.25">
      <c r="A1152" s="183" t="s">
        <v>1013</v>
      </c>
      <c r="B1152">
        <v>5</v>
      </c>
    </row>
    <row r="1153" spans="1:2" x14ac:dyDescent="0.25">
      <c r="A1153" s="183" t="s">
        <v>1014</v>
      </c>
      <c r="B1153">
        <v>4</v>
      </c>
    </row>
    <row r="1154" spans="1:2" x14ac:dyDescent="0.25">
      <c r="A1154" s="183" t="s">
        <v>1015</v>
      </c>
      <c r="B1154">
        <v>1</v>
      </c>
    </row>
    <row r="1155" spans="1:2" x14ac:dyDescent="0.25">
      <c r="A1155" s="183" t="s">
        <v>1016</v>
      </c>
      <c r="B1155">
        <v>7</v>
      </c>
    </row>
    <row r="1156" spans="1:2" x14ac:dyDescent="0.25">
      <c r="A1156" s="183" t="s">
        <v>1017</v>
      </c>
      <c r="B1156">
        <v>2</v>
      </c>
    </row>
    <row r="1157" spans="1:2" x14ac:dyDescent="0.25">
      <c r="A1157" s="183" t="s">
        <v>1018</v>
      </c>
      <c r="B1157">
        <v>18</v>
      </c>
    </row>
    <row r="1158" spans="1:2" x14ac:dyDescent="0.25">
      <c r="A1158" s="183" t="s">
        <v>1019</v>
      </c>
      <c r="B1158">
        <v>2</v>
      </c>
    </row>
    <row r="1159" spans="1:2" x14ac:dyDescent="0.25">
      <c r="A1159" s="183" t="s">
        <v>1020</v>
      </c>
      <c r="B1159">
        <v>14</v>
      </c>
    </row>
    <row r="1160" spans="1:2" x14ac:dyDescent="0.25">
      <c r="A1160" s="183" t="s">
        <v>1447</v>
      </c>
      <c r="B1160">
        <v>2</v>
      </c>
    </row>
    <row r="1161" spans="1:2" x14ac:dyDescent="0.25">
      <c r="A1161" s="183" t="s">
        <v>1021</v>
      </c>
      <c r="B1161">
        <v>2</v>
      </c>
    </row>
    <row r="1162" spans="1:2" x14ac:dyDescent="0.25">
      <c r="A1162" s="183" t="s">
        <v>1448</v>
      </c>
      <c r="B1162">
        <v>3</v>
      </c>
    </row>
    <row r="1163" spans="1:2" x14ac:dyDescent="0.25">
      <c r="A1163" s="183" t="s">
        <v>1449</v>
      </c>
      <c r="B1163">
        <v>4</v>
      </c>
    </row>
    <row r="1164" spans="1:2" x14ac:dyDescent="0.25">
      <c r="A1164" s="183" t="s">
        <v>1450</v>
      </c>
      <c r="B1164">
        <v>4</v>
      </c>
    </row>
    <row r="1165" spans="1:2" x14ac:dyDescent="0.25">
      <c r="A1165" s="183" t="s">
        <v>1451</v>
      </c>
      <c r="B1165">
        <v>5</v>
      </c>
    </row>
    <row r="1166" spans="1:2" x14ac:dyDescent="0.25">
      <c r="A1166" s="183" t="s">
        <v>1022</v>
      </c>
      <c r="B1166">
        <v>5</v>
      </c>
    </row>
    <row r="1167" spans="1:2" x14ac:dyDescent="0.25">
      <c r="A1167" s="183" t="s">
        <v>1452</v>
      </c>
      <c r="B1167">
        <v>5</v>
      </c>
    </row>
    <row r="1168" spans="1:2" x14ac:dyDescent="0.25">
      <c r="A1168" s="183" t="s">
        <v>1453</v>
      </c>
      <c r="B1168">
        <v>3</v>
      </c>
    </row>
    <row r="1169" spans="1:2" x14ac:dyDescent="0.25">
      <c r="A1169" s="183" t="s">
        <v>1023</v>
      </c>
      <c r="B1169">
        <v>4</v>
      </c>
    </row>
    <row r="1170" spans="1:2" x14ac:dyDescent="0.25">
      <c r="A1170" s="183" t="s">
        <v>1024</v>
      </c>
      <c r="B1170">
        <v>2</v>
      </c>
    </row>
    <row r="1171" spans="1:2" x14ac:dyDescent="0.25">
      <c r="A1171" s="183" t="s">
        <v>1025</v>
      </c>
      <c r="B1171">
        <v>4</v>
      </c>
    </row>
    <row r="1172" spans="1:2" x14ac:dyDescent="0.25">
      <c r="A1172" s="183" t="s">
        <v>1026</v>
      </c>
      <c r="B1172">
        <v>2</v>
      </c>
    </row>
    <row r="1173" spans="1:2" x14ac:dyDescent="0.25">
      <c r="A1173" s="183" t="s">
        <v>1027</v>
      </c>
      <c r="B1173">
        <v>20</v>
      </c>
    </row>
    <row r="1174" spans="1:2" x14ac:dyDescent="0.25">
      <c r="A1174" s="183" t="s">
        <v>1028</v>
      </c>
      <c r="B1174">
        <v>2</v>
      </c>
    </row>
    <row r="1175" spans="1:2" x14ac:dyDescent="0.25">
      <c r="A1175" s="183" t="s">
        <v>1029</v>
      </c>
      <c r="B1175">
        <v>4</v>
      </c>
    </row>
    <row r="1176" spans="1:2" x14ac:dyDescent="0.25">
      <c r="A1176" s="183" t="s">
        <v>1030</v>
      </c>
      <c r="B1176">
        <v>2</v>
      </c>
    </row>
    <row r="1177" spans="1:2" x14ac:dyDescent="0.25">
      <c r="A1177" s="183" t="s">
        <v>1031</v>
      </c>
      <c r="B1177">
        <v>25</v>
      </c>
    </row>
    <row r="1178" spans="1:2" x14ac:dyDescent="0.25">
      <c r="A1178" s="183" t="s">
        <v>1032</v>
      </c>
      <c r="B1178">
        <v>10</v>
      </c>
    </row>
    <row r="1179" spans="1:2" x14ac:dyDescent="0.25">
      <c r="A1179" s="183" t="s">
        <v>1454</v>
      </c>
      <c r="B1179">
        <v>6</v>
      </c>
    </row>
    <row r="1180" spans="1:2" x14ac:dyDescent="0.25">
      <c r="A1180" s="183" t="s">
        <v>1455</v>
      </c>
      <c r="B1180">
        <v>2</v>
      </c>
    </row>
    <row r="1181" spans="1:2" x14ac:dyDescent="0.25">
      <c r="A1181" s="183" t="s">
        <v>1033</v>
      </c>
      <c r="B1181">
        <v>10</v>
      </c>
    </row>
    <row r="1182" spans="1:2" x14ac:dyDescent="0.25">
      <c r="A1182" s="183" t="s">
        <v>1034</v>
      </c>
      <c r="B1182">
        <v>2</v>
      </c>
    </row>
    <row r="1183" spans="1:2" x14ac:dyDescent="0.25">
      <c r="A1183" s="183" t="s">
        <v>1035</v>
      </c>
      <c r="B1183">
        <v>5</v>
      </c>
    </row>
    <row r="1184" spans="1:2" x14ac:dyDescent="0.25">
      <c r="A1184" s="183" t="s">
        <v>1036</v>
      </c>
      <c r="B1184">
        <v>15</v>
      </c>
    </row>
    <row r="1185" spans="1:2" x14ac:dyDescent="0.25">
      <c r="A1185" s="183" t="s">
        <v>1037</v>
      </c>
      <c r="B1185">
        <v>7</v>
      </c>
    </row>
    <row r="1186" spans="1:2" x14ac:dyDescent="0.25">
      <c r="A1186" s="183" t="s">
        <v>1038</v>
      </c>
      <c r="B1186">
        <v>15</v>
      </c>
    </row>
    <row r="1187" spans="1:2" x14ac:dyDescent="0.25">
      <c r="A1187" s="183" t="s">
        <v>1039</v>
      </c>
      <c r="B1187">
        <v>3</v>
      </c>
    </row>
    <row r="1188" spans="1:2" x14ac:dyDescent="0.25">
      <c r="A1188" s="183" t="s">
        <v>1040</v>
      </c>
      <c r="B1188">
        <v>2</v>
      </c>
    </row>
    <row r="1189" spans="1:2" x14ac:dyDescent="0.25">
      <c r="A1189" s="183" t="s">
        <v>1041</v>
      </c>
      <c r="B1189">
        <v>1</v>
      </c>
    </row>
    <row r="1190" spans="1:2" x14ac:dyDescent="0.25">
      <c r="A1190" s="183" t="s">
        <v>1042</v>
      </c>
      <c r="B1190">
        <v>14</v>
      </c>
    </row>
    <row r="1191" spans="1:2" x14ac:dyDescent="0.25">
      <c r="A1191" s="183" t="s">
        <v>1043</v>
      </c>
      <c r="B1191">
        <v>14</v>
      </c>
    </row>
    <row r="1192" spans="1:2" x14ac:dyDescent="0.25">
      <c r="A1192" s="183" t="s">
        <v>1044</v>
      </c>
      <c r="B1192">
        <v>15</v>
      </c>
    </row>
    <row r="1193" spans="1:2" x14ac:dyDescent="0.25">
      <c r="A1193" s="183" t="s">
        <v>1045</v>
      </c>
      <c r="B1193">
        <v>11</v>
      </c>
    </row>
    <row r="1194" spans="1:2" x14ac:dyDescent="0.25">
      <c r="A1194" s="183" t="s">
        <v>1046</v>
      </c>
      <c r="B1194">
        <v>7</v>
      </c>
    </row>
    <row r="1195" spans="1:2" x14ac:dyDescent="0.25">
      <c r="A1195" s="183" t="s">
        <v>1047</v>
      </c>
      <c r="B1195">
        <v>16</v>
      </c>
    </row>
    <row r="1196" spans="1:2" x14ac:dyDescent="0.25">
      <c r="A1196" s="183" t="s">
        <v>1048</v>
      </c>
      <c r="B1196">
        <v>6</v>
      </c>
    </row>
    <row r="1197" spans="1:2" x14ac:dyDescent="0.25">
      <c r="A1197" s="183" t="s">
        <v>1049</v>
      </c>
      <c r="B1197">
        <v>9</v>
      </c>
    </row>
    <row r="1198" spans="1:2" x14ac:dyDescent="0.25">
      <c r="A1198" s="183" t="s">
        <v>1050</v>
      </c>
      <c r="B1198">
        <v>5</v>
      </c>
    </row>
    <row r="1199" spans="1:2" x14ac:dyDescent="0.25">
      <c r="A1199" s="183" t="s">
        <v>1431</v>
      </c>
      <c r="B1199">
        <v>2</v>
      </c>
    </row>
    <row r="1200" spans="1:2" x14ac:dyDescent="0.25">
      <c r="A1200" s="183" t="s">
        <v>1051</v>
      </c>
      <c r="B1200">
        <v>15</v>
      </c>
    </row>
    <row r="1201" spans="1:2" x14ac:dyDescent="0.25">
      <c r="A1201" s="183" t="s">
        <v>1052</v>
      </c>
      <c r="B1201">
        <v>5</v>
      </c>
    </row>
    <row r="1202" spans="1:2" x14ac:dyDescent="0.25">
      <c r="A1202" s="183" t="s">
        <v>1053</v>
      </c>
      <c r="B1202">
        <v>12</v>
      </c>
    </row>
    <row r="1203" spans="1:2" x14ac:dyDescent="0.25">
      <c r="A1203" s="183" t="s">
        <v>1054</v>
      </c>
      <c r="B1203">
        <v>6</v>
      </c>
    </row>
    <row r="1204" spans="1:2" x14ac:dyDescent="0.25">
      <c r="A1204" s="183" t="s">
        <v>1055</v>
      </c>
      <c r="B1204">
        <v>5</v>
      </c>
    </row>
    <row r="1205" spans="1:2" x14ac:dyDescent="0.25">
      <c r="A1205" s="183" t="s">
        <v>1056</v>
      </c>
      <c r="B1205">
        <v>8</v>
      </c>
    </row>
    <row r="1206" spans="1:2" x14ac:dyDescent="0.25">
      <c r="A1206" s="183" t="s">
        <v>1057</v>
      </c>
      <c r="B1206">
        <v>9</v>
      </c>
    </row>
    <row r="1207" spans="1:2" x14ac:dyDescent="0.25">
      <c r="A1207" s="183" t="s">
        <v>1058</v>
      </c>
      <c r="B1207">
        <v>14</v>
      </c>
    </row>
    <row r="1208" spans="1:2" x14ac:dyDescent="0.25">
      <c r="A1208" s="183" t="s">
        <v>1059</v>
      </c>
      <c r="B1208">
        <v>8</v>
      </c>
    </row>
    <row r="1209" spans="1:2" x14ac:dyDescent="0.25">
      <c r="A1209" s="183" t="s">
        <v>1060</v>
      </c>
      <c r="B1209">
        <v>13</v>
      </c>
    </row>
    <row r="1210" spans="1:2" x14ac:dyDescent="0.25">
      <c r="A1210" s="183" t="s">
        <v>1061</v>
      </c>
      <c r="B1210">
        <v>3</v>
      </c>
    </row>
    <row r="1211" spans="1:2" x14ac:dyDescent="0.25">
      <c r="A1211" s="183" t="s">
        <v>1062</v>
      </c>
      <c r="B1211">
        <v>9</v>
      </c>
    </row>
    <row r="1212" spans="1:2" x14ac:dyDescent="0.25">
      <c r="A1212" s="183" t="s">
        <v>1063</v>
      </c>
      <c r="B1212">
        <v>5</v>
      </c>
    </row>
    <row r="1213" spans="1:2" x14ac:dyDescent="0.25">
      <c r="A1213" s="183" t="s">
        <v>1064</v>
      </c>
      <c r="B1213">
        <v>4</v>
      </c>
    </row>
    <row r="1214" spans="1:2" x14ac:dyDescent="0.25">
      <c r="A1214" s="183" t="s">
        <v>1065</v>
      </c>
      <c r="B1214">
        <v>10</v>
      </c>
    </row>
    <row r="1215" spans="1:2" x14ac:dyDescent="0.25">
      <c r="A1215" s="183" t="s">
        <v>1066</v>
      </c>
      <c r="B1215">
        <v>9</v>
      </c>
    </row>
    <row r="1216" spans="1:2" x14ac:dyDescent="0.25">
      <c r="A1216" s="183" t="s">
        <v>1067</v>
      </c>
      <c r="B1216">
        <v>1</v>
      </c>
    </row>
    <row r="1217" spans="1:2" x14ac:dyDescent="0.25">
      <c r="A1217" s="183" t="s">
        <v>1068</v>
      </c>
      <c r="B1217">
        <v>5</v>
      </c>
    </row>
    <row r="1218" spans="1:2" x14ac:dyDescent="0.25">
      <c r="A1218" s="183" t="s">
        <v>1069</v>
      </c>
      <c r="B1218">
        <v>10</v>
      </c>
    </row>
    <row r="1219" spans="1:2" x14ac:dyDescent="0.25">
      <c r="A1219" s="183" t="s">
        <v>1070</v>
      </c>
      <c r="B1219">
        <v>3</v>
      </c>
    </row>
    <row r="1220" spans="1:2" x14ac:dyDescent="0.25">
      <c r="A1220" s="183" t="s">
        <v>1071</v>
      </c>
      <c r="B1220">
        <v>3</v>
      </c>
    </row>
    <row r="1221" spans="1:2" x14ac:dyDescent="0.25">
      <c r="A1221" s="183" t="s">
        <v>1072</v>
      </c>
      <c r="B1221">
        <v>15</v>
      </c>
    </row>
    <row r="1222" spans="1:2" x14ac:dyDescent="0.25">
      <c r="A1222" s="183" t="s">
        <v>1073</v>
      </c>
      <c r="B1222">
        <v>6</v>
      </c>
    </row>
    <row r="1223" spans="1:2" x14ac:dyDescent="0.25">
      <c r="A1223" s="183" t="s">
        <v>1074</v>
      </c>
      <c r="B1223">
        <v>6</v>
      </c>
    </row>
    <row r="1224" spans="1:2" x14ac:dyDescent="0.25">
      <c r="A1224" s="183" t="s">
        <v>1075</v>
      </c>
      <c r="B1224">
        <v>9</v>
      </c>
    </row>
    <row r="1225" spans="1:2" x14ac:dyDescent="0.25">
      <c r="A1225" s="183" t="s">
        <v>1076</v>
      </c>
      <c r="B1225">
        <v>2</v>
      </c>
    </row>
    <row r="1226" spans="1:2" x14ac:dyDescent="0.25">
      <c r="A1226" s="183" t="s">
        <v>1077</v>
      </c>
      <c r="B1226">
        <v>2</v>
      </c>
    </row>
    <row r="1227" spans="1:2" x14ac:dyDescent="0.25">
      <c r="A1227" s="183" t="s">
        <v>1078</v>
      </c>
      <c r="B1227">
        <v>10</v>
      </c>
    </row>
    <row r="1228" spans="1:2" x14ac:dyDescent="0.25">
      <c r="A1228" s="183" t="s">
        <v>1079</v>
      </c>
      <c r="B1228">
        <v>5</v>
      </c>
    </row>
    <row r="1229" spans="1:2" x14ac:dyDescent="0.25">
      <c r="A1229" s="183" t="s">
        <v>1080</v>
      </c>
      <c r="B1229">
        <v>4</v>
      </c>
    </row>
    <row r="1230" spans="1:2" x14ac:dyDescent="0.25">
      <c r="A1230" s="183" t="s">
        <v>1081</v>
      </c>
      <c r="B1230">
        <v>5</v>
      </c>
    </row>
    <row r="1231" spans="1:2" x14ac:dyDescent="0.25">
      <c r="A1231" s="183" t="s">
        <v>1082</v>
      </c>
      <c r="B1231">
        <v>42</v>
      </c>
    </row>
    <row r="1232" spans="1:2" x14ac:dyDescent="0.25">
      <c r="A1232" s="183" t="s">
        <v>1083</v>
      </c>
      <c r="B1232">
        <v>5</v>
      </c>
    </row>
    <row r="1233" spans="1:2" x14ac:dyDescent="0.25">
      <c r="A1233" s="183" t="s">
        <v>1084</v>
      </c>
      <c r="B1233">
        <v>5</v>
      </c>
    </row>
    <row r="1234" spans="1:2" x14ac:dyDescent="0.25">
      <c r="A1234" s="183" t="s">
        <v>1085</v>
      </c>
      <c r="B1234">
        <v>4</v>
      </c>
    </row>
    <row r="1235" spans="1:2" x14ac:dyDescent="0.25">
      <c r="A1235" s="183" t="s">
        <v>1086</v>
      </c>
      <c r="B1235">
        <v>4</v>
      </c>
    </row>
    <row r="1236" spans="1:2" x14ac:dyDescent="0.25">
      <c r="A1236" s="183" t="s">
        <v>1087</v>
      </c>
      <c r="B1236">
        <v>9</v>
      </c>
    </row>
    <row r="1237" spans="1:2" x14ac:dyDescent="0.25">
      <c r="A1237" s="183" t="s">
        <v>1088</v>
      </c>
      <c r="B1237">
        <v>5</v>
      </c>
    </row>
    <row r="1238" spans="1:2" x14ac:dyDescent="0.25">
      <c r="A1238" s="183" t="s">
        <v>1089</v>
      </c>
      <c r="B1238">
        <v>4</v>
      </c>
    </row>
    <row r="1239" spans="1:2" x14ac:dyDescent="0.25">
      <c r="A1239" s="183" t="s">
        <v>1090</v>
      </c>
      <c r="B1239">
        <v>4</v>
      </c>
    </row>
    <row r="1240" spans="1:2" x14ac:dyDescent="0.25">
      <c r="A1240" s="183" t="s">
        <v>1091</v>
      </c>
      <c r="B1240">
        <v>12</v>
      </c>
    </row>
    <row r="1241" spans="1:2" x14ac:dyDescent="0.25">
      <c r="A1241" s="183" t="s">
        <v>1092</v>
      </c>
      <c r="B1241">
        <v>4</v>
      </c>
    </row>
    <row r="1242" spans="1:2" x14ac:dyDescent="0.25">
      <c r="A1242" s="183" t="s">
        <v>1093</v>
      </c>
      <c r="B1242">
        <v>9</v>
      </c>
    </row>
    <row r="1243" spans="1:2" x14ac:dyDescent="0.25">
      <c r="A1243" s="183" t="s">
        <v>1094</v>
      </c>
      <c r="B1243">
        <v>4</v>
      </c>
    </row>
    <row r="1244" spans="1:2" x14ac:dyDescent="0.25">
      <c r="A1244" s="183" t="s">
        <v>1095</v>
      </c>
      <c r="B1244">
        <v>3</v>
      </c>
    </row>
    <row r="1245" spans="1:2" x14ac:dyDescent="0.25">
      <c r="A1245" s="183" t="s">
        <v>1096</v>
      </c>
      <c r="B1245">
        <v>10</v>
      </c>
    </row>
    <row r="1246" spans="1:2" x14ac:dyDescent="0.25">
      <c r="A1246" s="183" t="s">
        <v>1097</v>
      </c>
      <c r="B1246">
        <v>2</v>
      </c>
    </row>
    <row r="1247" spans="1:2" x14ac:dyDescent="0.25">
      <c r="A1247" s="183" t="s">
        <v>1098</v>
      </c>
      <c r="B1247">
        <v>12</v>
      </c>
    </row>
    <row r="1248" spans="1:2" x14ac:dyDescent="0.25">
      <c r="A1248" s="183" t="s">
        <v>1099</v>
      </c>
      <c r="B1248">
        <v>4</v>
      </c>
    </row>
    <row r="1249" spans="1:2" x14ac:dyDescent="0.25">
      <c r="A1249" s="183" t="s">
        <v>1100</v>
      </c>
      <c r="B1249">
        <v>4</v>
      </c>
    </row>
    <row r="1250" spans="1:2" x14ac:dyDescent="0.25">
      <c r="A1250" s="183" t="s">
        <v>1101</v>
      </c>
      <c r="B1250">
        <v>4</v>
      </c>
    </row>
    <row r="1251" spans="1:2" x14ac:dyDescent="0.25">
      <c r="A1251" s="183" t="s">
        <v>1102</v>
      </c>
      <c r="B1251">
        <v>3</v>
      </c>
    </row>
    <row r="1252" spans="1:2" x14ac:dyDescent="0.25">
      <c r="A1252" s="183" t="s">
        <v>1103</v>
      </c>
      <c r="B1252">
        <v>4</v>
      </c>
    </row>
    <row r="1253" spans="1:2" x14ac:dyDescent="0.25">
      <c r="A1253" s="183" t="s">
        <v>1104</v>
      </c>
      <c r="B1253">
        <v>12</v>
      </c>
    </row>
    <row r="1254" spans="1:2" x14ac:dyDescent="0.25">
      <c r="A1254" s="183" t="s">
        <v>1105</v>
      </c>
      <c r="B1254">
        <v>26</v>
      </c>
    </row>
    <row r="1255" spans="1:2" x14ac:dyDescent="0.25">
      <c r="A1255" s="183" t="s">
        <v>1106</v>
      </c>
      <c r="B1255">
        <v>9</v>
      </c>
    </row>
    <row r="1256" spans="1:2" x14ac:dyDescent="0.25">
      <c r="A1256" s="183" t="s">
        <v>1456</v>
      </c>
      <c r="B1256">
        <v>9</v>
      </c>
    </row>
    <row r="1257" spans="1:2" x14ac:dyDescent="0.25">
      <c r="A1257" s="183" t="s">
        <v>1457</v>
      </c>
      <c r="B1257">
        <v>4</v>
      </c>
    </row>
    <row r="1258" spans="1:2" x14ac:dyDescent="0.25">
      <c r="A1258" s="183" t="s">
        <v>1458</v>
      </c>
      <c r="B1258">
        <v>2</v>
      </c>
    </row>
    <row r="1259" spans="1:2" x14ac:dyDescent="0.25">
      <c r="A1259" s="183" t="s">
        <v>1107</v>
      </c>
      <c r="B1259">
        <v>24</v>
      </c>
    </row>
    <row r="1260" spans="1:2" x14ac:dyDescent="0.25">
      <c r="A1260" s="183" t="s">
        <v>1459</v>
      </c>
      <c r="B1260">
        <v>27</v>
      </c>
    </row>
    <row r="1261" spans="1:2" x14ac:dyDescent="0.25">
      <c r="A1261" s="183" t="s">
        <v>1460</v>
      </c>
      <c r="B1261">
        <v>2</v>
      </c>
    </row>
    <row r="1262" spans="1:2" x14ac:dyDescent="0.25">
      <c r="A1262" s="183" t="s">
        <v>1461</v>
      </c>
      <c r="B1262">
        <v>6</v>
      </c>
    </row>
    <row r="1263" spans="1:2" x14ac:dyDescent="0.25">
      <c r="A1263" s="183" t="s">
        <v>1462</v>
      </c>
      <c r="B1263">
        <v>2</v>
      </c>
    </row>
    <row r="1264" spans="1:2" x14ac:dyDescent="0.25">
      <c r="A1264" s="183" t="s">
        <v>1463</v>
      </c>
      <c r="B1264">
        <v>2</v>
      </c>
    </row>
    <row r="1265" spans="1:2" x14ac:dyDescent="0.25">
      <c r="A1265" s="183" t="s">
        <v>1464</v>
      </c>
      <c r="B1265">
        <v>8</v>
      </c>
    </row>
    <row r="1266" spans="1:2" x14ac:dyDescent="0.25">
      <c r="A1266" s="183" t="s">
        <v>1465</v>
      </c>
      <c r="B1266">
        <v>6</v>
      </c>
    </row>
    <row r="1267" spans="1:2" x14ac:dyDescent="0.25">
      <c r="A1267" s="183" t="s">
        <v>1466</v>
      </c>
      <c r="B1267">
        <v>2</v>
      </c>
    </row>
    <row r="1268" spans="1:2" x14ac:dyDescent="0.25">
      <c r="A1268" s="183" t="s">
        <v>1467</v>
      </c>
      <c r="B1268">
        <v>5</v>
      </c>
    </row>
    <row r="1269" spans="1:2" x14ac:dyDescent="0.25">
      <c r="A1269" s="183" t="s">
        <v>1468</v>
      </c>
      <c r="B1269">
        <v>27</v>
      </c>
    </row>
    <row r="1270" spans="1:2" x14ac:dyDescent="0.25">
      <c r="A1270" s="183" t="s">
        <v>1469</v>
      </c>
      <c r="B1270">
        <v>20</v>
      </c>
    </row>
    <row r="1271" spans="1:2" x14ac:dyDescent="0.25">
      <c r="A1271" s="183" t="s">
        <v>1470</v>
      </c>
      <c r="B1271">
        <v>6</v>
      </c>
    </row>
    <row r="1272" spans="1:2" x14ac:dyDescent="0.25">
      <c r="A1272" s="183" t="s">
        <v>1471</v>
      </c>
      <c r="B1272">
        <v>2</v>
      </c>
    </row>
    <row r="1273" spans="1:2" x14ac:dyDescent="0.25">
      <c r="A1273" s="183" t="s">
        <v>1439</v>
      </c>
      <c r="B1273">
        <v>51</v>
      </c>
    </row>
    <row r="1274" spans="1:2" x14ac:dyDescent="0.25">
      <c r="A1274" s="183" t="s">
        <v>1472</v>
      </c>
      <c r="B1274">
        <v>17</v>
      </c>
    </row>
    <row r="1275" spans="1:2" x14ac:dyDescent="0.25">
      <c r="A1275" s="183" t="s">
        <v>1473</v>
      </c>
      <c r="B1275">
        <v>2</v>
      </c>
    </row>
    <row r="1276" spans="1:2" x14ac:dyDescent="0.25">
      <c r="A1276" s="183" t="s">
        <v>1474</v>
      </c>
      <c r="B1276">
        <v>2</v>
      </c>
    </row>
    <row r="1277" spans="1:2" x14ac:dyDescent="0.25">
      <c r="A1277" s="183" t="s">
        <v>1475</v>
      </c>
      <c r="B1277">
        <v>4</v>
      </c>
    </row>
    <row r="1278" spans="1:2" x14ac:dyDescent="0.25">
      <c r="A1278" s="183" t="s">
        <v>1476</v>
      </c>
      <c r="B1278">
        <v>3</v>
      </c>
    </row>
    <row r="1279" spans="1:2" x14ac:dyDescent="0.25">
      <c r="A1279" s="183" t="s">
        <v>1477</v>
      </c>
      <c r="B1279">
        <v>3</v>
      </c>
    </row>
    <row r="1280" spans="1:2" x14ac:dyDescent="0.25">
      <c r="A1280" s="183" t="s">
        <v>1478</v>
      </c>
      <c r="B1280">
        <v>4</v>
      </c>
    </row>
    <row r="1281" spans="1:2" x14ac:dyDescent="0.25">
      <c r="A1281" s="183" t="s">
        <v>1479</v>
      </c>
      <c r="B1281">
        <v>5</v>
      </c>
    </row>
    <row r="1282" spans="1:2" x14ac:dyDescent="0.25">
      <c r="A1282" s="183" t="s">
        <v>1480</v>
      </c>
      <c r="B1282">
        <v>1</v>
      </c>
    </row>
    <row r="1283" spans="1:2" x14ac:dyDescent="0.25">
      <c r="A1283" s="183" t="s">
        <v>1481</v>
      </c>
      <c r="B1283">
        <v>2</v>
      </c>
    </row>
    <row r="1284" spans="1:2" x14ac:dyDescent="0.25">
      <c r="A1284" s="183" t="s">
        <v>1482</v>
      </c>
      <c r="B1284">
        <v>7</v>
      </c>
    </row>
    <row r="1285" spans="1:2" x14ac:dyDescent="0.25">
      <c r="A1285" s="183" t="s">
        <v>1483</v>
      </c>
      <c r="B1285">
        <v>5</v>
      </c>
    </row>
    <row r="1286" spans="1:2" x14ac:dyDescent="0.25">
      <c r="A1286" s="183" t="s">
        <v>1484</v>
      </c>
      <c r="B1286">
        <v>2</v>
      </c>
    </row>
    <row r="1287" spans="1:2" x14ac:dyDescent="0.25">
      <c r="A1287" s="183" t="s">
        <v>1485</v>
      </c>
      <c r="B1287">
        <v>1</v>
      </c>
    </row>
    <row r="1288" spans="1:2" x14ac:dyDescent="0.25">
      <c r="A1288" s="183" t="s">
        <v>1486</v>
      </c>
      <c r="B1288">
        <v>2</v>
      </c>
    </row>
    <row r="1289" spans="1:2" x14ac:dyDescent="0.25">
      <c r="A1289" s="183" t="s">
        <v>1487</v>
      </c>
      <c r="B1289">
        <v>1</v>
      </c>
    </row>
    <row r="1290" spans="1:2" x14ac:dyDescent="0.25">
      <c r="A1290" s="183" t="s">
        <v>1488</v>
      </c>
      <c r="B1290">
        <v>2</v>
      </c>
    </row>
    <row r="1291" spans="1:2" x14ac:dyDescent="0.25">
      <c r="A1291" s="183" t="s">
        <v>1489</v>
      </c>
      <c r="B1291">
        <v>2</v>
      </c>
    </row>
    <row r="1292" spans="1:2" x14ac:dyDescent="0.25">
      <c r="A1292" s="183" t="s">
        <v>1490</v>
      </c>
      <c r="B1292">
        <v>7</v>
      </c>
    </row>
    <row r="1293" spans="1:2" x14ac:dyDescent="0.25">
      <c r="A1293" s="183" t="s">
        <v>1491</v>
      </c>
      <c r="B1293">
        <v>1</v>
      </c>
    </row>
    <row r="1294" spans="1:2" x14ac:dyDescent="0.25">
      <c r="A1294" s="183" t="s">
        <v>1492</v>
      </c>
      <c r="B1294">
        <v>5</v>
      </c>
    </row>
    <row r="1295" spans="1:2" x14ac:dyDescent="0.25">
      <c r="A1295" s="183" t="s">
        <v>1493</v>
      </c>
      <c r="B1295">
        <v>5</v>
      </c>
    </row>
    <row r="1296" spans="1:2" x14ac:dyDescent="0.25">
      <c r="A1296" s="183" t="s">
        <v>1494</v>
      </c>
      <c r="B1296">
        <v>6</v>
      </c>
    </row>
    <row r="1297" spans="1:2" x14ac:dyDescent="0.25">
      <c r="A1297" s="183" t="s">
        <v>1495</v>
      </c>
      <c r="B1297">
        <v>4</v>
      </c>
    </row>
    <row r="1298" spans="1:2" x14ac:dyDescent="0.25">
      <c r="A1298" s="183" t="s">
        <v>1496</v>
      </c>
      <c r="B1298">
        <v>2</v>
      </c>
    </row>
    <row r="1299" spans="1:2" x14ac:dyDescent="0.25">
      <c r="A1299" s="183" t="s">
        <v>1497</v>
      </c>
      <c r="B1299">
        <v>2</v>
      </c>
    </row>
    <row r="1300" spans="1:2" x14ac:dyDescent="0.25">
      <c r="A1300" s="183" t="s">
        <v>1498</v>
      </c>
      <c r="B1300">
        <v>1</v>
      </c>
    </row>
    <row r="1301" spans="1:2" x14ac:dyDescent="0.25">
      <c r="A1301" s="183" t="s">
        <v>1499</v>
      </c>
      <c r="B1301">
        <v>3</v>
      </c>
    </row>
    <row r="1302" spans="1:2" x14ac:dyDescent="0.25">
      <c r="A1302" s="183" t="s">
        <v>1500</v>
      </c>
      <c r="B1302">
        <v>3</v>
      </c>
    </row>
    <row r="1303" spans="1:2" x14ac:dyDescent="0.25">
      <c r="A1303" s="183" t="s">
        <v>1501</v>
      </c>
      <c r="B1303">
        <v>4</v>
      </c>
    </row>
    <row r="1304" spans="1:2" x14ac:dyDescent="0.25">
      <c r="A1304" s="183" t="s">
        <v>1502</v>
      </c>
      <c r="B1304">
        <v>3</v>
      </c>
    </row>
    <row r="1305" spans="1:2" x14ac:dyDescent="0.25">
      <c r="A1305" s="183" t="s">
        <v>1503</v>
      </c>
      <c r="B1305">
        <v>1</v>
      </c>
    </row>
    <row r="1306" spans="1:2" x14ac:dyDescent="0.25">
      <c r="A1306" s="183" t="s">
        <v>1504</v>
      </c>
      <c r="B1306">
        <v>2</v>
      </c>
    </row>
    <row r="1307" spans="1:2" x14ac:dyDescent="0.25">
      <c r="A1307" s="183" t="s">
        <v>1505</v>
      </c>
      <c r="B1307">
        <v>2</v>
      </c>
    </row>
    <row r="1308" spans="1:2" x14ac:dyDescent="0.25">
      <c r="A1308" s="183" t="s">
        <v>1506</v>
      </c>
      <c r="B1308">
        <v>4</v>
      </c>
    </row>
    <row r="1309" spans="1:2" x14ac:dyDescent="0.25">
      <c r="A1309" s="183" t="s">
        <v>1507</v>
      </c>
      <c r="B1309">
        <v>23</v>
      </c>
    </row>
    <row r="1310" spans="1:2" x14ac:dyDescent="0.25">
      <c r="A1310" s="183" t="s">
        <v>1508</v>
      </c>
      <c r="B1310">
        <v>4</v>
      </c>
    </row>
    <row r="1311" spans="1:2" x14ac:dyDescent="0.25">
      <c r="A1311" s="183" t="s">
        <v>1509</v>
      </c>
      <c r="B1311">
        <v>3</v>
      </c>
    </row>
    <row r="1312" spans="1:2" x14ac:dyDescent="0.25">
      <c r="A1312" s="183" t="s">
        <v>1510</v>
      </c>
      <c r="B1312">
        <v>4</v>
      </c>
    </row>
    <row r="1313" spans="1:2" x14ac:dyDescent="0.25">
      <c r="A1313" s="183" t="s">
        <v>1511</v>
      </c>
      <c r="B1313">
        <v>4</v>
      </c>
    </row>
    <row r="1314" spans="1:2" x14ac:dyDescent="0.25">
      <c r="A1314" s="183" t="s">
        <v>1512</v>
      </c>
      <c r="B1314">
        <v>4</v>
      </c>
    </row>
    <row r="1315" spans="1:2" x14ac:dyDescent="0.25">
      <c r="A1315" s="183" t="s">
        <v>1513</v>
      </c>
      <c r="B1315">
        <v>2</v>
      </c>
    </row>
    <row r="1316" spans="1:2" x14ac:dyDescent="0.25">
      <c r="A1316" s="183" t="s">
        <v>1514</v>
      </c>
      <c r="B1316">
        <v>2</v>
      </c>
    </row>
    <row r="1317" spans="1:2" x14ac:dyDescent="0.25">
      <c r="A1317" s="183" t="s">
        <v>1515</v>
      </c>
      <c r="B1317">
        <v>4</v>
      </c>
    </row>
    <row r="1318" spans="1:2" x14ac:dyDescent="0.25">
      <c r="A1318" s="183" t="s">
        <v>1516</v>
      </c>
      <c r="B1318">
        <v>3</v>
      </c>
    </row>
    <row r="1319" spans="1:2" x14ac:dyDescent="0.25">
      <c r="A1319" s="183" t="s">
        <v>1517</v>
      </c>
      <c r="B1319">
        <v>2</v>
      </c>
    </row>
    <row r="1320" spans="1:2" x14ac:dyDescent="0.25">
      <c r="A1320" s="183" t="s">
        <v>1518</v>
      </c>
      <c r="B1320">
        <v>4</v>
      </c>
    </row>
    <row r="1321" spans="1:2" x14ac:dyDescent="0.25">
      <c r="A1321" s="183" t="s">
        <v>1519</v>
      </c>
      <c r="B1321">
        <v>2</v>
      </c>
    </row>
    <row r="1322" spans="1:2" x14ac:dyDescent="0.25">
      <c r="A1322" s="183" t="s">
        <v>1520</v>
      </c>
      <c r="B1322">
        <v>3</v>
      </c>
    </row>
    <row r="1323" spans="1:2" x14ac:dyDescent="0.25">
      <c r="A1323" s="183" t="s">
        <v>1521</v>
      </c>
      <c r="B1323">
        <v>4</v>
      </c>
    </row>
    <row r="1324" spans="1:2" x14ac:dyDescent="0.25">
      <c r="A1324" s="183" t="s">
        <v>1522</v>
      </c>
      <c r="B1324">
        <v>8</v>
      </c>
    </row>
    <row r="1325" spans="1:2" x14ac:dyDescent="0.25">
      <c r="A1325" s="183" t="s">
        <v>1523</v>
      </c>
      <c r="B1325">
        <v>2</v>
      </c>
    </row>
    <row r="1326" spans="1:2" x14ac:dyDescent="0.25">
      <c r="A1326" s="183" t="s">
        <v>1524</v>
      </c>
      <c r="B1326">
        <v>10</v>
      </c>
    </row>
    <row r="1327" spans="1:2" x14ac:dyDescent="0.25">
      <c r="A1327" s="183" t="s">
        <v>1525</v>
      </c>
      <c r="B1327">
        <v>4</v>
      </c>
    </row>
    <row r="1328" spans="1:2" x14ac:dyDescent="0.25">
      <c r="A1328" s="183" t="s">
        <v>1526</v>
      </c>
      <c r="B1328">
        <v>2</v>
      </c>
    </row>
    <row r="1329" spans="1:2" x14ac:dyDescent="0.25">
      <c r="A1329" s="183" t="s">
        <v>1527</v>
      </c>
      <c r="B1329">
        <v>1</v>
      </c>
    </row>
    <row r="1330" spans="1:2" x14ac:dyDescent="0.25">
      <c r="A1330" s="183" t="s">
        <v>1528</v>
      </c>
      <c r="B1330">
        <v>2</v>
      </c>
    </row>
    <row r="1331" spans="1:2" x14ac:dyDescent="0.25">
      <c r="A1331" s="183" t="s">
        <v>1529</v>
      </c>
      <c r="B1331">
        <v>3</v>
      </c>
    </row>
    <row r="1332" spans="1:2" x14ac:dyDescent="0.25">
      <c r="A1332" s="183" t="s">
        <v>1530</v>
      </c>
      <c r="B1332">
        <v>2</v>
      </c>
    </row>
    <row r="1333" spans="1:2" x14ac:dyDescent="0.25">
      <c r="A1333" s="183" t="s">
        <v>1531</v>
      </c>
      <c r="B1333">
        <v>1</v>
      </c>
    </row>
    <row r="1334" spans="1:2" x14ac:dyDescent="0.25">
      <c r="A1334" s="183" t="s">
        <v>1108</v>
      </c>
      <c r="B1334">
        <v>34</v>
      </c>
    </row>
    <row r="1335" spans="1:2" x14ac:dyDescent="0.25">
      <c r="A1335" s="183" t="s">
        <v>1109</v>
      </c>
      <c r="B1335">
        <v>2</v>
      </c>
    </row>
    <row r="1336" spans="1:2" x14ac:dyDescent="0.25">
      <c r="A1336" s="183" t="s">
        <v>1110</v>
      </c>
      <c r="B1336">
        <v>2</v>
      </c>
    </row>
    <row r="1337" spans="1:2" x14ac:dyDescent="0.25">
      <c r="A1337" s="183" t="s">
        <v>1111</v>
      </c>
      <c r="B1337">
        <v>6</v>
      </c>
    </row>
    <row r="1338" spans="1:2" x14ac:dyDescent="0.25">
      <c r="A1338" s="183" t="s">
        <v>1112</v>
      </c>
      <c r="B1338">
        <v>5</v>
      </c>
    </row>
    <row r="1339" spans="1:2" x14ac:dyDescent="0.25">
      <c r="A1339" s="183" t="s">
        <v>1113</v>
      </c>
      <c r="B1339">
        <v>9</v>
      </c>
    </row>
    <row r="1340" spans="1:2" x14ac:dyDescent="0.25">
      <c r="A1340" s="183" t="s">
        <v>1114</v>
      </c>
      <c r="B1340">
        <v>9</v>
      </c>
    </row>
    <row r="1341" spans="1:2" x14ac:dyDescent="0.25">
      <c r="A1341" s="183" t="s">
        <v>1115</v>
      </c>
      <c r="B1341">
        <v>4</v>
      </c>
    </row>
    <row r="1342" spans="1:2" x14ac:dyDescent="0.25">
      <c r="A1342" s="183" t="s">
        <v>1116</v>
      </c>
      <c r="B1342">
        <v>3</v>
      </c>
    </row>
    <row r="1343" spans="1:2" x14ac:dyDescent="0.25">
      <c r="A1343" s="183" t="s">
        <v>1117</v>
      </c>
      <c r="B1343">
        <v>6</v>
      </c>
    </row>
    <row r="1344" spans="1:2" x14ac:dyDescent="0.25">
      <c r="A1344" s="183" t="s">
        <v>1118</v>
      </c>
      <c r="B1344">
        <v>3</v>
      </c>
    </row>
    <row r="1345" spans="1:2" x14ac:dyDescent="0.25">
      <c r="A1345" s="183" t="s">
        <v>1119</v>
      </c>
      <c r="B1345">
        <v>10</v>
      </c>
    </row>
    <row r="1346" spans="1:2" x14ac:dyDescent="0.25">
      <c r="A1346" s="183" t="s">
        <v>1120</v>
      </c>
      <c r="B1346">
        <v>9</v>
      </c>
    </row>
    <row r="1347" spans="1:2" x14ac:dyDescent="0.25">
      <c r="A1347" s="183" t="s">
        <v>1121</v>
      </c>
      <c r="B1347">
        <v>3</v>
      </c>
    </row>
    <row r="1348" spans="1:2" x14ac:dyDescent="0.25">
      <c r="A1348" s="183" t="s">
        <v>1122</v>
      </c>
      <c r="B1348">
        <v>8</v>
      </c>
    </row>
    <row r="1349" spans="1:2" x14ac:dyDescent="0.25">
      <c r="A1349" s="183" t="s">
        <v>1432</v>
      </c>
      <c r="B1349">
        <v>3</v>
      </c>
    </row>
    <row r="1350" spans="1:2" x14ac:dyDescent="0.25">
      <c r="A1350" s="183" t="s">
        <v>1123</v>
      </c>
      <c r="B1350">
        <v>6</v>
      </c>
    </row>
    <row r="1351" spans="1:2" x14ac:dyDescent="0.25">
      <c r="A1351" s="183" t="s">
        <v>1124</v>
      </c>
      <c r="B1351">
        <v>6</v>
      </c>
    </row>
    <row r="1352" spans="1:2" x14ac:dyDescent="0.25">
      <c r="A1352" s="183" t="s">
        <v>1125</v>
      </c>
      <c r="B1352">
        <v>3</v>
      </c>
    </row>
    <row r="1353" spans="1:2" x14ac:dyDescent="0.25">
      <c r="A1353" s="183" t="s">
        <v>1126</v>
      </c>
      <c r="B1353">
        <v>3</v>
      </c>
    </row>
    <row r="1354" spans="1:2" x14ac:dyDescent="0.25">
      <c r="A1354" s="183" t="s">
        <v>1127</v>
      </c>
      <c r="B1354">
        <v>5</v>
      </c>
    </row>
    <row r="1355" spans="1:2" x14ac:dyDescent="0.25">
      <c r="A1355" s="183" t="s">
        <v>1128</v>
      </c>
      <c r="B1355">
        <v>2</v>
      </c>
    </row>
    <row r="1356" spans="1:2" x14ac:dyDescent="0.25">
      <c r="A1356" s="183" t="s">
        <v>1129</v>
      </c>
      <c r="B1356">
        <v>2</v>
      </c>
    </row>
    <row r="1357" spans="1:2" x14ac:dyDescent="0.25">
      <c r="A1357" s="183" t="s">
        <v>1130</v>
      </c>
      <c r="B1357">
        <v>5</v>
      </c>
    </row>
    <row r="1358" spans="1:2" x14ac:dyDescent="0.25">
      <c r="A1358" s="183" t="s">
        <v>1131</v>
      </c>
      <c r="B1358">
        <v>6</v>
      </c>
    </row>
    <row r="1359" spans="1:2" x14ac:dyDescent="0.25">
      <c r="A1359" s="183" t="s">
        <v>1132</v>
      </c>
      <c r="B1359">
        <v>6</v>
      </c>
    </row>
    <row r="1360" spans="1:2" x14ac:dyDescent="0.25">
      <c r="A1360" s="183" t="s">
        <v>1133</v>
      </c>
      <c r="B1360">
        <v>6</v>
      </c>
    </row>
    <row r="1361" spans="1:2" x14ac:dyDescent="0.25">
      <c r="A1361" s="183" t="s">
        <v>1134</v>
      </c>
      <c r="B1361">
        <v>3</v>
      </c>
    </row>
    <row r="1362" spans="1:2" x14ac:dyDescent="0.25">
      <c r="A1362" s="183" t="s">
        <v>1135</v>
      </c>
      <c r="B1362">
        <v>6</v>
      </c>
    </row>
    <row r="1363" spans="1:2" x14ac:dyDescent="0.25">
      <c r="A1363" s="183" t="s">
        <v>1136</v>
      </c>
      <c r="B1363">
        <v>7</v>
      </c>
    </row>
    <row r="1364" spans="1:2" x14ac:dyDescent="0.25">
      <c r="A1364" s="183" t="s">
        <v>1137</v>
      </c>
      <c r="B1364">
        <v>9</v>
      </c>
    </row>
    <row r="1365" spans="1:2" x14ac:dyDescent="0.25">
      <c r="A1365" s="183" t="s">
        <v>1138</v>
      </c>
      <c r="B1365">
        <v>6</v>
      </c>
    </row>
    <row r="1366" spans="1:2" x14ac:dyDescent="0.25">
      <c r="A1366" s="183" t="s">
        <v>1139</v>
      </c>
      <c r="B1366">
        <v>6</v>
      </c>
    </row>
    <row r="1367" spans="1:2" x14ac:dyDescent="0.25">
      <c r="A1367" s="183" t="s">
        <v>1140</v>
      </c>
      <c r="B1367">
        <v>15</v>
      </c>
    </row>
    <row r="1368" spans="1:2" x14ac:dyDescent="0.25">
      <c r="A1368" s="183" t="s">
        <v>1141</v>
      </c>
      <c r="B1368">
        <v>15</v>
      </c>
    </row>
    <row r="1369" spans="1:2" x14ac:dyDescent="0.25">
      <c r="A1369" s="183" t="s">
        <v>1142</v>
      </c>
      <c r="B1369">
        <v>3</v>
      </c>
    </row>
    <row r="1370" spans="1:2" x14ac:dyDescent="0.25">
      <c r="A1370" s="183" t="s">
        <v>1143</v>
      </c>
      <c r="B1370">
        <v>10</v>
      </c>
    </row>
    <row r="1371" spans="1:2" x14ac:dyDescent="0.25">
      <c r="A1371" s="183" t="s">
        <v>1144</v>
      </c>
      <c r="B1371">
        <v>1</v>
      </c>
    </row>
    <row r="1372" spans="1:2" x14ac:dyDescent="0.25">
      <c r="A1372" s="183" t="s">
        <v>1145</v>
      </c>
      <c r="B1372">
        <v>7</v>
      </c>
    </row>
    <row r="1373" spans="1:2" x14ac:dyDescent="0.25">
      <c r="A1373" s="183" t="s">
        <v>1146</v>
      </c>
      <c r="B1373">
        <v>10</v>
      </c>
    </row>
    <row r="1374" spans="1:2" x14ac:dyDescent="0.25">
      <c r="A1374" s="183" t="s">
        <v>1147</v>
      </c>
      <c r="B1374">
        <v>5</v>
      </c>
    </row>
    <row r="1375" spans="1:2" x14ac:dyDescent="0.25">
      <c r="A1375" s="183" t="s">
        <v>1148</v>
      </c>
      <c r="B1375">
        <v>8</v>
      </c>
    </row>
    <row r="1376" spans="1:2" x14ac:dyDescent="0.25">
      <c r="A1376" s="183" t="s">
        <v>1149</v>
      </c>
      <c r="B1376">
        <v>9</v>
      </c>
    </row>
    <row r="1377" spans="1:2" x14ac:dyDescent="0.25">
      <c r="A1377" s="183" t="s">
        <v>1150</v>
      </c>
      <c r="B1377">
        <v>12</v>
      </c>
    </row>
    <row r="1378" spans="1:2" x14ac:dyDescent="0.25">
      <c r="A1378" s="183" t="s">
        <v>1151</v>
      </c>
      <c r="B1378">
        <v>10</v>
      </c>
    </row>
    <row r="1379" spans="1:2" x14ac:dyDescent="0.25">
      <c r="A1379" s="183" t="s">
        <v>1152</v>
      </c>
      <c r="B1379">
        <v>8</v>
      </c>
    </row>
    <row r="1380" spans="1:2" x14ac:dyDescent="0.25">
      <c r="A1380" s="183" t="s">
        <v>1153</v>
      </c>
      <c r="B1380">
        <v>3</v>
      </c>
    </row>
    <row r="1381" spans="1:2" x14ac:dyDescent="0.25">
      <c r="A1381" s="183" t="s">
        <v>1154</v>
      </c>
      <c r="B1381">
        <v>4</v>
      </c>
    </row>
    <row r="1382" spans="1:2" x14ac:dyDescent="0.25">
      <c r="A1382" s="183" t="s">
        <v>1155</v>
      </c>
      <c r="B1382">
        <v>5</v>
      </c>
    </row>
    <row r="1383" spans="1:2" x14ac:dyDescent="0.25">
      <c r="A1383" s="183" t="s">
        <v>1156</v>
      </c>
      <c r="B1383">
        <v>4</v>
      </c>
    </row>
    <row r="1384" spans="1:2" x14ac:dyDescent="0.25">
      <c r="A1384" s="183" t="s">
        <v>1157</v>
      </c>
      <c r="B1384">
        <v>12</v>
      </c>
    </row>
    <row r="1385" spans="1:2" x14ac:dyDescent="0.25">
      <c r="A1385" s="183" t="s">
        <v>1158</v>
      </c>
      <c r="B1385">
        <v>4</v>
      </c>
    </row>
    <row r="1386" spans="1:2" x14ac:dyDescent="0.25">
      <c r="A1386" s="183" t="s">
        <v>1159</v>
      </c>
      <c r="B1386">
        <v>7</v>
      </c>
    </row>
    <row r="1387" spans="1:2" x14ac:dyDescent="0.25">
      <c r="A1387" s="183" t="s">
        <v>1160</v>
      </c>
      <c r="B1387">
        <v>3</v>
      </c>
    </row>
    <row r="1388" spans="1:2" x14ac:dyDescent="0.25">
      <c r="A1388" s="183" t="s">
        <v>1161</v>
      </c>
      <c r="B1388">
        <v>4</v>
      </c>
    </row>
    <row r="1389" spans="1:2" x14ac:dyDescent="0.25">
      <c r="A1389" s="183" t="s">
        <v>1162</v>
      </c>
      <c r="B1389">
        <v>6</v>
      </c>
    </row>
    <row r="1390" spans="1:2" x14ac:dyDescent="0.25">
      <c r="A1390" s="183" t="s">
        <v>1163</v>
      </c>
      <c r="B1390">
        <v>6</v>
      </c>
    </row>
    <row r="1391" spans="1:2" x14ac:dyDescent="0.25">
      <c r="A1391" s="183" t="s">
        <v>1532</v>
      </c>
      <c r="B1391">
        <v>4</v>
      </c>
    </row>
    <row r="1392" spans="1:2" x14ac:dyDescent="0.25">
      <c r="A1392" s="183" t="s">
        <v>1164</v>
      </c>
      <c r="B1392">
        <v>17</v>
      </c>
    </row>
    <row r="1393" spans="1:2" x14ac:dyDescent="0.25">
      <c r="A1393" s="183" t="s">
        <v>1165</v>
      </c>
      <c r="B1393">
        <v>12</v>
      </c>
    </row>
    <row r="1394" spans="1:2" x14ac:dyDescent="0.25">
      <c r="A1394" s="183" t="s">
        <v>1166</v>
      </c>
      <c r="B1394">
        <v>2</v>
      </c>
    </row>
    <row r="1395" spans="1:2" x14ac:dyDescent="0.25">
      <c r="A1395" s="183" t="s">
        <v>1167</v>
      </c>
      <c r="B1395">
        <v>13</v>
      </c>
    </row>
    <row r="1396" spans="1:2" x14ac:dyDescent="0.25">
      <c r="A1396" s="183" t="s">
        <v>1168</v>
      </c>
      <c r="B1396">
        <v>2</v>
      </c>
    </row>
    <row r="1397" spans="1:2" x14ac:dyDescent="0.25">
      <c r="A1397" s="183" t="s">
        <v>1169</v>
      </c>
      <c r="B1397">
        <v>5</v>
      </c>
    </row>
    <row r="1398" spans="1:2" x14ac:dyDescent="0.25">
      <c r="A1398" s="183" t="s">
        <v>1170</v>
      </c>
      <c r="B1398">
        <v>1</v>
      </c>
    </row>
    <row r="1399" spans="1:2" x14ac:dyDescent="0.25">
      <c r="A1399" s="183" t="s">
        <v>1171</v>
      </c>
      <c r="B1399">
        <v>41</v>
      </c>
    </row>
    <row r="1400" spans="1:2" x14ac:dyDescent="0.25">
      <c r="A1400" s="183" t="s">
        <v>1172</v>
      </c>
      <c r="B1400">
        <v>4</v>
      </c>
    </row>
    <row r="1401" spans="1:2" x14ac:dyDescent="0.25">
      <c r="A1401" s="183" t="s">
        <v>1173</v>
      </c>
      <c r="B1401">
        <v>4</v>
      </c>
    </row>
    <row r="1402" spans="1:2" x14ac:dyDescent="0.25">
      <c r="A1402" s="183" t="s">
        <v>1174</v>
      </c>
      <c r="B1402">
        <v>4</v>
      </c>
    </row>
    <row r="1403" spans="1:2" x14ac:dyDescent="0.25">
      <c r="A1403" s="183" t="s">
        <v>1175</v>
      </c>
      <c r="B1403">
        <v>6</v>
      </c>
    </row>
    <row r="1404" spans="1:2" x14ac:dyDescent="0.25">
      <c r="A1404" s="183" t="s">
        <v>1176</v>
      </c>
      <c r="B1404">
        <v>381</v>
      </c>
    </row>
    <row r="1405" spans="1:2" x14ac:dyDescent="0.25">
      <c r="A1405" s="183" t="s">
        <v>1177</v>
      </c>
      <c r="B1405">
        <v>27</v>
      </c>
    </row>
    <row r="1406" spans="1:2" x14ac:dyDescent="0.25">
      <c r="A1406" s="183" t="s">
        <v>1178</v>
      </c>
      <c r="B1406">
        <v>30</v>
      </c>
    </row>
    <row r="1407" spans="1:2" x14ac:dyDescent="0.25">
      <c r="A1407" s="183" t="s">
        <v>1179</v>
      </c>
      <c r="B1407">
        <v>62</v>
      </c>
    </row>
    <row r="1408" spans="1:2" x14ac:dyDescent="0.25">
      <c r="A1408" s="183" t="s">
        <v>1180</v>
      </c>
      <c r="B1408">
        <v>34</v>
      </c>
    </row>
    <row r="1409" spans="1:2" x14ac:dyDescent="0.25">
      <c r="A1409" s="183" t="s">
        <v>1181</v>
      </c>
      <c r="B1409">
        <v>7</v>
      </c>
    </row>
    <row r="1410" spans="1:2" x14ac:dyDescent="0.25">
      <c r="A1410" s="183" t="s">
        <v>1182</v>
      </c>
      <c r="B1410">
        <v>48</v>
      </c>
    </row>
    <row r="1411" spans="1:2" x14ac:dyDescent="0.25">
      <c r="A1411" s="183" t="s">
        <v>1183</v>
      </c>
      <c r="B1411">
        <v>24</v>
      </c>
    </row>
    <row r="1412" spans="1:2" x14ac:dyDescent="0.25">
      <c r="A1412" s="183" t="s">
        <v>1184</v>
      </c>
      <c r="B1412">
        <v>5</v>
      </c>
    </row>
    <row r="1413" spans="1:2" x14ac:dyDescent="0.25">
      <c r="A1413" s="183" t="s">
        <v>1185</v>
      </c>
      <c r="B1413">
        <v>51</v>
      </c>
    </row>
    <row r="1414" spans="1:2" x14ac:dyDescent="0.25">
      <c r="A1414" s="183" t="s">
        <v>1186</v>
      </c>
      <c r="B1414">
        <v>135</v>
      </c>
    </row>
    <row r="1415" spans="1:2" x14ac:dyDescent="0.25">
      <c r="A1415" s="183" t="s">
        <v>1187</v>
      </c>
      <c r="B1415">
        <v>37</v>
      </c>
    </row>
    <row r="1416" spans="1:2" x14ac:dyDescent="0.25">
      <c r="A1416" s="183" t="s">
        <v>1188</v>
      </c>
      <c r="B1416">
        <v>3</v>
      </c>
    </row>
    <row r="1417" spans="1:2" x14ac:dyDescent="0.25">
      <c r="A1417" s="183" t="s">
        <v>1189</v>
      </c>
      <c r="B1417">
        <v>225</v>
      </c>
    </row>
    <row r="1418" spans="1:2" x14ac:dyDescent="0.25">
      <c r="A1418" s="183" t="s">
        <v>1190</v>
      </c>
      <c r="B1418">
        <v>253</v>
      </c>
    </row>
    <row r="1419" spans="1:2" x14ac:dyDescent="0.25">
      <c r="A1419" s="183" t="s">
        <v>1191</v>
      </c>
      <c r="B1419">
        <v>1</v>
      </c>
    </row>
    <row r="1420" spans="1:2" x14ac:dyDescent="0.25">
      <c r="A1420" s="183" t="s">
        <v>1192</v>
      </c>
      <c r="B1420">
        <v>27</v>
      </c>
    </row>
    <row r="1421" spans="1:2" x14ac:dyDescent="0.25">
      <c r="A1421" s="183" t="s">
        <v>1193</v>
      </c>
      <c r="B1421">
        <v>31</v>
      </c>
    </row>
    <row r="1422" spans="1:2" x14ac:dyDescent="0.25">
      <c r="A1422" s="183" t="s">
        <v>1194</v>
      </c>
      <c r="B1422">
        <v>9</v>
      </c>
    </row>
    <row r="1423" spans="1:2" x14ac:dyDescent="0.25">
      <c r="A1423" s="183" t="s">
        <v>1195</v>
      </c>
      <c r="B1423">
        <v>48</v>
      </c>
    </row>
    <row r="1424" spans="1:2" x14ac:dyDescent="0.25">
      <c r="A1424" s="183" t="s">
        <v>1196</v>
      </c>
      <c r="B1424">
        <v>9</v>
      </c>
    </row>
    <row r="1425" spans="1:2" x14ac:dyDescent="0.25">
      <c r="A1425" s="183" t="s">
        <v>1197</v>
      </c>
      <c r="B1425">
        <v>30</v>
      </c>
    </row>
    <row r="1426" spans="1:2" x14ac:dyDescent="0.25">
      <c r="A1426" s="183" t="s">
        <v>1198</v>
      </c>
      <c r="B1426">
        <v>150</v>
      </c>
    </row>
    <row r="1427" spans="1:2" x14ac:dyDescent="0.25">
      <c r="A1427" s="183" t="s">
        <v>1199</v>
      </c>
      <c r="B1427">
        <v>27</v>
      </c>
    </row>
    <row r="1428" spans="1:2" x14ac:dyDescent="0.25">
      <c r="A1428" s="183" t="s">
        <v>1200</v>
      </c>
      <c r="B1428">
        <v>1</v>
      </c>
    </row>
    <row r="1429" spans="1:2" x14ac:dyDescent="0.25">
      <c r="A1429" s="183" t="s">
        <v>1201</v>
      </c>
      <c r="B1429">
        <v>4</v>
      </c>
    </row>
    <row r="1430" spans="1:2" x14ac:dyDescent="0.25">
      <c r="A1430" s="183" t="s">
        <v>1202</v>
      </c>
      <c r="B1430">
        <v>29</v>
      </c>
    </row>
    <row r="1431" spans="1:2" x14ac:dyDescent="0.25">
      <c r="A1431" s="183" t="s">
        <v>1203</v>
      </c>
      <c r="B1431">
        <v>39</v>
      </c>
    </row>
    <row r="1432" spans="1:2" x14ac:dyDescent="0.25">
      <c r="A1432" s="183" t="s">
        <v>1204</v>
      </c>
      <c r="B1432">
        <v>236</v>
      </c>
    </row>
    <row r="1433" spans="1:2" x14ac:dyDescent="0.25">
      <c r="A1433" s="183" t="s">
        <v>1205</v>
      </c>
      <c r="B1433">
        <v>90</v>
      </c>
    </row>
    <row r="1434" spans="1:2" x14ac:dyDescent="0.25">
      <c r="A1434" s="183" t="s">
        <v>1206</v>
      </c>
      <c r="B1434">
        <v>137</v>
      </c>
    </row>
    <row r="1435" spans="1:2" x14ac:dyDescent="0.25">
      <c r="A1435" s="183" t="s">
        <v>1207</v>
      </c>
      <c r="B1435">
        <v>73</v>
      </c>
    </row>
    <row r="1436" spans="1:2" x14ac:dyDescent="0.25">
      <c r="A1436" s="183" t="s">
        <v>1208</v>
      </c>
      <c r="B1436">
        <v>54</v>
      </c>
    </row>
    <row r="1437" spans="1:2" x14ac:dyDescent="0.25">
      <c r="A1437" s="183" t="s">
        <v>1209</v>
      </c>
      <c r="B1437">
        <v>130</v>
      </c>
    </row>
    <row r="1438" spans="1:2" x14ac:dyDescent="0.25">
      <c r="A1438" s="183" t="s">
        <v>1210</v>
      </c>
      <c r="B1438">
        <v>20</v>
      </c>
    </row>
    <row r="1439" spans="1:2" x14ac:dyDescent="0.25">
      <c r="A1439" s="183" t="s">
        <v>1211</v>
      </c>
      <c r="B1439">
        <v>100</v>
      </c>
    </row>
    <row r="1440" spans="1:2" x14ac:dyDescent="0.25">
      <c r="A1440" s="183" t="s">
        <v>1212</v>
      </c>
      <c r="B1440">
        <v>16</v>
      </c>
    </row>
    <row r="1441" spans="1:2" x14ac:dyDescent="0.25">
      <c r="A1441" s="183" t="s">
        <v>1213</v>
      </c>
      <c r="B1441">
        <v>5</v>
      </c>
    </row>
    <row r="1442" spans="1:2" x14ac:dyDescent="0.25">
      <c r="A1442" s="183" t="s">
        <v>1214</v>
      </c>
      <c r="B1442">
        <v>5</v>
      </c>
    </row>
    <row r="1443" spans="1:2" x14ac:dyDescent="0.25">
      <c r="A1443" s="183" t="s">
        <v>1215</v>
      </c>
      <c r="B1443">
        <v>5</v>
      </c>
    </row>
    <row r="1444" spans="1:2" x14ac:dyDescent="0.25">
      <c r="A1444" s="183" t="s">
        <v>1216</v>
      </c>
      <c r="B1444">
        <v>112</v>
      </c>
    </row>
    <row r="1445" spans="1:2" x14ac:dyDescent="0.25">
      <c r="A1445" s="183" t="s">
        <v>1217</v>
      </c>
      <c r="B1445">
        <v>34</v>
      </c>
    </row>
    <row r="1446" spans="1:2" x14ac:dyDescent="0.25">
      <c r="A1446" s="183" t="s">
        <v>1218</v>
      </c>
      <c r="B1446">
        <v>20</v>
      </c>
    </row>
    <row r="1447" spans="1:2" x14ac:dyDescent="0.25">
      <c r="A1447" s="183" t="s">
        <v>1219</v>
      </c>
      <c r="B1447">
        <v>25</v>
      </c>
    </row>
    <row r="1448" spans="1:2" x14ac:dyDescent="0.25">
      <c r="A1448" s="183" t="s">
        <v>1220</v>
      </c>
      <c r="B1448">
        <v>2</v>
      </c>
    </row>
    <row r="1449" spans="1:2" x14ac:dyDescent="0.25">
      <c r="A1449" s="183" t="s">
        <v>1221</v>
      </c>
      <c r="B1449">
        <v>20</v>
      </c>
    </row>
    <row r="1450" spans="1:2" x14ac:dyDescent="0.25">
      <c r="A1450" s="183" t="s">
        <v>1222</v>
      </c>
      <c r="B1450">
        <v>50</v>
      </c>
    </row>
    <row r="1451" spans="1:2" x14ac:dyDescent="0.25">
      <c r="A1451" s="183" t="s">
        <v>1223</v>
      </c>
      <c r="B1451">
        <v>46</v>
      </c>
    </row>
    <row r="1452" spans="1:2" x14ac:dyDescent="0.25">
      <c r="A1452" s="183" t="s">
        <v>1224</v>
      </c>
      <c r="B1452">
        <v>22</v>
      </c>
    </row>
    <row r="1453" spans="1:2" x14ac:dyDescent="0.25">
      <c r="A1453" s="183" t="s">
        <v>1533</v>
      </c>
      <c r="B1453">
        <v>30</v>
      </c>
    </row>
    <row r="1454" spans="1:2" x14ac:dyDescent="0.25">
      <c r="A1454" s="183" t="s">
        <v>1534</v>
      </c>
      <c r="B1454">
        <v>89</v>
      </c>
    </row>
    <row r="1455" spans="1:2" x14ac:dyDescent="0.25">
      <c r="A1455" s="183" t="s">
        <v>1535</v>
      </c>
      <c r="B1455">
        <v>30</v>
      </c>
    </row>
    <row r="1456" spans="1:2" x14ac:dyDescent="0.25">
      <c r="A1456" s="183" t="s">
        <v>1225</v>
      </c>
      <c r="B1456">
        <v>83</v>
      </c>
    </row>
    <row r="1457" spans="1:2" x14ac:dyDescent="0.25">
      <c r="A1457" s="183" t="s">
        <v>1226</v>
      </c>
      <c r="B1457">
        <v>81</v>
      </c>
    </row>
    <row r="1458" spans="1:2" x14ac:dyDescent="0.25">
      <c r="A1458" s="183" t="s">
        <v>1227</v>
      </c>
      <c r="B1458">
        <v>69</v>
      </c>
    </row>
    <row r="1459" spans="1:2" x14ac:dyDescent="0.25">
      <c r="A1459" s="183" t="s">
        <v>1228</v>
      </c>
      <c r="B1459">
        <v>97</v>
      </c>
    </row>
    <row r="1460" spans="1:2" x14ac:dyDescent="0.25">
      <c r="A1460" s="183" t="s">
        <v>1229</v>
      </c>
      <c r="B1460">
        <v>76</v>
      </c>
    </row>
    <row r="1461" spans="1:2" x14ac:dyDescent="0.25">
      <c r="A1461" s="183" t="s">
        <v>1230</v>
      </c>
      <c r="B1461">
        <v>58</v>
      </c>
    </row>
    <row r="1462" spans="1:2" x14ac:dyDescent="0.25">
      <c r="A1462" s="183" t="s">
        <v>1231</v>
      </c>
      <c r="B1462">
        <v>23</v>
      </c>
    </row>
    <row r="1463" spans="1:2" x14ac:dyDescent="0.25">
      <c r="A1463" s="183" t="s">
        <v>1232</v>
      </c>
      <c r="B1463">
        <v>20</v>
      </c>
    </row>
    <row r="1464" spans="1:2" x14ac:dyDescent="0.25">
      <c r="A1464" s="183" t="s">
        <v>1233</v>
      </c>
      <c r="B1464">
        <v>29</v>
      </c>
    </row>
    <row r="1465" spans="1:2" x14ac:dyDescent="0.25">
      <c r="A1465" s="183" t="s">
        <v>1234</v>
      </c>
      <c r="B1465">
        <v>27</v>
      </c>
    </row>
    <row r="1466" spans="1:2" x14ac:dyDescent="0.25">
      <c r="A1466" s="183" t="s">
        <v>1235</v>
      </c>
      <c r="B1466">
        <v>23</v>
      </c>
    </row>
    <row r="1467" spans="1:2" x14ac:dyDescent="0.25">
      <c r="A1467" s="183" t="s">
        <v>1236</v>
      </c>
      <c r="B1467">
        <v>33</v>
      </c>
    </row>
    <row r="1468" spans="1:2" x14ac:dyDescent="0.25">
      <c r="A1468" s="183" t="s">
        <v>1237</v>
      </c>
      <c r="B1468">
        <v>19</v>
      </c>
    </row>
    <row r="1469" spans="1:2" x14ac:dyDescent="0.25">
      <c r="A1469" s="183" t="s">
        <v>1238</v>
      </c>
      <c r="B1469">
        <v>20</v>
      </c>
    </row>
    <row r="1470" spans="1:2" x14ac:dyDescent="0.25">
      <c r="A1470" s="183" t="s">
        <v>1239</v>
      </c>
      <c r="B1470">
        <v>27</v>
      </c>
    </row>
    <row r="1471" spans="1:2" x14ac:dyDescent="0.25">
      <c r="A1471" s="183" t="s">
        <v>1240</v>
      </c>
      <c r="B1471">
        <v>24</v>
      </c>
    </row>
    <row r="1472" spans="1:2" x14ac:dyDescent="0.25">
      <c r="A1472" s="183" t="s">
        <v>1241</v>
      </c>
      <c r="B1472">
        <v>25</v>
      </c>
    </row>
    <row r="1473" spans="1:2" x14ac:dyDescent="0.25">
      <c r="A1473" s="183" t="s">
        <v>1242</v>
      </c>
      <c r="B1473">
        <v>25</v>
      </c>
    </row>
    <row r="1474" spans="1:2" x14ac:dyDescent="0.25">
      <c r="A1474" s="183" t="s">
        <v>1243</v>
      </c>
      <c r="B1474">
        <v>25</v>
      </c>
    </row>
    <row r="1475" spans="1:2" x14ac:dyDescent="0.25">
      <c r="A1475" s="183" t="s">
        <v>1244</v>
      </c>
      <c r="B1475">
        <v>35</v>
      </c>
    </row>
    <row r="1476" spans="1:2" x14ac:dyDescent="0.25">
      <c r="A1476" s="183" t="s">
        <v>1245</v>
      </c>
      <c r="B1476">
        <v>21</v>
      </c>
    </row>
    <row r="1477" spans="1:2" x14ac:dyDescent="0.25">
      <c r="A1477" s="183" t="s">
        <v>1246</v>
      </c>
      <c r="B1477">
        <v>48</v>
      </c>
    </row>
    <row r="1478" spans="1:2" x14ac:dyDescent="0.25">
      <c r="A1478" s="183" t="s">
        <v>1247</v>
      </c>
      <c r="B1478">
        <v>25</v>
      </c>
    </row>
    <row r="1479" spans="1:2" x14ac:dyDescent="0.25">
      <c r="A1479" s="183" t="s">
        <v>1248</v>
      </c>
      <c r="B1479">
        <v>25</v>
      </c>
    </row>
    <row r="1480" spans="1:2" x14ac:dyDescent="0.25">
      <c r="A1480" s="183" t="s">
        <v>1433</v>
      </c>
      <c r="B1480">
        <v>3</v>
      </c>
    </row>
    <row r="1481" spans="1:2" x14ac:dyDescent="0.25">
      <c r="A1481" s="183" t="s">
        <v>1249</v>
      </c>
      <c r="B1481">
        <v>5</v>
      </c>
    </row>
    <row r="1482" spans="1:2" x14ac:dyDescent="0.25">
      <c r="A1482" s="183" t="s">
        <v>1250</v>
      </c>
      <c r="B1482">
        <v>63</v>
      </c>
    </row>
    <row r="1483" spans="1:2" x14ac:dyDescent="0.25">
      <c r="A1483" s="183" t="s">
        <v>1251</v>
      </c>
      <c r="B1483">
        <v>10</v>
      </c>
    </row>
    <row r="1484" spans="1:2" x14ac:dyDescent="0.25">
      <c r="A1484" s="183" t="s">
        <v>1252</v>
      </c>
      <c r="B1484">
        <v>7</v>
      </c>
    </row>
    <row r="1485" spans="1:2" x14ac:dyDescent="0.25">
      <c r="A1485" s="183" t="s">
        <v>1434</v>
      </c>
      <c r="B1485">
        <v>2</v>
      </c>
    </row>
    <row r="1486" spans="1:2" x14ac:dyDescent="0.25">
      <c r="A1486" s="183" t="s">
        <v>1253</v>
      </c>
      <c r="B1486">
        <v>4</v>
      </c>
    </row>
    <row r="1487" spans="1:2" x14ac:dyDescent="0.25">
      <c r="A1487" s="183" t="s">
        <v>1254</v>
      </c>
      <c r="B1487">
        <v>16</v>
      </c>
    </row>
    <row r="1488" spans="1:2" x14ac:dyDescent="0.25">
      <c r="A1488" s="183" t="s">
        <v>1255</v>
      </c>
      <c r="B1488">
        <v>20</v>
      </c>
    </row>
    <row r="1489" spans="1:2" x14ac:dyDescent="0.25">
      <c r="A1489" s="183" t="s">
        <v>1256</v>
      </c>
      <c r="B1489">
        <v>5</v>
      </c>
    </row>
    <row r="1490" spans="1:2" x14ac:dyDescent="0.25">
      <c r="A1490" s="183" t="s">
        <v>1257</v>
      </c>
      <c r="B1490">
        <v>2</v>
      </c>
    </row>
    <row r="1491" spans="1:2" x14ac:dyDescent="0.25">
      <c r="A1491" s="183" t="s">
        <v>1435</v>
      </c>
      <c r="B1491">
        <v>1</v>
      </c>
    </row>
    <row r="1492" spans="1:2" x14ac:dyDescent="0.25">
      <c r="A1492" s="183" t="s">
        <v>1258</v>
      </c>
      <c r="B1492">
        <v>12</v>
      </c>
    </row>
    <row r="1493" spans="1:2" x14ac:dyDescent="0.25">
      <c r="A1493" s="183" t="s">
        <v>1259</v>
      </c>
      <c r="B1493">
        <v>18</v>
      </c>
    </row>
    <row r="1494" spans="1:2" x14ac:dyDescent="0.25">
      <c r="A1494" s="183" t="s">
        <v>1260</v>
      </c>
      <c r="B1494">
        <v>41</v>
      </c>
    </row>
    <row r="1495" spans="1:2" x14ac:dyDescent="0.25">
      <c r="A1495" s="183" t="s">
        <v>1436</v>
      </c>
      <c r="B1495">
        <v>1</v>
      </c>
    </row>
    <row r="1496" spans="1:2" x14ac:dyDescent="0.25">
      <c r="A1496" s="183" t="s">
        <v>1261</v>
      </c>
      <c r="B1496">
        <v>123</v>
      </c>
    </row>
    <row r="1497" spans="1:2" x14ac:dyDescent="0.25">
      <c r="A1497" s="183" t="s">
        <v>1262</v>
      </c>
      <c r="B1497">
        <v>36</v>
      </c>
    </row>
    <row r="1498" spans="1:2" x14ac:dyDescent="0.25">
      <c r="A1498" s="183" t="s">
        <v>1263</v>
      </c>
      <c r="B1498">
        <v>22</v>
      </c>
    </row>
    <row r="1499" spans="1:2" x14ac:dyDescent="0.25">
      <c r="A1499" s="183" t="s">
        <v>1264</v>
      </c>
      <c r="B1499">
        <v>26</v>
      </c>
    </row>
    <row r="1500" spans="1:2" x14ac:dyDescent="0.25">
      <c r="A1500" s="183" t="s">
        <v>1265</v>
      </c>
      <c r="B1500">
        <v>11</v>
      </c>
    </row>
    <row r="1501" spans="1:2" x14ac:dyDescent="0.25">
      <c r="A1501" s="183" t="s">
        <v>1266</v>
      </c>
      <c r="B1501">
        <v>35</v>
      </c>
    </row>
    <row r="1502" spans="1:2" x14ac:dyDescent="0.25">
      <c r="A1502" s="183" t="s">
        <v>1536</v>
      </c>
      <c r="B1502">
        <v>3</v>
      </c>
    </row>
    <row r="1503" spans="1:2" x14ac:dyDescent="0.25">
      <c r="A1503" s="183" t="s">
        <v>1267</v>
      </c>
      <c r="B1503">
        <v>25</v>
      </c>
    </row>
    <row r="1504" spans="1:2" x14ac:dyDescent="0.25">
      <c r="A1504" s="183" t="s">
        <v>1268</v>
      </c>
      <c r="B1504">
        <v>25</v>
      </c>
    </row>
    <row r="1505" spans="1:2" x14ac:dyDescent="0.25">
      <c r="A1505" s="183" t="s">
        <v>1269</v>
      </c>
      <c r="B1505">
        <v>25</v>
      </c>
    </row>
    <row r="1506" spans="1:2" x14ac:dyDescent="0.25">
      <c r="A1506" s="183" t="s">
        <v>1270</v>
      </c>
      <c r="B1506">
        <v>20</v>
      </c>
    </row>
    <row r="1507" spans="1:2" x14ac:dyDescent="0.25">
      <c r="A1507" s="183" t="s">
        <v>1271</v>
      </c>
      <c r="B1507">
        <v>40</v>
      </c>
    </row>
    <row r="1508" spans="1:2" x14ac:dyDescent="0.25">
      <c r="A1508" s="183" t="s">
        <v>1272</v>
      </c>
      <c r="B1508">
        <v>18</v>
      </c>
    </row>
    <row r="1509" spans="1:2" x14ac:dyDescent="0.25">
      <c r="A1509" s="183" t="s">
        <v>1273</v>
      </c>
      <c r="B1509">
        <v>17</v>
      </c>
    </row>
    <row r="1510" spans="1:2" x14ac:dyDescent="0.25">
      <c r="A1510" s="183" t="s">
        <v>1274</v>
      </c>
      <c r="B1510">
        <v>4</v>
      </c>
    </row>
    <row r="1511" spans="1:2" x14ac:dyDescent="0.25">
      <c r="A1511" s="183" t="s">
        <v>1275</v>
      </c>
      <c r="B1511">
        <v>13</v>
      </c>
    </row>
    <row r="1512" spans="1:2" x14ac:dyDescent="0.25">
      <c r="A1512" s="183" t="s">
        <v>1276</v>
      </c>
      <c r="B1512">
        <v>19</v>
      </c>
    </row>
    <row r="1513" spans="1:2" x14ac:dyDescent="0.25">
      <c r="A1513" s="183" t="s">
        <v>1277</v>
      </c>
      <c r="B1513">
        <v>35</v>
      </c>
    </row>
    <row r="1514" spans="1:2" x14ac:dyDescent="0.25">
      <c r="A1514" s="183" t="s">
        <v>1278</v>
      </c>
      <c r="B1514">
        <v>24</v>
      </c>
    </row>
    <row r="1515" spans="1:2" x14ac:dyDescent="0.25">
      <c r="A1515" s="183" t="s">
        <v>1279</v>
      </c>
      <c r="B1515">
        <v>38</v>
      </c>
    </row>
    <row r="1516" spans="1:2" x14ac:dyDescent="0.25">
      <c r="A1516" s="183" t="s">
        <v>1280</v>
      </c>
      <c r="B1516">
        <v>99</v>
      </c>
    </row>
    <row r="1517" spans="1:2" x14ac:dyDescent="0.25">
      <c r="A1517" s="183" t="s">
        <v>1281</v>
      </c>
      <c r="B1517">
        <v>99</v>
      </c>
    </row>
    <row r="1518" spans="1:2" x14ac:dyDescent="0.25">
      <c r="A1518" s="183" t="s">
        <v>1282</v>
      </c>
      <c r="B1518">
        <v>40</v>
      </c>
    </row>
    <row r="1519" spans="1:2" x14ac:dyDescent="0.25">
      <c r="A1519" s="183" t="s">
        <v>1283</v>
      </c>
      <c r="B1519">
        <v>20</v>
      </c>
    </row>
    <row r="1520" spans="1:2" x14ac:dyDescent="0.25">
      <c r="A1520" s="183" t="s">
        <v>1284</v>
      </c>
      <c r="B1520">
        <v>48</v>
      </c>
    </row>
    <row r="1521" spans="1:2" x14ac:dyDescent="0.25">
      <c r="A1521" s="183" t="s">
        <v>1285</v>
      </c>
      <c r="B1521">
        <v>31</v>
      </c>
    </row>
    <row r="1522" spans="1:2" x14ac:dyDescent="0.25">
      <c r="A1522" s="183" t="s">
        <v>1286</v>
      </c>
      <c r="B1522">
        <v>7</v>
      </c>
    </row>
    <row r="1523" spans="1:2" x14ac:dyDescent="0.25">
      <c r="A1523" s="183" t="s">
        <v>1287</v>
      </c>
      <c r="B1523">
        <v>24</v>
      </c>
    </row>
    <row r="1524" spans="1:2" x14ac:dyDescent="0.25">
      <c r="A1524" s="183" t="s">
        <v>1288</v>
      </c>
      <c r="B1524">
        <v>88</v>
      </c>
    </row>
    <row r="1525" spans="1:2" x14ac:dyDescent="0.25">
      <c r="A1525" s="183" t="s">
        <v>1289</v>
      </c>
      <c r="B1525">
        <v>98</v>
      </c>
    </row>
    <row r="1526" spans="1:2" x14ac:dyDescent="0.25">
      <c r="A1526" s="183" t="s">
        <v>1290</v>
      </c>
      <c r="B1526">
        <v>5</v>
      </c>
    </row>
    <row r="1527" spans="1:2" x14ac:dyDescent="0.25">
      <c r="A1527" s="183" t="s">
        <v>1291</v>
      </c>
      <c r="B1527">
        <v>5</v>
      </c>
    </row>
    <row r="1528" spans="1:2" x14ac:dyDescent="0.25">
      <c r="A1528" s="183" t="s">
        <v>1537</v>
      </c>
      <c r="B1528">
        <v>1</v>
      </c>
    </row>
    <row r="1529" spans="1:2" x14ac:dyDescent="0.25">
      <c r="A1529" s="183" t="s">
        <v>1292</v>
      </c>
      <c r="B1529">
        <v>108</v>
      </c>
    </row>
    <row r="1530" spans="1:2" x14ac:dyDescent="0.25">
      <c r="A1530" s="183" t="s">
        <v>1293</v>
      </c>
      <c r="B1530">
        <v>29</v>
      </c>
    </row>
    <row r="1531" spans="1:2" x14ac:dyDescent="0.25">
      <c r="A1531" s="183" t="s">
        <v>1294</v>
      </c>
      <c r="B1531">
        <v>17</v>
      </c>
    </row>
    <row r="1532" spans="1:2" x14ac:dyDescent="0.25">
      <c r="A1532" s="183" t="s">
        <v>1295</v>
      </c>
      <c r="B1532">
        <v>26</v>
      </c>
    </row>
    <row r="1533" spans="1:2" x14ac:dyDescent="0.25">
      <c r="A1533" s="183" t="s">
        <v>1296</v>
      </c>
      <c r="B1533">
        <v>24</v>
      </c>
    </row>
    <row r="1534" spans="1:2" x14ac:dyDescent="0.25">
      <c r="A1534" s="183" t="s">
        <v>1297</v>
      </c>
      <c r="B1534">
        <v>21</v>
      </c>
    </row>
    <row r="1535" spans="1:2" x14ac:dyDescent="0.25">
      <c r="A1535" s="183" t="s">
        <v>1298</v>
      </c>
      <c r="B1535">
        <v>136</v>
      </c>
    </row>
    <row r="1536" spans="1:2" x14ac:dyDescent="0.25">
      <c r="A1536" s="183" t="s">
        <v>1299</v>
      </c>
      <c r="B1536">
        <v>5</v>
      </c>
    </row>
    <row r="1537" spans="1:2" x14ac:dyDescent="0.25">
      <c r="A1537" s="183" t="s">
        <v>1300</v>
      </c>
      <c r="B1537">
        <v>29</v>
      </c>
    </row>
    <row r="1538" spans="1:2" x14ac:dyDescent="0.25">
      <c r="A1538" s="183" t="s">
        <v>1301</v>
      </c>
      <c r="B1538">
        <v>50</v>
      </c>
    </row>
    <row r="1539" spans="1:2" x14ac:dyDescent="0.25">
      <c r="A1539" s="183" t="s">
        <v>1302</v>
      </c>
      <c r="B1539">
        <v>12</v>
      </c>
    </row>
    <row r="1540" spans="1:2" x14ac:dyDescent="0.25">
      <c r="A1540" s="183" t="s">
        <v>1303</v>
      </c>
      <c r="B1540">
        <v>19</v>
      </c>
    </row>
    <row r="1541" spans="1:2" x14ac:dyDescent="0.25">
      <c r="A1541" s="183" t="s">
        <v>1304</v>
      </c>
      <c r="B1541">
        <v>148</v>
      </c>
    </row>
    <row r="1542" spans="1:2" x14ac:dyDescent="0.25">
      <c r="A1542" s="183" t="s">
        <v>1305</v>
      </c>
      <c r="B1542">
        <v>26</v>
      </c>
    </row>
    <row r="1543" spans="1:2" x14ac:dyDescent="0.25">
      <c r="A1543" s="183" t="s">
        <v>1538</v>
      </c>
      <c r="B1543">
        <v>1</v>
      </c>
    </row>
    <row r="1544" spans="1:2" x14ac:dyDescent="0.25">
      <c r="A1544" s="183" t="s">
        <v>1306</v>
      </c>
      <c r="B1544">
        <v>24</v>
      </c>
    </row>
    <row r="1545" spans="1:2" x14ac:dyDescent="0.25">
      <c r="A1545" s="183" t="s">
        <v>1539</v>
      </c>
      <c r="B1545">
        <v>1</v>
      </c>
    </row>
    <row r="1546" spans="1:2" x14ac:dyDescent="0.25">
      <c r="A1546" s="183" t="s">
        <v>1307</v>
      </c>
      <c r="B1546">
        <v>18</v>
      </c>
    </row>
    <row r="1547" spans="1:2" x14ac:dyDescent="0.25">
      <c r="A1547" s="183" t="s">
        <v>1308</v>
      </c>
      <c r="B1547">
        <v>12</v>
      </c>
    </row>
    <row r="1548" spans="1:2" x14ac:dyDescent="0.25">
      <c r="A1548" s="183" t="s">
        <v>1309</v>
      </c>
      <c r="B1548">
        <v>40</v>
      </c>
    </row>
    <row r="1549" spans="1:2" x14ac:dyDescent="0.25">
      <c r="A1549" s="183" t="s">
        <v>1310</v>
      </c>
      <c r="B1549">
        <v>83</v>
      </c>
    </row>
    <row r="1550" spans="1:2" x14ac:dyDescent="0.25">
      <c r="A1550" s="183" t="s">
        <v>1540</v>
      </c>
      <c r="B1550">
        <v>2</v>
      </c>
    </row>
    <row r="1551" spans="1:2" x14ac:dyDescent="0.25">
      <c r="A1551" s="183" t="s">
        <v>1311</v>
      </c>
      <c r="B1551">
        <v>274</v>
      </c>
    </row>
    <row r="1552" spans="1:2" x14ac:dyDescent="0.25">
      <c r="A1552" s="183" t="s">
        <v>1312</v>
      </c>
      <c r="B1552">
        <v>909</v>
      </c>
    </row>
    <row r="1553" spans="1:2" x14ac:dyDescent="0.25">
      <c r="A1553" s="183" t="s">
        <v>1313</v>
      </c>
      <c r="B1553">
        <v>15</v>
      </c>
    </row>
    <row r="1554" spans="1:2" x14ac:dyDescent="0.25">
      <c r="A1554" s="183" t="s">
        <v>1314</v>
      </c>
      <c r="B1554">
        <v>100</v>
      </c>
    </row>
    <row r="1555" spans="1:2" x14ac:dyDescent="0.25">
      <c r="A1555" s="183" t="s">
        <v>1315</v>
      </c>
      <c r="B1555">
        <v>6</v>
      </c>
    </row>
    <row r="1556" spans="1:2" x14ac:dyDescent="0.25">
      <c r="A1556" s="183" t="s">
        <v>1316</v>
      </c>
      <c r="B1556">
        <v>62</v>
      </c>
    </row>
    <row r="1557" spans="1:2" x14ac:dyDescent="0.25">
      <c r="A1557" s="183" t="s">
        <v>1317</v>
      </c>
      <c r="B1557">
        <v>81</v>
      </c>
    </row>
    <row r="1558" spans="1:2" x14ac:dyDescent="0.25">
      <c r="A1558" s="183" t="s">
        <v>1318</v>
      </c>
      <c r="B1558">
        <v>153</v>
      </c>
    </row>
    <row r="1559" spans="1:2" x14ac:dyDescent="0.25">
      <c r="A1559" s="183" t="s">
        <v>1319</v>
      </c>
      <c r="B1559">
        <v>8</v>
      </c>
    </row>
    <row r="1560" spans="1:2" x14ac:dyDescent="0.25">
      <c r="A1560" s="183" t="s">
        <v>1320</v>
      </c>
      <c r="B1560">
        <v>16</v>
      </c>
    </row>
    <row r="1561" spans="1:2" x14ac:dyDescent="0.25">
      <c r="A1561" s="183" t="s">
        <v>1321</v>
      </c>
      <c r="B1561">
        <v>9</v>
      </c>
    </row>
    <row r="1562" spans="1:2" x14ac:dyDescent="0.25">
      <c r="A1562" s="183" t="s">
        <v>1322</v>
      </c>
      <c r="B1562">
        <v>36</v>
      </c>
    </row>
    <row r="1563" spans="1:2" x14ac:dyDescent="0.25">
      <c r="A1563" s="183" t="s">
        <v>1323</v>
      </c>
      <c r="B1563">
        <v>16</v>
      </c>
    </row>
    <row r="1564" spans="1:2" x14ac:dyDescent="0.25">
      <c r="A1564" s="183" t="s">
        <v>1437</v>
      </c>
      <c r="B1564">
        <v>1</v>
      </c>
    </row>
    <row r="1565" spans="1:2" x14ac:dyDescent="0.25">
      <c r="A1565" s="183" t="s">
        <v>1324</v>
      </c>
      <c r="B1565">
        <v>53</v>
      </c>
    </row>
    <row r="1566" spans="1:2" x14ac:dyDescent="0.25">
      <c r="A1566" s="183" t="s">
        <v>1325</v>
      </c>
      <c r="B1566">
        <v>3</v>
      </c>
    </row>
    <row r="1567" spans="1:2" x14ac:dyDescent="0.25">
      <c r="A1567" s="183" t="s">
        <v>1326</v>
      </c>
      <c r="B1567">
        <v>23</v>
      </c>
    </row>
    <row r="1568" spans="1:2" x14ac:dyDescent="0.25">
      <c r="A1568" s="183" t="s">
        <v>1327</v>
      </c>
      <c r="B1568">
        <v>14</v>
      </c>
    </row>
    <row r="1569" spans="1:2" x14ac:dyDescent="0.25">
      <c r="A1569" s="183" t="s">
        <v>1328</v>
      </c>
      <c r="B1569">
        <v>8</v>
      </c>
    </row>
    <row r="1570" spans="1:2" x14ac:dyDescent="0.25">
      <c r="A1570" s="183" t="s">
        <v>1329</v>
      </c>
      <c r="B1570">
        <v>3</v>
      </c>
    </row>
    <row r="1571" spans="1:2" x14ac:dyDescent="0.25">
      <c r="A1571" s="183" t="s">
        <v>1330</v>
      </c>
      <c r="B1571">
        <v>7</v>
      </c>
    </row>
    <row r="1572" spans="1:2" x14ac:dyDescent="0.25">
      <c r="A1572" s="183" t="s">
        <v>1331</v>
      </c>
      <c r="B1572">
        <v>1</v>
      </c>
    </row>
    <row r="1573" spans="1:2" x14ac:dyDescent="0.25">
      <c r="A1573" s="183" t="s">
        <v>1332</v>
      </c>
      <c r="B1573">
        <v>56</v>
      </c>
    </row>
    <row r="1574" spans="1:2" x14ac:dyDescent="0.25">
      <c r="A1574" s="183" t="s">
        <v>1333</v>
      </c>
      <c r="B1574">
        <v>45</v>
      </c>
    </row>
    <row r="1575" spans="1:2" x14ac:dyDescent="0.25">
      <c r="A1575" s="183" t="s">
        <v>1334</v>
      </c>
      <c r="B1575">
        <v>45</v>
      </c>
    </row>
    <row r="1576" spans="1:2" x14ac:dyDescent="0.25">
      <c r="A1576" s="183" t="s">
        <v>1335</v>
      </c>
      <c r="B1576">
        <v>34</v>
      </c>
    </row>
    <row r="1577" spans="1:2" x14ac:dyDescent="0.25">
      <c r="A1577" s="183" t="s">
        <v>1336</v>
      </c>
      <c r="B1577">
        <v>45</v>
      </c>
    </row>
    <row r="1578" spans="1:2" x14ac:dyDescent="0.25">
      <c r="A1578" s="183" t="s">
        <v>1337</v>
      </c>
      <c r="B1578">
        <v>1</v>
      </c>
    </row>
    <row r="1579" spans="1:2" x14ac:dyDescent="0.25">
      <c r="A1579" s="183" t="s">
        <v>1338</v>
      </c>
      <c r="B1579">
        <v>9</v>
      </c>
    </row>
    <row r="1580" spans="1:2" x14ac:dyDescent="0.25">
      <c r="A1580" s="183" t="s">
        <v>1541</v>
      </c>
      <c r="B1580">
        <v>9</v>
      </c>
    </row>
    <row r="1581" spans="1:2" x14ac:dyDescent="0.25">
      <c r="A1581" s="183" t="s">
        <v>1339</v>
      </c>
      <c r="B1581">
        <v>38</v>
      </c>
    </row>
    <row r="1582" spans="1:2" x14ac:dyDescent="0.25">
      <c r="A1582" s="183" t="s">
        <v>1440</v>
      </c>
      <c r="B1582">
        <v>8</v>
      </c>
    </row>
    <row r="1583" spans="1:2" x14ac:dyDescent="0.25">
      <c r="A1583" s="183" t="s">
        <v>1340</v>
      </c>
      <c r="B1583">
        <v>9</v>
      </c>
    </row>
    <row r="1584" spans="1:2" x14ac:dyDescent="0.25">
      <c r="A1584" s="183" t="s">
        <v>1341</v>
      </c>
      <c r="B1584">
        <v>15</v>
      </c>
    </row>
    <row r="1585" spans="1:2" x14ac:dyDescent="0.25">
      <c r="A1585" s="183" t="s">
        <v>1342</v>
      </c>
      <c r="B1585">
        <v>22</v>
      </c>
    </row>
    <row r="1586" spans="1:2" x14ac:dyDescent="0.25">
      <c r="A1586" s="183" t="s">
        <v>1343</v>
      </c>
      <c r="B1586">
        <v>5</v>
      </c>
    </row>
    <row r="1587" spans="1:2" x14ac:dyDescent="0.25">
      <c r="A1587" s="183" t="s">
        <v>1344</v>
      </c>
      <c r="B1587">
        <v>4</v>
      </c>
    </row>
    <row r="1588" spans="1:2" x14ac:dyDescent="0.25">
      <c r="A1588" s="183" t="s">
        <v>1345</v>
      </c>
      <c r="B1588">
        <v>9</v>
      </c>
    </row>
    <row r="1589" spans="1:2" x14ac:dyDescent="0.25">
      <c r="A1589" s="183" t="s">
        <v>1346</v>
      </c>
      <c r="B1589">
        <v>48</v>
      </c>
    </row>
    <row r="1590" spans="1:2" x14ac:dyDescent="0.25">
      <c r="A1590" s="183" t="s">
        <v>1347</v>
      </c>
      <c r="B1590">
        <v>19</v>
      </c>
    </row>
    <row r="1591" spans="1:2" x14ac:dyDescent="0.25">
      <c r="A1591" s="183" t="s">
        <v>1348</v>
      </c>
      <c r="B1591">
        <v>11</v>
      </c>
    </row>
    <row r="1592" spans="1:2" x14ac:dyDescent="0.25">
      <c r="A1592" s="183" t="s">
        <v>1349</v>
      </c>
      <c r="B1592">
        <v>1</v>
      </c>
    </row>
    <row r="1593" spans="1:2" x14ac:dyDescent="0.25">
      <c r="A1593" s="183" t="s">
        <v>1350</v>
      </c>
      <c r="B1593">
        <v>19</v>
      </c>
    </row>
    <row r="1594" spans="1:2" x14ac:dyDescent="0.25">
      <c r="A1594" s="183" t="s">
        <v>1351</v>
      </c>
      <c r="B1594">
        <v>9</v>
      </c>
    </row>
    <row r="1595" spans="1:2" x14ac:dyDescent="0.25">
      <c r="A1595" s="183" t="s">
        <v>1352</v>
      </c>
      <c r="B1595">
        <v>2</v>
      </c>
    </row>
    <row r="1596" spans="1:2" x14ac:dyDescent="0.25">
      <c r="A1596" s="183" t="s">
        <v>1353</v>
      </c>
      <c r="B1596">
        <v>1</v>
      </c>
    </row>
    <row r="1597" spans="1:2" x14ac:dyDescent="0.25">
      <c r="A1597" s="183" t="s">
        <v>1354</v>
      </c>
      <c r="B1597">
        <v>98</v>
      </c>
    </row>
    <row r="1598" spans="1:2" x14ac:dyDescent="0.25">
      <c r="A1598" s="183" t="s">
        <v>1355</v>
      </c>
      <c r="B1598">
        <v>3</v>
      </c>
    </row>
    <row r="1599" spans="1:2" x14ac:dyDescent="0.25">
      <c r="A1599" s="183" t="s">
        <v>1542</v>
      </c>
      <c r="B1599">
        <v>15</v>
      </c>
    </row>
    <row r="1600" spans="1:2" x14ac:dyDescent="0.25">
      <c r="A1600" s="183" t="s">
        <v>1356</v>
      </c>
      <c r="B1600">
        <v>7</v>
      </c>
    </row>
    <row r="1601" spans="1:2" x14ac:dyDescent="0.25">
      <c r="A1601" s="183" t="s">
        <v>1357</v>
      </c>
      <c r="B1601">
        <v>9</v>
      </c>
    </row>
    <row r="1602" spans="1:2" x14ac:dyDescent="0.25">
      <c r="A1602" s="183" t="s">
        <v>1358</v>
      </c>
      <c r="B1602">
        <v>19</v>
      </c>
    </row>
    <row r="1603" spans="1:2" x14ac:dyDescent="0.25">
      <c r="A1603" s="183" t="s">
        <v>1359</v>
      </c>
      <c r="B1603">
        <v>9</v>
      </c>
    </row>
    <row r="1604" spans="1:2" x14ac:dyDescent="0.25">
      <c r="A1604" s="183" t="s">
        <v>1360</v>
      </c>
      <c r="B1604">
        <v>38</v>
      </c>
    </row>
    <row r="1605" spans="1:2" x14ac:dyDescent="0.25">
      <c r="A1605" s="183" t="s">
        <v>1361</v>
      </c>
      <c r="B1605">
        <v>111</v>
      </c>
    </row>
    <row r="1606" spans="1:2" x14ac:dyDescent="0.25">
      <c r="A1606" s="183" t="s">
        <v>1362</v>
      </c>
      <c r="B1606">
        <v>23</v>
      </c>
    </row>
    <row r="1607" spans="1:2" x14ac:dyDescent="0.25">
      <c r="A1607" s="183" t="s">
        <v>1363</v>
      </c>
      <c r="B1607">
        <v>49</v>
      </c>
    </row>
    <row r="1608" spans="1:2" x14ac:dyDescent="0.25">
      <c r="A1608" s="183" t="s">
        <v>1364</v>
      </c>
      <c r="B1608">
        <v>30</v>
      </c>
    </row>
    <row r="1609" spans="1:2" x14ac:dyDescent="0.25">
      <c r="A1609" s="183" t="s">
        <v>1441</v>
      </c>
      <c r="B1609">
        <v>8</v>
      </c>
    </row>
    <row r="1610" spans="1:2" x14ac:dyDescent="0.25">
      <c r="A1610" s="183" t="s">
        <v>1365</v>
      </c>
      <c r="B1610">
        <v>9</v>
      </c>
    </row>
    <row r="1611" spans="1:2" x14ac:dyDescent="0.25">
      <c r="A1611" s="183" t="s">
        <v>1366</v>
      </c>
      <c r="B1611">
        <v>8</v>
      </c>
    </row>
    <row r="1612" spans="1:2" x14ac:dyDescent="0.25">
      <c r="A1612" s="183" t="s">
        <v>1367</v>
      </c>
      <c r="B1612">
        <v>10</v>
      </c>
    </row>
    <row r="1613" spans="1:2" x14ac:dyDescent="0.25">
      <c r="A1613" s="183" t="s">
        <v>1368</v>
      </c>
      <c r="B1613">
        <v>28</v>
      </c>
    </row>
    <row r="1614" spans="1:2" x14ac:dyDescent="0.25">
      <c r="A1614" s="183" t="s">
        <v>1369</v>
      </c>
      <c r="B1614">
        <v>37</v>
      </c>
    </row>
    <row r="1615" spans="1:2" x14ac:dyDescent="0.25">
      <c r="A1615" s="183" t="s">
        <v>1370</v>
      </c>
      <c r="B1615">
        <v>25</v>
      </c>
    </row>
    <row r="1616" spans="1:2" x14ac:dyDescent="0.25">
      <c r="A1616" s="183" t="s">
        <v>1371</v>
      </c>
      <c r="B1616">
        <v>5</v>
      </c>
    </row>
    <row r="1617" spans="1:2" x14ac:dyDescent="0.25">
      <c r="A1617" s="183" t="s">
        <v>1372</v>
      </c>
      <c r="B1617">
        <v>5</v>
      </c>
    </row>
    <row r="1618" spans="1:2" x14ac:dyDescent="0.25">
      <c r="A1618" s="183" t="s">
        <v>1373</v>
      </c>
      <c r="B1618">
        <v>5</v>
      </c>
    </row>
    <row r="1619" spans="1:2" x14ac:dyDescent="0.25">
      <c r="A1619" s="183" t="s">
        <v>1374</v>
      </c>
      <c r="B1619">
        <v>29</v>
      </c>
    </row>
    <row r="1620" spans="1:2" x14ac:dyDescent="0.25">
      <c r="A1620" s="183" t="s">
        <v>1375</v>
      </c>
      <c r="B1620">
        <v>56</v>
      </c>
    </row>
    <row r="1621" spans="1:2" x14ac:dyDescent="0.25">
      <c r="A1621" s="183" t="s">
        <v>1376</v>
      </c>
      <c r="B1621">
        <v>9</v>
      </c>
    </row>
    <row r="1622" spans="1:2" x14ac:dyDescent="0.25">
      <c r="A1622" s="183" t="s">
        <v>1377</v>
      </c>
      <c r="B1622">
        <v>5</v>
      </c>
    </row>
    <row r="1623" spans="1:2" x14ac:dyDescent="0.25">
      <c r="A1623" s="183" t="s">
        <v>1378</v>
      </c>
      <c r="B1623">
        <v>5</v>
      </c>
    </row>
    <row r="1624" spans="1:2" x14ac:dyDescent="0.25">
      <c r="A1624" s="183" t="s">
        <v>1379</v>
      </c>
      <c r="B1624">
        <v>9</v>
      </c>
    </row>
    <row r="1625" spans="1:2" x14ac:dyDescent="0.25">
      <c r="A1625" s="183" t="s">
        <v>1380</v>
      </c>
      <c r="B1625">
        <v>398</v>
      </c>
    </row>
    <row r="1626" spans="1:2" x14ac:dyDescent="0.25">
      <c r="A1626" s="183" t="s">
        <v>1381</v>
      </c>
      <c r="B1626">
        <v>36</v>
      </c>
    </row>
    <row r="1627" spans="1:2" x14ac:dyDescent="0.25">
      <c r="A1627" s="183" t="s">
        <v>1382</v>
      </c>
      <c r="B1627">
        <v>25</v>
      </c>
    </row>
    <row r="1628" spans="1:2" x14ac:dyDescent="0.25">
      <c r="A1628" s="183" t="s">
        <v>1383</v>
      </c>
      <c r="B1628">
        <v>24</v>
      </c>
    </row>
    <row r="1629" spans="1:2" x14ac:dyDescent="0.25">
      <c r="A1629" s="183" t="s">
        <v>1384</v>
      </c>
      <c r="B1629">
        <v>15</v>
      </c>
    </row>
    <row r="1630" spans="1:2" x14ac:dyDescent="0.25">
      <c r="A1630" s="183" t="s">
        <v>1385</v>
      </c>
      <c r="B1630">
        <v>411</v>
      </c>
    </row>
    <row r="1631" spans="1:2" x14ac:dyDescent="0.25">
      <c r="A1631" s="183" t="s">
        <v>1386</v>
      </c>
      <c r="B1631">
        <v>272</v>
      </c>
    </row>
    <row r="1632" spans="1:2" x14ac:dyDescent="0.25">
      <c r="A1632" s="183" t="s">
        <v>1387</v>
      </c>
      <c r="B1632">
        <v>122</v>
      </c>
    </row>
    <row r="1633" spans="1:2" x14ac:dyDescent="0.25">
      <c r="A1633" s="183" t="s">
        <v>1388</v>
      </c>
      <c r="B1633">
        <v>200</v>
      </c>
    </row>
    <row r="1634" spans="1:2" x14ac:dyDescent="0.25">
      <c r="A1634" s="183" t="s">
        <v>1547</v>
      </c>
      <c r="B1634">
        <v>72</v>
      </c>
    </row>
    <row r="1635" spans="1:2" x14ac:dyDescent="0.25">
      <c r="A1635" s="183" t="s">
        <v>1555</v>
      </c>
      <c r="B1635">
        <v>144</v>
      </c>
    </row>
    <row r="1636" spans="1:2" x14ac:dyDescent="0.25">
      <c r="A1636" s="183" t="s">
        <v>1412</v>
      </c>
      <c r="B1636">
        <v>708</v>
      </c>
    </row>
    <row r="1637" spans="1:2" x14ac:dyDescent="0.25">
      <c r="A1637" s="183" t="s">
        <v>1442</v>
      </c>
      <c r="B1637">
        <v>64</v>
      </c>
    </row>
    <row r="1638" spans="1:2" x14ac:dyDescent="0.25">
      <c r="A1638" s="183" t="s">
        <v>1548</v>
      </c>
      <c r="B1638">
        <v>76</v>
      </c>
    </row>
    <row r="1639" spans="1:2" x14ac:dyDescent="0.25">
      <c r="A1639" s="183" t="s">
        <v>1389</v>
      </c>
      <c r="B1639">
        <v>740</v>
      </c>
    </row>
    <row r="1640" spans="1:2" x14ac:dyDescent="0.25">
      <c r="A1640" s="183" t="s">
        <v>1556</v>
      </c>
      <c r="B1640">
        <v>68</v>
      </c>
    </row>
    <row r="1641" spans="1:2" x14ac:dyDescent="0.25">
      <c r="A1641" s="183" t="s">
        <v>1390</v>
      </c>
      <c r="B1641">
        <v>704</v>
      </c>
    </row>
    <row r="1642" spans="1:2" x14ac:dyDescent="0.25">
      <c r="A1642" s="183" t="s">
        <v>1549</v>
      </c>
      <c r="B1642">
        <v>280</v>
      </c>
    </row>
    <row r="1643" spans="1:2" x14ac:dyDescent="0.25">
      <c r="A1643" s="183" t="s">
        <v>1391</v>
      </c>
      <c r="B1643">
        <v>336</v>
      </c>
    </row>
    <row r="1644" spans="1:2" x14ac:dyDescent="0.25">
      <c r="A1644" s="183" t="s">
        <v>1392</v>
      </c>
      <c r="B1644">
        <v>792</v>
      </c>
    </row>
    <row r="1645" spans="1:2" x14ac:dyDescent="0.25">
      <c r="A1645" s="183" t="s">
        <v>1393</v>
      </c>
      <c r="B1645">
        <v>1032</v>
      </c>
    </row>
    <row r="1646" spans="1:2" x14ac:dyDescent="0.25">
      <c r="A1646" s="183" t="s">
        <v>1394</v>
      </c>
      <c r="B1646">
        <v>375</v>
      </c>
    </row>
    <row r="1647" spans="1:2" x14ac:dyDescent="0.25">
      <c r="A1647" s="183" t="s">
        <v>1438</v>
      </c>
      <c r="B1647">
        <v>398</v>
      </c>
    </row>
    <row r="1648" spans="1:2" x14ac:dyDescent="0.25">
      <c r="A1648" s="183" t="s">
        <v>1395</v>
      </c>
      <c r="B1648">
        <v>22104</v>
      </c>
    </row>
    <row r="1649" spans="1:2" x14ac:dyDescent="0.25">
      <c r="A1649" s="183" t="s">
        <v>1396</v>
      </c>
      <c r="B1649">
        <v>48</v>
      </c>
    </row>
    <row r="1650" spans="1:2" x14ac:dyDescent="0.25">
      <c r="A1650" s="183" t="s">
        <v>1397</v>
      </c>
      <c r="B1650">
        <v>4272</v>
      </c>
    </row>
    <row r="1651" spans="1:2" x14ac:dyDescent="0.25">
      <c r="A1651" s="183" t="s">
        <v>1398</v>
      </c>
      <c r="B1651">
        <v>720</v>
      </c>
    </row>
    <row r="1652" spans="1:2" x14ac:dyDescent="0.25">
      <c r="A1652" s="183" t="s">
        <v>1399</v>
      </c>
      <c r="B1652">
        <v>8075</v>
      </c>
    </row>
    <row r="1653" spans="1:2" x14ac:dyDescent="0.25">
      <c r="A1653" s="183" t="s">
        <v>1557</v>
      </c>
      <c r="B1653">
        <v>40</v>
      </c>
    </row>
    <row r="1654" spans="1:2" x14ac:dyDescent="0.25">
      <c r="A1654" s="183" t="s">
        <v>1400</v>
      </c>
      <c r="B1654">
        <v>3825</v>
      </c>
    </row>
    <row r="1655" spans="1:2" x14ac:dyDescent="0.25">
      <c r="A1655" s="183" t="s">
        <v>1401</v>
      </c>
      <c r="B1655">
        <v>20</v>
      </c>
    </row>
    <row r="1656" spans="1:2" x14ac:dyDescent="0.25">
      <c r="A1656" s="183" t="s">
        <v>1402</v>
      </c>
      <c r="B1656">
        <v>20</v>
      </c>
    </row>
    <row r="1657" spans="1:2" x14ac:dyDescent="0.25">
      <c r="A1657" s="183" t="s">
        <v>1416</v>
      </c>
      <c r="B1657">
        <v>685</v>
      </c>
    </row>
    <row r="1658" spans="1:2" x14ac:dyDescent="0.25">
      <c r="A1658" s="183" t="s">
        <v>1417</v>
      </c>
      <c r="B1658">
        <v>920</v>
      </c>
    </row>
    <row r="1659" spans="1:2" x14ac:dyDescent="0.25">
      <c r="A1659" s="183" t="s">
        <v>1403</v>
      </c>
      <c r="B1659">
        <v>530093</v>
      </c>
    </row>
  </sheetData>
  <autoFilter ref="A1:B94" xr:uid="{5F299629-47CB-4CB5-AE29-805B5E126EA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AE25B-810C-4B43-B303-1527655F3FC5}">
  <sheetPr codeName="Sheet6"/>
  <dimension ref="A1:K30"/>
  <sheetViews>
    <sheetView showGridLines="0" workbookViewId="0">
      <pane ySplit="1" topLeftCell="A2" activePane="bottomLeft" state="frozen"/>
      <selection pane="bottomLeft" activeCell="K18" sqref="K18"/>
    </sheetView>
  </sheetViews>
  <sheetFormatPr defaultRowHeight="15" x14ac:dyDescent="0.25"/>
  <cols>
    <col min="1" max="1" width="12.85546875" bestFit="1" customWidth="1"/>
    <col min="2" max="2" width="16.7109375" bestFit="1" customWidth="1"/>
    <col min="3" max="3" width="22.140625" bestFit="1" customWidth="1"/>
    <col min="4" max="5" width="20" bestFit="1" customWidth="1"/>
    <col min="6" max="6" width="15.140625" bestFit="1" customWidth="1"/>
    <col min="7" max="7" width="18" bestFit="1" customWidth="1"/>
    <col min="8" max="8" width="16.7109375" bestFit="1" customWidth="1"/>
    <col min="9" max="9" width="8.28515625" bestFit="1" customWidth="1"/>
    <col min="10" max="10" width="15.140625" bestFit="1" customWidth="1"/>
    <col min="11" max="11" width="11.7109375" bestFit="1" customWidth="1"/>
  </cols>
  <sheetData>
    <row r="1" spans="1:11" x14ac:dyDescent="0.25">
      <c r="A1" s="144" t="s">
        <v>69</v>
      </c>
      <c r="B1" s="144" t="s">
        <v>71</v>
      </c>
      <c r="C1" s="144" t="s">
        <v>70</v>
      </c>
      <c r="D1" s="144" t="s">
        <v>72</v>
      </c>
      <c r="E1" s="144" t="s">
        <v>84</v>
      </c>
      <c r="F1" s="144" t="s">
        <v>73</v>
      </c>
      <c r="G1" s="144" t="s">
        <v>74</v>
      </c>
      <c r="H1" s="144" t="s">
        <v>75</v>
      </c>
      <c r="I1" s="144" t="s">
        <v>76</v>
      </c>
      <c r="J1" s="144" t="s">
        <v>77</v>
      </c>
      <c r="K1" s="144" t="s">
        <v>78</v>
      </c>
    </row>
    <row r="2" spans="1:11" x14ac:dyDescent="0.25">
      <c r="A2" s="112" t="s">
        <v>22</v>
      </c>
      <c r="B2" s="112" t="s">
        <v>80</v>
      </c>
      <c r="C2" s="112" t="s">
        <v>29</v>
      </c>
      <c r="D2" s="112" t="s">
        <v>81</v>
      </c>
      <c r="E2" s="114" t="s">
        <v>82</v>
      </c>
      <c r="F2" s="113">
        <v>45930</v>
      </c>
      <c r="G2" s="113">
        <v>45931</v>
      </c>
      <c r="H2" s="113">
        <v>45936</v>
      </c>
      <c r="I2" s="112" t="s">
        <v>79</v>
      </c>
      <c r="J2" s="114" t="s">
        <v>82</v>
      </c>
      <c r="K2" s="114" t="s">
        <v>82</v>
      </c>
    </row>
    <row r="3" spans="1:11" x14ac:dyDescent="0.25">
      <c r="A3" s="112" t="s">
        <v>22</v>
      </c>
      <c r="B3" s="112" t="s">
        <v>80</v>
      </c>
      <c r="C3" s="112" t="s">
        <v>68</v>
      </c>
      <c r="D3" s="112" t="s">
        <v>83</v>
      </c>
      <c r="E3" s="114" t="s">
        <v>82</v>
      </c>
      <c r="F3" s="113">
        <v>45937</v>
      </c>
      <c r="G3" s="113">
        <v>45939</v>
      </c>
      <c r="H3" s="113">
        <v>45940</v>
      </c>
      <c r="I3" s="112" t="s">
        <v>79</v>
      </c>
      <c r="J3" s="114" t="s">
        <v>82</v>
      </c>
      <c r="K3" s="114" t="s">
        <v>82</v>
      </c>
    </row>
    <row r="4" spans="1:11" x14ac:dyDescent="0.25">
      <c r="A4" s="112" t="s">
        <v>22</v>
      </c>
      <c r="B4" s="112" t="s">
        <v>80</v>
      </c>
      <c r="C4" s="112" t="s">
        <v>90</v>
      </c>
      <c r="D4" s="112" t="s">
        <v>91</v>
      </c>
      <c r="E4" s="114" t="s">
        <v>82</v>
      </c>
      <c r="F4" s="113">
        <v>45944</v>
      </c>
      <c r="G4" s="113">
        <v>45945</v>
      </c>
      <c r="H4" s="113">
        <v>45947</v>
      </c>
      <c r="I4" s="112" t="s">
        <v>79</v>
      </c>
      <c r="J4" s="114" t="s">
        <v>82</v>
      </c>
      <c r="K4" s="114" t="s">
        <v>82</v>
      </c>
    </row>
    <row r="5" spans="1:11" x14ac:dyDescent="0.25">
      <c r="A5" s="112" t="s">
        <v>22</v>
      </c>
      <c r="B5" s="112" t="s">
        <v>80</v>
      </c>
      <c r="C5" s="112" t="s">
        <v>94</v>
      </c>
      <c r="D5" s="112" t="s">
        <v>95</v>
      </c>
      <c r="E5" s="114" t="s">
        <v>82</v>
      </c>
      <c r="F5" s="113">
        <v>45945</v>
      </c>
      <c r="G5" s="113">
        <v>45946</v>
      </c>
      <c r="H5" s="113">
        <v>45953</v>
      </c>
      <c r="I5" s="112" t="s">
        <v>79</v>
      </c>
      <c r="J5" s="114" t="s">
        <v>82</v>
      </c>
      <c r="K5" s="114" t="s">
        <v>82</v>
      </c>
    </row>
    <row r="6" spans="1:11" x14ac:dyDescent="0.25">
      <c r="A6" s="112" t="s">
        <v>22</v>
      </c>
      <c r="B6" s="112" t="s">
        <v>80</v>
      </c>
      <c r="C6" s="112" t="s">
        <v>93</v>
      </c>
      <c r="D6" s="112" t="s">
        <v>96</v>
      </c>
      <c r="E6" s="114" t="s">
        <v>82</v>
      </c>
      <c r="F6" s="113">
        <v>45948</v>
      </c>
      <c r="G6" s="113">
        <v>45952</v>
      </c>
      <c r="H6" s="113">
        <v>45953</v>
      </c>
      <c r="I6" s="112" t="s">
        <v>79</v>
      </c>
      <c r="J6" s="114" t="s">
        <v>82</v>
      </c>
      <c r="K6" s="114" t="s">
        <v>82</v>
      </c>
    </row>
    <row r="7" spans="1:11" x14ac:dyDescent="0.25">
      <c r="A7" s="112" t="s">
        <v>22</v>
      </c>
      <c r="B7" s="112" t="s">
        <v>80</v>
      </c>
      <c r="C7" s="112" t="s">
        <v>97</v>
      </c>
      <c r="D7" s="112" t="s">
        <v>98</v>
      </c>
      <c r="E7" s="114" t="s">
        <v>82</v>
      </c>
      <c r="F7" s="113">
        <v>45950</v>
      </c>
      <c r="G7" s="113">
        <v>45954</v>
      </c>
      <c r="H7" s="113">
        <v>45957</v>
      </c>
      <c r="I7" s="112" t="s">
        <v>79</v>
      </c>
      <c r="J7" s="114" t="s">
        <v>82</v>
      </c>
      <c r="K7" s="114" t="s">
        <v>82</v>
      </c>
    </row>
    <row r="8" spans="1:11" x14ac:dyDescent="0.25">
      <c r="A8" s="112" t="s">
        <v>22</v>
      </c>
      <c r="B8" s="112" t="s">
        <v>80</v>
      </c>
      <c r="C8" s="112" t="s">
        <v>100</v>
      </c>
      <c r="D8" s="112" t="s">
        <v>101</v>
      </c>
      <c r="E8" s="114" t="s">
        <v>82</v>
      </c>
      <c r="F8" s="113">
        <v>45953</v>
      </c>
      <c r="G8" s="113">
        <v>45954</v>
      </c>
      <c r="H8" s="113">
        <v>45958</v>
      </c>
      <c r="I8" s="112" t="s">
        <v>79</v>
      </c>
      <c r="J8" s="114" t="s">
        <v>82</v>
      </c>
      <c r="K8" s="114" t="s">
        <v>82</v>
      </c>
    </row>
    <row r="9" spans="1:11" x14ac:dyDescent="0.25">
      <c r="A9" s="112" t="s">
        <v>22</v>
      </c>
      <c r="B9" s="112" t="s">
        <v>103</v>
      </c>
      <c r="C9" s="112" t="s">
        <v>102</v>
      </c>
      <c r="D9" s="112" t="s">
        <v>106</v>
      </c>
      <c r="E9" s="167" t="s">
        <v>105</v>
      </c>
      <c r="F9" s="113">
        <v>45959</v>
      </c>
      <c r="G9" s="113">
        <v>45964</v>
      </c>
      <c r="H9" s="113">
        <v>45968</v>
      </c>
      <c r="I9" s="112" t="s">
        <v>79</v>
      </c>
      <c r="J9" s="114" t="s">
        <v>82</v>
      </c>
      <c r="K9" s="167" t="s">
        <v>107</v>
      </c>
    </row>
    <row r="10" spans="1:11" x14ac:dyDescent="0.25">
      <c r="A10" s="112" t="s">
        <v>22</v>
      </c>
      <c r="B10" s="112" t="s">
        <v>80</v>
      </c>
      <c r="C10" s="112" t="s">
        <v>114</v>
      </c>
      <c r="D10" s="112" t="s">
        <v>117</v>
      </c>
      <c r="E10" s="114" t="s">
        <v>82</v>
      </c>
      <c r="F10" s="113">
        <v>45966</v>
      </c>
      <c r="G10" s="113">
        <v>45967</v>
      </c>
      <c r="H10" s="113">
        <v>45972</v>
      </c>
      <c r="I10" s="112" t="s">
        <v>79</v>
      </c>
      <c r="J10" s="114" t="s">
        <v>82</v>
      </c>
      <c r="K10" s="114" t="s">
        <v>82</v>
      </c>
    </row>
    <row r="11" spans="1:11" x14ac:dyDescent="0.25">
      <c r="A11" s="112" t="s">
        <v>22</v>
      </c>
      <c r="B11" s="112" t="s">
        <v>103</v>
      </c>
      <c r="C11" s="112" t="s">
        <v>115</v>
      </c>
      <c r="D11" s="112" t="s">
        <v>118</v>
      </c>
      <c r="E11" s="167" t="s">
        <v>105</v>
      </c>
      <c r="F11" s="113">
        <v>45966</v>
      </c>
      <c r="G11" s="113">
        <v>45971</v>
      </c>
      <c r="H11" s="113">
        <v>45975</v>
      </c>
      <c r="I11" s="112" t="s">
        <v>79</v>
      </c>
      <c r="J11" s="114" t="s">
        <v>82</v>
      </c>
      <c r="K11" s="167" t="s">
        <v>107</v>
      </c>
    </row>
    <row r="12" spans="1:11" x14ac:dyDescent="0.25">
      <c r="A12" s="112" t="s">
        <v>22</v>
      </c>
      <c r="B12" s="112" t="s">
        <v>103</v>
      </c>
      <c r="C12" s="112" t="s">
        <v>116</v>
      </c>
      <c r="D12" s="112" t="s">
        <v>119</v>
      </c>
      <c r="E12" s="167" t="s">
        <v>105</v>
      </c>
      <c r="F12" s="113">
        <v>45973</v>
      </c>
      <c r="G12" s="113">
        <v>45978</v>
      </c>
      <c r="H12" s="113">
        <v>45982</v>
      </c>
      <c r="I12" s="112" t="s">
        <v>79</v>
      </c>
      <c r="J12" s="114" t="s">
        <v>82</v>
      </c>
      <c r="K12" s="167" t="s">
        <v>107</v>
      </c>
    </row>
    <row r="13" spans="1:11" x14ac:dyDescent="0.25">
      <c r="A13" s="112" t="s">
        <v>22</v>
      </c>
      <c r="B13" s="112" t="s">
        <v>103</v>
      </c>
      <c r="C13" s="112" t="s">
        <v>121</v>
      </c>
      <c r="D13" s="112" t="s">
        <v>122</v>
      </c>
      <c r="E13" s="167" t="s">
        <v>105</v>
      </c>
      <c r="F13" s="113">
        <v>45980</v>
      </c>
      <c r="G13" s="113">
        <v>45985</v>
      </c>
      <c r="H13" s="113">
        <v>45988</v>
      </c>
      <c r="I13" s="112" t="s">
        <v>79</v>
      </c>
      <c r="J13" s="114" t="s">
        <v>82</v>
      </c>
      <c r="K13" s="167" t="s">
        <v>107</v>
      </c>
    </row>
    <row r="14" spans="1:11" x14ac:dyDescent="0.25">
      <c r="A14" s="112" t="s">
        <v>22</v>
      </c>
      <c r="B14" s="112" t="s">
        <v>103</v>
      </c>
      <c r="C14" s="112" t="s">
        <v>124</v>
      </c>
      <c r="D14" s="112" t="s">
        <v>126</v>
      </c>
      <c r="E14" s="167" t="s">
        <v>105</v>
      </c>
      <c r="F14" s="113">
        <v>45987</v>
      </c>
      <c r="G14" s="113">
        <v>45992</v>
      </c>
      <c r="H14" s="113">
        <v>45996</v>
      </c>
      <c r="I14" s="112" t="s">
        <v>79</v>
      </c>
      <c r="J14" s="114" t="s">
        <v>82</v>
      </c>
      <c r="K14" s="167" t="s">
        <v>107</v>
      </c>
    </row>
    <row r="15" spans="1:11" x14ac:dyDescent="0.25">
      <c r="A15" s="112" t="s">
        <v>22</v>
      </c>
      <c r="B15" s="112" t="s">
        <v>103</v>
      </c>
      <c r="C15" s="112" t="s">
        <v>125</v>
      </c>
      <c r="D15" s="112" t="s">
        <v>127</v>
      </c>
      <c r="E15" s="167" t="s">
        <v>105</v>
      </c>
      <c r="F15" s="113">
        <v>45994</v>
      </c>
      <c r="G15" s="113">
        <v>45999</v>
      </c>
      <c r="H15" s="113">
        <v>46003</v>
      </c>
      <c r="I15" s="112" t="s">
        <v>79</v>
      </c>
      <c r="J15" s="114" t="s">
        <v>82</v>
      </c>
      <c r="K15" s="167" t="s">
        <v>107</v>
      </c>
    </row>
    <row r="16" spans="1:11" x14ac:dyDescent="0.25">
      <c r="A16" s="112" t="s">
        <v>22</v>
      </c>
      <c r="B16" s="112" t="s">
        <v>103</v>
      </c>
      <c r="C16" s="112" t="s">
        <v>128</v>
      </c>
      <c r="D16" s="112" t="s">
        <v>131</v>
      </c>
      <c r="E16" s="167" t="s">
        <v>132</v>
      </c>
      <c r="F16" s="113">
        <v>46002</v>
      </c>
      <c r="G16" s="113">
        <v>46018</v>
      </c>
      <c r="H16" s="113">
        <v>46038</v>
      </c>
      <c r="I16" s="112" t="s">
        <v>149</v>
      </c>
      <c r="J16" s="114" t="s">
        <v>82</v>
      </c>
      <c r="K16" s="114" t="s">
        <v>82</v>
      </c>
    </row>
    <row r="17" spans="1:11" x14ac:dyDescent="0.25">
      <c r="A17" s="112" t="s">
        <v>22</v>
      </c>
      <c r="B17" s="112" t="s">
        <v>103</v>
      </c>
      <c r="C17" s="112" t="s">
        <v>139</v>
      </c>
      <c r="D17" s="112" t="s">
        <v>140</v>
      </c>
      <c r="E17" s="167" t="s">
        <v>132</v>
      </c>
      <c r="F17" s="113">
        <v>46009</v>
      </c>
      <c r="G17" s="113">
        <v>46018</v>
      </c>
      <c r="H17" s="113">
        <v>46037</v>
      </c>
      <c r="I17" s="112" t="s">
        <v>149</v>
      </c>
      <c r="J17" s="114" t="s">
        <v>82</v>
      </c>
      <c r="K17" s="114" t="s">
        <v>82</v>
      </c>
    </row>
    <row r="18" spans="1:11" x14ac:dyDescent="0.25">
      <c r="A18" s="112" t="s">
        <v>22</v>
      </c>
      <c r="B18" s="112" t="s">
        <v>103</v>
      </c>
      <c r="C18" s="112" t="s">
        <v>141</v>
      </c>
      <c r="D18" s="112" t="s">
        <v>142</v>
      </c>
      <c r="E18" s="167" t="s">
        <v>143</v>
      </c>
      <c r="F18" s="113">
        <v>46016</v>
      </c>
      <c r="G18" s="113">
        <v>46026</v>
      </c>
      <c r="H18" s="113">
        <v>46038</v>
      </c>
      <c r="I18" s="112" t="s">
        <v>149</v>
      </c>
      <c r="J18" s="114" t="s">
        <v>82</v>
      </c>
      <c r="K18" s="114" t="s">
        <v>82</v>
      </c>
    </row>
    <row r="19" spans="1:11" x14ac:dyDescent="0.25">
      <c r="A19" s="112" t="s">
        <v>22</v>
      </c>
      <c r="B19" s="112" t="s">
        <v>103</v>
      </c>
      <c r="C19" s="112" t="s">
        <v>144</v>
      </c>
      <c r="D19" s="112" t="s">
        <v>145</v>
      </c>
      <c r="E19" s="167" t="s">
        <v>105</v>
      </c>
      <c r="F19" s="113">
        <v>46028</v>
      </c>
      <c r="G19" s="113">
        <v>46034</v>
      </c>
      <c r="H19" s="113">
        <v>46038</v>
      </c>
      <c r="I19" s="112" t="s">
        <v>79</v>
      </c>
      <c r="J19" s="114" t="s">
        <v>82</v>
      </c>
      <c r="K19" s="167" t="s">
        <v>107</v>
      </c>
    </row>
    <row r="20" spans="1:11" x14ac:dyDescent="0.25">
      <c r="A20" s="112" t="s">
        <v>22</v>
      </c>
      <c r="B20" s="112" t="s">
        <v>103</v>
      </c>
      <c r="C20" s="112" t="s">
        <v>150</v>
      </c>
      <c r="D20" s="112" t="s">
        <v>151</v>
      </c>
      <c r="E20" s="167" t="s">
        <v>105</v>
      </c>
      <c r="F20" s="113">
        <v>46036</v>
      </c>
      <c r="G20" s="113">
        <v>46041</v>
      </c>
      <c r="H20" s="113">
        <v>46045</v>
      </c>
      <c r="I20" s="112" t="s">
        <v>79</v>
      </c>
      <c r="J20" s="114" t="s">
        <v>82</v>
      </c>
      <c r="K20" s="167" t="s">
        <v>107</v>
      </c>
    </row>
    <row r="21" spans="1:11" x14ac:dyDescent="0.25">
      <c r="A21" s="112" t="s">
        <v>22</v>
      </c>
      <c r="B21" s="112" t="s">
        <v>103</v>
      </c>
      <c r="C21" s="112" t="s">
        <v>155</v>
      </c>
      <c r="D21" s="112" t="s">
        <v>153</v>
      </c>
      <c r="E21" s="114" t="s">
        <v>105</v>
      </c>
      <c r="F21" s="113">
        <v>46043</v>
      </c>
      <c r="G21" s="113">
        <v>46049</v>
      </c>
      <c r="H21" s="113">
        <v>46052</v>
      </c>
      <c r="I21" s="112" t="s">
        <v>79</v>
      </c>
      <c r="J21" s="114" t="s">
        <v>82</v>
      </c>
      <c r="K21" s="112" t="s">
        <v>107</v>
      </c>
    </row>
    <row r="22" spans="1:11" x14ac:dyDescent="0.25">
      <c r="A22" s="112" t="s">
        <v>22</v>
      </c>
      <c r="B22" s="112" t="s">
        <v>103</v>
      </c>
      <c r="C22" s="112" t="s">
        <v>1404</v>
      </c>
      <c r="D22" s="112" t="s">
        <v>156</v>
      </c>
      <c r="E22" s="114" t="s">
        <v>105</v>
      </c>
      <c r="F22" s="113">
        <v>46050</v>
      </c>
      <c r="G22" s="113">
        <v>46056</v>
      </c>
      <c r="H22" s="113">
        <v>46058</v>
      </c>
      <c r="I22" s="112" t="s">
        <v>79</v>
      </c>
      <c r="J22" s="114" t="s">
        <v>82</v>
      </c>
      <c r="K22" s="112" t="s">
        <v>107</v>
      </c>
    </row>
    <row r="23" spans="1:11" x14ac:dyDescent="0.25">
      <c r="A23" s="112" t="s">
        <v>22</v>
      </c>
      <c r="B23" s="112" t="s">
        <v>103</v>
      </c>
      <c r="C23" s="112" t="s">
        <v>1409</v>
      </c>
      <c r="D23" s="112" t="s">
        <v>1410</v>
      </c>
      <c r="E23" s="114" t="s">
        <v>105</v>
      </c>
      <c r="F23" s="113">
        <v>46057</v>
      </c>
      <c r="G23" s="113">
        <v>46063</v>
      </c>
      <c r="H23" s="113">
        <v>46066</v>
      </c>
      <c r="I23" s="112" t="s">
        <v>79</v>
      </c>
      <c r="J23" s="114" t="s">
        <v>82</v>
      </c>
      <c r="K23" s="112" t="s">
        <v>107</v>
      </c>
    </row>
    <row r="24" spans="1:11" x14ac:dyDescent="0.25">
      <c r="A24" s="112" t="s">
        <v>22</v>
      </c>
      <c r="B24" s="112" t="s">
        <v>103</v>
      </c>
      <c r="C24" s="112" t="s">
        <v>1406</v>
      </c>
      <c r="D24" s="112" t="s">
        <v>1407</v>
      </c>
      <c r="E24" s="114" t="s">
        <v>1408</v>
      </c>
      <c r="F24" s="113">
        <v>46064</v>
      </c>
      <c r="G24" s="113">
        <v>46069</v>
      </c>
      <c r="H24" s="113">
        <v>46071</v>
      </c>
      <c r="I24" s="112" t="s">
        <v>79</v>
      </c>
      <c r="J24" s="114" t="s">
        <v>82</v>
      </c>
      <c r="K24" s="112" t="s">
        <v>107</v>
      </c>
    </row>
    <row r="25" spans="1:11" x14ac:dyDescent="0.25">
      <c r="A25" s="112" t="s">
        <v>22</v>
      </c>
      <c r="B25" s="112" t="s">
        <v>103</v>
      </c>
      <c r="C25" s="112" t="s">
        <v>1411</v>
      </c>
      <c r="D25" s="112" t="s">
        <v>1413</v>
      </c>
      <c r="E25" s="114" t="s">
        <v>1408</v>
      </c>
      <c r="F25" s="113">
        <v>46070</v>
      </c>
      <c r="G25" s="113">
        <v>46076</v>
      </c>
      <c r="H25" s="113">
        <v>46080</v>
      </c>
      <c r="I25" s="112" t="s">
        <v>79</v>
      </c>
      <c r="J25" s="114" t="s">
        <v>82</v>
      </c>
      <c r="K25" s="112" t="s">
        <v>107</v>
      </c>
    </row>
    <row r="26" spans="1:11" x14ac:dyDescent="0.25">
      <c r="A26" s="112" t="s">
        <v>22</v>
      </c>
      <c r="B26" s="112" t="s">
        <v>103</v>
      </c>
      <c r="C26" s="112" t="s">
        <v>1414</v>
      </c>
      <c r="D26" s="112" t="s">
        <v>1415</v>
      </c>
      <c r="E26" s="114" t="s">
        <v>1408</v>
      </c>
      <c r="F26" s="113">
        <v>46085</v>
      </c>
      <c r="G26" s="113">
        <v>46091</v>
      </c>
      <c r="H26" s="113">
        <v>46093</v>
      </c>
      <c r="I26" s="112" t="s">
        <v>79</v>
      </c>
      <c r="J26" s="114" t="s">
        <v>82</v>
      </c>
      <c r="K26" s="112" t="s">
        <v>107</v>
      </c>
    </row>
    <row r="27" spans="1:11" x14ac:dyDescent="0.25">
      <c r="A27" s="112" t="s">
        <v>22</v>
      </c>
      <c r="B27" s="112" t="s">
        <v>103</v>
      </c>
      <c r="C27" s="112" t="s">
        <v>1418</v>
      </c>
      <c r="D27" s="112" t="s">
        <v>1543</v>
      </c>
      <c r="E27" s="114" t="s">
        <v>1408</v>
      </c>
      <c r="F27" s="113">
        <v>46099</v>
      </c>
      <c r="G27" s="113">
        <v>46105</v>
      </c>
      <c r="H27" s="113">
        <v>46108</v>
      </c>
      <c r="I27" s="112" t="s">
        <v>79</v>
      </c>
      <c r="J27" s="114" t="s">
        <v>82</v>
      </c>
      <c r="K27" s="112" t="s">
        <v>107</v>
      </c>
    </row>
    <row r="28" spans="1:11" x14ac:dyDescent="0.25">
      <c r="A28" s="112" t="s">
        <v>22</v>
      </c>
      <c r="B28" s="112" t="s">
        <v>103</v>
      </c>
      <c r="C28" s="112" t="s">
        <v>1443</v>
      </c>
      <c r="D28" s="112" t="s">
        <v>1544</v>
      </c>
      <c r="E28" s="114" t="s">
        <v>105</v>
      </c>
      <c r="F28" s="113">
        <v>46111</v>
      </c>
      <c r="G28" s="113">
        <v>46118</v>
      </c>
      <c r="H28" s="113">
        <v>46121</v>
      </c>
      <c r="I28" s="112" t="s">
        <v>79</v>
      </c>
      <c r="J28" s="114" t="s">
        <v>82</v>
      </c>
      <c r="K28" s="112" t="s">
        <v>107</v>
      </c>
    </row>
    <row r="29" spans="1:11" x14ac:dyDescent="0.25">
      <c r="A29" s="190" t="s">
        <v>22</v>
      </c>
      <c r="B29" s="190" t="s">
        <v>103</v>
      </c>
      <c r="C29" s="190" t="s">
        <v>1551</v>
      </c>
      <c r="D29" s="190" t="s">
        <v>1552</v>
      </c>
      <c r="E29" s="191" t="s">
        <v>1554</v>
      </c>
      <c r="F29" s="192">
        <v>46123</v>
      </c>
      <c r="G29" s="192">
        <v>46132</v>
      </c>
      <c r="H29" s="192">
        <v>46136</v>
      </c>
      <c r="I29" s="190" t="s">
        <v>79</v>
      </c>
      <c r="J29" s="117" t="s">
        <v>82</v>
      </c>
      <c r="K29" s="117" t="s">
        <v>82</v>
      </c>
    </row>
    <row r="30" spans="1:11" x14ac:dyDescent="0.25">
      <c r="A30" s="190" t="s">
        <v>22</v>
      </c>
      <c r="B30" s="190" t="s">
        <v>103</v>
      </c>
      <c r="C30" s="190" t="s">
        <v>1550</v>
      </c>
      <c r="D30" s="190" t="s">
        <v>1553</v>
      </c>
      <c r="E30" s="191" t="s">
        <v>105</v>
      </c>
      <c r="F30" s="192">
        <v>46127</v>
      </c>
      <c r="G30" s="192">
        <v>46132</v>
      </c>
      <c r="H30" s="192">
        <v>46136</v>
      </c>
      <c r="I30" s="190" t="s">
        <v>79</v>
      </c>
      <c r="J30" s="117" t="s">
        <v>82</v>
      </c>
      <c r="K30" s="193" t="s">
        <v>107</v>
      </c>
    </row>
  </sheetData>
  <autoFilter ref="A1:K26" xr:uid="{69FAE25B-810C-4B43-B303-1527655F3FC5}"/>
  <conditionalFormatting sqref="I2:I22 I27:I1048576">
    <cfRule type="containsText" dxfId="1590" priority="4" operator="containsText" text="Yes">
      <formula>NOT(ISERROR(SEARCH("Yes",I2)))</formula>
    </cfRule>
  </conditionalFormatting>
  <conditionalFormatting sqref="I25:I26">
    <cfRule type="containsText" dxfId="1589" priority="3" operator="containsText" text="Yes">
      <formula>NOT(ISERROR(SEARCH("Yes",I25)))</formula>
    </cfRule>
  </conditionalFormatting>
  <conditionalFormatting sqref="I23:I26">
    <cfRule type="containsText" dxfId="1588" priority="2" operator="containsText" text="Yes">
      <formula>NOT(ISERROR(SEARCH("Yes",I23)))</formula>
    </cfRule>
  </conditionalFormatting>
  <dataValidations count="2">
    <dataValidation type="list" allowBlank="1" showInputMessage="1" showErrorMessage="1" sqref="B2:B1048576" xr:uid="{9D719D61-1758-4DD6-A749-C6CE60897298}">
      <formula1>"Sea,Air"</formula1>
    </dataValidation>
    <dataValidation type="list" allowBlank="1" showInputMessage="1" showErrorMessage="1" sqref="I2:I1048576" xr:uid="{AC8CE691-6A02-45C7-BB6F-88E7D44731C8}">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F788-5A6B-4493-9E96-6CDDFA8CED24}">
  <sheetPr codeName="Sheet7"/>
  <dimension ref="A1:S62"/>
  <sheetViews>
    <sheetView workbookViewId="0">
      <selection activeCell="F29" sqref="F29"/>
    </sheetView>
  </sheetViews>
  <sheetFormatPr defaultRowHeight="15" x14ac:dyDescent="0.25"/>
  <sheetData>
    <row r="1" spans="1:19" x14ac:dyDescent="0.25">
      <c r="A1" s="93" t="s">
        <v>26</v>
      </c>
      <c r="B1" s="92" t="s">
        <v>0</v>
      </c>
    </row>
    <row r="2" spans="1:19" x14ac:dyDescent="0.25">
      <c r="A2" s="87">
        <v>32248362</v>
      </c>
      <c r="B2" s="81">
        <v>4172750</v>
      </c>
    </row>
    <row r="3" spans="1:19" x14ac:dyDescent="0.25">
      <c r="A3" s="87">
        <v>32248363</v>
      </c>
      <c r="B3" s="81">
        <v>4172755</v>
      </c>
    </row>
    <row r="4" spans="1:19" x14ac:dyDescent="0.25">
      <c r="A4" s="87">
        <v>32272858</v>
      </c>
      <c r="B4" s="81">
        <v>5080299</v>
      </c>
    </row>
    <row r="5" spans="1:19" x14ac:dyDescent="0.25">
      <c r="A5" s="87">
        <v>32288786</v>
      </c>
      <c r="B5" s="81">
        <v>5073059</v>
      </c>
    </row>
    <row r="6" spans="1:19" x14ac:dyDescent="0.25">
      <c r="A6" s="87">
        <v>32288788</v>
      </c>
      <c r="B6" s="81">
        <v>5073061</v>
      </c>
    </row>
    <row r="7" spans="1:19" x14ac:dyDescent="0.25">
      <c r="A7" s="87">
        <v>32248170</v>
      </c>
      <c r="B7" s="81">
        <v>4172749</v>
      </c>
    </row>
    <row r="8" spans="1:19" x14ac:dyDescent="0.25">
      <c r="A8" s="87">
        <v>32248171</v>
      </c>
      <c r="B8" s="81">
        <v>4172753</v>
      </c>
    </row>
    <row r="9" spans="1:19" x14ac:dyDescent="0.25">
      <c r="A9" s="87">
        <v>32272857</v>
      </c>
      <c r="B9" s="81">
        <v>5080294</v>
      </c>
    </row>
    <row r="10" spans="1:19" x14ac:dyDescent="0.25">
      <c r="A10" s="87">
        <v>32288787</v>
      </c>
      <c r="B10" s="81">
        <v>5073058</v>
      </c>
    </row>
    <row r="11" spans="1:19" x14ac:dyDescent="0.25">
      <c r="A11" s="87">
        <v>32248192</v>
      </c>
      <c r="B11" s="81">
        <v>4172770</v>
      </c>
    </row>
    <row r="12" spans="1:19" x14ac:dyDescent="0.25">
      <c r="A12" s="87">
        <v>32272708</v>
      </c>
      <c r="B12" s="81">
        <v>4817100</v>
      </c>
    </row>
    <row r="13" spans="1:19" x14ac:dyDescent="0.25">
      <c r="A13" s="87">
        <v>32272710</v>
      </c>
      <c r="B13" s="81">
        <v>4817103</v>
      </c>
    </row>
    <row r="14" spans="1:19" x14ac:dyDescent="0.25">
      <c r="A14" s="87">
        <v>32272714</v>
      </c>
      <c r="B14" s="81">
        <v>4817114</v>
      </c>
      <c r="S14" s="182"/>
    </row>
    <row r="15" spans="1:19" x14ac:dyDescent="0.25">
      <c r="A15" s="87">
        <v>32272821</v>
      </c>
      <c r="B15" s="81">
        <v>4754918</v>
      </c>
      <c r="S15" s="182"/>
    </row>
    <row r="16" spans="1:19" x14ac:dyDescent="0.25">
      <c r="A16" s="87">
        <v>32272822</v>
      </c>
      <c r="B16" s="81">
        <v>4755038</v>
      </c>
    </row>
    <row r="17" spans="1:2" x14ac:dyDescent="0.25">
      <c r="A17" s="87">
        <v>32272823</v>
      </c>
      <c r="B17" s="81">
        <v>4755081</v>
      </c>
    </row>
    <row r="18" spans="1:2" x14ac:dyDescent="0.25">
      <c r="A18" s="87">
        <v>32272863</v>
      </c>
      <c r="B18" s="81">
        <v>5080268</v>
      </c>
    </row>
    <row r="19" spans="1:2" x14ac:dyDescent="0.25">
      <c r="A19" s="87">
        <v>32332626</v>
      </c>
      <c r="B19" s="81">
        <v>5180031</v>
      </c>
    </row>
    <row r="20" spans="1:2" x14ac:dyDescent="0.25">
      <c r="A20" s="87">
        <v>32332627</v>
      </c>
      <c r="B20" s="81">
        <v>5180032</v>
      </c>
    </row>
    <row r="21" spans="1:2" x14ac:dyDescent="0.25">
      <c r="A21" s="87">
        <v>32332630</v>
      </c>
      <c r="B21" s="81">
        <v>5180033</v>
      </c>
    </row>
    <row r="22" spans="1:2" x14ac:dyDescent="0.25">
      <c r="A22" s="87">
        <v>32288785</v>
      </c>
      <c r="B22" s="81">
        <v>5073060</v>
      </c>
    </row>
    <row r="23" spans="1:2" x14ac:dyDescent="0.25">
      <c r="A23" s="87">
        <v>32248195</v>
      </c>
      <c r="B23" s="81">
        <v>4172763</v>
      </c>
    </row>
    <row r="24" spans="1:2" x14ac:dyDescent="0.25">
      <c r="A24" s="87">
        <v>32248196</v>
      </c>
      <c r="B24" s="81">
        <v>4172773</v>
      </c>
    </row>
    <row r="25" spans="1:2" x14ac:dyDescent="0.25">
      <c r="A25" s="94">
        <v>32272709</v>
      </c>
      <c r="B25" s="95">
        <v>4817101</v>
      </c>
    </row>
    <row r="26" spans="1:2" x14ac:dyDescent="0.25">
      <c r="A26" s="94">
        <v>32272854</v>
      </c>
      <c r="B26" s="95">
        <v>5080285</v>
      </c>
    </row>
    <row r="27" spans="1:2" ht="15.75" thickBot="1" x14ac:dyDescent="0.3">
      <c r="A27" s="96">
        <v>32272861</v>
      </c>
      <c r="B27" s="97">
        <v>5080263</v>
      </c>
    </row>
    <row r="28" spans="1:2" ht="15.75" thickBot="1" x14ac:dyDescent="0.3">
      <c r="A28" s="86"/>
      <c r="B28" s="84"/>
    </row>
    <row r="29" spans="1:2" x14ac:dyDescent="0.25">
      <c r="A29" s="87">
        <v>32248172</v>
      </c>
      <c r="B29" s="81">
        <v>4172784</v>
      </c>
    </row>
    <row r="30" spans="1:2" x14ac:dyDescent="0.25">
      <c r="A30" s="87">
        <v>32248185</v>
      </c>
      <c r="B30" s="81">
        <v>4172800</v>
      </c>
    </row>
    <row r="31" spans="1:2" x14ac:dyDescent="0.25">
      <c r="A31" s="87">
        <v>32248186</v>
      </c>
      <c r="B31" s="81">
        <v>4172821</v>
      </c>
    </row>
    <row r="32" spans="1:2" x14ac:dyDescent="0.25">
      <c r="A32" s="87">
        <v>32248190</v>
      </c>
      <c r="B32" s="81">
        <v>4172826</v>
      </c>
    </row>
    <row r="33" spans="1:2" x14ac:dyDescent="0.25">
      <c r="A33" s="87">
        <v>32272877</v>
      </c>
      <c r="B33" s="81">
        <v>5080446</v>
      </c>
    </row>
    <row r="34" spans="1:2" x14ac:dyDescent="0.25">
      <c r="A34" s="87">
        <v>32288790</v>
      </c>
      <c r="B34" s="81">
        <v>5073064</v>
      </c>
    </row>
    <row r="35" spans="1:2" x14ac:dyDescent="0.25">
      <c r="A35" s="87">
        <v>32248184</v>
      </c>
      <c r="B35" s="81">
        <v>4172820</v>
      </c>
    </row>
    <row r="36" spans="1:2" x14ac:dyDescent="0.25">
      <c r="A36" s="87">
        <v>32248188</v>
      </c>
      <c r="B36" s="81">
        <v>4172825</v>
      </c>
    </row>
    <row r="37" spans="1:2" x14ac:dyDescent="0.25">
      <c r="A37" s="87">
        <v>32272084</v>
      </c>
      <c r="B37" s="81">
        <v>4264989</v>
      </c>
    </row>
    <row r="38" spans="1:2" x14ac:dyDescent="0.25">
      <c r="A38" s="87">
        <v>32272716</v>
      </c>
      <c r="B38" s="81">
        <v>4817124</v>
      </c>
    </row>
    <row r="39" spans="1:2" x14ac:dyDescent="0.25">
      <c r="A39" s="87">
        <v>32272718</v>
      </c>
      <c r="B39" s="81">
        <v>4817129</v>
      </c>
    </row>
    <row r="40" spans="1:2" x14ac:dyDescent="0.25">
      <c r="A40" s="87">
        <v>32272720</v>
      </c>
      <c r="B40" s="81">
        <v>4817131</v>
      </c>
    </row>
    <row r="41" spans="1:2" x14ac:dyDescent="0.25">
      <c r="A41" s="87">
        <v>32272722</v>
      </c>
      <c r="B41" s="81">
        <v>4817134</v>
      </c>
    </row>
    <row r="42" spans="1:2" x14ac:dyDescent="0.25">
      <c r="A42" s="87">
        <v>32272723</v>
      </c>
      <c r="B42" s="81">
        <v>4817136</v>
      </c>
    </row>
    <row r="43" spans="1:2" x14ac:dyDescent="0.25">
      <c r="A43" s="87">
        <v>32272825</v>
      </c>
      <c r="B43" s="81">
        <v>4755146</v>
      </c>
    </row>
    <row r="44" spans="1:2" x14ac:dyDescent="0.25">
      <c r="A44" s="87">
        <v>32272875</v>
      </c>
      <c r="B44" s="81">
        <v>5080443</v>
      </c>
    </row>
    <row r="45" spans="1:2" x14ac:dyDescent="0.25">
      <c r="A45" s="87">
        <v>32332625</v>
      </c>
      <c r="B45" s="81">
        <v>5180039</v>
      </c>
    </row>
    <row r="46" spans="1:2" x14ac:dyDescent="0.25">
      <c r="A46" s="87">
        <v>32332628</v>
      </c>
      <c r="B46" s="81">
        <v>5180040</v>
      </c>
    </row>
    <row r="47" spans="1:2" x14ac:dyDescent="0.25">
      <c r="A47" s="87">
        <v>32272880</v>
      </c>
      <c r="B47" s="81">
        <v>5080450</v>
      </c>
    </row>
    <row r="48" spans="1:2" x14ac:dyDescent="0.25">
      <c r="A48" s="87">
        <v>32248183</v>
      </c>
      <c r="B48" s="81">
        <v>4172797</v>
      </c>
    </row>
    <row r="49" spans="1:2" x14ac:dyDescent="0.25">
      <c r="A49" s="94">
        <v>32272872</v>
      </c>
      <c r="B49" s="95">
        <v>5080431</v>
      </c>
    </row>
    <row r="50" spans="1:2" x14ac:dyDescent="0.25">
      <c r="A50" s="94">
        <v>32272719</v>
      </c>
      <c r="B50" s="95">
        <v>4817130</v>
      </c>
    </row>
    <row r="51" spans="1:2" x14ac:dyDescent="0.25">
      <c r="A51" s="96">
        <v>32272868</v>
      </c>
      <c r="B51" s="97">
        <v>5080417</v>
      </c>
    </row>
    <row r="52" spans="1:2" ht="15.75" thickBot="1" x14ac:dyDescent="0.3">
      <c r="A52" s="94">
        <v>32332629</v>
      </c>
      <c r="B52" s="95">
        <v>5180041</v>
      </c>
    </row>
    <row r="53" spans="1:2" ht="15.75" thickBot="1" x14ac:dyDescent="0.3">
      <c r="A53" s="98"/>
      <c r="B53" s="99"/>
    </row>
    <row r="54" spans="1:2" x14ac:dyDescent="0.25">
      <c r="A54" s="94">
        <v>32272492</v>
      </c>
      <c r="B54" s="95">
        <v>4429348</v>
      </c>
    </row>
    <row r="55" spans="1:2" x14ac:dyDescent="0.25">
      <c r="A55" s="94">
        <v>32272493</v>
      </c>
      <c r="B55" s="95">
        <v>4429349</v>
      </c>
    </row>
    <row r="56" spans="1:2" x14ac:dyDescent="0.25">
      <c r="A56" s="94">
        <v>32272494</v>
      </c>
      <c r="B56" s="95">
        <v>4429351</v>
      </c>
    </row>
    <row r="57" spans="1:2" x14ac:dyDescent="0.25">
      <c r="A57" s="94">
        <v>32272495</v>
      </c>
      <c r="B57" s="95">
        <v>4429352</v>
      </c>
    </row>
    <row r="58" spans="1:2" x14ac:dyDescent="0.25">
      <c r="A58" s="94">
        <v>32272496</v>
      </c>
      <c r="B58" s="95">
        <v>4429355</v>
      </c>
    </row>
    <row r="59" spans="1:2" ht="15.75" thickBot="1" x14ac:dyDescent="0.3">
      <c r="A59" s="94">
        <v>32272497</v>
      </c>
      <c r="B59" s="95">
        <v>4429356</v>
      </c>
    </row>
    <row r="60" spans="1:2" ht="15.75" thickBot="1" x14ac:dyDescent="0.3">
      <c r="A60" s="98"/>
      <c r="B60" s="99"/>
    </row>
    <row r="61" spans="1:2" ht="15.75" thickBot="1" x14ac:dyDescent="0.3">
      <c r="A61" s="94">
        <v>32272490</v>
      </c>
      <c r="B61" s="95">
        <v>4429358</v>
      </c>
    </row>
    <row r="62" spans="1:2" ht="15.75" thickBot="1" x14ac:dyDescent="0.3">
      <c r="A62" s="25"/>
      <c r="B62" s="25"/>
    </row>
  </sheetData>
  <conditionalFormatting sqref="B2:B24">
    <cfRule type="duplicateValues" dxfId="1587" priority="80"/>
    <cfRule type="duplicateValues" dxfId="1586" priority="81"/>
  </conditionalFormatting>
  <conditionalFormatting sqref="B2:B27 B29:B52">
    <cfRule type="cellIs" dxfId="1585" priority="77" operator="lessThan">
      <formula>0</formula>
    </cfRule>
    <cfRule type="cellIs" dxfId="1584" priority="79" operator="lessThan">
      <formula>0</formula>
    </cfRule>
  </conditionalFormatting>
  <conditionalFormatting sqref="B25:B26">
    <cfRule type="duplicateValues" dxfId="1583" priority="59"/>
    <cfRule type="duplicateValues" dxfId="1582" priority="60"/>
  </conditionalFormatting>
  <conditionalFormatting sqref="B27">
    <cfRule type="duplicateValues" dxfId="1581" priority="61"/>
    <cfRule type="duplicateValues" dxfId="1580" priority="62"/>
  </conditionalFormatting>
  <conditionalFormatting sqref="B29:B50">
    <cfRule type="duplicateValues" dxfId="1579" priority="82"/>
    <cfRule type="duplicateValues" dxfId="1578" priority="83"/>
  </conditionalFormatting>
  <conditionalFormatting sqref="B29:B52 B2:B27">
    <cfRule type="cellIs" dxfId="1577" priority="78" operator="lessThan">
      <formula>0</formula>
    </cfRule>
  </conditionalFormatting>
  <conditionalFormatting sqref="B51">
    <cfRule type="duplicateValues" dxfId="1576" priority="57"/>
    <cfRule type="duplicateValues" dxfId="1575" priority="58"/>
  </conditionalFormatting>
  <conditionalFormatting sqref="B52">
    <cfRule type="duplicateValues" dxfId="1574" priority="75"/>
    <cfRule type="duplicateValues" dxfId="1573" priority="76"/>
  </conditionalFormatting>
  <conditionalFormatting sqref="B54:B58">
    <cfRule type="duplicateValues" dxfId="1572" priority="71"/>
    <cfRule type="duplicateValues" dxfId="1571" priority="72"/>
  </conditionalFormatting>
  <conditionalFormatting sqref="B54:B59">
    <cfRule type="cellIs" dxfId="1570" priority="68" operator="lessThan">
      <formula>0</formula>
    </cfRule>
    <cfRule type="cellIs" dxfId="1569" priority="69" operator="lessThan">
      <formula>0</formula>
    </cfRule>
    <cfRule type="cellIs" dxfId="1568" priority="70" operator="lessThan">
      <formula>0</formula>
    </cfRule>
  </conditionalFormatting>
  <conditionalFormatting sqref="B59">
    <cfRule type="duplicateValues" dxfId="1567" priority="73"/>
    <cfRule type="duplicateValues" dxfId="1566" priority="74"/>
  </conditionalFormatting>
  <conditionalFormatting sqref="B61">
    <cfRule type="cellIs" dxfId="1565" priority="63" operator="lessThan">
      <formula>0</formula>
    </cfRule>
    <cfRule type="cellIs" dxfId="1564" priority="64" operator="lessThan">
      <formula>0</formula>
    </cfRule>
    <cfRule type="cellIs" dxfId="1563" priority="65" operator="lessThan">
      <formula>0</formula>
    </cfRule>
    <cfRule type="duplicateValues" dxfId="1562" priority="66"/>
    <cfRule type="duplicateValues" dxfId="1561" priority="6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Adient Shortage report</vt:lpstr>
      <vt:lpstr>Sheet2</vt:lpstr>
      <vt:lpstr>Sheet1</vt:lpstr>
      <vt:lpstr>Adient Assende (Belgium) WK.17</vt:lpstr>
      <vt:lpstr>Adient Arendal (Malzia) WK.12</vt:lpstr>
      <vt:lpstr>Adient Taizhou (China) WK.16</vt:lpstr>
      <vt:lpstr>O.S Alba WK.17</vt:lpstr>
      <vt:lpstr>Shipment Follow-up </vt:lpstr>
      <vt:lpstr>List of parts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Galal, Mohamed (Port Said)</dc:creator>
  <cp:lastModifiedBy>Yahiya, Mohamed (Port Said)</cp:lastModifiedBy>
  <dcterms:created xsi:type="dcterms:W3CDTF">2015-06-05T18:17:20Z</dcterms:created>
  <dcterms:modified xsi:type="dcterms:W3CDTF">2026-04-22T05:17:59Z</dcterms:modified>
</cp:coreProperties>
</file>